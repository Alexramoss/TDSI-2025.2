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ópia de Extração" sheetId="1" r:id="rId4"/>
    <sheet state="hidden" name="Cópia de Extração 1" sheetId="2" r:id="rId5"/>
    <sheet state="visible" name="Questões + Prompt" sheetId="3" r:id="rId6"/>
    <sheet state="visible" name="Extração" sheetId="4" r:id="rId7"/>
    <sheet state="visible" name="Métricas e Desempenho" sheetId="5" r:id="rId8"/>
    <sheet state="visible" name="Planilhas pro artigo" sheetId="6" r:id="rId9"/>
    <sheet state="visible" name="Graficos" sheetId="7" r:id="rId10"/>
  </sheets>
  <definedNames/>
  <calcPr/>
</workbook>
</file>

<file path=xl/sharedStrings.xml><?xml version="1.0" encoding="utf-8"?>
<sst xmlns="http://schemas.openxmlformats.org/spreadsheetml/2006/main" count="13688" uniqueCount="3072">
  <si>
    <t>LLM1: CHATGPT</t>
  </si>
  <si>
    <t>LLM2: GEMINI</t>
  </si>
  <si>
    <t>ID do artigo</t>
  </si>
  <si>
    <t>Tipo de publicação</t>
  </si>
  <si>
    <t>Local de publicação</t>
  </si>
  <si>
    <t>Título</t>
  </si>
  <si>
    <t>Link</t>
  </si>
  <si>
    <t xml:space="preserve">Ano </t>
  </si>
  <si>
    <t>Autores</t>
  </si>
  <si>
    <t>País</t>
  </si>
  <si>
    <t>Base de Dados</t>
  </si>
  <si>
    <t>RQ (Pergunta de Pesquisa)</t>
  </si>
  <si>
    <t>Extração LLM 1 (ChatGPT)</t>
  </si>
  <si>
    <t>Extração LLM 2 (Gemini)</t>
  </si>
  <si>
    <t>Extração validada (humana)</t>
  </si>
  <si>
    <t>ChatGPT acertou?</t>
  </si>
  <si>
    <t>Gemini acertou?</t>
  </si>
  <si>
    <t>Concordância entre LLMs</t>
  </si>
  <si>
    <t>Observações / Comentários</t>
  </si>
  <si>
    <t>ES01</t>
  </si>
  <si>
    <t>Journal</t>
  </si>
  <si>
    <t>Biological Psychology</t>
  </si>
  <si>
    <t>Effects of working memory training on EEG, cognitive performance, and self-report indices potentially relevant for social anxiety</t>
  </si>
  <si>
    <t>PubMed</t>
  </si>
  <si>
    <t>Xin Zhao, Chen Dang, Joseph H R Maes</t>
  </si>
  <si>
    <t>RQ1</t>
  </si>
  <si>
    <t>&lt;&lt;Texto extraído da IA&gt;&gt;</t>
  </si>
  <si>
    <t>ES02</t>
  </si>
  <si>
    <t>international psychogeriatrics</t>
  </si>
  <si>
    <t>Effects of repetitive paired associative stimulation on brain plasticity and working memory in Alzheimer's disease: a pilot randomized double-blind-controlled trial</t>
  </si>
  <si>
    <t>Sanjeev Kumar, Reza Zomorrodi, Zaid Ghazala, Michelle S Goodman, Daniel M Blumberger, Zafiris J Daskalakis, Corinne E Fischer, Benoit H Mulsant, Bruce G Pollock, Tarek K Rajji</t>
  </si>
  <si>
    <t>RQ2</t>
  </si>
  <si>
    <t>ES03</t>
  </si>
  <si>
    <t>Schizophrenia Research: Cognition</t>
  </si>
  <si>
    <t>The aperiodic and periodic activities of EEG dynamically relate with cognitive performance in schizophrenia</t>
  </si>
  <si>
    <t>Kexin Zhang, Yunfei Ji, Xiaodong Guo, Tianqi Gao, Xuemin Zhang, Xin Yu, Jing Wang</t>
  </si>
  <si>
    <t>RQ3</t>
  </si>
  <si>
    <t>ES04</t>
  </si>
  <si>
    <t>Psilocybin-assisted neurofeedback for the improvement of executive functions: a randomized... feasibility study</t>
  </si>
  <si>
    <t>10.1098/rstb.2023.0095</t>
  </si>
  <si>
    <t>Enriquez-Geppert S, et al.</t>
  </si>
  <si>
    <t>RQ4</t>
  </si>
  <si>
    <t>ES05</t>
  </si>
  <si>
    <t>Sensors (Basel)</t>
  </si>
  <si>
    <t xml:space="preserve">Investigating the Impact of Guided Imagery on Stress, Brain Functions, and Attention: A Randomized Trial </t>
  </si>
  <si>
    <t>10.3390/s23136210</t>
  </si>
  <si>
    <t>Zemla K, et al.</t>
  </si>
  <si>
    <t>RQ5</t>
  </si>
  <si>
    <t>ES06</t>
  </si>
  <si>
    <t>Journal of Affective Disorders</t>
  </si>
  <si>
    <t>Subanesthetic ketamine alters EEG signal complexity: Implications for treatment stratification in depression</t>
  </si>
  <si>
    <t>10.1016/j.jad.2025.119477</t>
  </si>
  <si>
    <t>Chan WL, et al.</t>
  </si>
  <si>
    <t>RQ6</t>
  </si>
  <si>
    <t>ES07</t>
  </si>
  <si>
    <t>JMIR Ment Health</t>
  </si>
  <si>
    <t>Design and Implementation of a Brief Digital Mindfulness and Compassion Training App...: Cluster Randomized Controlled Trial</t>
  </si>
  <si>
    <t>10.2196/49467</t>
  </si>
  <si>
    <t>Jaiswal S, et al.</t>
  </si>
  <si>
    <t>RQ7</t>
  </si>
  <si>
    <t>ES08</t>
  </si>
  <si>
    <t>Scientific Reports</t>
  </si>
  <si>
    <t>Feasibility of a novel neurofeedback system: a parallel randomized single-blinded pilot study</t>
  </si>
  <si>
    <t>10.1038/s41598-023-44545-1</t>
  </si>
  <si>
    <t>Horváth D, et al.</t>
  </si>
  <si>
    <t>RQ8</t>
  </si>
  <si>
    <t>ES09</t>
  </si>
  <si>
    <t xml:space="preserve">Human Psychopharmacol
</t>
  </si>
  <si>
    <t>Comprehensive Mitigation of Peripheral and Central Stress Responses by Nx4: Insights From EEG and Heart Rate Variability...</t>
  </si>
  <si>
    <t>10.1002/hup.70020</t>
  </si>
  <si>
    <t>Krylova M, et al.</t>
  </si>
  <si>
    <t>RQ9</t>
  </si>
  <si>
    <t>ES10</t>
  </si>
  <si>
    <r>
      <rPr>
        <rFont val="Arial"/>
        <color rgb="FF1155CC"/>
        <u/>
      </rPr>
      <t>https://doi.org/10.1016/j.biopsycho.2019.107840</t>
    </r>
    <r>
      <rPr>
        <rFont val="Arial"/>
      </rPr>
      <t xml:space="preserve"> </t>
    </r>
  </si>
  <si>
    <t>2020</t>
  </si>
  <si>
    <t>Zhao, Xin; Dang, Chen; Maes, Joseph H.R.</t>
  </si>
  <si>
    <t>Science Direct</t>
  </si>
  <si>
    <t>ES11</t>
  </si>
  <si>
    <t>Neuroscience Letters</t>
  </si>
  <si>
    <t>Investigation of the effects of transcranial direct current stimulation and neurofeedback by continuous performance test</t>
  </si>
  <si>
    <r>
      <rPr>
        <rFont val="Arial"/>
        <color rgb="FF1155CC"/>
        <u/>
      </rPr>
      <t>https://doi.org/10.1016/j.neulet.2019.134648</t>
    </r>
    <r>
      <rPr>
        <rFont val="Arial"/>
      </rPr>
      <t xml:space="preserve"> </t>
    </r>
  </si>
  <si>
    <t>Guleken, Zozan; Eskikurt, Gökçer; Karamürsel, Sacit</t>
  </si>
  <si>
    <t>ES12</t>
  </si>
  <si>
    <t>NeuroImage: Clinical</t>
  </si>
  <si>
    <t>Real-time fMRI neurofeedback amygdala training may influence kynurenine pathway metabolism in major depressive disorder</t>
  </si>
  <si>
    <r>
      <rPr>
        <rFont val="Arial"/>
        <color rgb="FF1155CC"/>
        <u/>
      </rPr>
      <t>https://doi.org/10.1016/j.nicl.2021.102559</t>
    </r>
    <r>
      <rPr>
        <rFont val="Arial"/>
      </rPr>
      <t xml:space="preserve"> </t>
    </r>
  </si>
  <si>
    <t>2021</t>
  </si>
  <si>
    <t>Tsuchiyagaito, Aki; Smith, Jared L.; El-Sabbagh, Nour; Zotev, Vadim; Misaki, Masaya; Al Zoubi, Obada; Kent Teague, T.; Paulus, Martin P.; Bodurka, Jerzy; Savitz, Jonathan</t>
  </si>
  <si>
    <t>ES13</t>
  </si>
  <si>
    <t>Design and Implementation of a Brief Digital Mindfulness and Compassion Training App for Health Care Professionals: Cluster Randomized Controlled Trial</t>
  </si>
  <si>
    <r>
      <rPr>
        <rFont val="Arial"/>
        <color rgb="FF1155CC"/>
        <u/>
      </rPr>
      <t>https://doi.org/10.2196/49467</t>
    </r>
    <r>
      <rPr>
        <rFont val="Arial"/>
      </rPr>
      <t xml:space="preserve"> </t>
    </r>
  </si>
  <si>
    <t>2024</t>
  </si>
  <si>
    <t>Jaiswal, Satish; Purpura, Suzanna R; Manchanda, James K; Nan, Jason; Azeez, Nihal; Ramanathan, Dhakshin; Mishra, Jyoti</t>
  </si>
  <si>
    <t>ES14</t>
  </si>
  <si>
    <t>Brain Simulation</t>
  </si>
  <si>
    <t>Daily prefrontal closed-loop repetitive transcranial magnetic stimulation (rTMS) produces progressive EEG quasi-alpha phase entrainment in depressed adults</t>
  </si>
  <si>
    <r>
      <rPr>
        <rFont val="Arial"/>
        <color rgb="FF1155CC"/>
        <u/>
      </rPr>
      <t>https://doi.org/10.1016/j.brs.2022.02.008</t>
    </r>
    <r>
      <rPr>
        <rFont val="Arial"/>
      </rPr>
      <t xml:space="preserve"> </t>
    </r>
  </si>
  <si>
    <t>2022</t>
  </si>
  <si>
    <t>Faller, Josef; Doose, Jayce; Sun, Xiaoxiao; Mclntosh, James R.; Saber, Golbarg T.; Lin, Yida; Teves, Joshua B.; Blankenship, Aidan; Huffman, Sarah; Goldman, Robin I.; George, Mark S.; Brown, Truman R.; Sajda, Paul</t>
  </si>
  <si>
    <t>ES15</t>
  </si>
  <si>
    <t>Preliminary Real-World Evidence Supporting the Efficacy of a Remote Neurofeedback System in Improving Mental Health: Retrospective Single-Group Pretest-Posttest Study</t>
  </si>
  <si>
    <r>
      <rPr>
        <rFont val="Arial"/>
        <color rgb="FF1155CC"/>
        <u/>
      </rPr>
      <t>https://doi.org/10.2196/35636</t>
    </r>
    <r>
      <rPr>
        <rFont val="Arial"/>
      </rPr>
      <t xml:space="preserve"> </t>
    </r>
  </si>
  <si>
    <t>Whitehead, Jocelyne C; Neeman, Ron; Doniger, Glen M</t>
  </si>
  <si>
    <t>ES16</t>
  </si>
  <si>
    <t>Advancing Posttraumatic Stress Disorder Diagnosis and the Treatment of Trauma in Humanitarian Emergencies via Mobile Health: Protocol for a Proof-of-Concept Nonrandomized Controlled Trial</t>
  </si>
  <si>
    <r>
      <rPr>
        <rFont val="Arial"/>
        <color rgb="FF1155CC"/>
        <u/>
      </rPr>
      <t>https://doi.org/10.2196/38223</t>
    </r>
    <r>
      <rPr>
        <rFont val="Arial"/>
      </rPr>
      <t xml:space="preserve"> </t>
    </r>
  </si>
  <si>
    <t>Pinto, Janaina V; Hunt, Caroline; O'Toole, Brian</t>
  </si>
  <si>
    <t>ES17</t>
  </si>
  <si>
    <t>Neuromodulation-Assisted Psychotherapy: Can Transcranial Magnetic Stimulation Increase The Efficacy Of Acceptance And Commitment Therapy For Comorbid Chronic Pain And Depression?</t>
  </si>
  <si>
    <r>
      <rPr>
        <rFont val="Arial"/>
        <color rgb="FF1155CC"/>
        <u/>
      </rPr>
      <t>https://doi.org/10.1016/j.jpain.2023.02.188</t>
    </r>
    <r>
      <rPr>
        <rFont val="Arial"/>
      </rPr>
      <t xml:space="preserve"> </t>
    </r>
  </si>
  <si>
    <t>2023</t>
  </si>
  <si>
    <t>Tynan, Mara; Martinez, Erica; Chu, Gage; Ramanathan, Dhakshin; Herbert, Matthew S.</t>
  </si>
  <si>
    <t>ES18</t>
  </si>
  <si>
    <t>Individualized Spectral Features in First-Episode and Drug-Naïve Major Depressive Disorder: Insights From Periodic and Aperiodic Electroencephalography Analysis</t>
  </si>
  <si>
    <r>
      <rPr>
        <rFont val="Arial"/>
        <color rgb="FF1155CC"/>
        <u/>
      </rPr>
      <t>https://doi.org/10.1016/j.bpsc.2024.12.014</t>
    </r>
    <r>
      <rPr>
        <rFont val="Arial"/>
      </rPr>
      <t xml:space="preserve"> </t>
    </r>
  </si>
  <si>
    <t>2025</t>
  </si>
  <si>
    <t>Li, Jiaxin; Xiong, Dongsheng; Gao, Chenyang; Huang, Yuanyuan; Li, Zhaobo; Zhou, Jing; Ning, Yuping; Wu, Fengchun; Wu, Kai</t>
  </si>
  <si>
    <t>ES19</t>
  </si>
  <si>
    <t>Effects of high carbon dioxide concentration on emotional processing: Based on multimodal evidence</t>
  </si>
  <si>
    <r>
      <rPr>
        <rFont val="Arial"/>
        <color rgb="FF1155CC"/>
        <u/>
      </rPr>
      <t>https://doi.org/10.1016/j.buildenv.2024.111434</t>
    </r>
    <r>
      <rPr>
        <rFont val="Arial"/>
      </rPr>
      <t xml:space="preserve"> </t>
    </r>
  </si>
  <si>
    <t>Yang, Li; Zhang, Jiaxing; Yang, Yukai; Wang, Nan; Zhang, Zhen; Chen, Liqun</t>
  </si>
  <si>
    <t>ES20</t>
  </si>
  <si>
    <t>Rationale and study design of a trial to assess rTMS add-on value for the amelioration of negative symptoms of schizophrenia (RADOVAN)</t>
  </si>
  <si>
    <r>
      <rPr>
        <rFont val="Arial"/>
        <color rgb="FF1155CC"/>
        <u/>
      </rPr>
      <t>https://doi.org/10.1016/j.conctc.2022.100891</t>
    </r>
    <r>
      <rPr>
        <rFont val="Arial"/>
      </rPr>
      <t xml:space="preserve"> </t>
    </r>
  </si>
  <si>
    <t>Hebel, T.; Langguth, B.; Schecklmann, M.; Schoisswohl, S.; Staudinger, S.; Schiller, A.; Ustohal, L.; Sverak, T.; Horky, M.; Kasparek, T.; Skront, T.; Hyza, M.; Poeppl, T.B.; Riester, M.L.; Schwemmer, L.; Zimmermann, S.; Sakreida, K.</t>
  </si>
  <si>
    <t>ES21</t>
  </si>
  <si>
    <t>Combined EEG-tDCS approach in resting state to reduce comorbid anxiety and depressive symptoms in affective disorders: A sham-controlled pilot study</t>
  </si>
  <si>
    <r>
      <rPr>
        <rFont val="Arial"/>
        <color rgb="FF1155CC"/>
        <u/>
      </rPr>
      <t>https://doi.org/10.1016/j.ibneur.2024.04.007</t>
    </r>
    <r>
      <rPr>
        <rFont val="Arial"/>
      </rPr>
      <t xml:space="preserve"> </t>
    </r>
  </si>
  <si>
    <t>Couto, Tania A.; Gao, Fei; Lak, Davis C.; Yuan, Zhen</t>
  </si>
  <si>
    <t>ES22</t>
  </si>
  <si>
    <t>Binaural sound therapy for tinnitus treatment: A psychometric and neurophysiological evaluation</t>
  </si>
  <si>
    <r>
      <rPr>
        <rFont val="Arial"/>
        <color rgb="FF1155CC"/>
        <u/>
      </rPr>
      <t>https://doi.org/10.1016/j.amjoto.2021.103248</t>
    </r>
    <r>
      <rPr>
        <rFont val="Arial"/>
      </rPr>
      <t xml:space="preserve"> </t>
    </r>
  </si>
  <si>
    <t>Ibarra-Zarate, David I.; Naal-Ruiz, Norberto E.; Alonso-Valerdi, Luz María</t>
  </si>
  <si>
    <t>ES23</t>
  </si>
  <si>
    <t>EEG Based Evaluation of Examination Stress and Test Anxiety Among College Students</t>
  </si>
  <si>
    <r>
      <rPr>
        <rFont val="Arial"/>
        <color rgb="FF1155CC"/>
        <u/>
      </rPr>
      <t>https://doi.org/10.1016/j.irbm.2021.06.011</t>
    </r>
    <r>
      <rPr>
        <rFont val="Arial"/>
      </rPr>
      <t xml:space="preserve"> </t>
    </r>
  </si>
  <si>
    <t>Rajendran, V.G.; Jayalalitha, S.; Adalarasu, K.</t>
  </si>
  <si>
    <t>ES24</t>
  </si>
  <si>
    <t>A qualitative analysis of participant experience during an EEG-linked auditory targeted cognitive training exercise: Implications for implementation and protocol optimization</t>
  </si>
  <si>
    <r>
      <rPr>
        <rFont val="Arial"/>
        <color rgb="FF1155CC"/>
        <u/>
      </rPr>
      <t>https://doi.org/10.1016/j.psychres.2024.116254</t>
    </r>
    <r>
      <rPr>
        <rFont val="Arial"/>
      </rPr>
      <t xml:space="preserve"> </t>
    </r>
  </si>
  <si>
    <t>Conroy, Carmen; Li, Francesca; Sprock, Joyce; Rabin, Borsika A.; Joshi, Yash B.</t>
  </si>
  <si>
    <t>ES25</t>
  </si>
  <si>
    <t>Chapter Five - The complex associations between adiposity, fitness, mental wellbeing and neurocognitive function after exercise: A randomized crossover trial in preadolescent children</t>
  </si>
  <si>
    <r>
      <rPr>
        <rFont val="Arial"/>
        <color rgb="FF1155CC"/>
        <u/>
      </rPr>
      <t>https://doi.org/10.1016/bs.pbr.2023.11.004</t>
    </r>
    <r>
      <rPr>
        <rFont val="Arial"/>
      </rPr>
      <t xml:space="preserve"> </t>
    </r>
  </si>
  <si>
    <t>Logan, Nicole E.; Occidental, Nicole; Watrous, Jennifer N.H.; Lloyd, Katherine M.; Raine, Lauren B.; Kramer, Arthur F.; Hillman, Charles H.</t>
  </si>
  <si>
    <t>ES26</t>
  </si>
  <si>
    <r>
      <rPr>
        <rFont val="Arial"/>
        <color rgb="FF1155CC"/>
        <u/>
      </rPr>
      <t>https://doi.org/10.1016/j.jad.2025.119477</t>
    </r>
    <r>
      <rPr>
        <rFont val="Arial"/>
      </rPr>
      <t xml:space="preserve"> </t>
    </r>
  </si>
  <si>
    <t>Chan, Weng-Lam; Olbrich, Sebastian; Jiang, Xinwen; Zhang, Haoyun; Ip, Cheng-Teng; Brunovsky, Martin</t>
  </si>
  <si>
    <t>ES27</t>
  </si>
  <si>
    <t>BCI Facilitates the Improvement of Cognitive Functions in Children and Elderly</t>
  </si>
  <si>
    <t>https://ieeexplore.ieee.org/document/9061625</t>
  </si>
  <si>
    <t>Cuntai Guan; Choon Guan Lim; Daniel Fung; Helen Juan Zhou; Ranga Krishnan; Tih Shih Lee</t>
  </si>
  <si>
    <t>IEEE Explore</t>
  </si>
  <si>
    <t>ES28</t>
  </si>
  <si>
    <t>Closed-Loop Individual Music Neurofeedback Based on Brain-Computer Interaction for Student Stress Intervention</t>
  </si>
  <si>
    <t>https://ieeexplore.ieee.org/document/10973423</t>
  </si>
  <si>
    <t>Mengxuan Hu; Jingxi Zhang; Guangying Pei; Tianyi Yan</t>
  </si>
  <si>
    <t>ES29</t>
  </si>
  <si>
    <t>The Role of Non-Invasive Neural Devices in Modern Neurorehabilitation and Mental Health Treatment</t>
  </si>
  <si>
    <t>https://ieeexplore.ieee.org/document/11013597</t>
  </si>
  <si>
    <t>Adesh Pawar; Palash Gourshettiwar; Pradnyawant M. Gote; Vishal Kumar Choudhary; Prajyot Yesankar; Shrikant Khadse</t>
  </si>
  <si>
    <t>ES30</t>
  </si>
  <si>
    <t>Automated Generated Binaural Beats Using EEG: A User-Friendly Auditory Brain-Computer Interface</t>
  </si>
  <si>
    <t>https://ieeexplore.ieee.org/stamp/stamp.jsp?arnumber=9645921</t>
  </si>
  <si>
    <t>S. Negi; R. Jain; S. Saboo; S. Kwatra</t>
  </si>
  <si>
    <t>ES31</t>
  </si>
  <si>
    <t>EEG-Driven Massage Headband For Anxiety Alleviation</t>
  </si>
  <si>
    <t>https://ieeexplore.ieee.org/stamp/stamp.jsp?arnumber=11013104</t>
  </si>
  <si>
    <t>K. Sravani; S. Nadipineni; B. Anjali; C. Vedavathi; B. Ramya</t>
  </si>
  <si>
    <t>ES32</t>
  </si>
  <si>
    <t>Using Generative AI for Neurofeedback Content Personalization</t>
  </si>
  <si>
    <t>https://ieeexplore.ieee.org/stamp/stamp.jsp?arnumber=11036309</t>
  </si>
  <si>
    <t>T. L. Shuler; D. A. Ostrowski</t>
  </si>
  <si>
    <t>ES33</t>
  </si>
  <si>
    <t>https://ieeexplore.ieee.org/stamp/stamp.jsp?arnumber=10973423</t>
  </si>
  <si>
    <t>M. Hu; J. Zhang; G. Pei; T. Yan</t>
  </si>
  <si>
    <t>ES34</t>
  </si>
  <si>
    <t>Research on Optimization Model of Cognitive Enhancement Algorithm in Intelligent Data Analysis System</t>
  </si>
  <si>
    <t>https://ieeexplore.ieee.org/stamp/stamp.jsp?arnumber=10835027</t>
  </si>
  <si>
    <t>L. Tao; D. Xinyue; L. Yongjuan; L. Guangfu</t>
  </si>
  <si>
    <t>ES35</t>
  </si>
  <si>
    <t>https://ieeexplore.ieee.org/stamp/stamp.jsp?arnumber=11013597</t>
  </si>
  <si>
    <t>A. Pawar; P. Gourshettiwar; P. M. Gote; V. K. Choudhary; P. Yesankar; S. Khadse</t>
  </si>
  <si>
    <t>ES36</t>
  </si>
  <si>
    <t>Real-Time Attention Regulation and Cognitive Monitoring Using a Wearable EEG-Based BCI</t>
  </si>
  <si>
    <t>https://ieeexplore.ieee.org/stamp/stamp.jsp?arnumber=10694718</t>
  </si>
  <si>
    <t>H. Huang; J. Chen; J. Xiao; D. Chen; J. Zhang; J. Pan; Y. Li</t>
  </si>
  <si>
    <t>ES37</t>
  </si>
  <si>
    <t>Brain Wave Response of Style Geometry in Artistic Creation in VR Environments: an Impact Study on Cognitive Function and Mental Health of Autistic Children</t>
  </si>
  <si>
    <t>https://ieeexplore.ieee.org/stamp/stamp.jsp?arnumber=10686974</t>
  </si>
  <si>
    <t>G. Peng; W. Y. Leong</t>
  </si>
  <si>
    <t>ES38</t>
  </si>
  <si>
    <t>Effect of Alpha Wave-Containing Music on the Psychological Stress Level of Hospital Staffs and their Cognitive Performance</t>
  </si>
  <si>
    <t>https://ieeexplore.ieee.org/stamp/stamp.jsp?arnumber=9510421</t>
  </si>
  <si>
    <t>T. V. Quang Thinh; N. Lam Quang; A. H. Minh Anh; T. Hoang Long; N. T. Hieu; T. Van Luan; N. T. Kien; T. Tien Tai; H. H. Truong Giang; V. Van Toi; H. T. Thanh Huong</t>
  </si>
  <si>
    <t>ES39</t>
  </si>
  <si>
    <t>A Study on the Efficacy of an Online Neurofeedback Game Using Consumer-Grade EEG on Enhancing Attention Skills in Stroke and Mild Cognitive Impairment Patients</t>
  </si>
  <si>
    <t>https://ieeexplore.ieee.org/stamp/stamp.jsp?arnumber=10831758</t>
  </si>
  <si>
    <t>T. A. Suhail; S. R.; A. P. Vinod</t>
  </si>
  <si>
    <t>ES40</t>
  </si>
  <si>
    <t>A Study of Mindfulness Effectiveness among Neurotic Students based on EEG</t>
  </si>
  <si>
    <t>https://ieeexplore.ieee.org/stamp/stamp.jsp?arnumber=10352575</t>
  </si>
  <si>
    <t>N. A. Nadirah Nik Rashidi; L. Iznita Izhar; P. Sebastian; Z. Bin Omar; M. Fakhizan Romlie; H. Bin Sakidin; D. Samsudin; A. R. Mohd Kasim; D. Adytia</t>
  </si>
  <si>
    <t>ES41</t>
  </si>
  <si>
    <t>EEG-Based Multi-Level Mental State Classification Using Partial Directed Coherence and Graph Convolutional Networks: Impact of Binaural Beats on Stress Mitigation</t>
  </si>
  <si>
    <t>https://ieeexplore.ieee.org/stamp/stamp.jsp?arnumber=10937486</t>
  </si>
  <si>
    <t>Y. Badr; F. Al-Shargie; M. N. Afzal Khan; N. Faris Ali; U. Tariq; F. Almughairbi; F. Babiloni; H. Al-Nashash</t>
  </si>
  <si>
    <t>ES42</t>
  </si>
  <si>
    <t>Design and Development of Cognitive Training Systems Based on Extended Reality and BCI Technology</t>
  </si>
  <si>
    <t>https://ieeexplore.ieee.org/stamp/stamp.jsp?arnumber=10510793</t>
  </si>
  <si>
    <t>P. -J. Lin; H. -C. Ku; L. -L. Lin</t>
  </si>
  <si>
    <t>ES43</t>
  </si>
  <si>
    <t>Understanding Stress in the Aging Community with Technology</t>
  </si>
  <si>
    <t>https://ieeexplore.ieee.org/stamp/stamp.jsp?arnumber=10885489</t>
  </si>
  <si>
    <t>K. Vergara; M. Khalil; K. George</t>
  </si>
  <si>
    <t>ES44</t>
  </si>
  <si>
    <t>Depression Identification Using EEG Signals via a Hybrid of LSTM and Spiking Neural Networks</t>
  </si>
  <si>
    <t>https://ieeexplore.ieee.org/stamp/stamp.jsp?arnumber=10328579</t>
  </si>
  <si>
    <t>A. Sam; R. Boostani; S. Hashempour; M. Taghavi; S. Sanei</t>
  </si>
  <si>
    <t>ES45</t>
  </si>
  <si>
    <t>A Study on EEG Waves during Arulthiru Bangaru Adigalar Amma’s Mantra Chanting and Listening: Significance and Implications</t>
  </si>
  <si>
    <t>https://ieeexplore.ieee.org/stamp/stamp.jsp?arnumber=11089222</t>
  </si>
  <si>
    <t>T. L. Bangaru Adigalar; S. Bangaru; P. Sudha; B. P. R. Bhavani</t>
  </si>
  <si>
    <t>ES46</t>
  </si>
  <si>
    <t>Cognitive performance drop detection during daily activities using EEG</t>
  </si>
  <si>
    <t>https://ieeexplore.ieee.org/stamp/stamp.jsp?arnumber=9630214</t>
  </si>
  <si>
    <t>J. A. Ramírez Castillo; J. M. Chau</t>
  </si>
  <si>
    <t>ES47</t>
  </si>
  <si>
    <t>Virtual Reality Based Attention Simulator using EEG Signals</t>
  </si>
  <si>
    <t>https://ieeexplore.ieee.org/stamp/stamp.jsp?arnumber=10127358</t>
  </si>
  <si>
    <t>V. Khemchandani; K. Goswani; M. P. Teotia; S. Chandra; N. M. Wadalkar</t>
  </si>
  <si>
    <t>ES48</t>
  </si>
  <si>
    <t>Impact of MBSR Therapy on Stress in People with Cognitive Impairments, a Prisma Guided Review</t>
  </si>
  <si>
    <t>https://ieeexplore.ieee.org/stamp/stamp.jsp?arnumber=10590200</t>
  </si>
  <si>
    <t>A. Parvez; A. Khan</t>
  </si>
  <si>
    <t>ES49</t>
  </si>
  <si>
    <t>AIoT-based Neural Decoding and Neurofeedback for Accelerated Cognitive Training: Vision, Directions and Preliminary Results</t>
  </si>
  <si>
    <t>https://ieeexplore.ieee.org/stamp/stamp.jsp?arnumber=10208067</t>
  </si>
  <si>
    <t>V. -T. Nguyen; E. Tartaglione; T. Dinh</t>
  </si>
  <si>
    <t>ES50</t>
  </si>
  <si>
    <t>Real-Time Emotion Detection System using Emotive and ESP-32</t>
  </si>
  <si>
    <t>https://ieeexplore.ieee.org/stamp/stamp.jsp?arnumber=10440945</t>
  </si>
  <si>
    <t>R. Janapati; S. Bhattacharya; S. R. Gorre; K. Sreedhar; B. K. Verma; C. Adupa; U. Desai; K. Bikshalu</t>
  </si>
  <si>
    <t>ES51</t>
  </si>
  <si>
    <t>Binaural Beats Modulated Affected Emotions: Evidence From Simultaneous Electroencephalography-Functional MRI Study</t>
  </si>
  <si>
    <t>https://ieeexplore.ieee.org/stamp/stamp.jsp?arnumber=10480523</t>
  </si>
  <si>
    <t>C. Lee; J. -E. Kang; J. -H. Lee</t>
  </si>
  <si>
    <t>ES52</t>
  </si>
  <si>
    <t>Neuroscience of virtual reality</t>
  </si>
  <si>
    <t>https://ieeexplore.ieee.org/stamp/stamp.jsp?arnumber=10467267</t>
  </si>
  <si>
    <t>K. Sharma; H. S. Aswal; R. Chauhan; R. Rawat; R. Gupta</t>
  </si>
  <si>
    <t>ES53</t>
  </si>
  <si>
    <t>Feature based cognitive analysis in sports and non-sports individuals using real-time EEG</t>
  </si>
  <si>
    <t>https://ieeexplore.ieee.org/stamp/stamp.jsp?arnumber=10853567</t>
  </si>
  <si>
    <t>K. N; K. V; Sukriti; S. E; M. A</t>
  </si>
  <si>
    <t>ES54</t>
  </si>
  <si>
    <t>Estimating Influence of Meditative Music During Mathematical Tasks by Analyzing EEG</t>
  </si>
  <si>
    <t>https://ieeexplore.ieee.org/stamp/stamp.jsp?arnumber=10427847</t>
  </si>
  <si>
    <t>M. M. Mom; L. Hossain; A. Hossain; M. J. Rahman Tayef</t>
  </si>
  <si>
    <t>ES55</t>
  </si>
  <si>
    <t>Dynamic Analysis in Resting-State EEG Based on Natural Stimuli via Power Spectra and Microstate</t>
  </si>
  <si>
    <t>https://ieeexplore.ieee.org/stamp/stamp.jsp?arnumber=10906236</t>
  </si>
  <si>
    <t>J. Lu; H. Chang; X. Tian; L. Jiang; C. Feng; C. Mu; D. Gong</t>
  </si>
  <si>
    <t>ES56</t>
  </si>
  <si>
    <t>Meditation and Cognitive Enhancement: A Machine Learning Based Classification Using EEG</t>
  </si>
  <si>
    <t>https://ieeexplore.ieee.org/stamp/stamp.jsp?arnumber=9945131</t>
  </si>
  <si>
    <t>S. Singh; V. Gupta; T. K. Reddy; B. Bhushan; L. Behera</t>
  </si>
  <si>
    <t>ES57</t>
  </si>
  <si>
    <t>EEG-based Emotion Recognition Using Sub-Band Time-Delay Correlations *</t>
  </si>
  <si>
    <t>https://ieeexplore.ieee.org/stamp/stamp.jsp?arnumber=10340014</t>
  </si>
  <si>
    <t>F. A. Alskafi; A. H. Khandoker; F. Marzbanrad; H. F. Jelinek</t>
  </si>
  <si>
    <t>ES58</t>
  </si>
  <si>
    <t>Building the Ontology of Cognitive Functions</t>
  </si>
  <si>
    <t>https://ieeexplore.ieee.org/stamp/stamp.jsp?arnumber=9507705</t>
  </si>
  <si>
    <t>M. Murtazina; T. Avdeenko; A. Pustovalova</t>
  </si>
  <si>
    <t>ES59</t>
  </si>
  <si>
    <t>An Ontology-Driven Knowledge Representation about Cognitive Functions</t>
  </si>
  <si>
    <t>https://ieeexplore.ieee.org/stamp/stamp.jsp?arnumber=9855075</t>
  </si>
  <si>
    <t>M. S. Murtazina; T. V. Avdeenko; A. V. Pustovalova</t>
  </si>
  <si>
    <t>ES60</t>
  </si>
  <si>
    <t>Effectiveness of Cognitive Training on Coordination and Concentration Among Children with ADHD</t>
  </si>
  <si>
    <t>https://ieeexplore.ieee.org/stamp/stamp.jsp?arnumber=10882247</t>
  </si>
  <si>
    <t>Faiza; M. MM; P. Bhaskaran</t>
  </si>
  <si>
    <t>ES61</t>
  </si>
  <si>
    <t>Mapping Cognitive Engagement: EEG and Graph Theory Analysis of Brain Region Involvement in Supernumerary Robotic Finger Utilization</t>
  </si>
  <si>
    <t>https://ieeexplore.ieee.org/stamp/stamp.jsp?arnumber=10782905</t>
  </si>
  <si>
    <t>R. Katmah; M. I. Awad; A. Al Shehhi; M. K. Abu Hantash; F. A. Alskafi; A. A. Hulleck; H. F. Jelinek; I. Hussain; K. Khalaf</t>
  </si>
  <si>
    <t>ES62</t>
  </si>
  <si>
    <t>Cognitive Workload Classification Using Electroencephalogram Signal</t>
  </si>
  <si>
    <t>https://ieeexplore.ieee.org/stamp/stamp.jsp?arnumber=11022139</t>
  </si>
  <si>
    <t>M. S. Siam Dip</t>
  </si>
  <si>
    <t>ES63</t>
  </si>
  <si>
    <t>Short Term Effect of Physical Exercise on Selective Attention using Eeg and Stroop Task</t>
  </si>
  <si>
    <t>https://ieeexplore.ieee.org/stamp/stamp.jsp?arnumber=9668373</t>
  </si>
  <si>
    <t>D. Sethia; T. Kamlesh; M. Singh; S. B. Ray</t>
  </si>
  <si>
    <t>ES64</t>
  </si>
  <si>
    <t>Gamified Simulators and EEG: Exploring the Relationship Between Concentration and Socio-Emotional Skills Learning</t>
  </si>
  <si>
    <t>https://ieeexplore.ieee.org/stamp/stamp.jsp?arnumber=10981399</t>
  </si>
  <si>
    <t>S. N. Torres-Rodríguez; J. A. Ruiz-Ramírez; L. F. Morán-Mirabal; R. D. Castillo</t>
  </si>
  <si>
    <t>ES65</t>
  </si>
  <si>
    <t>Automatic Sleep Staging Method Using EEG Based on STFT and Residual Network</t>
  </si>
  <si>
    <t>https://ieeexplore.ieee.org/stamp/stamp.jsp?arnumber=10818687</t>
  </si>
  <si>
    <t>R. Zhang; R. Jiang; H. Hu; Y. Gao; W. Xia; B. Song</t>
  </si>
  <si>
    <t>ES66</t>
  </si>
  <si>
    <t>Implementing Psychophysiological Evaluation for Cognitive Skill Improvement in Basketball Players</t>
  </si>
  <si>
    <t>https://ieeexplore.ieee.org/stamp/stamp.jsp?arnumber=10960257</t>
  </si>
  <si>
    <t>N. Saini; R. Agarwal</t>
  </si>
  <si>
    <t>ES67</t>
  </si>
  <si>
    <t>Diagnosis of Schizophrenia Using Sequential CNN</t>
  </si>
  <si>
    <t>https://ieeexplore.ieee.org/stamp/stamp.jsp?arnumber=10986518</t>
  </si>
  <si>
    <t>R. G. Krishnan; M. R. Santhoosh; B. Rishikesh; K. Akila</t>
  </si>
  <si>
    <t>ES68</t>
  </si>
  <si>
    <t>EEG-Based Cognitive Impairment Classification using Support Vector Machine Algorithm</t>
  </si>
  <si>
    <t>https://ieeexplore.ieee.org/stamp/stamp.jsp?arnumber=10564031</t>
  </si>
  <si>
    <t>K. E; K. R; D. D; S. N. J</t>
  </si>
  <si>
    <t>ES69</t>
  </si>
  <si>
    <t>Proposal for an EEG-Integrated Tool for Supporting Cognitive Assessment Practices</t>
  </si>
  <si>
    <t>https://ieeexplore.ieee.org/stamp/stamp.jsp?arnumber=11086442</t>
  </si>
  <si>
    <t>A. D. D. Ortega; L. M. Camacho-Bustamante; S. A. Navarro-Tuch; R. Bustamante-Bello</t>
  </si>
  <si>
    <t>ES70</t>
  </si>
  <si>
    <t>Time-Frequency EEG and Bi-LSTM-Based Automated Cognitive Load Detection Using Machine Learning</t>
  </si>
  <si>
    <t>https://ieeexplore.ieee.org/stamp/stamp.jsp?arnumber=11118897</t>
  </si>
  <si>
    <t>M. Brar; N. K. Jha; L. Dhingra; G. Krishnan; S. Raj; T. Yawanikha</t>
  </si>
  <si>
    <t>ES71</t>
  </si>
  <si>
    <t>Classification of Cognitive EEGs via Attention-Based Multi-Scale Dilated Convolution Network</t>
  </si>
  <si>
    <t>https://ieeexplore.ieee.org/stamp/stamp.jsp?arnumber=10756217</t>
  </si>
  <si>
    <t>Y. Ouyang; B. W. -K. Ling; W. Guo</t>
  </si>
  <si>
    <t>ES72</t>
  </si>
  <si>
    <t>Exploring the Alleviating Effects of taVNS on Negative Emotions: An EEG Study</t>
  </si>
  <si>
    <t>https://ieeexplore.ieee.org/stamp/stamp.jsp?arnumber=11023554</t>
  </si>
  <si>
    <t>X. Jin; C. Zheng; M. Jin; Q. Dong; L. Zhu; F. Tian</t>
  </si>
  <si>
    <t>ES73</t>
  </si>
  <si>
    <t>Deep Learning Insights from EEG: Correlating Cognitive and Emotional Strengths*</t>
  </si>
  <si>
    <t>https://ieeexplore.ieee.org/stamp/stamp.jsp?arnumber=10957155</t>
  </si>
  <si>
    <t>Nidhi; A. Sethi; K. Khattar; P. Joshi</t>
  </si>
  <si>
    <t>ES74</t>
  </si>
  <si>
    <t>A Wearable Affective Robot</t>
  </si>
  <si>
    <t>https://ieeexplore.ieee.org/xpl/ebooks/bookPdfWithBanner.jsp?fileName=10180346.pdf&amp;bkn=10180202&amp;pdfType=chapter</t>
  </si>
  <si>
    <t>J. Liu; J. Xu; M. Chen; I. Humar</t>
  </si>
  <si>
    <t>ES75</t>
  </si>
  <si>
    <t>Emotion Recognition in Gaming Dataset to Reduce Artifacts in the Self-Assessed Labeling Using Semi-Supervised Clustering</t>
  </si>
  <si>
    <t>https://ieeexplore.ieee.org/stamp/stamp.jsp?arnumber=10496111</t>
  </si>
  <si>
    <t>O. Almanza-Conejo; J. G. Avina-Cervantes; A. Garcia-Perez; M. A. Ibarra-Manzano</t>
  </si>
  <si>
    <t>ES76</t>
  </si>
  <si>
    <t>Spiking Cerebellar Network Model: Effects of Long-Term Synaptic Plasticity and its Application in Brain-Inspired Control</t>
  </si>
  <si>
    <t>https://ieeexplore.ieee.org/stamp/stamp.jsp?arnumber=10450294</t>
  </si>
  <si>
    <t>S. Yang; H. Wang; Y. Pang</t>
  </si>
  <si>
    <t>ES77</t>
  </si>
  <si>
    <t>Much Ado About Nothing? An EEG Study of the Beer Game for Neurophysiological Insights on Supply Chain Decision-Making</t>
  </si>
  <si>
    <t>https://ieeexplore.ieee.org/stamp/stamp.jsp?arnumber=11218026</t>
  </si>
  <si>
    <t>Y. P. Tsang; C. K. H. Lee; C. H. Wu; Y. Li</t>
  </si>
  <si>
    <t>ES78</t>
  </si>
  <si>
    <t>Quantifying Sleep Quality Through Delta-Beta Coupling Across Sleep and Wakefulness</t>
  </si>
  <si>
    <t>https://ieeexplore.ieee.org/stamp/stamp.jsp?arnumber=11002584</t>
  </si>
  <si>
    <t>G. -H. Shin; Y. -S. Kweon; M. Lee; K. -Y. Jung; S. -W. Lee</t>
  </si>
  <si>
    <t>ES79</t>
  </si>
  <si>
    <t>Centroparietal Alpha/Beta Asymmetry in Response to Urgency Elicited by Upper Body Vibration</t>
  </si>
  <si>
    <t>https://ieeexplore.ieee.org/stamp/stamp.jsp?arnumber=10971279</t>
  </si>
  <si>
    <t>W. Park; H. Alsuradi; M. Eid</t>
  </si>
  <si>
    <t>ES80</t>
  </si>
  <si>
    <t>Beneficial Effects of Transcutaneous Auricular Vagus Nerve Stimulation on the Emotional State and Cognitive Functioning: A Pilot Study</t>
  </si>
  <si>
    <t>https://ieeexplore.ieee.org/stamp/stamp.jsp?arnumber=10302704</t>
  </si>
  <si>
    <t>S. Tukaiev; O. Pravda; S. Danylov; V. Komarenko; N. Vysokov; D. Toleukhanov; A. Tarasenko; K. Mashtalerchuk; V. Kravchenko; J. M. A. Ferreira; M. Makarchuk</t>
  </si>
  <si>
    <t>ES81</t>
  </si>
  <si>
    <t>Co-Design and User Evaluation of a Robotic Mental Well-Being Coach to Support University Students’ Public Speaking Anxiety</t>
  </si>
  <si>
    <t>https://dl.acm.org/doi/10.1145/3718084</t>
  </si>
  <si>
    <t>Sophie Krämer, Laura Müller, Tobias Weber, and Michael Beetz</t>
  </si>
  <si>
    <t>ES82</t>
  </si>
  <si>
    <t>SoulGarden- A Gamified Meditation Application to Enhance Meditation Habits, Enjoyment, Mindfulness, and Mental Well-Being</t>
  </si>
  <si>
    <t>https://dl.acm.org/doi/10.1145/3748597</t>
  </si>
  <si>
    <t>Xinyu Hu, Jingwen Li e Phoebe Wong.</t>
  </si>
  <si>
    <t>ES83</t>
  </si>
  <si>
    <t>Virtual agents for studying the effect of emotional feedback on motor learning- A feasibility study</t>
  </si>
  <si>
    <t>https://dl.acm.org/doi/10.1145/3652988.3673922</t>
  </si>
  <si>
    <t>Tal Krasovsky, Michal Kafri, Moshe H. Aharoni e Arik Cheshin.</t>
  </si>
  <si>
    <t>ES84</t>
  </si>
  <si>
    <t>Cognitive efficiency in VR simulated natural indoor environments examined through EEG and affective responses</t>
  </si>
  <si>
    <t>https://www.scopus.com/inward/record.uri?eid=2-s2.0-105017610930&amp;doi=10.1038%2Fs41598-025-18629-z&amp;partnerID=40&amp;md5=3252dd909bd5f6250b844de4f2bd7603</t>
  </si>
  <si>
    <t>Kim, S.</t>
  </si>
  <si>
    <t>ACM</t>
  </si>
  <si>
    <t>ES85</t>
  </si>
  <si>
    <t>EEG-Based Neurophysiological Responses to Classroom Window Views in Green Campus Settings</t>
  </si>
  <si>
    <t>https://www.scopus.com/inward/record.uri?eid=2-s2.0-105017554919&amp;doi=10.15627%2Fjd.2025.23&amp;partnerID=40&amp;md5=2d2040446bbb14128eb910c301914334</t>
  </si>
  <si>
    <t>Binarti, F.; Sekarlangi, N.; Brilianto, M.K.V.; Hakim, B.R.</t>
  </si>
  <si>
    <t>ES86</t>
  </si>
  <si>
    <t>The effect of sports on mental performance according to skill types in youth athletes</t>
  </si>
  <si>
    <t>https://www.scopus.com/inward/record.uri?eid=2-s2.0-105015480737&amp;doi=10.1186%2Fs13102-025-01320-1&amp;partnerID=40&amp;md5=e65b50281140b1d4a2430b3ca00ac857</t>
  </si>
  <si>
    <t>Alagöz, I.; Demirkan, E.; Özkadı, T.; Yildirim, T.</t>
  </si>
  <si>
    <t>ES87</t>
  </si>
  <si>
    <t>Enhancing Working Memory and Reducing Anxiety in University Students: A Neurofeedback Approach</t>
  </si>
  <si>
    <t>https://www.scopus.com/inward/record.uri?eid=2-s2.0-85196905848&amp;doi=10.3390%2Fbrainsci14060578&amp;partnerID=40&amp;md5=1fcca2cf66842726ed1a3907e0adaa35</t>
  </si>
  <si>
    <t>Diotaiuti, P.; Valente, G.; Corrado, S.; Tosti, B.; Carissimo, C.; Di Libero, T.; Cerro, G.; Rodio, A.; Mancone, S.</t>
  </si>
  <si>
    <t>Scopus</t>
  </si>
  <si>
    <t>ES88</t>
  </si>
  <si>
    <t>Investigating the Relationship between Noise Exposure and Human Cognitive Performance: Attention, Stress, and Mental Workload Based on EEG Signals Using Power Spectrum Density</t>
  </si>
  <si>
    <t>https://www.scopus.com/inward/record.uri?eid=2-s2.0-85192452023&amp;doi=10.3390%2Fapp14072699&amp;partnerID=40&amp;md5=4821853b1a3bb0bba375347e70ba6c98</t>
  </si>
  <si>
    <t>Astuti, R.D.; Suhardi, B.; Laksono, P.W.; Susanto, N.</t>
  </si>
  <si>
    <t>ES89</t>
  </si>
  <si>
    <t>The Impact of Light Conditions on Neural Affect Classification: A Deep Learning Approach</t>
  </si>
  <si>
    <t>https://www.scopus.com/inward/record.uri?eid=2-s2.0-85188915840&amp;doi=10.3390%2Fmake6010011&amp;partnerID=40&amp;md5=a4debee62344f1c1a08d2ea33ce45ee2</t>
  </si>
  <si>
    <t>Zentner, S.; Chacón, A.; Wriessnegger, S.C.</t>
  </si>
  <si>
    <t>ES90</t>
  </si>
  <si>
    <t>Evaluating Deep Learning with different feature scaling techniques for EEG-based Music Entrainment Brain Computer Interface</t>
  </si>
  <si>
    <t>https://www.scopus.com/inward/record.uri?eid=2-s2.0-85183991218&amp;doi=10.1016%2Fj.prime.2024.100448&amp;partnerID=40&amp;md5=c808a8a78749760a1ba0294131bbc596</t>
  </si>
  <si>
    <t>Rashmi, R.; Shantala, D.S.</t>
  </si>
  <si>
    <t>ES91</t>
  </si>
  <si>
    <t>Neuroplasticity of the left dorsolateral prefrontal cortex in patients with treatment-resistant depression as indexed with paired associative stimulation: a TMS–EEG study</t>
  </si>
  <si>
    <t>https://www.scopus.com/inward/record.uri?eid=2-s2.0-85184013375&amp;doi=10.1093%2Fcercor%2Fbhad515&amp;partnerID=40&amp;md5=b50616f30bb750d1e489a441ead98181</t>
  </si>
  <si>
    <t>Kaneko, N.; Wada, M.; Nakajima, S.; Takano, M.; Taniguchi, K.; Honda, S.; Mimura, M.; Noda, Y.</t>
  </si>
  <si>
    <t>ES92</t>
  </si>
  <si>
    <t>Assessment of driver fatigue-related brain responses and causal factors during driving under different traffic conditions</t>
  </si>
  <si>
    <t>https://www.scopus.com/inward/record.uri?eid=2-s2.0-85204294626&amp;doi=10.3389%2Ffams.2024.1426253&amp;partnerID=40&amp;md5=8550b39c85a699289128d33a68752a5e</t>
  </si>
  <si>
    <t>Adachi, M.; Nobukawa, S.; Inagaki, K.</t>
  </si>
  <si>
    <t>ES93</t>
  </si>
  <si>
    <t>Does emotional valence affect cognitive performance and neurophysiological response during decision making? A preliminary study</t>
  </si>
  <si>
    <t>https://www.scopus.com/inward/record.uri?eid=2-s2.0-85201819430&amp;doi=10.3389%2Ffnins.2024.1408526&amp;partnerID=40&amp;md5=ed80d6785dced9ffebc3dacfd1670549</t>
  </si>
  <si>
    <t>Balconi, M.; Rovelli, K.</t>
  </si>
  <si>
    <t>ES94</t>
  </si>
  <si>
    <t>Prolonged Disease Course Leads to Impaired Brain Function in Anxiety Disorder: A Resting State EEG Study</t>
  </si>
  <si>
    <t>https://www.scopus.com/inward/record.uri?eid=2-s2.0-85200670789&amp;doi=10.2147%2FNDT.S458106&amp;partnerID=40&amp;md5=1972d361ba2a9e545cee88afc0510482</t>
  </si>
  <si>
    <t>Mou, S.; Yan, S.; Shen, S.; Shuai, Y.; Li, G.; Shen, Z.; Shen, P.</t>
  </si>
  <si>
    <t>ES95</t>
  </si>
  <si>
    <t>Mental stress recognition on the fly using neuroplasticity spiking neural networks</t>
  </si>
  <si>
    <t>https://www.scopus.com/inward/record.uri?eid=2-s2.0-85170370500&amp;doi=10.1038%2Fs41598-023-34517-w&amp;partnerID=40&amp;md5=362ab7b02d354b47c378873f5c2e286d</t>
  </si>
  <si>
    <t>Weerasinghe, M.M.A.; Wang, G.; Whalley, J.; Crook-Rumsey, M.</t>
  </si>
  <si>
    <t>ES96</t>
  </si>
  <si>
    <t>(S)-Ketamine but Not (R)-Ketamine Shows Acute Effects on Depression-Like Behavior and Sleep-Wake Architecture in Rats</t>
  </si>
  <si>
    <t>https://www.scopus.com/inward/record.uri?eid=2-s2.0-85172452307&amp;doi=10.1093%2Fijnp%2Fpyad050&amp;partnerID=40&amp;md5=d7a32d30347c9fc80b0448f9fc14bba0</t>
  </si>
  <si>
    <t>Koncz, S.; Papp, N.; Pothorszki, D.; Bagdy, G.</t>
  </si>
  <si>
    <t>ES97</t>
  </si>
  <si>
    <t>Effects of Early Adverse Life Events on Depression and Cognitive Performance from the Perspective of the Heart-Brain Axis</t>
  </si>
  <si>
    <t>https://www.scopus.com/inward/record.uri?eid=2-s2.0-85169158185&amp;doi=10.3390%2Fbrainsci13081174&amp;partnerID=40&amp;md5=b00c37914e0549e49f01e81873d47be8</t>
  </si>
  <si>
    <t>Xia, Y.; Wang, G.; Xiao, L.; Du, Y.; Lin, S.; Nan, C.; Weng, S.</t>
  </si>
  <si>
    <t>ES98</t>
  </si>
  <si>
    <t>Electrophysiological correlates of dispositional mindfulness: A quantitative and complexity EEG study</t>
  </si>
  <si>
    <t>https://www.scopus.com/inward/record.uri?eid=2-s2.0-85147499959&amp;doi=10.1111%2Fbjop.12636&amp;partnerID=40&amp;md5=0e20444c37b6bc8ed2188b3930452935</t>
  </si>
  <si>
    <t>Aguerre, N.V.; Gomez-Ariza, C.J.; Ibáñez-Molina, A.J.; Bajo, M.T.</t>
  </si>
  <si>
    <t>ES99</t>
  </si>
  <si>
    <t>Experimental investigation of VOC influence on cognitive function at low concentration in a full-fresh air environmental chamber</t>
  </si>
  <si>
    <t>https://www.scopus.com/inward/record.uri?eid=2-s2.0-85164502174&amp;doi=10.1051%2Fe3sconf%2F202339601013&amp;partnerID=40&amp;md5=c5e5c8b8ebbbfbcee3099044ee8e3abf</t>
  </si>
  <si>
    <t>Wang, Z.; Pei, J.; Song, Y.; Liu, J.</t>
  </si>
  <si>
    <t>ES100</t>
  </si>
  <si>
    <t>Does combined training of biofeedback and neurofeedback affect smoking status, behavior, and longitudinal brain plasticity?</t>
  </si>
  <si>
    <t>https://www.scopus.com/inward/record.uri?eid=2-s2.0-85147782488&amp;doi=10.3389%2Ffnbeh.2023.1096122&amp;partnerID=40&amp;md5=6b33484aecc4963c07b81cf5794ad21d</t>
  </si>
  <si>
    <t>Pandria, N.; Athanasiou, A.; Styliadis, C.; Terzopoulos, N.; Mitsopoulos, K.; Paraskevopoulos, E.; Karagianni, M.; Pataka, A.; Kourtidou-Papadeli, C.; Makedou, K.; Iliadis, S.; Lymperaki, E.; Νimatoudis, I.; Argyropoulou-Pataka, P.; Bamidis, P.D.</t>
  </si>
  <si>
    <t>ES101</t>
  </si>
  <si>
    <t>Neuro-emotions based on electroencephalograph response to different color Ardisia mamillata Hance plants in elderly people with and without cognitive impairment</t>
  </si>
  <si>
    <t>https://www.scopus.com/inward/record.uri?eid=2-s2.0-85141949649&amp;doi=10.3389%2Ffpubh.2022.955393&amp;partnerID=40&amp;md5=3e2494e3b4ff112259b4f978ccc5792b</t>
  </si>
  <si>
    <t>Du, J.; Chen, X.; Li, X.; Pan, Y.; Fu, E.; Huang, Y.; Zhu, C.; Jiang, M.; Hassan, A.; Wu, D.; Ma, J.; Yuan, G.</t>
  </si>
  <si>
    <t>ES102</t>
  </si>
  <si>
    <t>Dissociable Neural Mechanisms of Cognition and Well-Being in Youth Versus Healthy Aging</t>
  </si>
  <si>
    <t>https://www.scopus.com/inward/record.uri?eid=2-s2.0-85139292880&amp;doi=10.1037%2Fpag0000710&amp;partnerID=40&amp;md5=2904ab14c9c60957a4ad218f3faa6873</t>
  </si>
  <si>
    <t>Grennan, G.; Balasubramani, P.P.; Vahidi, N.; Ramanathan, D.; Jeste, D.V.; Mishra, J.</t>
  </si>
  <si>
    <t>ES103</t>
  </si>
  <si>
    <t>Association between antenatal glucocorticoid exposure and the activity of the stress system, cognition, and behavior in 8- to 9-year-old children: A prospective observational study</t>
  </si>
  <si>
    <t>https://www.scopus.com/inward/record.uri?eid=2-s2.0-85131204643&amp;doi=10.1111%2Faogs.14386&amp;partnerID=40&amp;md5=9bee24ae30584581945e39a327d99fe1</t>
  </si>
  <si>
    <t>Rakers, F.; Schleussner, E.; Muth, I.; Hoyer, D.; Rupprecht, S.; Schiecke, K.; Groten, T.; Dreiling, M.; Kozik, V.; Schwab, M.; Hoyer, H.; Ligges, C.</t>
  </si>
  <si>
    <t>ES104</t>
  </si>
  <si>
    <t>Sleep-dependent upscaled excitability, saturated neuroplasticity, and modulated cognition in the human brain</t>
  </si>
  <si>
    <t>https://www.scopus.com/inward/record.uri?eid=2-s2.0-85133100575&amp;doi=10.7554%2FeLife.69308&amp;partnerID=40&amp;md5=1ebfc4133b2a6616bf1445f62883eb51</t>
  </si>
  <si>
    <t>Salehinejad, M.A.; Ghanavati, E.; Reinders, J.; Hengstler, J.G.; Kuo, M.-F.; Nitsche, M.A.</t>
  </si>
  <si>
    <t>ES105</t>
  </si>
  <si>
    <t>Documenting the Impact of Infra Low Frequency Neurofeedback on Underserved Populations With Complex Clinical Presentations</t>
  </si>
  <si>
    <t>https://www.scopus.com/inward/record.uri?eid=2-s2.0-85132804438&amp;doi=10.3389%2Ffnhum.2022.921491&amp;partnerID=40&amp;md5=45272d9602f21452787a9752cfe34bb1</t>
  </si>
  <si>
    <t>Fleischman, M.J.</t>
  </si>
  <si>
    <t>ES106</t>
  </si>
  <si>
    <t>Neuropsychological and Neurophysiological Assessment in Different Phases of Bipolar Disorder</t>
  </si>
  <si>
    <t>https://www.scopus.com/inward/record.uri?eid=2-s2.0-85129981787&amp;doi=10.5152%2Fpcp.2022.21281&amp;partnerID=40&amp;md5=d1becb28773923a55a3fc1c43dc171b9</t>
  </si>
  <si>
    <t>Koca, E.K.; Durmaz, O.; Domaç, S.F.; Kesebir, S.</t>
  </si>
  <si>
    <t>ES107</t>
  </si>
  <si>
    <t>Neurofeedback-Augmented Mindfulness Training Elicits Distinct Responses in the Subregions of the Insular Cortex in Healthy Adolescents</t>
  </si>
  <si>
    <t>https://www.scopus.com/inward/record.uri?eid=2-s2.0-85126593924&amp;doi=10.3390%2Fbrainsci12030363&amp;partnerID=40&amp;md5=7e20a670609131918359aa3b3eeb3d5d</t>
  </si>
  <si>
    <t>Yu, X.; Cohen, Z.P.; Tsuchiyagaito, A.; Cochran, G.; Aupperle, R.L.; Stewart, J.L.; Singh, M.K.; Misaki, M.; Bodurka, J.; Paulus, M.P.; Kirlic, N.</t>
  </si>
  <si>
    <t>ES108</t>
  </si>
  <si>
    <t>A Retrospective Study of Postictal Suppression during Electroconvulsive Therapy</t>
  </si>
  <si>
    <t>https://www.scopus.com/inward/record.uri?eid=2-s2.0-85126061778&amp;doi=10.3390%2Fjcm11051440&amp;partnerID=40&amp;md5=658b78f871dbd6faea078ae12693150c</t>
  </si>
  <si>
    <t>Moulier, V.; Guehl, J.; Evêque-Mourroux, E.; Quesada, P.; Rothärmel, M.</t>
  </si>
  <si>
    <t>ES109</t>
  </si>
  <si>
    <t>Strategies to Limit Cognitive Impairments under Sleep Restriction: Relationship to Stress Biomarkers</t>
  </si>
  <si>
    <t>https://www.scopus.com/inward/record.uri?eid=2-s2.0-85124349698&amp;doi=10.3390%2Fbrainsci12020229&amp;partnerID=40&amp;md5=151790c71631a401012dba1400ea6942</t>
  </si>
  <si>
    <t>Gomez-Mérino, D.; Drogou, C.; Debellemanière, E.; Erblang, M.; Dorey, R.; Guillard, M.; van Beers, P.; Thouard, M.; Masson, R.; Sauvet, F.; Leǵer, D.; Bougard, C.; Arnal, P.J.; Rabat, A.; Chennaoui, M.</t>
  </si>
  <si>
    <t>ES110</t>
  </si>
  <si>
    <t>EEG-Neurofeedback Training and Prolidase in Anxiety Disorders: An Exploratory Study</t>
  </si>
  <si>
    <t>https://www.scopus.com/inward/record.uri?eid=2-s2.0-85140758016&amp;doi=10.15540%2FNR.9.3.127&amp;partnerID=40&amp;md5=ab0107ad647536b76ea34582cc17ee75</t>
  </si>
  <si>
    <t>Meena, P.; Subramanian, S.; Desai, G.; Krishna, G.; Rajeswaran, J.</t>
  </si>
  <si>
    <t>ES111</t>
  </si>
  <si>
    <t>Automated Detection of Cognitive Performance and Resilience Changes in Former Professional American Football Players following the Administration of a Hemp Extract</t>
  </si>
  <si>
    <t>https://www.scopus.com/inward/record.uri?eid=2-s2.0-85135240786&amp;doi=10.15540%2Fnr.9.2.68&amp;partnerID=40&amp;md5=a41c435f4373451395ae5f7c73b9c273</t>
  </si>
  <si>
    <t>Amico, F.; Pascarella, A.; Danev, S.; Ruan, C.-H.</t>
  </si>
  <si>
    <t>ES112</t>
  </si>
  <si>
    <t>EEG as a Functional Marker of Nicotine Activity: Evidence From a Pilot Study of Adults With Late-Life Depression</t>
  </si>
  <si>
    <t>https://www.scopus.com/inward/record.uri?eid=2-s2.0-85122338799&amp;doi=10.3389%2Ffpsyt.2021.721874&amp;partnerID=40&amp;md5=0b61983ac06d7771950ddc7db78b97dd</t>
  </si>
  <si>
    <t>C. Conley, A.C.; Key, A.P.; Taylor, W.D.; Albert, K.M.; Boyd, B.D.; Vega, J.N.; Newhouse, P.A.</t>
  </si>
  <si>
    <t>ES113</t>
  </si>
  <si>
    <t>Behavioural effects of task-relevant neuromodulation by rTMS on giving-up</t>
  </si>
  <si>
    <t>https://www.scopus.com/inward/record.uri?eid=2-s2.0-85119300772&amp;doi=10.1038%2Fs41598-021-01645-0&amp;partnerID=40&amp;md5=f077981bd0889b858118269dd190bcf9</t>
  </si>
  <si>
    <t>Miyauchi, E.; Kawasaki, M.</t>
  </si>
  <si>
    <t>ES114</t>
  </si>
  <si>
    <t>An Integrative Approach to Ketamine Therapy May Enhance Multiple Dimensions of Efficacy: Improving Therapeutic Outcomes With Treatment Resistant Depression</t>
  </si>
  <si>
    <t>https://www.scopus.com/inward/record.uri?eid=2-s2.0-85120853285&amp;doi=10.3389%2Ffpsyt.2021.710338&amp;partnerID=40&amp;md5=25c82bb1c7c949181c3e0847c44463cb</t>
  </si>
  <si>
    <t>Muscat, S.-A.; Hartelius, G.; Crouch, C.R.; Morin, K.W.</t>
  </si>
  <si>
    <t>ES115</t>
  </si>
  <si>
    <t>https://www.scopus.com/inward/record.uri?eid=2-s2.0-85099843931&amp;doi=10.1016%2Fj.nicl.2021.102559&amp;partnerID=40&amp;md5=95f491ff8b4550a5efd984eaecbbf17e</t>
  </si>
  <si>
    <t>Tsuchiyagaito, A.; Smith, J.L.; el-Sabbagh, N.; Zotev, V.; Misaki, M.; Al Zoubi, O.; Kent Teague, T.; Paulus, M.P.; Bodurka, J.; Savitz, J.</t>
  </si>
  <si>
    <t>ES116</t>
  </si>
  <si>
    <t>Short-term effects of meditation on sustained attention as measured by fNIRS</t>
  </si>
  <si>
    <t>https://www.scopus.com/inward/record.uri?eid=2-s2.0-85090246435&amp;doi=10.3390%2Fbrainsci10090608&amp;partnerID=40&amp;md5=fc1ff5453e4595bc63e223cc9d771e6d</t>
  </si>
  <si>
    <t>Izzetoǧlu, M.; Shewokis, P.A.; Tsai, K.; Dantoin, P.; Sparango, K.; Min, K.</t>
  </si>
  <si>
    <t>ES117</t>
  </si>
  <si>
    <t>SMR/Theta Neurofeedback Training Improves Cognitive Performance and EEG Activity in Elderly With Mild Cognitive Impairment: A Pilot Study</t>
  </si>
  <si>
    <t>https://www.scopus.com/inward/record.uri?eid=2-s2.0-85087288587&amp;doi=10.3389%2Ffnagi.2020.00147&amp;partnerID=40&amp;md5=34f05cd816cc7f61733b52f9fccdcae1</t>
  </si>
  <si>
    <t>Marlats, F.; Bao, G.; Chevallier, S.; Boubaya, M.; Djabelkhir-Jemmi, L.; Wu, Y.-H.; Lenoir, H.; Rigaud, A.-S.; Azabou, E.</t>
  </si>
  <si>
    <t>ES118</t>
  </si>
  <si>
    <t>Effects of an adaptogenic extract on electrical activity of the brain in elderly subjects with mild cognitive impairment: A randomized, double-blind, placebo-controlled, two-armed cross-over study</t>
  </si>
  <si>
    <t>https://www.scopus.com/inward/record.uri?eid=2-s2.0-85081926602&amp;doi=10.3390%2Fph13030045&amp;partnerID=40&amp;md5=63ea0361a566f9a25cd1ff35beec96a7</t>
  </si>
  <si>
    <t>Dimpfel, W.; Schombert, L.; Keplinger-Dimpfel, I.K.; Panossian, A.</t>
  </si>
  <si>
    <t>ES119</t>
  </si>
  <si>
    <t>Mechanisms of light and music stimulation controlled by a person’s own brain and heart biopotentials or those of another person</t>
  </si>
  <si>
    <t>https://www.scopus.com/inward/record.uri?eid=2-s2.0-85090536140&amp;doi=10.17691%2Fstm2020.12.4.03&amp;partnerID=40&amp;md5=62d7edb652cc57be536cece8012bd684</t>
  </si>
  <si>
    <t>Fedotchev, A.I.; Parin Dsc, S.B.; Savchuk, L.V.; Polevaia, S.A.</t>
  </si>
  <si>
    <t>ES120</t>
  </si>
  <si>
    <t>Prediction of Cognitive Decline in Temporal Lobe Epilepsy and Mild Cognitive Impairment by EEG, MRI, and Neuropsychology</t>
  </si>
  <si>
    <t>https://www.scopus.com/inward/record.uri?eid=2-s2.0-85085956389&amp;doi=10.1155%2F2020%2F8915961&amp;partnerID=40&amp;md5=ecb644f72797038c854b2152a84deed9</t>
  </si>
  <si>
    <t>Höller, Y.; Butz, K.H.G.; Thomschewski, A.C.; Schmid, E.V.; Hofer, C.D.; Uhl, A.; Bathke, A.C.; Staffen, W.; Nardone, R.; Schwimmbeck, F.; Leitinger, M.; Kuchukhidze, G.; Derner, M.; Fell, J.; Trinka, E.</t>
  </si>
  <si>
    <t xml:space="preserve">LLM1: CHATGPT </t>
  </si>
  <si>
    <t>Citação</t>
  </si>
  <si>
    <t>Área de estudo</t>
  </si>
  <si>
    <t>Zhao X, Dang C, Maes JHR. Effects of working memory training on EEG, cognitive performance, and self-report indices potentially relevant for social anxiety. Biol Psychol. 2020 Feb;150:107840. doi: 10.1016/j.biopsycho.2019.107840. Epub 2020 Jan 2. PMID: 31904404.</t>
  </si>
  <si>
    <t>China</t>
  </si>
  <si>
    <t>Psicologia Cognitiva</t>
  </si>
  <si>
    <t>RQ1 — Excerpt: “No evidence found.” | Explanation:
The article does not mention any Brain-Computer Interfaces (invasive, non-invasive, or hybrid). It focuses exclusively on working memory training and EEG as a measurement tool, not as a BCI.</t>
  </si>
  <si>
    <t>RQ1 — Excerpt: “No evidence found.” | Explanation: The article is a specific experimental study on Working Memory training using EEG/ERPs as measurement tools and does not review or categorize the types of Brain-Computer Interfaces (invasive, non-invasive, hybrid) most used in general mental health applications.</t>
  </si>
  <si>
    <t>Este artigo não trata diretamente de BCIs. Ele aborda treinamento de memória de trabalho (WM training) e medidas de EEG/ERP em estudantes com sintomas de ansiedade social. Portanto, não responde à RQ1.</t>
  </si>
  <si>
    <t>Sim</t>
  </si>
  <si>
    <t>As respostas das duas LLMs apresentam alta concordância tanto no trecho citado quanto na explicação.
Trecho citado (Excerpt): Ambas indicam “No evidence found.”, mostrando total acordo na conclusão sobre a ausência de informações relevantes no artigo quanto a BCIs.
Explicação (Explanation): As duas LLMs apontam que o artigo foca em treinamento de memória de trabalho usando EEG como ferramenta de medida, e não em BCIs. A diferença está no detalhamento: a segunda (Gemini) menciona explicitamente ERPs e enfatiza que o artigo não revisa ou categoriza os tipos de BCIs em aplicações gerais de saúde mental.</t>
  </si>
  <si>
    <t>Netherlands</t>
  </si>
  <si>
    <t>RQ2 — Excerpt: “No evidence found.” | Explanation:
The study examines only social anxiety and does not reference other mental disorders in the context of BCI usage, nor does it discuss BCIs at all.</t>
  </si>
  <si>
    <t>RQ2 — Excerpt: “No evidence found.” | Explanation: The study focuses exclusively on Social Anxiety (SA) and does not provide a review or comparison of which mental disorders (such as depression, anxiety, schizophrenia, ADHD) have received the most attention in research involving BCIs.</t>
  </si>
  <si>
    <t>O artigo foca especificamente em ansiedade sociall. Trecho que destaca isso: “Social anxiety (SA) is quite common and associated with multiple comorbidities. Here, we examined the effects of working memory (WM) training on various indices potentially related to SA.”</t>
  </si>
  <si>
    <t>RQ3 — Excerpt: “No evidence found.” | Explanation:
The paper does not evaluate any BCI effectiveness. Its metrics concern cognitive tasks (WM, Stroop, dot-probe), EEG components (P1, N170, P2, N2), and self-report scales—not BCI outcomes.</t>
  </si>
  <si>
    <t>RQ3 — Excerpt: “Pre- and post-treatment assessments were made using questionnaires related to (social) anxiety and depression, and tasks measuring WM, interference control, and attentional biases towards, and event-related potentials (ERPs) elicited by, angry faces.” | Explanation: The evaluation methods used in this neuro-cognitive study include self-report measures (questionnaires), behavioral performance on cognitive tasks (WM, interference control), and electrophysiological signals (ERPs) recorded by EEG.</t>
  </si>
  <si>
    <r>
      <rPr>
        <rFont val="Arial"/>
        <b/>
        <color theme="1"/>
      </rPr>
      <t>Embora não seja um estudo de BCI</t>
    </r>
    <r>
      <rPr>
        <rFont val="Arial"/>
        <color theme="1"/>
      </rPr>
      <t>, ele usa tals métricas de avaliação de treinamento cognitivo:
Questionários: Liebowitz Social Anxiety Scale (LSAS), State-Trait Anxiety Inventory (STAI-T), Beck Depression Inventory (BDI-13).
Tarefas cognitivas: Automated Operation Span Task (Aospan), Stroop Task, Dot-Probe Task.
Medidas neurofisiológicas: ERP componentes P1, N170, P2, N2.</t>
    </r>
  </si>
  <si>
    <t>Parcialmente</t>
  </si>
  <si>
    <t>O GPT teve a mesma percepção que a extração Humana</t>
  </si>
  <si>
    <t>RQ4 — Excerpt: “working memory (WM) training… enhanced WM transfer task performance” 
 | Explanation:
Although the study is unrelated to BCIs, it does address cognitive enhancement—specifically improvements in working memory through behavioral training, not through BCI technology.</t>
  </si>
  <si>
    <t>RQ4 — Excerpt: “One treatment that, at least theoretically, could enhance the inﬂuence of the top-down system by strengthening EF is working memory (WM) training. WM, speciﬁcally WM updating, is an important component of executive functions... Accordingly, WM updating training might generally enhance attentional control and reduce...” | Explanation: The article explains that WM training, which strengthens Executive Function (EF), is a mechanism that can theoretically enhance cognitive abilities like attentional control, which in turn helps reduce anxiety symptoms.</t>
  </si>
  <si>
    <r>
      <rPr>
        <rFont val="Arial"/>
        <b/>
        <color theme="1"/>
      </rPr>
      <t>O artigo não usa BCI,</t>
    </r>
    <r>
      <rPr>
        <rFont val="Arial"/>
        <color theme="1"/>
      </rPr>
      <t xml:space="preserve"> mas mostra que treinamento de memória de trabalho pode melhorar atenção e reduzir sintomas de ansiedade, segundo tal trecho: “The training enhanced WM transfer task performance, reduced SA symptoms, and changed the amplitude of the P1, N170, P2, and N2 ERP components.”</t>
    </r>
  </si>
  <si>
    <t>RQ5 — Excerpt: “No evidence found.” | Explanation:
The article does not discuss technical, clinical, or ethical barriers related to the use of BCIs in therapy or human enhancement.</t>
  </si>
  <si>
    <t>RQ5 — Excerpt: “No evidence found.” | Explanation: The article is an experimental report, not a systematic review, and therefore does not discuss or list the main technical, clinical, and ethical barriers that generally limit the adoption of BCI technology.</t>
  </si>
  <si>
    <t>O artigo não discute barreiras técnicas/éticas de BCI.</t>
  </si>
  <si>
    <t>RQ6 — Excerpt: “No evidence found.” | Explanation:
Nothing in the study addresses data security, privacy, or integrity of neural data in the context of BCIs. EEG is used only as a standard research measurement tool without discussion of neurodata ethics.</t>
  </si>
  <si>
    <t>RQ6 — Excerpt: “No evidence found.” | Explanation: The article is focused on the results of a training intervention for social anxiety and does not contain any discussion regarding the security, privacy, or integrity protocols for the neural data collected via EEG.</t>
  </si>
  <si>
    <t>Não há menção a segurança ou privacidade de dados neurais.</t>
  </si>
  <si>
    <t>RQ7 — Excerpt: “No evidence found.” | Explanation:
The paper does not mention emerging trends involving BCIs, AI integration, or personalized neurostimulation.</t>
  </si>
  <si>
    <t>RQ7 — Excerpt: “No evidence found.” | Explanation: The article is an original research paper detailing the results of an experiment and does not discuss or identify emerging trends regarding the future integration of BCIs with artificial intelligence or personalized neurostimulation.</t>
  </si>
  <si>
    <t>O artigo não aborda integração com IA ou neuroestimulação personalizada.</t>
  </si>
  <si>
    <t>RQ8 — Excerpt: “No evidence found.” | Explanation:
No ethical or philosophical reflections on “neurological expansion” or human capability amplification appear in the text.</t>
  </si>
  <si>
    <t>RQ8 — Excerpt: “No evidence found.” | Explanation: The article is a clinical study on anxiety treatment and does not engage with the broader ethical and philosophical aspects of "neurological expansion" or the general amplification of human capabilities.</t>
  </si>
  <si>
    <t>Não há discussão ética ou filosófica sobre expansão neurológica.</t>
  </si>
  <si>
    <t>RQ9 — Excerpt: “No evidence found.” | Explanation:
The article does not identify research gaps regarding BCIs; its discussion focuses only on working memory training, cognitive transfer, attentional bias, social anxiety, and EEG markers.</t>
  </si>
  <si>
    <t>RQ9 — Excerpt: “However, given methodological limitations, these results must be regarded as preliminary, and future research should further unravel the causal re-lation among the various indices of social anxiety and the eﬀect of WM training thereupon.” | Explanation: The key research gap identified in the conclusion is the need for future studies to fully determine and explain the causal relationship between the working memory training intervention and the observed changes in symptoms and neural indices of social anxiety.</t>
  </si>
  <si>
    <r>
      <rPr>
        <rFont val="Arial"/>
        <color theme="1"/>
      </rPr>
      <t>O artigo aponta lacunas sobre treinamento de memória e ansiedade social,</t>
    </r>
    <r>
      <rPr>
        <rFont val="Arial"/>
        <b/>
        <color theme="1"/>
      </rPr>
      <t xml:space="preserve"> mas não sobre o contexto BCIs:</t>
    </r>
    <r>
      <rPr>
        <rFont val="Arial"/>
        <color theme="1"/>
      </rPr>
      <t xml:space="preserve">
“These data provide preliminary evidence of the usefulness of WM trainings to reduce potential indices of SA, but further research is necessary to unravel the causal relation among these indices.”</t>
    </r>
  </si>
  <si>
    <t>Não</t>
  </si>
  <si>
    <t>O gemini não considerou o contexto que deveria está ligado a BCIs</t>
  </si>
  <si>
    <t xml:space="preserve">Kumar S, Zomorrodi R, Ghazala Z, Goodman MS, Blumberger DM, Daskalakis ZJ, Fischer CE, Mulsant BH, Pollock BG, Rajji TK. Effects of repetitive paired associative stimulation on brain plasticity and working memory in Alzheimer's disease: a pilot randomized double-blind-controlled trial. Int Psychogeriatr. 2023 Mar;35(3):143-155. doi: 10.1017/S1041610220003518. Epub 2020 Nov 16. PMID: 33190659.
</t>
  </si>
  <si>
    <t>Canada</t>
  </si>
  <si>
    <t>Neurociência; Neurologia; Reabilitação Cognitiva</t>
  </si>
  <si>
    <t>RQ1 — Excerpt: “No evidence found.” | Explanation:
The article contains no references to Brain-Computer Interfaces (BCIs), whether invasive, non-invasive, or hybrid.</t>
  </si>
  <si>
    <t>RQ1 — Excerpt: “No evidence found.” | Explanation: The article is a specific clinical trial on repetitive paired associative stimulation (rPAS)/Transcranial Magnetic Stimulation (TMS) for Alzheimer's disease. It does not contain a general summary or comparative analysis of the most used types (invasive, non-invasive, hybrid) of Brain-Computer Interfaces across all mental health applications.</t>
  </si>
  <si>
    <r>
      <rPr>
        <rFont val="Arial"/>
        <color theme="1"/>
      </rPr>
      <t xml:space="preserve">Este estudo não utiliza diretamente BCIs clássicos, mas sim estimulação cerebral não invasiva:
“Pilot randomized double-blind-controlled trial of repetitive paired associative stimulation (rPAS), a paradigm that combines transcranial magnetic stimulation (TMS) of the dorsolateral prefrontal cortex (DLPFC) with peripheral median nerve stimulation.”
Isso se aproxima de BCI não-invasivo, pois envolve TMS + EEG para medir plasticidade e desempenho cognitivo </t>
    </r>
    <r>
      <rPr>
        <rFont val="Arial"/>
        <b/>
        <color theme="1"/>
      </rPr>
      <t>mas não é de fato.</t>
    </r>
  </si>
  <si>
    <t>Algumas coisas podem ser consideradas por se aproximarem de BCIs não invasivos</t>
  </si>
  <si>
    <t>RQ2 — Excerpt: “No evidence found.” | Explanation:
The paper does not discuss mental disorders in relation to BCIs. Any mental health content in the article is unrelated to brain–computer interfaces.</t>
  </si>
  <si>
    <t>RQ2 — Excerpt: “No evidence found.” | Explanation: The research article focuses specifically on Alzheimer's disease (AD) and its related cognitive deficits. It does not provide a comprehensive review or a list of which mental disorders (like depression, anxiety, or schizophrenia) have received the most attention in the broader field of BCI research.</t>
  </si>
  <si>
    <t>O artigo trata especificamente da doença de alzheimer, mas não em relação a BCIs.</t>
  </si>
  <si>
    <t>RQ3 — Excerpt: “No evidence found.” | Explanation:
The study does not evaluate BCI effectiveness, and therefore contains no metrics, evaluation methods, or outcomes related to BCIs.</t>
  </si>
  <si>
    <t>RQ3 — Excerpt: “DLPFC plasticity was assessed using single session PAS combined with electroencephalography (EEG) at baseline and on days 1, 7, and 14 post-rPAS. Working memory and theta-gamma coupling were assessed at the same time points using the N-back task and EEG.”  | Explanation: In this study using a neurostimulation paradigm, the key metrics were DLPFC plasticity (measured by PAS-LTP via EEG), working memory performance (measured by the N-back task/A' score), and the corresponding theta-gamma coupling (measured by the Modulation Index via EEG).</t>
  </si>
  <si>
    <t>O artigo usa várias métricas, mas não relacionadas a BCIs:
1. Plasticidade cortical (PAS-LTP) medida por TMS-EEG.
2. Desempenho em memória de trabalho via N-back task.
3. Oscilações neurais: theta–gamma coupling.</t>
  </si>
  <si>
    <t>O GPT não destacou as metricas, mesmo que não relacionadas ao BCIs. O Gemini não destacou que as metricas não se relacionavam ao BCIs.</t>
  </si>
  <si>
    <t>RQ4 — Excerpt: “No evidence found.” | Explanation:
Although the article may involve cognitive or behavioral constructs, it does not describe the use of BCIs for enhancing memory, attention, or learning.</t>
  </si>
  <si>
    <t>RQ4 — Excerpt: “Thus, DLPFC plasticity could be an appropriate potential target and an intermediate marker for interventions aimed at enhancing work- ing memory in AD.”  | Explanation: The article specifically addresses the use of rPAS (a TMS paradigm related to neurostimulation) as an intervention aimed at enhancing the cognitive ability of working memory by targeting DLPFC plasticity in patients with Alzheimer’s disease.</t>
  </si>
  <si>
    <t>O artigo mostra que o rPAS foi usado para tentar melhorar memória de trabalho em pacientes com Alzheimer.</t>
  </si>
  <si>
    <t>RQ5 — Excerpt: “No evidence found.” | Explanation:
There is no discussion of technical, clinical, or ethical barriers to the adoption of BCIs.</t>
  </si>
  <si>
    <t>RQ5 — Excerpt: “The top reason for failing screen was the travel and time commitment to the study, which raises the importance of adapting noninvasive brain stimulation to less mobile popula- tions such as AD.”  | Explanation: While the article does not provide a comprehensive list of all technical, clinical, and ethical barriers in the field, it highlights a major logistical/clinical barrier in its own study: the high time commitment of the noninvasive brain stimulation protocol limited recruitment from less mobile patient populations</t>
  </si>
  <si>
    <t>O artigo não discute barreiras éticas ou técnicas de forma ampla. Ele apenas menciona limitações metodológicas.</t>
  </si>
  <si>
    <t>RQ6 — Excerpt: “No evidence found.” | Explanation:
The article does not address neural data security, privacy, or integrity in the context of BCIs.</t>
  </si>
  <si>
    <t>RQ6 — Excerpt: “No evidence found.” | Explanation: The article confirms that the study was approved by an Ethics Board and participants provided informed consent, but it does not contain any discussion, statement, or protocol details regarding the specific issues of security, privacy, or integrity of the collected neural (EEG) data.</t>
  </si>
  <si>
    <t>Não há menção a segurança ou privacidade dos dados neurais.</t>
  </si>
  <si>
    <t>RQ7 — Excerpt: “No evidence found.” | Explanation:
The paper does not mention emerging BCI trends, nor AI-BCI integration or personalized neurostimulation.</t>
  </si>
  <si>
    <t>RQ7 — Excerpt: “No evidence found.” | Explanation: The article focuses on future directions for the specific rPAS protocol (e.g., longer duration, alternative stimulation sites) but does not address emerging trends in the integration of BCIs with artificial intelligence or generalized personalized neurostimulation.</t>
  </si>
  <si>
    <t>O artigo não aborda IA ou neuroestimulação personalizada.</t>
  </si>
  <si>
    <t>RQ8 — Excerpt: “No evidence found.” | Explanation:
The article includes no ethical or philosophical discussion regarding neural enhancement or “neurological expansion.”</t>
  </si>
  <si>
    <t>RQ8 — Excerpt: “No evidence found.” | Explanation: The research is a clinical trial focused on a therapeutic intervention for a disease (Alzheimer's). It does not contain any philosophical or ethical commentary on the broader concepts of "neurological expansion" or the amplification of general human capabilities.</t>
  </si>
  <si>
    <t>RQ9 — Excerpt: “No evidence found.” | Explanation:
The paper does not identify research gaps related to BCI applications in mental health or cognitive enhancement.</t>
  </si>
  <si>
    <t>RQ9 — Excerpt: “Future well-powered studies targeting such a population are needed, and if successful, additional studies should assess the effects of rPAS on other biological markers and behavioral symptoms of AD and as well as focus on overcoming barriers to implementation of rPAS for clinical use.”  | Explanation: The primary research gaps highlighted are the need for larger, adequately powered studies, the need to assess effects on biological markers and behavioral symptoms, and the requirement to overcome implementation barriers for the neurostimulation technique to be translated into effective clinical care.</t>
  </si>
  <si>
    <t>O artigo aponta lacunas da abordagem de tratamento rPAS, mas não relacionadas ao BCIs ou coisas relacionadas.</t>
  </si>
  <si>
    <t>O gemini não levou em conta a necissade da relação com o tema de pesquisa da revisão sistematica.</t>
  </si>
  <si>
    <t>Zhang K, Ji Y, Guo X, Gao T, Zhang X, Yu X, Wang J. The aperiodic and periodic activities of EEG dynamically relate with cognitive performance in schizophrenia. Schizophr Res Cogn. 2025 Jul 31;42:100383. doi: 10.1016/j.scog.2025.100383. PMID: 40792221; PMCID: PMC12337643.</t>
  </si>
  <si>
    <t>Excerpt: “No evidence found.” — Explanation: The article studies EEG aperiodic/periodic activity in schizophrenia and does not mention any Brain-Computer Interface (BCI) technology.</t>
  </si>
  <si>
    <t>No evidence found. The article describes the use of EEG, a non-invasive technique, in a research study on schizophrenia but does not provide a general review or comparison of the most used BCI types (invasive, non-invasive, hybrid) in mental health applications.</t>
  </si>
  <si>
    <r>
      <rPr>
        <rFont val="Arial"/>
        <b/>
        <color theme="1"/>
      </rPr>
      <t>Este estudo não usa diretamente BCIs</t>
    </r>
    <r>
      <rPr>
        <rFont val="Arial"/>
        <color theme="1"/>
      </rPr>
      <t>, mas sim EEG (eletroencefalografia) para investigar atividade periódica e aperiódica em pacientes com esquizofrenia: “Before and after the language comprehension tasks (humor, metaphor and irony), the 5-min eyes-closed and eyes-open EEG signals were collected respectively.”</t>
    </r>
  </si>
  <si>
    <t>Excerpt: “No evidence found.” — Explanation: The study only involves schizophrenia and does not examine BCIs or their application to any mental disorders.</t>
  </si>
  <si>
    <t>No evidence found. The article focuses on schizophrenia (SCZ) and mentions related studies on chronic psychotic disorders and trait anxiety only in passing, but it does not review or state which mental disorder has received the most attention in BCI research.</t>
  </si>
  <si>
    <t>O artigo foca em esquizofrenia, mas não é relacionada ao uso de BCIs</t>
  </si>
  <si>
    <t>Excerpt: “Power spectral density (PSD) helped to decompose EEG signals…”, “…aperiodic exponent and periodic power were extracted…”, and “Cognitive performance was assessed using the total Brief Assessment of Cognition in Schizophrenia (BACS).” main
 — Explanation: The study evaluates EEG effectiveness using PSD, aperiodic exponent, alpha/beta power, and correlates them with BACS cognitive test scores. These are EEG metrics, not BCI evaluation metrics.</t>
  </si>
  <si>
    <t>No evidence found. The paper describes metrics (BACS, Z scores) and methods (Pearson correlation, ANOVA) for assessing cognitive deficits in SCZ, but it does not discuss how to measure the effectiveness of BCIs in treatment.</t>
  </si>
  <si>
    <t>O estudo utiliza:
EEG (aperiodic exponent, alpha e beta band power).
Brief Assessment of Cognition in Schizophrenia (BACS).
Tasks de compreensão de linguagem figurativa (humor, metáfora, ironia).</t>
  </si>
  <si>
    <t>Excerpt: “The aperiodic exponent…showed significantly negative correlation with Z scores of humor comprehension tasks…” and “pre-tasks aperiodic exponent…positively correlated with T scores of attention and speed of information processing.” main
 — Explanation: The article links EEG spectral features to cognitive functions such as attention, processing speed, and language comprehension, but does not use BCIs for cognitive enhancement.</t>
  </si>
  <si>
    <t>No evidence found. The paper states that the aperiodic exponent relates to cognitive functions like "attention (Tagliazucchi et al., 2013), working memory (Kardan et al., 2020), motor performance (Immink et al., 2021) and academic learning (Cross et al., 2022)"1111, but it does not describe the use of BCIs for enhancing these abilities.</t>
  </si>
  <si>
    <t>O artigo mostra correlações entre EEG(não com BCIs) e desempenho cognitivo (atenção, velocidade de processamento, compreensão de humor/metáfora): “The pre-tasks aperiodic exponent in posterior location positively correlated with T scores of attention and speed of information processing.”</t>
  </si>
  <si>
    <t>Excerpt: “No evidence found.” — Explanation: The paper does not discuss any technical, clinical, or ethical barriers to the adoption of BCIs. It only discusses EEG analysis limitations.</t>
  </si>
  <si>
    <t>No evidence found. The article discusses research limitations and heterogeneity in EEG studies but does not address the broader technical, clinical, and ethical barriers that limit the adoption of BCIs in therapeutic or human enhancement contexts.</t>
  </si>
  <si>
    <t>O artigo não discute barreiras éticas ou técnicas de BCI.</t>
  </si>
  <si>
    <t>Excerpt: “No evidence found.” — Explanation: The study does not mention data security, privacy, or integrity concerns related to BCIs or neural data beyond basic ethical approval.</t>
  </si>
  <si>
    <t>No evidence found. The article mentions obtaining "written informed consent" 2 and ethical approval for the study, but it does not discuss technical or policy mechanisms regarding the security, privacy, or integrity of the collected neural data.</t>
  </si>
  <si>
    <t>Excerpt: “No evidence found.” — Explanation: The study does not discuss AI, neurostimulation, personalization, or future trends in BCI technology.</t>
  </si>
  <si>
    <t>Excerpt: "Finally, future research can be integrated with other modalities (e.g., fMRI, neurostimulation) to enhance spatial resolution or mechanistic insight." 3 — Explanation: The authors suggest that future research, including work on neurophysiological parameters like those studied, should be integrated with other modalities such as fMRI and neurostimulation to improve understanding.</t>
  </si>
  <si>
    <t>Excerpt: “No evidence found.” — Explanation: The article does not address ethical or philosophical issues related to neurological expansion or enhancement.</t>
  </si>
  <si>
    <t>No evidence found. The article is a research study on neurophysiology and schizophrenia and does not include a discussion of the ethical or philosophical implications of "neurological expansion" or the amplification of human capabilities.</t>
  </si>
  <si>
    <t>Excerpt: “Future studies should… integrate with other modalities (e.g., fMRI, neurostimulation) to enhance spatial resolution or mechanistic insight.” main
 — Explanation: The reported research gaps relate only to EEG-based cognition studies in schizophrenia, not BCIs; there is no mention of BCI applications.</t>
  </si>
  <si>
    <t>Excerpt: "Future experiments necessitate the development of validated scales or paradigms that have undergone rigorous reliability and validity testing." 4 — Explanation: The authors highlight the need for rigorously tested and validated scales and experimental paradigms as a key research gap to ensure the quality and reliability of future assessments in mental healthcare.</t>
  </si>
  <si>
    <t>O artigo aponta lacunas sobre a necessidade de investigar melhor a relação entre aperiodic exponent e desempenho cognitivo em esquizofrenia: “Our findings confirmed the higher aperiodic exponent with lower alpha and beta band in SCZ… The findings suggest that aperiodic exponent holds strong cognitive functional implications in SCZ.”</t>
  </si>
  <si>
    <t>Enriquez-Geppert S, Krc J, O'Higgins FJ, Lietz M. Psilocybin-assisted neurofeedback for the improvement of executive functions: a randomized semi-naturalistic-lab feasibility study. Philos Trans R Soc Lond B Biol Sci. 2024 Dec 2;379(1915):20230095. doi: 10.1098/rstb.2023.0095. Epub 2024 Oct 21. PMID: 39428872; PMCID: PMC11513162.</t>
  </si>
  <si>
    <t>Philosophical Transactions
of the Royal Society B</t>
  </si>
  <si>
    <r>
      <rPr>
        <rFont val="Arial"/>
        <color rgb="FF1155CC"/>
        <u/>
      </rPr>
      <t>https://pubmed.ncbi.nlm.nih.gov/39428872/</t>
    </r>
    <r>
      <rPr>
        <rFont val="Arial"/>
      </rPr>
      <t xml:space="preserve"> </t>
    </r>
  </si>
  <si>
    <t>Excerpt: “No evidence found.” — Explanation: The article contains no discussion of Brain-Computer Interfaces (invasive, non-invasive, or hybrid) in any context.</t>
  </si>
  <si>
    <t>Excerpt: “Viviani &amp; Velessi's [50] systematic review underscored that NF protocols targeting fm-theta are the most successful EEG protocols thus far regarding the improvement of EFs.” 1
 Explanation: The article identifies frontal-midline theta neurofeedback (a non-invasive EEG method) as the most successful protocol for improving executive functions.</t>
  </si>
  <si>
    <t>Este estudo utiliza EEG neurofeedback (NF), que é uma forma de BCI não-invasiva.</t>
  </si>
  <si>
    <t>Excerpt: “No evidence found.” — Explanation: The article does not mention any mental disorders (e.g., depression, anxiety, schizophrenia, ADHD) in relation to BCIs.</t>
  </si>
  <si>
    <t>No evidence found. 
 Explanation: The article mentions that executive function deficits are "common in psychiatric disorders" 2 and references depression, stroke, and dementia in specific contexts, but it does not provide a general review ranking which disorders have received the most attention in BCI research.</t>
  </si>
  <si>
    <t>O artigo não foca em um transtorno específico, mas em déficits de funções executivas transdiagnósticos (presentes em várias condições psiquiátricas).</t>
  </si>
  <si>
    <t>Excerpt: “No evidence found.” — Explanation: The text includes no metrics, evaluation methods, or outcome measures related to assessing BCI effectiveness.</t>
  </si>
  <si>
    <t>Excerpt: “Following three domains were assessed: (i) general placebo and expectancy (by general susceptibility and optimism, as well NF and psilocybin-assisted NF-specific experiences, attitudes and expectations), (ii) EFs (by self-rated EFs in daily life and four computerized experimental EF tasks), and (iii) functional abilities (by participant's priorities).” 3
 Explanation: The authors evaluated effectiveness using a combination of placebo/expectancy questionnaires, objective computerized tasks, subjective daily life self-reports, and personalized functional goal ratings.</t>
  </si>
  <si>
    <t>O estudo usa:
EEG frontal-midline theta power (indicador neural).
Quatro tarefas de funções executivas: working memory updating, set-shifting, conflict monitoring, motor inhibition.
Autoavaliações (BRIEF-A) sobre funções executivas na vida diária.
Relatos de metas individuais de treinamento.</t>
  </si>
  <si>
    <t>Excerpt: “No evidence found.” — Explanation: The paper does not discuss BCIs for enhancing memory, attention, learning, or other cognitive abilities.</t>
  </si>
  <si>
    <t>Excerpt: “Jackson et al. [42] observed a modest yet significant impact on episodic memory across both healthy and clinical groups... Significantly, fm-theta NF... has been identified as particularly effective in enhancing EFs in healthy individuals.” 4444
 Explanation: The text cites previous studies showing that neurofeedback has been used to achieve significant improvements in episodic memory and executive functions (which include attention) in various populations.</t>
  </si>
  <si>
    <t>O artigo mostra que o neurofeedback assistido por psilocibina foi usado para melhorar funções executivas (memória de trabalho, atenção, inibição, monitoramento).</t>
  </si>
  <si>
    <t>Excerpt: “No evidence found.” — Explanation: No technical, clinical, or ethical barriers to BCI adoption are mentioned or implied anywhere in the article.</t>
  </si>
  <si>
    <t>Excerpt: “Notably, inter-individual variability in learning to self-regulate brain activity, along with the presence of 'non-responders' [52,53], demands focused attention and solutions.” 5
 Explanation: The authors identify the variability in learning success and the existence of "non-responders" (participants who fail to learn self-regulation) as primary clinical barriers to the adoption and efficacy of neurofeedback.</t>
  </si>
  <si>
    <t>O artigo menciona desafios como:
Variabilidade individual (existência de “non-responders”).
Necessidade de estudos maiores e controles ativos.
Questões éticas do uso de psicodélicos (psilocibina) em conjunto com Neurofeedback</t>
  </si>
  <si>
    <t>Excerpt: “No evidence found.” — Explanation: The article provides no coverage of security, privacy, or integrity of neural data.</t>
  </si>
  <si>
    <t>No evidence found. 
 Explanation: While the article mentions obtaining informed consent 6and storing data on the OSF repository7, it does not discuss specific technical measures regarding the security, privacy, or integrity of the neural data.</t>
  </si>
  <si>
    <t>O artigo não discute segurança ou privacidade dos dados neurais.</t>
  </si>
  <si>
    <t>Excerpt: “No evidence found.” — Explanation: The article contains no discussion of emerging BCI trends, AI integration, or personalized neurostimulation.</t>
  </si>
  <si>
    <t>Excerpt: “Recent advancements in NF methodology encompass real-time brain activity decoding [54], personalized NF tailored to individual anatomical and functional networks [55] and innovative NF techniques involving semantically guidance through mental states [56].” 8
 Explanation: The article outlines emerging trends such as real-time decoding, personalization based on individual anatomy, and semantic guidance as key future directions for neurofeedback integration.</t>
  </si>
  <si>
    <t>O artigo menciona tendências como:
Personalized NF(Neurofeedback Personalizado) adaptado a redes anatômicas e funcionais individuais.
Uso de psicodélicos como potenciadores de neuroplasticidade em conjunto com Neurofeedback.</t>
  </si>
  <si>
    <t>Excerpt: “No evidence found.” — Explanation: Ethical or philosophical issues related to neurological expansion or human capability amplification do not appear in the article.</t>
  </si>
  <si>
    <t>No evidence found. 
 Explanation: The article focuses on the feasibility and efficacy of a specific clinical intervention (psilocybin-assisted neurofeedback) and does not address the broader ethical or philosophical implications of neurological expansion.</t>
  </si>
  <si>
    <t>O artigo toca em aspectos éticos do uso de psicodélicos para amplificação cognitiva, mas não discute profundamente filosofia da “expansão neurológica”.</t>
  </si>
  <si>
    <t>Excerpt: “No evidence found.” — Explanation: The article does not address research gaps related to BCI technology, mental healthcare, or cognitive enhancement.</t>
  </si>
  <si>
    <t>Excerpt: “A thorough study with regular sessions and an active control group is crucial to evaluate EFs improvement and their specificity in future.” 9
 Explanation: The authors conclude that to validate the method as an effective tool, future research must address current gaps by increasing the number of sessions and incorporating an active control group to rule out non-specific effects.</t>
  </si>
  <si>
    <t>O artigo aponta lacunas:
Necessidade de estudos maiores e com grupo controle ativo.
Avaliar especificidade dos ganhos em funções executivas.</t>
  </si>
  <si>
    <t>Zemla K, Sedek G, Wróbel K, Postepski F, Wojcik GM. Investigating the Impact of Guided Imagery on Stress, Brain Functions, and Attention: A Randomized Trial. Sensors (Basel). 2023 Jul 7;23(13):6210. doi: 10.3390/s23136210. PMID: 37448060; PMCID: PMC10346678.</t>
  </si>
  <si>
    <t>https://pubmed.ncbi.nlm.nih.gov/37448060/</t>
  </si>
  <si>
    <t>Poland</t>
  </si>
  <si>
    <t>No evidence Found</t>
  </si>
  <si>
    <t>Este estudo não usa diretamente BCIs clássicos, mas sim EEG para medir atividade cerebral durante guided imagery (GI). trata-se de um método não-invasivo (EEG).</t>
  </si>
  <si>
    <t>As LMMs não consideram EGG como metodo não invasivo.</t>
  </si>
  <si>
    <t>O artigo não foca em um transtorno clínico específico, mas em redução de estresse e ansiedade em participantes saudáveis.</t>
  </si>
  <si>
    <t>RQ3 Excerpt: “the effectiveness of the session in reducing stress was assessed through monitoring beta power reductions and alpha state increases using EEG data recordings and self-reported questionnaires.” — Explanation: The article explicitly lists EEG band power (alpha, beta) changes and self-report questionnaires as outcome metrics used to assess intervention effectiveness; attentional-task error rates (Stroop, anti-saccade, Go/No-go) are also presented as measurable outcomes.</t>
  </si>
  <si>
    <t>O estudo usa:
EEG (alpha e beta power).
Testes de funções executivas: Stroop, Go/No-go, Anti-saccade.
Questionários de ansiedade e estresse (STAI, auto-relatos).</t>
  </si>
  <si>
    <t>O artigo mostra que guided imagery + EEG pode melhorar atenção e controle executivo: “The findings suggest that guided imagery has the potential to enhance attentional control by augmenting the alpha power and reducing stress levels.”</t>
  </si>
  <si>
    <t>RQ7 Excerpt: “Moreover, a notable feature of this research involved the application of multi-sensor EEG signal classification and a GLM for the categorization of two mental states. These findings offer compelling evidence regarding the potential for developing innovative therapies in the domain of human–machine interactions ... For instance, the study titled ‘Golden Subject Is Everyone: A Subject Transfer Neural Network for Motor Imagery-based Brain Computer Interfaces’ [106] explores the use of neural networks to transfer knowledge between individuals in the context of motor-imagery-based brain–computer interfaces. The researchers propose a new approach that allows data from one participant to be used to train a neural network, which can then be applied to predict and interpret brain signals from a different participant. The findings indicate that this method has potential and could lead to the development of more inclusive and widely applicable brain–computer interfaces.” — Explanation: The article cites machine-learning / neural-network approaches and subject-transfer for motor-imagery BCIs as an emerging direction, indicating integration of AI methods to improve BCI generalization and applicability.</t>
  </si>
  <si>
    <t>Excerpt: "For instance, the study titled “Golden Subject Is Everyone: A Subject Transfer Neural Net work for Motor Imagery-based Brain Computer Interfaces” [106] explores the use of neural networks to transfer knowledge between individuals in the context of motor-imagery-based brain–computer interfaces."  — Explanation: The article references a related BCI study in its discussion, highlighting the emerging trend of integrating artificial intelligence (neural networks) to create more generalized, personalized BCI applications by transferring knowledge between subjects.</t>
  </si>
  <si>
    <t>O artigo aborda IA ou neuroestimulação personalizada.</t>
  </si>
  <si>
    <t>RQ9 Excerpt: “These limitations underscore the need for future research with larger and more diverse samples, longer follow-up periods, and additional control groups. By addressing these methodological considerations, a more comprehensive understanding of the effectiveness and potential limitations of guided imagery can be achieved, not only in the context of stress management but also in terms of enhancing attentional control test results.” — Explanation: While focused on guided imagery, the authors explicitly state research gaps (larger/diverse samples, longer follow-up, more control groups) that are relevant general recommendations for future work linking EEG/BCI research to cognitive and clinical outcomes.</t>
  </si>
  <si>
    <t>O artigo aponta lacunas, indica que há pouca pesquisa sobre GI + EEG: “Given the limited existing research on the specific impact of guided imagery on attention control, the study’s findings carry notable significance.”</t>
  </si>
  <si>
    <t>Chan WL, Olbrich S, Jiang X, Zhang H, Ip CT, Brunovsky M. Subanesthetic ketamine alters EEG signal complexity: Implications for treatment stratification in depression. J Affect Disord. 2025 Oct 1;386:119477. doi: 10.1016/j.jad.2025.119477. Epub 2025 May 24. PMID: 40419149.</t>
  </si>
  <si>
    <r>
      <rPr>
        <rFont val="Arial"/>
        <color rgb="FF1155CC"/>
        <u/>
      </rPr>
      <t>https://pubmed.ncbi.nlm.nih.gov/40419149/</t>
    </r>
    <r>
      <rPr>
        <rFont val="Arial"/>
      </rPr>
      <t xml:space="preserve"> </t>
    </r>
  </si>
  <si>
    <t xml:space="preserve">Czech Republic
</t>
  </si>
  <si>
    <t>O estudo usa EEG não-invasivo para medir complexidade de sinais cerebrais durante infusão de ketamina em pacientes com depressão.</t>
  </si>
  <si>
    <t>Switzerland</t>
  </si>
  <si>
    <t>O artigo foca em major depressive disorder (MDD), especialmente na forma resistente ao tratamento (TRD): “Major depressive disorder, particularly its treatment-resistant form (TRD), poses significant treatment challenges.”</t>
  </si>
  <si>
    <t>O estudo usa:
Montgomery-Åsberg Depression Rating Scale (MADRS) para avaliar sintomas clínicos.
EEG Lempel-Ziv complexity (LZCT e LZCS) como biomarcadores de resposta.</t>
  </si>
  <si>
    <t>O artigo não trata de memória ou atenção diretamente, mas mostra que EEG pode prever resposta antidepressiva e está ligado a neuroplasticidade.</t>
  </si>
  <si>
    <t>Excerpt: "Additionally, the use of a 22-channel EEG cap restricted spatial resolution, likely to constrain the ability of $LZC_{S}$ to detect topographic variability. [...] Moreover, the small sample size may compromise the statistical power and robustness of our conclu- sions. The use of a single-blind, fixed-sequence design introduces po- tential biases." 1111 — Explanation: The authors list methodological drawbacks of their study that apply as technical barriers (limited EEG channels for spatial resolution) and clinical/design barriers (small sample size and fixed-sequence design) for research in the field.</t>
  </si>
  <si>
    <t>O artigo menciona limitações técnicas:
Pequeno tamanho da amostra.
Resultados inconsistentes entre regiões cerebrais.
Complexidade excessiva pode não se traduzir em melhora clínica.</t>
  </si>
  <si>
    <t>O artigo não menciona IA ou neuroestimulação personalizada.</t>
  </si>
  <si>
    <t>O artigo aponta lacunas:
Necessidade de validar LZC como biomarcador preditivo.
Explorar melhor a relação entre complexidade neural e resposta clínica.
“The utility of LZC in predicting treatment response to ketamine, particularly in TRD, has not been systematically validated.”</t>
  </si>
  <si>
    <t>Jaiswal S, Purpura SR, Manchanda JK, Nan J, Azeez N, Ramanathan D, Mishra J. Design and Implementation of a Brief Digital Mindfulness and Compassion Training App for Health Care Professionals: Cluster Randomized Controlled Trial. JMIR Ment Health. 2024 Jan 22;11:e49467. doi: 10.2196/49467. PMID: 38252479; PMCID: PMC10845023.</t>
  </si>
  <si>
    <r>
      <rPr>
        <rFont val="Arial"/>
        <color rgb="FF1155CC"/>
        <u/>
      </rPr>
      <t>https://pubmed.ncbi.nlm.nih.gov/38252479/</t>
    </r>
    <r>
      <rPr>
        <rFont val="Arial"/>
      </rPr>
      <t xml:space="preserve"> </t>
    </r>
  </si>
  <si>
    <t>United States</t>
  </si>
  <si>
    <t>O estudo usa EEG não-invasivo para medir atividade neural durante tarefas de atenção à respiração, antes e depois do treinamento digital. trata-se de BCI não-invasiva (EEG).</t>
  </si>
  <si>
    <t>O artigo não foca em um transtorno específico, mas em burnout e estresse ocupacional em profissionais de saúde.</t>
  </si>
  <si>
    <t>Excerpt: “We evaluated the primary outcomes of change in mindfulness and self-compassion and monitored sessions of training engagement. [...] Finally, this study also uniquely assayed objective neurophysiological plasticity associated with the training alongside subjective behavioral changes. For this, we measured electroencephalography (EEG)-based brain signals on an interoceptive attention-to-breathing task, assessed before and after training.” — Explanation: The study used a combination of subjective behavioral assessments (mindfulness and self-compassion scales) and objective neurophysiological measures (EEG-based brain signals) to track the training's effectiveness.</t>
  </si>
  <si>
    <t>O estudo usa:
Escalas comportamentais: Self-Compassion Scale, Mindful Attention Awareness Scale, Maslach Burnout Inventory.
EEG source imaging para medir atividade em redes neurais (Default Mode Network, FPN, CON).</t>
  </si>
  <si>
    <t>Excerpt: “Overall, this digital meditative practice is considered closed loop because of its performance-adaptive feature [22,23]. Consistent attention to breathing is emphasized over other types of breathing techniques, such as deep breathing. The moment-to-moment performance tracking further allows quantification of the attentive focus during each session, which is not possible with traditional nondigital meditation.” — Explanation: The "closed-loop," performance-adaptive digital system allows for the tracking and quantification of "attentive focus" during breath monitoring, which serves as a cognitive training and enhancement mechanism.</t>
  </si>
  <si>
    <t>O artigo mostra que o treinamento digital com EEG está associado a melhora em atenção plena e autocompaixão, além de supressão da DMN (rede cerebral ligada a divagação mental e ruminação).</t>
  </si>
  <si>
    <t>Excerpt: “As per the limitations of this study, the sample size and nonactive control group are the primary limitations, although it is worth noting that this is the first ever implementation of the digital WellMind intervention in health care professionals. [...] These challenges include a clear lack of time for physicians as well as concerns regarding confidentiality and discrimination within this workforce.” — Explanation: The article points out methodological limitations (small sample size, nonactive control group) as clinical barriers, and also highlights adoption barriers like lack of time for healthcare professionals, and ethical concerns over confidentiality and discrimination.</t>
  </si>
  <si>
    <t>artigo não discute barreiras éticas em profundidade, mas menciona limitações:
Pequeno tamanho da amostra.
Treinamento individual não altera burnout significativamente (precisa de intervenção organizacional).</t>
  </si>
  <si>
    <t>Excerpt: “This digital program is Health Insurance Portability and Accountability Act (HIPAA) compliant and secured by password protection, and each user interacts through an alphanumeric study ID that is not linked to any personal health information. [...] All data is de-identified, and up to US $150 in compensation was provided as an e-Gift card to all participants for completing all aspects of the study, including assessments and intervention procedures.” — Explanation: The study addresses security and privacy by ensuring the app is HIPAA compliant, secured by password, uses de-identified alphanumeric IDs not linked to personal health information, and confirms all collected data is de-identified.</t>
  </si>
  <si>
    <t>O estudo menciona que o app apresentando e usado no estudo é protegido por senha, garantindo privacidade dos dados: “This digital program is Health Insurance Portability and Accountability Act (HIPAA) compliant and secured by password protection.”</t>
  </si>
  <si>
    <t>Excerpt: “Also, individuals with high DMN activity at baseline experienced greater DMN suppression with training, suggesting baseline DMN activity as an individual-specific neural marker to determine who may benefit most from such training.” — Explanation: The finding that a baseline neural state (DMN activity) predicts the magnitude of training benefit is an emerging trend, indicating the potential for using individual-specific neural markers to personalize treatment and maximize efficacy.</t>
  </si>
  <si>
    <t>O artigo não fala de IA ou neuroestimulação personalizada, mas mostra tendência de treinamentos digitais escaláveis e adaptativos.</t>
  </si>
  <si>
    <t>O artigo não discute aspectos éticos ou filosóficos de expansão neurológica.</t>
  </si>
  <si>
    <t>Excerpt: “The use of an active control group (e.g., providing a different, non-mindfulness, or non-compassion digital training) is necessary in the future to rule out effects related to time, contact, and expectation differences.” — Explanation: A key methodological gap is the need for an active control group (rather than a no-contact group) to conclusively confirm that the positive effects are due to the specific intervention and not simply the result of time, contact, or user expectation.</t>
  </si>
  <si>
    <t>O artigo aponta lacunas:
Necessidade de estudos maiores.
Integração com intervenções organizacionais para impacto em burnout.</t>
  </si>
  <si>
    <t>Horváth D, Négyesi J, Rácz M, Győri T, Matics Z, Puskin A, Csipor J, Rácz L. Feasibility of a novel neurofeedback system: a parallel randomized single-blinded pilot study. Sci Rep. 2023 Oct 13;13(1):17353. doi: 10.1038/s41598-023-44545-1. PMID: 37833489; PMCID: PMC10576027.</t>
  </si>
  <si>
    <r>
      <rPr>
        <rFont val="Arial"/>
        <color rgb="FF1155CC"/>
        <u/>
      </rPr>
      <t>https://pubmed.ncbi.nlm.nih.gov/37833489/</t>
    </r>
    <r>
      <rPr>
        <rFont val="Arial"/>
      </rPr>
      <t xml:space="preserve"> </t>
    </r>
  </si>
  <si>
    <t>Hungary</t>
  </si>
  <si>
    <t>O estudo usa neurofeedback (NF) via EEG não-invasivo, com um novo sistema chamado neuroMoon (nM).</t>
  </si>
  <si>
    <t>Excerpt: “There is a growing body of literature that supports the effectiveness of NF, particularly in the field of cognitive functions and attention-deficit/hyperactivity disorder (ADHD)”. — Explanation: The article specifically points out that neurofeedback research shows effectiveness for cognitive function and Attention-Deficit/Hyperactivity Disorder (ADHD), suggesting these areas have received significant attention.</t>
  </si>
  <si>
    <t>Este artigo não foca em transtornos clínicos, mas em atletas jovens saudáveis, avaliando cognição e desempenho perceptual-cognitivo.</t>
  </si>
  <si>
    <t>Excerpt: “The NF protocol used is aimed at increasing the sensorimotor rhythm-theta ratio (SMR/T)... To assess the success of the nM neurofeedback training, Mann-Whitney U test was performed to com- pare the differences between the real and sham nM groups. Furthermore, to establish the relationship between behavioral and EEG changes, a comprehensive correlation analysis was performed.”. — Explanation: The effectiveness is measured primarily by tracking changes in the SMR/T EEG ratio and comparing these neurophysiological metrics using statistical tests (Mann-Whitney U, correlation analysis) against behavioral outcomes.</t>
  </si>
  <si>
    <t>O estudo usa:
Vienna Test System (VTS): Stroop, Trail-Making, Task-Switching, Reaction Test, Determination Test.
Digit Span Backwards (DSB) para memória de trabalho.
EEG medidas (SMR/T ratio) durante Neurofeedback.</t>
  </si>
  <si>
    <t>Excerpt: “This closed-loop method helps individuals to control or modify their cortical activity through learned self-regulation, with the aim of improving alertness, reducing anxiety and enhancing cognitive abilities such as attention, memory, and behavior.”. — Explanation: Brain-Computer Interfaces in the form of Neurofeedback (NF) are described as a closed-loop technique that aims to enhance cognitive abilities, including attention and memory, through learned self-regulation of brain function.</t>
  </si>
  <si>
    <t>O artigo mostra que o neurofeedback (SMR/T ratio) foi usado para melhorar atenção, memória de trabalho e velocidade de reação.</t>
  </si>
  <si>
    <t>Excerpt: “An additional challenge of lightweight EEG hardware is the lack of working electrodes above the areas that are most frequently used in SMR/T NF procedures, most notably, Cz/Pz locations.”. — Explanation: A main technical barrier is the design limitation of portable/lightweight EEG devices, which often lack the necessary number and strategic placement of electrodes (like Cz/Pz) required for optimal Neurofeedback procedures.</t>
  </si>
  <si>
    <t>O artigo aponta limitações:
Melhorias também ocorreram no grupo sham, sugerindo efeito placebo.
Pequeno tamanho da amostra.</t>
  </si>
  <si>
    <t>artigo não menciona IA ou neuroestimulação personalizada, mas mostra tendência de headsets portáteis de EEG com Neurofeedback gamificado.</t>
  </si>
  <si>
    <t>O artigo não discute aspectos éticos ou filosóficos.</t>
  </si>
  <si>
    <t>Excerpt: “However, considering that the sham stimulation also induced similar improvements in cognitive abilities, future studies should clearly determine the cognitive measures that could benefit from NF training.”. — Explanation: A crucial research gap is the need to isolate the true effects of Neurofeedback, as the control (sham) stimulation produced similar cognitive improvements, making it difficult to determine which specific measures benefit from the real training.</t>
  </si>
  <si>
    <t>O artigo aponta lacunas:
Necessidade de estudos maiores.
Determinar quais medidas cognitivas realmente se beneficiam do Neurofeedback</t>
  </si>
  <si>
    <t>Krylova, Marina et al. “Comprehensive Mitigation of Peripheral and Central Stress Responses by Nx4: Insights From EEG and Heart Rate Variability in Post‐Stress Resting State.” Human Psychopharmacology 40 (2025): n. pag.</t>
  </si>
  <si>
    <t>Clinical Pharmacology</t>
  </si>
  <si>
    <r>
      <rPr>
        <rFont val="Arial"/>
        <color rgb="FF1155CC"/>
        <u/>
      </rPr>
      <t>https://onlinelibrary.wiley.com/doi/10.1002/hup.70020?af=R</t>
    </r>
    <r>
      <rPr>
        <rFont val="Arial"/>
      </rPr>
      <t xml:space="preserve">  10.1002/hup.70020 </t>
    </r>
  </si>
  <si>
    <t>Germany</t>
  </si>
  <si>
    <t>Artigo indisponivel publicamente</t>
  </si>
  <si>
    <t xml:space="preserve">Xin Zhao, Chen Dang, Joseph H.R. Maes,
Effects of working memory training on EEG, cognitive performance, and self-report indices potentially relevant for social anxiety,
Biological Psychology,
Volume 150,
2020,
107840,
ISSN 0301-0511,
https://doi.org/10.1016/j.biopsycho.2019.107840.
(https://www.sciencedirect.com/science/article/pii/S0301051119306246)
Abstract: Social anxiety (SA) is quite common and associated with multiple comorbidities. Here, we examined the effects of working memory (WM) training on various indices potentially related to SA. Pre-selected university students with elevated self-reported SA symptoms were assigned to a WM training (n = 21) or an active control treatment condition (n = 21). Pre- and post-treatment assessments were made using questionnaires related to (social) anxiety and depression, and tasks measuring WM, interference control, and attentional biases towards, and event-related potentials (ERPs) elicited by, angry faces. The training enhanced WM transfer task performance, reduced SA symptoms, and changed the amplitude of the P1, N170, P2, and N2 ERP components. However, the latter changes did not mediate the effect of WM training on SA symptoms. These data provide preliminary evidence of the usefulness of WM trainings to reduce potential indices of SA, but further research is necessary to unravel the causal relation among these indices.
Keywords: Social anxiety; Working memory training; Attentional bias; Event-related potentials; Students
</t>
  </si>
  <si>
    <t>https://doi.org/10.1016/j.biopsycho.2019.107840</t>
  </si>
  <si>
    <t>Excerpt: “Brain-computer interfaces are divided into non-invasive, semi-invasive, and invasive brain-computer interfaces.” — Explanation: The article defines the three major types of BCI (non-invasive, semi-invasive, invasive) and claims that all are considered for mental-illness treatment.</t>
  </si>
  <si>
    <t>O estudo usa EEG não-invasivo para medir event-related potentials (ERPs) durante tarefas cognitivas e emocionais.</t>
  </si>
  <si>
    <t>O GPT começou a considerar o EGG não invasivo como BCI não invasivo.</t>
  </si>
  <si>
    <t xml:space="preserve">Excerpt: “At present, brain-computer interface has made great progress in the treatment of depression, autism and Cognitive impairment disease … At present, experts are working on the study of diseases such as schizophrenia.” — Explanation: The article lists depression, autism, cognitive impairment conditions, and schizophrenia as mental disorders receiving attention in BCI research. </t>
  </si>
  <si>
    <t>Excerpt: “Social anxiety (SA) refers to a negative emotional experience caused by people's fear of negative evaluation by others in social situations. Social anxiety disorder (SAD) or social phobia are extreme manifestations of social anxiety. SAD is quite common... and shows a strong comorbidity with various other negative conditions and behaviors, such as drug dependence, sleep disorder, depression, mood disorder...” 
Explanation: The study primarily investigates Social Anxiety (SA) and Social Anxiety Disorder (SAD), while noting its links to depression and other conditions.</t>
  </si>
  <si>
    <t>O artigo foca em social anxiety (SA) e sintomas relacionados.</t>
  </si>
  <si>
    <t xml:space="preserve">Excerpt: “EEG is used to record the brain waves produced by the brain, and by analyzing different frequencies of brain waves, it shows the patient's sleep state and the depth and duration of sleep.” — Explanation: For mental-illness applications (e.g. sleep disorders), the article specifies EEG signal-analysis (brain-wave frequency, sleep state, depth and duration) as a metric for evaluation. </t>
  </si>
  <si>
    <t>Excerpt: “Pre- and post-treatment assessments were made using questionnaires related to (social) anxiety and depression, and tasks measuring WM, interference control, and attentional biases towards, and event-related potentials (ERPs) elicited by, angry faces.” 
Explanation: The effectiveness of the intervention was evaluated using a combination of self-report questionnaires, behavioral tasks (dot-probe, Stroop, n-back), and neurophysiological metrics (specifically EEG Event-Related Potentials like P1, N170, P2, and N2).</t>
  </si>
  <si>
    <t>O estudo usa:
Questionários: Liebowitz Social Anxiety Scale (LSAS), STAI-T, Beck Depression Inventory.
Tarefas cognitivas: n-back (treino), Stroop (interferência), dot-probe (atenção a faces).
EEG/ERP: P1, N170, P2, N2 amplitudes.</t>
  </si>
  <si>
    <t>Excerpt: “WM, specifically WM updating, is an important component of executive functions (Miyake et al., 2000) and strongly linked to the concept of controlled or executive attention (Engle, 2002)... Accordingly, WM updating training might generally enhance attentional control and reduce the influence of more automatic, bottom-up processes putatively underlying symptoms of SA(D).” 
Explanation: The study explores using Working Memory (WM) training as a method to enhance executive functions (EF) and attentional control, aiming to strengthen the "top-down" cognitive system to regulate anxiety.</t>
  </si>
  <si>
    <t>O artigo mostra que o treino de memória de trabalho (WM) reduziu sintomas de ansiedade social e melhorou desempenho em tarefas cognitivas.</t>
  </si>
  <si>
    <t xml:space="preserve">Excerpt: “Invasive brain-computer interface may impair parts of the brain's function over time and may be associated with reactive glial cell proliferation and inflammatory responses. … aging, corrosion and replacement of electrodes or chips are also serious problems. … high price of materials, and ethical issues such as privacy leakage after implantation of brain-computer interfaces.” — Explanation: The article identifies technical (electrode degradation, biocompatibility), clinical (long-term safety), and ethical/privacy barriers limiting BCI adoption. </t>
  </si>
  <si>
    <t>Excerpt: “In recent years, doubts have been raised with respect to the reliability and validity of dot-probe task-based measures of attentional bias. For example, Kappenman, Farrens, Luck, and Proudfit, (2014) and Schmuckle (2005) found a weak internal consistency and/or retest reliability associated with the standard outcome measures of this task.” 
Explanation: The authors highlight technical/clinical barriers regarding the reliability and validity of standard assessment tools (specifically the dot-probe task) used to measure attentional biases in this field.</t>
  </si>
  <si>
    <t>O artigo aponta limitações:
Resultados preliminares (pequena amostra) e Limites tecnicos.</t>
  </si>
  <si>
    <t xml:space="preserve">Excerpt: “ethical issues such as privacy leakage after implantation of brain-computer interfaces.” — Explanation: The article mentions privacy leakage as an ethical/data-security concern, touching on the issue of neural-data integrity/security. </t>
  </si>
  <si>
    <t xml:space="preserve">Excerpt: “the application of this technology is still in its infancy … more research and experiments are needed to verify its effectiveness and safety.” — Explanation: The authors explicitly note that BCI applications for mental illness remain nascent and call for further research to establish effectiveness and safety, indicating research gaps. </t>
  </si>
  <si>
    <t>Excerpt: “These data provide preliminary evidence of the usefulness of WM trainings to reduce potential indices of SA, but further research is necessary to unravel the causal relation among these indices.” 
Explanation: The conclusion identifies a research gap concerning the causal mechanisms between cognitive training, symptom reduction, and neurophysiological changes, necessitating further study to confirm how these factors influence each other.</t>
  </si>
  <si>
    <t>O artigo aponta lacunas:
Necessidade de mais estudos para confirmar relação causal entre treino, ERPs e melhora clínica.</t>
  </si>
  <si>
    <t xml:space="preserve">Zozan Guleken, Gökçer Eskikurt, Sacit Karamürsel,
Investigation of the effects of transcranial direct current stimulation and neurofeedback by continuous performance test,
Neuroscience Letters,
Volume 716,
2020,
134648,
ISSN 0304-3940,
https://doi.org/10.1016/j.neulet.2019.134648.
(https://www.sciencedirect.com/science/article/pii/S0304394019307517)
Abstract: Transcranial direct current stimulation (tDCS) is a noninvasive neuromodulation technique based on weak direct current stimulation through the scalp. Neurofeedback (NFB) is a learning strategy that may help alter to brain wave parameters, by monitoring electroencephalography (EEG) feedback via special programs. We aimed to investigate the supportive effects of tDCS in addition to NFB training. 16 healthy volunteers were divided equally into two groups. One of the groups was trained by NFB with the sensorimotor rhythm (SMR) protocol; 2 days per week, 10 sessions of 30 min, the other group received 10 min of tDCS before each NFB sessions. Continuous Performance Test (CPT) was used to measure, response time and suppression and to determine selective attention condition. Also, Beck Depression and Anxiety Inventories were used to exclude people with depression and anxiety. Depression scores of NFB + tDCS group were decreased significantly. CPT scores were better at last sessions for both groups compared to the first sessions. Sessions were analyzed by comparing 1st, 2nd, 5th and 10th sessions. While the NFB + tDCS group had statistically significant changes at theta/beta ratios with SMR and alpha band amplitudes, NFB group statistics had changed at theta/SMR ratios. NFB training shows its effects at the end of 10 sessions. Despite an increase in the latencies of correct and commission responses on the task of CPT, additional use of tDCS improves cognitive performance. Also, tDCS has a supportive effect on the healthy participants who have mild anxiety and depression; also inhibition deficits of subjects were clear.
Keywords: Neurofeedback; Transcranial direct current stimulation; Continuous performance test; Sensorimotor rhythm; Inhibition; Neuromodulation
</t>
  </si>
  <si>
    <r>
      <rPr>
        <rFont val="Arial"/>
        <color rgb="FF1155CC"/>
        <u/>
      </rPr>
      <t>https://doi.org/10.1016/j.neulet.2019.134648</t>
    </r>
    <r>
      <rPr>
        <rFont val="Arial"/>
      </rPr>
      <t xml:space="preserve"> </t>
    </r>
  </si>
  <si>
    <t>Turkey</t>
  </si>
  <si>
    <t>Excerpt: “Transcranial direct current stimulation (tDCS) is a noninvasive neuromodulation technique based on weak direct current stimulation through the scalp.” — Explanation: This article describes the BCI methods used (tDCS and neurofeedback via EEG) as noninvasive, showing that non‑invasive BCIs are the dominant type in this mental‑health / cognitive‑performance context.</t>
  </si>
  <si>
    <t>Excerpt: “Transcranial direct current stimulation (tDCS) is a noninvasive neuromodulation technique based on weak direct current stimulation through the scalp. Neurofeedback (NFB) is a learning strategy that may help alter to brain wave parameters...” 
Explanation: The article defines and utilizes two non-invasive techniques: Transcranial Direct Current Stimulation (tDCS) and Neurofeedback (NFB) , classifying them as non-invasive neuromodulation and learning strategies respectively.</t>
  </si>
  <si>
    <t>O estudo usa duas técnicas não-invasivas:
Neurofeedback (NFB) via EEG.
Transcranial Direct Current Stimulation (tDCS).</t>
  </si>
  <si>
    <t>Excerpt: “tDCS … had positive results on patients addicted to smoke, drug, alcohol, methamphetamines and cocaine who have problems with selective attention [5–7].” And also: “tDCS has positive effects on psychiatric disorders and may be used as an additional treatment tool.” — Explanation: Though the present study used healthy volunteers, the authors reference prior research on substance‑use disorders (“addicted to smoke, drug, alcohol, … methamphetamines and cocaine”) and more broadly “psychiatric disorders,” implying that addiction and related disorders have received attention in BCI applications.</t>
  </si>
  <si>
    <t>Excerpt: “Also, tDCS has a supportive effect on the healthy participants who have mild anxiety and depression...” 
Explanation: While the study was conducted on healthy volunteers, it specifically investigated the effects on mild anxiety and depression symptoms, and used clinical inventories for these conditions.</t>
  </si>
  <si>
    <t>O artigo não foca em pacientes clínicos, mas em voluntários saudáveis. Ainda assim, mede depressão e ansiedade leves com inventários de Beck.</t>
  </si>
  <si>
    <t>Excerpt: “Continuous Performance Test (CPT) was used to measure, response time and suppression and to determine selective attention condition.” And: “Through NFB applications, average amplitudes of the delta, theta, alpha, SMR, beta1, beta2 bands and theta/SMR and theta/beta ratios were obtained.” And also: “Also, pre- and after-training BDI and BAI scores were compared.” — Explanation: The study uses behavioral metrics (CPT: correct/commission/omission responses and reaction times), EEG spectral measures (amplitude of various bands and band‑ratios), and self-report inventories for depression/anxiety (BDI/BAI) to evaluate effectiveness of the BCI interventions.</t>
  </si>
  <si>
    <t>Excerpt: “Continuous Performance Test (CPT) was used to measure, response time and suppression and to determine selective attention condition. Also, Beck Depression and Anxiety Inventories were used...” 
Explanation: The study evaluated effectiveness using the Continuous Performance Test (CPT) for cognitive metrics (attention, response time) and the Beck Depression and Anxiety Inventories (BDI, BAI) for psychological symptom scoring.</t>
  </si>
  <si>
    <t>O estudo usa:
Continuous Performance Test (CPT) para atenção seletiva e inibição.
Inventários Beck de Depressão (BDI) e Ansiedade (BAI).
EEG bandas (theta, alpha, SMR, beta) e suas razões.</t>
  </si>
  <si>
    <t>Excerpt: “The test aimed to observe random changes to the given stimuli.” (CPT measuring selective attention, response time and suppression). And: “In this study, the selective attention and inhibition effect of the theta/SMR protocol supports previous studies.” — Explanation: The article shows that BCI (NFB, with or without tDCS) was used to enhance cognitive functions such as selective attention and response inhibition. Although memory is not directly measured, attention and inhibitory control—key cognitive abilities—are assessed.</t>
  </si>
  <si>
    <t>Excerpt: “Despite an increase in the latencies of correct and commission responses on the task of CPT, additional use of tDCS improves cognitive performance.” 
Explanation: The research specifically aimed to enhance cognitive abilities, finding that the addition of tDCS to Neurofeedback training improves cognitive performance as measured by the CPT.</t>
  </si>
  <si>
    <t>O artigo mostra que NFB e tDCS melhoraram:
Atenção seletiva (menos erros no CPT).
Inibição (redução de comissões e omissões).
Desempenho cognitivo (melhora em bandas EEG ligadas à atenção e memória).</t>
  </si>
  <si>
    <t>Excerpt: “additional trainings and tDCS applications are needed in a larger subject group using different protocols to improve values of tDCS studies.” — Explanation: The only “limitation” mentioned is the small sample size and the need for further studies with larger groups and varied protocols. The article does not discuss technical or ethical barriers explicitly, so broader barriers remain unaddressed.</t>
  </si>
  <si>
    <t>O artigo aponta limitações:
Pequeno tamanho da amostra (n=16).
Resultados preliminares em voluntários saudáveis (não pacientes).
Necessidade de mais sessões para efeitos robustos.</t>
  </si>
  <si>
    <t>O artigo não menciona IA</t>
  </si>
  <si>
    <t>Excerpt: “Also, additional trainings and tDCS applications are needed in a larger subject group using different protocols to improve values of tDCS studies.” — Explanation: The authors identify the need for replication with larger samples and different protocols, indicating a research gap in validating and generalizing their findings before broader therapeutic or enhancement use.</t>
  </si>
  <si>
    <t>O artigo aponta lacunas:
Necessidade de mais estudos clínicos (não apenas em voluntários saudáveis).
Explorar melhor efeitos de longo prazo e mecanismos neurofisiológicos.</t>
  </si>
  <si>
    <t xml:space="preserve">Aki Tsuchiyagaito, Jared L. Smith, Nour El-Sabbagh, Vadim Zotev, Masaya Misaki, Obada Al Zoubi, T. Kent Teague, Martin P. Paulus, Jerzy Bodurka, Jonathan Savitz,
Real-time fMRI neurofeedback amygdala training may influence kynurenine pathway metabolism in major depressive disorder,
NeuroImage: Clinical,
Volume 29,
2021,
102559,
ISSN 2213-1582,
https://doi.org/10.1016/j.nicl.2021.102559.
(https://www.sciencedirect.com/science/article/pii/S2213158221000036)
Abstract: Real-time fMRI neurofeedback (rtfMRI-nf) left amygdala (LA) training is a promising intervention for major depressive disorder (MDD). We have previously proposed that rtfMRI-nf LA training may reverse depression-associated regional impairments in neuroplasticity and restore information flow within emotion-regulating neural circuits. Inflammatory cytokines as well as the neuroactive metabolites of an immunoregulatory pathway, i.e. the kynurenine pathway (KP), have previously been implicated in neuroplasticity. Therefore, in this proof-of-principle study, we investigated the association between rtfMRI-nf LA training and circulating inflammatory mediators and KP metabolites. Based on our previous work, the primary variable of interest was the ratio of the NMDA-receptor antagonist, kynurenic acid to the NMDA receptor agonist, quinolinic acid (KynA/QA), a putative neuroprotective index. We tested two main hypotheses. i. Whether rtfMRI-nf acutely modulates KynA/QA, and ii. whether baseline KynA/QA predicts response to rtfMRI-nf. Twenty-nine unmedicated participants who met DSM-5 criteria for MDD based on the Mini-International Neuropsychiatric Interview and had current depressive symptoms (Montgomery-Åsberg Depression Rating Scale (MADRS) score &gt; 6) completed two rtfMRI-nf sessions to upregulate LA activity (Visit1 and 2), as well as a follow-up (Visit3) without rtfMRI-nf. All visits occurred at two-week intervals. At all three visits, the MADRS was administered to participants and serum samples for the quantification of inflammatory cytokines and KP metabolites were obtained. First, the longitudinal changes in the MADRS score and immune markers were tested by linear mixed effect model analysis. Further, utilizing a linear regression model, we investigated the relationship between rtfMRI-nf performance and immune markers. After two sessions of rtfMRI-nf, MADRS scores were significantly reduced (t[58] = −4.07, p = 0.009, d = 0.56). Thirteen participants showed a ≥ 25% reduction in the MADRS score (the partial responder group). There was a significant effect of visit (F[2,58] = 3.17, p = 0.05) for the neuroprotective index, KynA to 3-hydroxykynurenine (3-HK), that was driven by a significant increase in KynA/3-HK between Visit1 and Visit3 (t[58] = 2.50, p = 0.03, d = 0.38). A higher baseline level of KynA/QA (β = 5.23, p = 0.06; rho = 0.49, p = 0.02) was associated with greater ability to upregulate the LA. Finally, for exploratory purposes correlation analyses were performed between the partial responder and the non-responder groups as well as in the whole sample including all KP metabolites and cytokines. In the partial responder group, greater ability to upregulate the LA was correlated with an increase in KynA/QA after rtfMRI-nf (rho = 0.75, p = 0.03). The results are consistent with the possibility that rtfMRI-nf decreases metabolism down the so-called neurotoxic branch of the KP. Nevertheless, non-specific effects cannot be ruled out due to the lack of a sham control. Future, controlled studies are needed to determine whether the increase in KynA/3HK and KynA/QA is specific to rtfMRI-nf or whether it is a non-specific correlate of the resolution of depressive symptoms. Similarly, replication studies are needed to determine whether KynA/QA has clinical utility as a treatment response biomarker.
Keywords: fMRI neurofeedback; Amygdala; Blood markers; Inflammation; Kynurenine pathway; Depression
</t>
  </si>
  <si>
    <r>
      <rPr>
        <rFont val="Arial"/>
        <color rgb="FF1155CC"/>
        <u/>
      </rPr>
      <t>https://doi.org/10.1016/j.nicl.2021.102559</t>
    </r>
    <r>
      <rPr>
        <rFont val="Arial"/>
      </rPr>
      <t xml:space="preserve"> </t>
    </r>
  </si>
  <si>
    <t>Excerpt: “real-time functional magnetic resonance imaging neurofeedback (rtfMRI-nf)… non-invasive brain neuromodulation approaches” — Explanation: The article describes rtfMRI-nf as a non-invasive neuromodulation method. It does not discuss invasive or hybrid BCIs.</t>
  </si>
  <si>
    <t>Excerpt: "Real-time fMRI neurofeedback (rtfMRI-nf) left amygdala (LA) training is a promising intervention for major depressive disorder (MDD)." — Explanation: The study focuses on a specific non-invasive BCI application: real-time fMRI neurofeedback (rtfMRI-nf), which is presented as a promising approach for MDD.</t>
  </si>
  <si>
    <t>O estudo usa real-time fMRI neurofeedback (rtfMRI-nf), que é uma forma não-invasiva de BCI.</t>
  </si>
  <si>
    <t>Excerpt: “Major depressive disorder (MDD) is a devastating neuropsychiatric disease…” — Explanation: The only mental disorder studied is major depressive disorder (MDD). No other conditions (e.g., anxiety, ADHD, schizophrenia) are analyzed.</t>
  </si>
  <si>
    <t>Excerpt: "Real-time fMRI neurofeedback (rtfMRI-nf) left amygdala (LA) training is a promising intervention for major depressive disorder (MDD)." — Explanation: The article is entirely focused on Major Depressive Disorder (MDD), which it states is a devastating neuropsychiatric disease for which novel treatments are urgently needed.</t>
  </si>
  <si>
    <t>O artigo foca em major depressive disorder (MDD), incluindo pacientes não medicados.</t>
  </si>
  <si>
    <t>Excerpt: “the Montgomery-Åsberg Depression Rating Scale (MADRS)… serum samples for the quantification of cytokines and KP metabolites… linear mixed effect model analysis.” — Explanation: Effectiveness was evaluated using MADRS scores, cytokines, kynurenine pathway metabolites, and mixed-effects statistical modeling.</t>
  </si>
  <si>
    <t>Excerpt: "After two sessions of rtfMRI-nf, MADRS scores were significantly reduced... There was a significant effect of visit... for the neuroprotective index, KynA to 3-hydroxykynurenine (3-HK), that was driven by a significant increase in KynA/3-HK between Visit1 and Visit3." — Explanation: Effectiveness was measured using a clinical self-report scale, the Montgomery-Asberg Depression Rating Scale (MADRS), and specific blood markers of neuroplasticity and inflammation, primarily the ratio of kynurenine pathway metabolites KynA/3-HK and KynA/QA.</t>
  </si>
  <si>
    <t>O estudo usa:
Montgomery-Åsberg Depression Rating Scale (MADRS) para sintomas clínicos.
fMRI BOLD signal da amígdala esquerda.
Biomarcadores sanguíneos: citocinas inflamatórias e metabólitos da via do quinurenina (KynA, QA, 3-HK).</t>
  </si>
  <si>
    <t>Excerpt: "In previous studies, we leveraged recent advances in rtfMRI-nf to provide MDD individuals with training to enhance their capacity to upregulate left amygdala (LA) activity in response to the recall of positive autobiographical memories..." — Explanation: rtfMRI-nf is used as a brain-based therapy to provide individuals with information about their brain activity and an opportunity to learn to control it. In this case, the training enhances the capacity to upregulate the left amygdala in response to recalling positive autobiographical memories.</t>
  </si>
  <si>
    <t>O artigo não trata de memória ou atenção diretamente, mas mostra que o neurofeedback pode modular circuitos emocionais e neuroplasticidade.</t>
  </si>
  <si>
    <t>Excerpt: “because of the lack of a sham control group, we are unable to identify a direct causal relationship…”; “sample size… exploratory nature… possibility of both type I and type II errors”; “peripheral concentrations… may not reflect brain levels.” — Explanation: The article acknowledges technical limits (peripheral vs. CNS biomarkers), clinical constraints (small sample, no sham control), and methodological limitations, but does not discuss broad ethical issues.</t>
  </si>
  <si>
    <t>Excerpt: "Nevertheless, non-specific effects cannot be ruled out due to the lack of a sham control." and "A future study needs to control these variables to exclude potential confounding effects." — Explanation: A major clinical/methodological barrier is the current study's lack of a sham control group, which prevents ruling out non-specific effects. Other confounding clinical variables like BMI, smoking history, and medication history also limit the certainty of the results.</t>
  </si>
  <si>
    <t>O artigo aponta limitações:
Pequeno tamanho da amostra (n=29).
Ausência de grupo sham (não dá para excluir efeitos não específicos).
Necessidade de replicação.</t>
  </si>
  <si>
    <t>Excerpt: “Future, controlled studies are needed… to evaluate the clinical utility of KynA/QA as a treatment response biomarker.” — Explanation: The only forward-looking trend mentioned is the possibility of using KP metabolites as biomarkers. No discussion of AI integration or personalized neurostimulation exists.</t>
  </si>
  <si>
    <t>Excerpt: "...the baseline serum concentration of KynA/QA may predict response to rtfMRI-nf LA emotional training. Additional controlled clinical trials with larger sample sizes are necessary... to evaluate the clinical utility of KynA/QA as a treatment response biomarker." — Explanation: The finding that a baseline biomarker (KynA/QA) is associated with the ability to upregulate the amygdala points to the emerging trend of using individual biological markers to predict response and personalize BCI-based treatments.</t>
  </si>
  <si>
    <t>O artigo não menciona IA, mas mostra tendência de usar biomarcadores (KynA/QA) como preditores de resposta ao neurofeedback.</t>
  </si>
  <si>
    <t>Excerpt: “This pilot study has several limitations… lack of a sham control group… small sample size… peripheral concentrations… may not reflect brain levels… future study needs to control these variables…” — Explanation: Research gaps include the need for controlled trials, larger samples, biomarker validation, and better control of confounders (BMI, menstrual cycle, inflammation, medication history).</t>
  </si>
  <si>
    <t>Excerpt: "Future, controlled studies are needed to determine whether the increase in KynA/3HK and KynA/QA is specific to rtfMRI-nf or whether it is a non-specific correlate of the resolution of depressive symptoms." — Explanation: A key gap is the need for controlled trials to confirm if the observed neurochemical changes are a specific result of the rtfMRI-nf intervention or simply a non-specific outcome associated with the general reduction of depressive symptoms.</t>
  </si>
  <si>
    <t>O artigo aponta lacunas:
Necessidade de estudos controlados com grupo sham.
Replicação para validar biomarcadores como KynA/QA.</t>
  </si>
  <si>
    <t>Jaiswal S, Purpura S, Manchanda J, Nan J, Azeez N, Ramanathan D, Mishra J
Design and Implementation of a Brief Digital Mindfulness and Compassion Training App for Health Care Professionals: Cluster Randomized Controlled Trial
JMIR Ment Health 2024;11:e49467
URL: https://mental.jmir.org/2024/1/e49467
DOI: 10.2196/49467</t>
  </si>
  <si>
    <r>
      <rPr>
        <rFont val="Arial"/>
        <color rgb="FF1155CC"/>
        <u/>
      </rPr>
      <t>https://doi.org/10.2196/49467</t>
    </r>
    <r>
      <rPr>
        <rFont val="Arial"/>
      </rPr>
      <t xml:space="preserve"> </t>
    </r>
  </si>
  <si>
    <t>Excerpt: “real-time functional magnetic resonance imaging neurofeedback (rtfMRI-nf)… non-invasive brain neuromodulation approaches” — Explanation: The article describes rtfMRI-nf as a non-invasive neuromodulation intervention. No invasive or hybrid BCIs are discussed.</t>
  </si>
  <si>
    <t>REPITIDO</t>
  </si>
  <si>
    <t>Excerpt: “Major depressive disorder (MDD) is a devastating neuropsychiatric disease…” — Explanation: The only mental disorder examined is major depressive disorder (MDD). No anxiety, schizophrenia, ADHD, or other conditions are included.</t>
  </si>
  <si>
    <t>O artigo não foca em um transtorno clínico, mas em burnout e estresse ocupacional em profissionais de saúde.</t>
  </si>
  <si>
    <t>Excerpt: “the Montgomery-Åsberg Depression Rating Scale (MADRS)… serum samples for the quantification of cytokines and KP metabolites… linear mixed effect model analysis.” — Explanation: Effectiveness was measured using MADRS scores, cytokine and kynurenine pathway metabolite levels, and mixed-effects regression models.</t>
  </si>
  <si>
    <t>Excerpt: “We evaluated the primary outcomes of change in mindfulness and self-compassion and monitored sessions of training engagement. [...] Finally, this study also uniquely assayed objective neurophysiological plasticity associated with the training alongside subjective behavioral changes. For this, we measured electroencephalography (EEG)-based brain signals on an interoceptive attention-to-breathing task, assessed before and after training.” — Explanation: Effectiveness was measured using subjective self-report scales for mindfulness and self-compassion, engagement metrics, and objective neurophysiological changes assessed via EEG-based brain signals during a task.</t>
  </si>
  <si>
    <t>Excerpt: “Overall, this digital meditative practice is considered closed loop because of its performance-adaptive feature [22,23]. Consistent attention to breathing is emphasized over other types of breathing techniques, such as deep breathing. The moment-to-moment performance tracking further allows quantification of the attentive focus during each session, which is not possible with traditional nondigital meditation.” — Explanation: The closed-loop, performance-adaptive digital system allows for moment-to-moment tracking and quantification of attentive focus during breath monitoring, which acts as a training mechanism to enhance this cognitive ability.</t>
  </si>
  <si>
    <t>O artigo mostra que o treinamento digital com EEG está associado a melhora em atenção plena e autocompaixão, além de supressão da DMN (rede ligada a divagação mental e ruminação).</t>
  </si>
  <si>
    <t>Excerpt: “because of the lack of a sham control group, we are unable to identify a direct causal relationship…”; “relatively small sample size and the exploratory nature… possibility of both type I and type II errors”; “the extent to which peripheral concentrations… reflect brain levels… is uncertain.” — Explanation: The article identifies technical limitations (peripheral biomarkers), clinical limitations (no sham group, small sample, confounders), but not broad ethical barriers.</t>
  </si>
  <si>
    <t>Excerpt: “As per the limitations of this study, the sample size and nonactive control group are the primary limitations... These challenges include a clear lack of time for physicians as well as concerns regarding confidentiality and discrimination within this workforce.” — Explanation: The article identifies clinical barriers (small sample size, nonactive control group) and adoption barriers (lack of time for professionals, and ethical concerns over confidentiality and discrimination).</t>
  </si>
  <si>
    <t>O artigo não discute barreiras éticas em profundidade, mas menciona limitações:
Pequeno tamanho da amostra.
Treinamento individual não altera burnout significativamente (precisa de intervenção organizacional).</t>
  </si>
  <si>
    <t>Excerpt: “This digital program is Health Insurance Portability and Accountability Act (HIPAA) compliant and secured by password protection, and each user interacts through an alphanumeric study ID that is not linked to any personal health information.” — Explanation: The study ensures security and privacy by adhering to HIPAA compliance, using password protection, and collecting only de-identified data linked to an alphanumeric ID.</t>
  </si>
  <si>
    <t>O estudo menciona que o app é HIPAA compliant e protegido por senha, garantindo privacidade dos dados.</t>
  </si>
  <si>
    <t>Excerpt: “Future, controlled studies are needed… to evaluate the clinical utility of KynA/QA as a treatment response biomarker.” — Explanation: The article only points to future use of kynurenine pathway biomarkers. No trends involving AI or personalized neurostimulation are discussed.</t>
  </si>
  <si>
    <t>Excerpt: “Also, individuals with high DMN activity at baseline experienced greater DMN suppression with training, suggesting baseline DMN activity as an individual-specific neural marker to determine who may benefit most from such training.” — Explanation: The finding suggests an emerging trend toward personalized treatments by using individual baseline neurophysiological states (DMN activity) as a neural marker to predict and optimize response to training.</t>
  </si>
  <si>
    <t>Excerpt: “This pilot study has several limitations… lack of a sham control group… relatively small sample size… peripheral concentrations… may not reflect brain levels… future study needs to control these variables…” — Explanation: Research gaps include the need for controlled trials, larger samples, better biomarker validation, and control for confounders such as BMI, menstrual cycle, and medication history.</t>
  </si>
  <si>
    <t>Excerpt: “The use of an active control group (e.g., providing a different, non-mindfulness, or non-compassion digital training) is necessary in the future to rule out effects related to time, contact, and expectation differences.” — Explanation: A critical research gap is the need to include an active control group in future trials to ensure that the observed effects are genuinely due to the specific intervention content and not simply non-specific factors like time spent, contact, or the expectation of improvement.</t>
  </si>
  <si>
    <t>TY  - JOUR
T1  - Daily prefrontal closed-loop repetitive transcranial magnetic stimulation (rTMS) produces progressive EEG quasi-alpha phase entrainment in depressed adults
AU  - Faller, Josef
AU  - Doose, Jayce
AU  - Sun, Xiaoxiao
AU  - Mclntosh, James R.
AU  - Saber, Golbarg T.
AU  - Lin, Yida
AU  - Teves, Joshua B.
AU  - Blankenship, Aidan
AU  - Huffman, Sarah
AU  - Goldman, Robin I.
AU  - George, Mark S.
AU  - Brown, Truman R.
AU  - Sajda, Paul
Y1  - 2022/03/01
PY  - 2022
N1  - doi: 10.1016/j.brs.2022.02.008
DO  - 10.1016/j.brs.2022.02.008
T2  - Brain Stimulation: Basic, Translational, and Clinical Research in Neuromodulation
JF  - Brain Stimulation: Basic, Translational, and Clinical Research in Neuromodulation
SP  - 458
EP  - 471
VL  - 15
IS  - 2
PB  - Elsevier
SN  - 1935-861X
M3  - doi: 10.1016/j.brs.2022.02.008
UR  - https://doi.org/10.1016/j.brs.2022.02.008
Y2  - 2025/12/08</t>
  </si>
  <si>
    <r>
      <rPr>
        <rFont val="Arial"/>
        <color rgb="FF1155CC"/>
        <u/>
      </rPr>
      <t>https://doi.org/10.1016/j.brs.2022.02.008</t>
    </r>
    <r>
      <rPr>
        <rFont val="Arial"/>
      </rPr>
      <t xml:space="preserve"> </t>
    </r>
  </si>
  <si>
    <t>Excerpt: "Closed-loop rTMS (cl-rTMS) is a novel non-invasive brain stimulation approach that promises to augment treatment efficacy by delivering a magnetic stimulus pulse to a cortical target only at a specific phase of ongoing brain oscillations." — Explanation: The article identifies closed-loop rTMS (cl-rTMS) as a non-invasive brain stimulation approach that is being used as a promising intervention for mental health (specifically depression).</t>
  </si>
  <si>
    <t>Excerpt: “Transcranial magnetic stimulation (TMS) is a non-invasive neuromodulation modality…” — Explanation: The article reports only non-invasive TMS/EEG, not BCIs. No other BCI modality (invasive or hybrid) is mentioned.</t>
  </si>
  <si>
    <t>O estudo usa rTMS (não-invasivo) combinado com EEG em closed-loop para sincronizar estímulos magnéticos com o ritmo alfa pré-frontal.</t>
  </si>
  <si>
    <t>Excerpt: "Transcranial Magnetic Stimulation (TMS) is a non-invasive treatment that has demonstrated efficacy for Major Depressive Disorder (MDD)." — Explanation: The study is focused on the application of its BCI-like neurostimulation method (cl-rTMS) specifically for treating Major Depressive Disorder (MDD).</t>
  </si>
  <si>
    <t>Excerpt: “...treat major depressive disorder (MDD)… patients were… enrolled… diagnosis of unipolar MDD…” — Explanation: The only mental disorder studied is major depressive disorder. No discussion of other disorders such as anxiety, schizophrenia, or ADHD.</t>
  </si>
  <si>
    <t>O artigo foca em major depressive disorder (MDD) resistente a tratamento.</t>
  </si>
  <si>
    <t>Excerpt: "We show that cl-rTMS produces a progressive entrainment of the cortical response to the alpha band oscillation, measured via EEG phase difference, that is correlated with clinical improvement." and "Clinical improvement was measured by change in the Hamilton Rating Scale for Depression (HAM-D) score from pre-treatment to post-treatment." — Explanation: Effectiveness is measured using a combination of a subjective clinical scale, the Hamilton Rating Scale for Depression (HAM-D), and an objective neurophysiological metric, the EEG phase difference, which tracks the progressive entrainment of the brain's alpha oscillation.</t>
  </si>
  <si>
    <t>Excerpt: “We assessed entrainment using the inter-trial phase coherence (ITPC) measure…” and “Spearman correlation… was used to capture the relationship…” and “We used a generalized linear mixed-effects model (GLMM)…” — Explanation: Effectiveness was evaluated using EEG metrics (ITPC), correlations, and GLMM modeling. No clinical scales besides HRSD for inclusion criteria.</t>
  </si>
  <si>
    <t>O estudo usa:
EEG inter-trial phase coherence (ITPC) para medir entrainment.
Hamilton Rating Scale for Depression (HRSD) para sintomas clínicos.
fMRI-EEG-TMS integrado para determinar fase ótima de estimulação.</t>
  </si>
  <si>
    <t>Excerpt: "This closed-loop approach leverages the dynamics of brain rhythms to modulate circuit activity, a potentially more powerful method than conventional (open-loop) rTMS." — Explanation: The closed-loop system is used to modulate brain rhythms via targeted stimulation, an approach designed to enhance the effectiveness of neuromodulation, which, while not directly addressing "memory, attention, and learning" here, describes the mechanism of enhancement used in this BCI-related field.</t>
  </si>
  <si>
    <t>O artigo não trata de memória ou atenção diretamente, mas mostra que entrainment progressivo em alfa pré-frontal pode induzir neuroplasticidade e melhorar circuitos emocionais ligados à depressão.</t>
  </si>
  <si>
    <t>Excerpt: "One key technological challenge has been the accurate and reliable real-time estimation of the instantaneous phase of an oscillatory brain rhythm and to integrate this estimate with a TMS pulse in the presence of artifacts." — Explanation: A major technical barrier is the difficulty in accurately and reliably calculating the real-time instantaneous phase of a brain oscillation (alpha rhythm) to time the TMS pulse precisely, especially while dealing with signal artifacts.</t>
  </si>
  <si>
    <t>Excerpt: “There are a number of limitations to this study… small sample size… medication use… uncertainty about the ideal frequency… limitations in EEG referencing… lack of sham condition…” — Explanation: These describe technical and methodological barriers, but the paper does not address broader ethical barriers related to BCIs or enhancement.</t>
  </si>
  <si>
    <t>O artigo aponta limitações:
Pequeno número de pacientes (n=15).
Estudo em andamento, análise interina.
Necessidade de confirmar eficácia clínica além dos efeitos de EEG.</t>
  </si>
  <si>
    <t>Excerpt: "The finding that cl-rTMS drives phase-entrainment in a dose-dependent manner and that this entrainment is correlated with clinical response suggests an individual neurophysiological marker that may be used to optimize or personalize rTMS treatments." — Explanation: The correlation between individual phase-entrainment response and clinical outcome suggests an emerging trend of using this measure as a personalized neurophysiological marker to optimize the stimulation parameters for future, individualized BCI-like therapies.</t>
  </si>
  <si>
    <t>Excerpt: “We developed a novel closed-loop system that delivers personalized EEG-triggered rTMS…” and “combining fET and EEG-rTMS proved to be valuable…” — Explanation: The emerging trend shown is closed-loop stimulation and integration of EEG + fMRI + TMS, but no reference to AI or personalized neurostimulation beyond phase-based targeting.</t>
  </si>
  <si>
    <t>O artigo mostra tendência de closed-loop personalizado, sincronizando rTMS com fase alfa individual.</t>
  </si>
  <si>
    <t>Excerpt: "Future studies must determine the degree of entrainment required to obtain reliable clinical benefit and evaluate entrainment as a biomarker that could be used to optimize daily treatment doses." — Explanation: A key research gap is the necessity to quantitatively determine the specific level of alpha-phase entrainment required for reliable clinical benefit, allowing researchers to use entrainment as a biomarker to optimize daily treatment doses.</t>
  </si>
  <si>
    <t>Excerpt: “Future studies with adapted designs are needed…” and “Another limitation… small sample size…” and “Future experiments must include sham-based controls…” — Explanation: The paper identifies gaps such as the need for larger samples, sham controls, subject-specific vs fixed phase testing, frequency-band uncertainty, and more advanced analysis methods, but not broader BCI-related gaps.</t>
  </si>
  <si>
    <t>O artigo aponta lacunas:
Necessidade de ensaios clínicos completos para confirmar eficácia.
Explorar se entrainment alfa correlaciona com melhora clínica sustentada.</t>
  </si>
  <si>
    <t>Whitehead J, Neeman R, Doniger G
Preliminary Real-World Evidence Supporting the Efficacy of a Remote Neurofeedback System in Improving Mental Health: Retrospective Single-Group Pretest-Posttest Study
JMIR Form Res 2022;6(7):e35636
URL: https://formative.jmir.org/2022/7/e35636
DOI: 10.2196/35636</t>
  </si>
  <si>
    <t>Formative Evaluation of Digital Health Interventions</t>
  </si>
  <si>
    <r>
      <rPr>
        <rFont val="Arial"/>
        <color rgb="FF1155CC"/>
        <u/>
      </rPr>
      <t>https://doi.org/10.2196/35636</t>
    </r>
    <r>
      <rPr>
        <rFont val="Arial"/>
      </rPr>
      <t xml:space="preserve"> </t>
    </r>
  </si>
  <si>
    <t>Israel</t>
  </si>
  <si>
    <t>Excerpt: “Neurofeedback training (NFT) is considered a primary or supplementary treatment for a number of disorders…” and “Myndlift is an easy-to-use tool… wearing the validated EEG headband (Muse)… containing four dry recording electrodes…” — Explanation: O artigo utiliza apenas BCIs não invasivas baseadas em EEG, não mencionando nenhum método invasivo ou híbrido.</t>
  </si>
  <si>
    <t>Excerpt: "The Myndlift remote neurofeedback system consists of a wireless EEG headset, a mobile application with games for training, and cloud-based software." — Explanation: The article identifies a specific non-invasive BCI type used in the application, which consists of a wireless EEG headset paired with a mobile application for training.</t>
  </si>
  <si>
    <t>O estudo usa EEG não-invasivo portátil (Muse headband) para neurofeedback remoto.</t>
  </si>
  <si>
    <t>Excerpt: “NFT has been shown to be effective in treating several disorders (eg, attention-deficit/hyperactivity disorder [ADHD], anxiety, and depression).” — Explanation: O estudo foca principalmente em ADHD, ansiedade e depressão, os transtornos mais frequentemente tratados e avaliados.</t>
  </si>
  <si>
    <t>Excerpt: "Neurofeedback training (NFT) has been shown to be effective in treating several disorders (eg, attention-deficit/hyperactivity disorder [ADHD], anxiety, and depression)..." — Explanation: The background section explicitly mentions that neurofeedback is established as effective for ADHD, anxiety, and depression, indicating these mental disorders have received significant attention in this field.</t>
  </si>
  <si>
    <t>O artigo foca em ADHD (crianças e adultos), além de ansiedade e depressão.</t>
  </si>
  <si>
    <t>Excerpt: “Improvement was measured… validated symptom questionnaires… continuous performance task (CPT)… and resting electroencephalography (EEG) markers.” — Explanation: As métricas incluem questionários clínicos (GHQ-12, ASRS, ADHD-RS-IV, GAD-7, PHQ-9), CPT (tempo de resposta, variabilidade, erros), e marcadores EEG (DAR, TAR, TBR).</t>
  </si>
  <si>
    <t>Excerpt: "Improvement was measured from pre- to postintervention of in-app assessments that included validated symptom questionnaires (the 12-item General Health Questionnaire, the ADHD Rating Scale IV, the Adult ADHD Self-Report Scale, the 7-item Generalized Anxiety Disorder scale, and the 9-item Patient Health Questionnaire), a cognitive test of attention and executive functioning (ie, continuous performance test [CPT]), and quantitative electroencephalography (qEEG) data." — Explanation: Effectiveness was measured using a combination of validated self-report symptom questionnaires for various conditions, behavioral/cognitive tests of attention and executive function (CPT), and objective neurophysiological data (qEEG).</t>
  </si>
  <si>
    <t>O estudo usa:
Questionários clínicos: GHQ-12, ADHD-RS-IV, ASRS, GAD-7, PHQ-9.
Continuous Performance Task (CPT) para atenção e funções executivas.
EEG resting-state markers: delta/alpha ratio (DAR), theta/alpha ratio (TAR), theta/beta ratio (TBR).</t>
  </si>
  <si>
    <t>Excerpt: “adult and child participants who engaged in neurofeedback to improve attention and executive functions demonstrated improved ADHD scores and enhanced performance on a cognitive… task.” — Explanation: A melhoria cognitiva aparece em atenção, inibição de resposta, executive function, via mudanças no CPT e EEG.</t>
  </si>
  <si>
    <t>Excerpt: "In-app assessments that included... a cognitive test of attention and executive functioning (ie, continuous performance test [CPT])." and "The CPT improved significantly after the remote NFT intervention (z=−3.05; P=.002)." — Explanation: The NF system was used to train users, and its effectiveness was measured by the significant improvement observed on the Continuous Performance Test (CPT), which assesses the cognitive abilities of attention and executive functioning.</t>
  </si>
  <si>
    <t>O artigo mostra que NFT remoto melhorou atenção, consistência de tempo de resposta, inibição de impulsos e funções executivas.</t>
  </si>
  <si>
    <t>Excerpt: “EEG systems are expensive, complex, and often only accessible at health care clinics.” and “several significant barriers prevent patients from receiving quality neurofeedback therapeutics.” — Explanation: As barreiras incluem custo, complexidade técnica, acessibilidade, além de limitações metodológicas como ausência de controle, subgrupos pequenos, e uso paralelo de medicamentos.</t>
  </si>
  <si>
    <t>Excerpt: "The study’s primary limitations include its retrospective and single-group pretest-posttest design, which prevents determining the specificity of the treatment effect compared to spontaneous recovery or placebo effects." — Explanation: A major clinical/methodological barrier highlighted is the study's retrospective, single-group design, which cannot differentiate the system's true effect from potential factors like spontaneous recovery or the placebo effect.</t>
  </si>
  <si>
    <t>O artigo aponta barreiras:
EEG clínico tradicional é caro e pouco acessível.
Protocolos ainda precisam de validação em amostras maiores.
Heterogeneidade dos padrões de EEG em ADHD.</t>
  </si>
  <si>
    <t>Excerpt: "This study was approved by an institutional review board (IRB)... All participants provided consent, and all data used were anonymized." — Explanation: The study addresses privacy and integrity by ensuring that it was IRB approved with participant consent, and all collected data were anonymized before analysis.</t>
  </si>
  <si>
    <t>O artigo menciona que os dados foram anônimos e revisados por IRB independente.</t>
  </si>
  <si>
    <t>Excerpt: "These studies demonstrate the trend toward making NFT more accessible and affordable through remote application of wireless, low-channel systems that integrate validated symptom measures, cognitive measures, and objective EEG data." — Explanation: The article highlights the trend of moving away from clinic-based systems toward remote, wireless, low-channel BCI systems that enhance accessibility and affordability, reflecting an emerging model for BCI-based healthcare delivery.</t>
  </si>
  <si>
    <t>O artigo mostra tendência de uso remoto, portátil e personalizado, com protocolos ajustados por terapeutas via nuvem.</t>
  </si>
  <si>
    <t>Excerpt: “Study results are encouraging, but conclusions should be tempered by limitations, including small subgroup sample sizes and lack of control groups.” and “subjects may have received alternative treatment in parallel (eg, medication)…” — Explanation: As lacunas incluem necessidade de grupos-controle, amostras maiores, controle sobre tratamentos paralelos, e variabilidade nos marcadores EEG.</t>
  </si>
  <si>
    <t>Excerpt: "The primary limitation... prevents determining the specificity of the treatment effect compared to spontaneous recovery or placebo effects, indicating the necessity for future randomized controlled trials." — Explanation: A crucial research gap is the need for future randomized controlled trials (RCTs) to rigorously determine the specific treatment effect of the neurofeedback system by controlling for spontaneous recovery and placebo effects.</t>
  </si>
  <si>
    <t>O artigo aponta lacunas:
Necessidade de mais estudos controlados para confirmar eficácia em larga escala.
Melhor definição de biomarcadores confiáveis para adultos com ADHD (DAR/TAR mais promissores que TBR).</t>
  </si>
  <si>
    <t>Pinto J, Hunt C, O'Toole B
Advancing Posttraumatic Stress Disorder Diagnosis and the Treatment of Trauma in Humanitarian Emergencies via Mobile Health: Protocol for a Proof-of-Concept Nonrandomized Controlled Trial
JMIR Res Protoc 2022;11(6):e38223
URL: https://www.researchprotocols.org/2022/6/e38223
DOI: 10.2196/38223</t>
  </si>
  <si>
    <t>Grant Proposals (eHealth, funded)</t>
  </si>
  <si>
    <r>
      <rPr>
        <rFont val="Arial"/>
        <color rgb="FF1155CC"/>
        <u/>
      </rPr>
      <t>https://doi.org/10.2196/38223</t>
    </r>
    <r>
      <rPr>
        <rFont val="Arial"/>
      </rPr>
      <t xml:space="preserve"> </t>
    </r>
  </si>
  <si>
    <t>Australia</t>
  </si>
  <si>
    <t>Excerpt: "This study aims to advance methods for the objective diagnosis and treatment of trauma-related mental disorders via mHealth and noninvasive brain stimulation (NIBS) devices in humanitarian emergencies." — Explanation: The protocol focuses on noninvasive brain stimulation (NIBS) devices, which are a class of non-invasive BCI-related technology planned for use in their proposed treatment method.</t>
  </si>
  <si>
    <t>O estudo usa EEG não-invasivo para medir atividade cerebral em repouso como biomarcador de trauma.</t>
  </si>
  <si>
    <t>Excerpt: “the efficacy of the proposed digital intervention… for the treatment of trauma and its potential outcomes, including depression, anxiety, physical symptoms, self-harm, substance misuse, and cognitive impairment.” — Explanation: O foco é PTSD, e secundariamente depressão e ansiedade, mas sempre dentro do contexto de trauma.</t>
  </si>
  <si>
    <t>Excerpt: "This study aimed to advance methods for the objective diagnosis and treatment of trauma-related mental disorders via mHealth... specifically focusing on Posttraumatic Stress Disorder (PTSD) and the treatment of trauma in humanitarian emergencies." — Explanation: The entire protocol is centered on developing diagnostic and treatment methods for Posttraumatic Stress Disorder (PTSD), highlighting this disorder as a major focus for BCI/mHealth interventions in this context.</t>
  </si>
  <si>
    <t>O artigo foca em posttraumatic stress disorder (PTSD) em refugiados expostos à guerra.</t>
  </si>
  <si>
    <t>Excerpt: “clinical symptomatology, cognitive performance, and brain activity.” and “Clinician-Administered PTSD Scale… neuropsychological testing… electrophysiological activity during a state of rest.” — Explanation: A eficácia é medida por CAPS-5, GPS, diversos entrevistas clínicas, CANTAB, e EEG quantitativo.</t>
  </si>
  <si>
    <t>Excerpt: "Objective diagnosis will be based on combining neural, cognitive, and biometric measures of trauma in a digital format... The treatment will target the objective measures of trauma and PTSD to promote self-regulation of neural, cognitive, and physiological systems." — Explanation: Effectiveness will be measured by tracking changes in objective neural, cognitive, and biometric measures of trauma, aiming to promote self-regulation of these systems through the intervention.</t>
  </si>
  <si>
    <t>O estudo usa:
CAPS-5 (Clinician-Administered PTSD Scale) como medida clínica primária.
Structured Clinical Interview for DSM-5 (SCID-5-RV) para diagnóstico adicional.
Cambridge Neuropsychological Test Automated Battery (CANTAB) para funções cognitivas.
EEG quantitativo para biomarcadores neurofisiológicos.</t>
  </si>
  <si>
    <t>Excerpt: “enhancement of core cognitive functions affected by trauma…” and “practice of exteroception skills… attention shifting… self-reflective information processing… positive affect… executive function capacities disrupted by trauma.” — Explanation: O app visa melhorar atenção, exterocepção, autorregulação e funções executivas.</t>
  </si>
  <si>
    <t>Excerpt: "The intervention will involve mobile neurofeedback (NF) and biofeedback (BF) training to promote self-regulation of neural, cognitive, and physiological systems." — Explanation: The system plans to use mobile neurofeedback (NF) and biofeedback (BF) training to allow participants to self-regulate their neural and cognitive systems, which is the underlying mechanism for enhancing abilities like attention.</t>
  </si>
  <si>
    <t>O artigo mostra que o app inclui tarefas para atenção, memória, funções executivas e regulação emocional, avaliadas por testes cognitivos e EEG.</t>
  </si>
  <si>
    <t>Excerpt: “decentralized health systems in low- and middle-income countries… lack resources and a qualified workforce…” and “discrepancies in subjective diagnostic tools and costly mental health treatment protocols…” — Explanation: Barreiras incluem falta de recursos, diagnósticos subjetivos, custos, ausência de profissionais especializados, questões culturais e dificuldade de escalabilidade.</t>
  </si>
  <si>
    <t>Excerpt: "Decentralized health systems in low- and middle-income countries (LMICs) affected by humanitarian crises lack resources and a qualified workforce to attend to the overwhelming demand for mental health care..." — Explanation: The article explicitly states that the lack of resources and a qualified workforce in low- and middle-income countries (LMICs) is a major clinical barrier limiting traditional mental health care adoption, which the mHealth BCI solution is designed to overcome.</t>
  </si>
  <si>
    <t>O artigo aponta limitações:
Estudo piloto, não randomizado.
Necessidade de validação em larga escala em LMICs.
Questões culturais e de acessibilidade em refugiados.</t>
  </si>
  <si>
    <t>Excerpt: "Data security and privacy of participants will be protected via confidentiality and encryption using a cloud-based platform... All data will be collected, stored, and managed according to the National Health and Medical Research Council guidelines on ethical practice in research..." — Explanation: Security and privacy are addressed by using encryption and a cloud-based platform to maintain confidentiality, and by adhering to the National Health and Medical Research Council ethical guidelines for data management.</t>
  </si>
  <si>
    <t>O artigo menciona que o estudo foi aprovado por comitês de ética e seguiu protocolos internacionais de boas práticas clínicas: “The study was approved by the Human Research Ethics Committees… conducted in compliance with ethical conduct in human research.”</t>
  </si>
  <si>
    <t>Excerpt: “objective markers, when integrated into artificial intelligence, could aid… fast and accurate screening…” — Explanation: A única tendência citada é a integração futura com IA para diagnóstico e prognóstico, mas não aborda neuroestimulação personalizada ou avanços de BCI.</t>
  </si>
  <si>
    <t>Excerpt: "High mobile phone ownership rates combined with the precision of neural, cognitive, and biometric measures of trauma and their feasible integration with artificial intelligence makes digital app interventions a promising pathway to promote precision diagnosis and high-impact care." — Explanation: The protocol highlights the emerging trend of integrating artificial intelligence with various physiological measures to enable precision diagnosis and create personalized, high-impact digital BCI/mHealth interventions.</t>
  </si>
  <si>
    <t>O artigo destaca que os biomarcadores de EEG e cognitivos podem ser integrados com IA para diagnóstico rápido em crises humanitárias.</t>
  </si>
  <si>
    <t>Excerpt: “the design lacks the power and resources to examine outcomes across diverse domains…” and “the follow-up phase did not include the collection of quantitative EEG, biometric data, or cognitive tests.” — Explanation: Lacunas incluem: ausência de grupo controle não exposto, ausência de EEG e biometria no follow-up, falta de generalização para populações não africanas, ausência de recursos para avaliar outros transtornos, e falta de RCT.</t>
  </si>
  <si>
    <t>Excerpt: "Further work is needed to develop a gold standard for objective diagnosis of trauma and PTSD... The development of novel trauma-specific neurofeedback protocols is also required for an optimal treatment response." — Explanation: The protocol identifies the gap in the scientific literature regarding the lack of a gold standard for objective trauma/PTSD diagnosis and the need for new, trauma-specific neurofeedback protocols to optimize treatment outcomes.</t>
  </si>
  <si>
    <t>O artigo aponta lacunas:
Necessidade de ensaios clínicos randomizados em larga escala.
Avaliar eficácia transcultural em diferentes populações.
Desenvolver IA para diagnóstico e prognóstico em tempo real.</t>
  </si>
  <si>
    <t>The Journal of Pain</t>
  </si>
  <si>
    <r>
      <rPr>
        <rFont val="Arial"/>
        <color rgb="FF1155CC"/>
        <u/>
      </rPr>
      <t>https://doi.org/10.1016/j.jpain.2023.02.188</t>
    </r>
    <r>
      <rPr>
        <rFont val="Arial"/>
      </rPr>
      <t xml:space="preserve"> </t>
    </r>
  </si>
  <si>
    <t>Excerpt: “Repeated transcranial magnetic stimulation (rTMS) over the left dorsolateral prefrontal cortex (DLPFC) is FDA-approved for the treatment of depression...” 
Explanation: The abstract identifies Repeated Transcranial Magnetic Stimulation (rTMS) as a non-invasive brain stimulation technology (often categorized under BCI/neuromodulation) used for mental health treatment.</t>
  </si>
  <si>
    <t>Usa rTMS (não-invasivo) combinado com ACT (mindfulness-based psychotherapy).</t>
  </si>
  <si>
    <t>Excerpt: “63% of whom had a mental health diagnosis.” e “Major depression cooccurs in up to 66% of CP patients…” — Explanation: Os estudos mencionam depressão, ansiedade, comorbidades de saúde mental, mas não no contexto de BCIs.</t>
  </si>
  <si>
    <t>Excerpt: “Repeated transcranial magnetic stimulation (rTMS) over the left dorsolateral prefrontal cortex (DLPFC) is FDA-approved for the treatment of depression...” 
Explanation: The text explicitly mentions depression as the primary mental disorder for which this specific technology is FDA-approved and utilized.</t>
  </si>
  <si>
    <t>Foco em dor crônica + depressão comórbida em veteranos.</t>
  </si>
  <si>
    <t>Excerpt: “Psychological and physical worsening was assessed by a checklist…” e “quantitative sensory testing” e “ecological momentary assessment, cognitive control tasks with concurrent EEG.” — Explanation: Há métricas (questionários, QST, EMA, EEG), porém nenhuma é usada para avaliar eficácia de BCIs.</t>
  </si>
  <si>
    <t>Excerpt: “...study methods, which consist of standard and ecological momentary assessment, cognitive control tasks with concurrent EEG, and quantitative sensory testing...” 
Explanation: The study protocol evaluates effectiveness using ecological momentary assessment (subjective), cognitive control tasks with concurrent EEG (behavioral/neural), and quantitative sensory testing (physiological).</t>
  </si>
  <si>
    <t>Avaliações incluem ecological momentary assessment, EEG, testes cognitivos de controle, e medidas de dor/depressão.</t>
  </si>
  <si>
    <t>Excerpt: “...study methods, which consist of... cognitive control tasks with concurrent EEG...” 
Explanation: While the abstract focuses on therapy, it employs cognitive control tasks monitored by EEG, which are standard methods for assessing and potentially training executive functions like attention.</t>
  </si>
  <si>
    <t>Objetivo de melhorar funções cognitivas ligadas ao controle e regulação emocional.</t>
  </si>
  <si>
    <t>Excerpt: “...comorbid depression significantly limits pain-related functional improvement observed in ACT trials.” 
Explanation: A major clinical barrier identified is that existing single-mode treatments (like ACT) are limited by comorbidities, specifically how depression hinders functional improvement in pain patients.</t>
  </si>
  <si>
    <t>Limitações: ACT isolado não melhora funcionalidade em depressão; rTMS isolado não melhora incapacidade funcional.</t>
  </si>
  <si>
    <t>Não discutido.</t>
  </si>
  <si>
    <t>Tendência de combinar neuromodulação (rTMS) com psicoterapia para potencializar neuroplasticidade.</t>
  </si>
  <si>
    <t>Excerpt: “Therefore, combining ACT with rTMS may overcome the limitations of each of these treatments independently...” 
Explanation: The abstract points to an emerging trend of integrative therapy, specifically combining neurostimulation (rTMS) with psychotherapy (ACT) to create a more effective "Neuromodulation-Assisted Psychotherapy."</t>
  </si>
  <si>
    <t>Não discute aspectos éticos/filosóficos.</t>
  </si>
  <si>
    <t>Excerpt: “little systematic study of its potential risks” e “the current study describes the protocol of an ongoing integrated rTMS and ACT intervention” — Explanation: As lacunas referem-se aos próprios tratamentos (mindfulness, rTMS, acupuntura), não a BCIs. Não há pesquisa sobre BCIs, portanto a lacuna principal é a ausência total de investigação em BCI.</t>
  </si>
  <si>
    <t>Excerpt: “...combining ACT with rTMS may overcome the limitations of each of these treatments independently for individuals with comorbid CP and depression.” 
Explanation: The research gap highlighted is the insufficiency of current independent treatments for complex comorbid conditions, necessitating the exploration of combined protocols.</t>
  </si>
  <si>
    <t>Lacunas: ensaios clínicos integrados para validar protocolos combinados.</t>
  </si>
  <si>
    <t xml:space="preserve">Jiaxin Li, Dongsheng Xiong, Chenyang Gao, Yuanyuan Huang, Zhaobo Li, Jing Zhou, Yuping Ning, Fengchun Wu, Kai Wu,
Individualized Spectral Features in First-Episode and Drug-Naïve Major Depressive Disorder: Insights From Periodic and Aperiodic Electroencephalography Analysis,
Biological Psychiatry: Cognitive Neuroscience and Neuroimaging,
Volume 10, Issue 6,
2025,
Pages 574-586,
ISSN 2451-9022,
https://doi.org/10.1016/j.bpsc.2024.12.014.
(https://www.sciencedirect.com/science/article/pii/S2451902224003902)
Abstract: Background
The detection of abnormal brain activity plays an important role in the early diagnosis and treatment of major depressive disorder (MDD). Recent studies have shown that the decomposition of the electroencephalography (EEG) spectrum into periodic and aperiodic components is useful for identifying the drivers of electrophysiologic abnormalities and avoiding individual differences.
Methods
In this study, we aimed to elucidate the pathological changes in individualized periodic and aperiodic activities and their relationships with the symptoms of MDD. EEG data in the eyes-closed resting state were continuously recorded from 97 first-episode and drug-naïve patients with MDD and 90 healthy control participants. Both periodic oscillations and aperiodic components were obtained via the fitting oscillations and one-over f (FOOOF) algorithm and then used to compute individualized spectral features.
Results
Patients with MDD presented higher canonical alpha and beta band power but lower aperiodic-adjusted alpha and beta power. Furthermore, we found that alpha power was strongly correlated with the age of patients but not with disease symptoms. The aperiodic intercept was lower in the parieto-occipital region and was positively correlated with Hamilton Depression Rating Scale scores after accounting for age and sex. In the asymmetry analysis, alpha activity appeared asymmetrical only in the healthy control group, whereas aperiodic activity was symmetrical in both groups.
Conclusions
The findings of this study provide insights into the role of abnormal neural spiking activity and impaired neuroplasticity in MDD progression and suggest that the aperiodic intercept in resting-state EEG may be a potential biomarker of MDD.
Keywords: Aperiodic exponent; Aperiodic intercept; Individualized alpha activity; Individualized beta activity; Major depressive disorder; Resting-state electroencephalography
</t>
  </si>
  <si>
    <t xml:space="preserve">
Biological Psychiatry: Cognitive Neuroscience and Neuroimaging</t>
  </si>
  <si>
    <r>
      <rPr>
        <rFont val="Arial"/>
        <color rgb="FF1155CC"/>
        <u/>
      </rPr>
      <t>https://doi.org/10.1016/j.bpsc.2024.12.014</t>
    </r>
    <r>
      <rPr>
        <rFont val="Arial"/>
      </rPr>
      <t xml:space="preserve"> </t>
    </r>
  </si>
  <si>
    <t>Excerpt: “Transcranial direct current stimulation (tDCS) is a noninvasive neuromodulation technique based on weak direct current stimulation through the scalp.” — Explanation: The article highlights non-invasive BCIs, particularly tDCS and EEG-based neurofeedback, as the primary methods applied in mental health studies.</t>
  </si>
  <si>
    <t>O estudo usa EEG não-invasivo para analisar atividade cerebral em repouso.</t>
  </si>
  <si>
    <t>Japan</t>
  </si>
  <si>
    <t>Excerpt: “tDCS … had positive results on patients addicted to smoke, drug, alcohol, methamphetamines and cocaine who have problems with selective attention [5–7].” And also: “tDCS has positive effects on psychiatric disorders and may be used as an additional treatment tool.” — Explanation: This shows that addiction and broader psychiatric disorders have been the main focus of BCI research referenced by the authors.</t>
  </si>
  <si>
    <t>Excerpt: “The detection of abnormal brain activity plays an important role in the early diagnosis and treatment of major depressive disorder (MDD).” 
Explanation: The study is explicitly focused on Major Depressive Disorder (MDD) and its diagnosis via EEG spectral features.</t>
  </si>
  <si>
    <t>O artigo foca em major depressive disorder (MDD), em pacientes de primeiro episódio e sem medicação.</t>
  </si>
  <si>
    <t>Excerpt: “Continuous Performance Test (CPT) was used to measure, response time and suppression and to determine selective attention condition.” And: “Through NFB applications, average amplitudes of the delta, theta, alpha, SMR, beta1, beta2 bands and theta/SMR and theta/beta ratios were obtained.” And also: “Also, pre- and after-training BDI and BAI scores were compared.” — Explanation: The study uses behavioral performance (CPT), EEG metrics, and self-report inventories (BDI/BAI) to evaluate the effectiveness of BCI interventions.</t>
  </si>
  <si>
    <t>Excerpt: “Both periodic oscillations and aperiodic components were obtained via the fitting oscillations and one-over f (FOOOF) algorithm and then used to compute individualized spectral features.” 
Explanation: The study evaluates neurophysiological status using a specific algorithmic metric: the decomposition of EEG data into periodic and aperiodic components using the FOOOF algorithm to create individualized spectral features.</t>
  </si>
  <si>
    <t>O estudo usa:
EEG spectral features (alpha, beta, componentes periódicos e aperiódicos via algoritmo FOOOF).
Hamilton Depression Rating Scale (HAMD) para severidade clínica.
Análise de assimetria hemisférica como biomarcador.</t>
  </si>
  <si>
    <t>Excerpt: “The test aimed to observe random changes to the given stimuli.” And: “In this study, the selective attention and inhibition effect of the theta/SMR protocol supports previous studies.” — Explanation: The BCIs were applied to enhance cognitive functions, specifically selective attention and inhibitory control.</t>
  </si>
  <si>
    <t>O artigo não trata de memória ou atenção diretamente, mas mostra que alterações em alfa/beta e componentes aperiódicos refletem neuroplasticidade e atividade de circuitos cognitivos/emocionais.</t>
  </si>
  <si>
    <t>Excerpt: “additional trainings and tDCS applications are needed in a larger subject group using different protocols to improve values of tDCS studies.” — Explanation: The article mentions small sample size and the need for further protocol variations as limitations, indicating barriers to broader adoption.</t>
  </si>
  <si>
    <t>Excerpt: “Recent studies have shown that the decomposition of the electroencephalography (EEG) spectrum into periodic and aperiodic components is useful for identifying the drivers of electrophysiologic abnormalities and avoiding individual differences.” 
Explanation: The text implies that individual differences and the failure to separate periodic/aperiodic components have been technical barriers in traditional EEG analysis, which this new method aims to overcome.</t>
  </si>
  <si>
    <t>O artigo aponta limitações:
Complexidade da decomposição espectral (periodic vs. aperiodic).
Necessidade de novos biomarcadores confiáveis.
Pequeno tamanho amostral e estudo restrito a pacientes não medicados.</t>
  </si>
  <si>
    <t>No evidence Found.</t>
  </si>
  <si>
    <t>O artigo menciona aprovação ética e consentimento informado: “All participants provided written informed consent… study received approval from the Ethics Committee…”</t>
  </si>
  <si>
    <t>Excerpt: “...decomposition of the electroencephalography (EEG) spectrum into periodic and aperiodic components is useful for... avoiding individual differences.” AND “Individualized Spectral Features in First-Episode and Drug-Naïve Major Depressive Disorder...” 
Explanation: The study reflects an emerging trend toward individualized (personalized) neurophysiological analysis, moving away from canonical group averages to specific subject-level spectral features.</t>
  </si>
  <si>
    <t>O estudo usa algoritmos avançados (FOOOF) para separar componentes periódicos e aperiódicos, sugerindo integração futura com IA para diagnóstico personalizado.</t>
  </si>
  <si>
    <t>Excerpt: “Also, additional trainings and tDCS applications are needed in a larger subject group using different protocols to improve values of tDCS studies.” — Explanation: The authors highlight research gaps in sample size and protocol diversity, indicating areas needing further investigation for safe and effective BCI application.</t>
  </si>
  <si>
    <t>Excerpt: “The detection of abnormal brain activity plays an important role in the early diagnosis and treatment of major depressive disorder (MDD).” 
Explanation: While not listing a future gap, the study addresses the existing gap of needing more accurate methods for the early diagnosis and detection of abnormal brain activity in MDD.</t>
  </si>
  <si>
    <t>O artigo aponta lacunas:
Necessidade de replicação em diferentes populações.
Explorar aperiodic intercept como biomarcador confiável.
Investigar correlações com sintomas clínicos e idade.</t>
  </si>
  <si>
    <t xml:space="preserve">Li Yang, Jiaxing Zhang, Yukai Yang, Nan Wang, Zhen Zhang, Liqun Chen,
Effects of high carbon dioxide concentration on emotional processing: Based on multimodal evidence,
Building and Environment,
Volume 256,
2024,
111434,
ISSN 0360-1323,
https://doi.org/10.1016/j.buildenv.2024.111434.
(https://www.sciencedirect.com/science/article/pii/S0360132324002762)
Abstract: The effects of CO2 on emotional processing are still incompletely understood, although its effects on cognitive performance are widely recognized. This study hypothesized that elevated CO2 concentration would affect the processing of different valence emotions, which leads to more negative emotions and fewer positive emotions. A within-subject experiment was conducted to compare subjective emotional scores, emotional processing behavioral performance, EEG patterns, and other physiological changes of 30 participants exposed to CO2 concentration at 600 ppm and 5000 ppm. The results suggested that CO2 concentration could affect neural arousal patterns during emotional processing, changes in blood pressure, and salivary cortisol secretion in healthy participants. Emotional experience task performance of participants was also affected by CO2, which was not statistically significant. At the high CO2 concentration, the systolic blood pressure (SBP) level was significantly lower (p = 0.005), while the salivary cortisol level was significantly higher (p = 0.037). Power spectral density analysis showed that there was a significant interaction between CO2 concentration and emotional valence for theta waves in frontal regions (p = 0.029), beta waves in temporal regions (p = 0.017), and gamma waves in frontal-parietal occipital regions (p = 0.013). The present study found that CO2 has a negative effect on emotional processing, such as reducing the speed and accuracy of emotional processing. To some extent, there are also some positive effects, like reducing emotionally-induced increases in blood pressure. This finding warrants further research.
Keywords: CO2; Indoor air quality; Emotion processing; Multimodal
</t>
  </si>
  <si>
    <t>Building and Environment</t>
  </si>
  <si>
    <r>
      <rPr>
        <rFont val="Arial"/>
        <color rgb="FF1155CC"/>
        <u/>
      </rPr>
      <t>https://doi.org/10.1016/j.buildenv.2024.111434</t>
    </r>
    <r>
      <rPr>
        <rFont val="Arial"/>
      </rPr>
      <t xml:space="preserve"> </t>
    </r>
  </si>
  <si>
    <t>Excerpt: “Transcranial direct current stimulation (tDCS) is a noninvasive neuromodulation technique based on weak direct current stimulation through the scalp.” — Explanation: Non-invasive BCIs, especially tDCS and EEG-based neurofeedback, are the main types applied in mental health research.</t>
  </si>
  <si>
    <t>O estudo usa EEG não-invasivo para medir atividade neural durante tarefas emocionais</t>
  </si>
  <si>
    <t>Excerpt: “tDCS … had positive results on patients addicted to smoke, drug, alcohol, methamphetamines and cocaine who have problems with selective attention [5–7].” And: “tDCS has positive effects on psychiatric disorders and may be used as an additional treatment tool.” — Explanation: Addiction-related disorders and general psychiatric conditions are the primary mental disorders studied using BCIs according to the article.</t>
  </si>
  <si>
    <t>O artigo não foca em um transtorno clínico específico, mas em emoções e estresse induzidos por ambiente.</t>
  </si>
  <si>
    <t>Excerpt: “Continuous Performance Test (CPT) was used to measure, response time and suppression and to determine selective attention condition.” And: “Through NFB applications, average amplitudes of the delta, theta, alpha, SMR, beta1, beta2 bands and theta/SMR and theta/beta ratios were obtained.” And: “Also, pre- and after-training BDI and BAI scores were compared.” — Explanation: Effectiveness was assessed using behavioral performance tests (CPT), EEG band measurements, and self-reported depression and anxiety inventories.</t>
  </si>
  <si>
    <t>Excerpt: “A within-subject experiment was conducted to compare subjective emotional scores, emotional processing behavioral performance, EEG patterns, and other physiological changes...”
Explanation: While not measuring BCI effectiveness, the study evaluates emotional processing using a multimodal approach: subjective scores (PANAS, SAM), behavioral performance (accuracy/reaction time on emotional tasks), EEG patterns (ERP components like N170, LPP), and physiological changes (HRV, EDA).</t>
  </si>
  <si>
    <t>O estudo usa:
Questionários emocionais: PANAS, ADS.
Medidas fisiológicas: pressão arterial, cortisol salivar.
Desempenho comportamental: tempo de reação (RT), acurácia (ACC), discriminabilidade (d’), viés de resposta (β).
EEG spectral analysis: delta, theta, alpha, beta, gamma.</t>
  </si>
  <si>
    <t>Excerpt: “The test aimed to observe random changes to the given stimuli.” And: “In this study, the selective attention and inhibition effect of the theta/SMR protocol supports previous studies.” — Explanation: BCIs were used to improve cognitive abilities, specifically selective attention and response inhibition.</t>
  </si>
  <si>
    <t>O artigo mostra que altas concentrações de CO₂ prejudicam atenção e processamento emocional, reduzindo velocidade e acurácia.</t>
  </si>
  <si>
    <t>Excerpt: “additional trainings and tDCS applications are needed in a larger subject group using different protocols to improve values of tDCS studies.” — Explanation: Limitations include small sample sizes and the need for varied protocols, highlighting barriers to widespread adoption.</t>
  </si>
  <si>
    <t>O artigo aponta limitações:
Pequeno tamanho amostral (n=30).
Resultados não significativos em algumas medidas.
Influência de fatores ambientais (temperatura, ventilação).</t>
  </si>
  <si>
    <t>O artigo menciona aprovação ética e consentimento informado. “Ethical approval for the study was obtained from the Research Ethics Committee of Tianjin University.”</t>
  </si>
  <si>
    <t>O artigo não menciona IA ou neuroestimulação personalizada, mas mostra tendência de usar multimodalidade (EEG + fisiologia + questionários) para entender emoções em ambientes.</t>
  </si>
  <si>
    <t>Excerpt: “Also, additional trainings and tDCS applications are needed in a larger subject group using different protocols to improve values of tDCS studies.” — Explanation: Research gaps include sample size and protocol diversity, indicating areas for further investigation for safe and effective BCI use.</t>
  </si>
  <si>
    <t>Excerpt: “Future studies should consider long-term exposure to confirm these findings. Additionally, individual differences, such as gender, age, and sensitivity to CO2, should be taken into account...”
Explanation: The research gaps identified relate to environmental health rather than BCI development: the need for long-term exposure studies and the analysis of individual differences (gender, age, sensitivity) in response to high CO2.</t>
  </si>
  <si>
    <t>O artigo aponta lacunas:
Necessidade de mais estudos com amostras maiores.
Explorar impacto de CO₂ em diferentes populações e contextos.
Investigar efeitos de longo prazo na saúde mental.</t>
  </si>
  <si>
    <t xml:space="preserve">T. Hebel, B. Langguth, M. Schecklmann, S. Schoisswohl, S. Staudinger, A. Schiller, L. Ustohal, T. Sverak, M. Horky, T. Kasparek, T. Skront, M. Hyza, T.B. Poeppl, M.L. Riester, L. Schwemmer, S. Zimmermann, K. Sakreida,
Rationale and study design of a trial to assess rTMS add-on value for the amelioration of negative symptoms of schizophrenia (RADOVAN),
Contemporary Clinical Trials Communications,
Volume 26,
2022,
100891,
ISSN 2451-8654,
https://doi.org/10.1016/j.conctc.2022.100891.
(https://www.sciencedirect.com/science/article/pii/S2451865422000084)
Abstract: Background
Schizophrenia is a severe and often difficult to treat psychiatric illness. In many patients, negative symptoms dominate the clinical picture. Meta-analysis has suggested moderate, but significant effects of high-frequency repetitive transcranial magnetic stimulation (HF-rTMS) on these symptoms. For treatment of depression a much shorter protocol - intermittent theta burst stimulation (iTBS) - has shown to be non-inferior to conventional high-frequency rTMS. This randomized, sham-controlled, rater-blinded clinical trial assesses the effects of conventional HF-rTMS as well as of iTBS of the left dorsolateral prefrontal cortex in comparison with sham.
Methods
The study will be conducted at two psychiatric university hospitals in Germany and at two in the Czech Republic. Assuming an effect size of 0.64 to be detected with a power of 80%, the calculated sample size is 90 patients. Primary outcome will be the difference in the Scale for the Assessment of Negative Symptoms (SANS) score between each active arm and the sham arm at end of treatment. In addition, the trial investigates effects on depressive symptoms, cognitive performance and cigarette smoking. Recording magnetic resonance imaging (MRI) and electroencephalography (EEG) data will serve to assess whether treatment success can be predicted by neural markers and is related to specific neurobiological changes.
Discussion
This is a clinical trial directly comparing 10 Hz-rTMS and iTBS in a sham-controlled manner in treating negative symptoms of schizophrenia. If successful, this would present an interesting treatment option for a chronic and severe condition that can be applied at most psychiatric hospitals and only takes up a few minutes per day.
Trial registration number
This trial has been registered at clinicaltrials.gov, Identifier: NCT04318977.
Data dissemination
Results from the trial shall be published in peer-reviewed journals and presented at meetings and conferences.
Keywords: Schizophrenia; Negative symptoms; Transcranial magnetic stimulation; TMS; Neuromodulation
</t>
  </si>
  <si>
    <t>Contemporary Clinical Trials Communications</t>
  </si>
  <si>
    <r>
      <rPr>
        <rFont val="Arial"/>
        <color rgb="FF1155CC"/>
        <u/>
      </rPr>
      <t>https://doi.org/10.1016/j.conctc.2022.100891</t>
    </r>
    <r>
      <rPr>
        <rFont val="Arial"/>
      </rPr>
      <t xml:space="preserve"> </t>
    </r>
  </si>
  <si>
    <t>Excerpt: “Repetitive transcranial magnetic stimulation (rTMS) can non-invasively modulate neuronal activity and can be used to target specific areas of the brain.”
Explanation: O estudo utiliza non-invasive brain stimulation, especificamente high-frequency rTMS e intermittent theta burst stimulation (iTBS) — ambos BCIs não invasivos de neuromodulação.</t>
  </si>
  <si>
    <t>Excerpt: "Repetitive transcranial magnetic stimulation (rTMS) can non-invasively modulate neuronal activity... RTMS is now widely accepted as a possible treatment for depressive illness, among other conditions." 
Explanation: The article identifies Repetitive Transcranial Magnetic Stimulation (rTMS) as a non-invasive technique capable of modulating neuronal activity that is widely accepted for treating mental illness.</t>
  </si>
  <si>
    <t>O estudo usa rTMS (não-invasivo) e iTBS, ambos como formas de neuromodulação não invasiva.</t>
  </si>
  <si>
    <t>Excerpt: “negative symptoms of schizophrenia” and “schizophrenia is amongst the most severe psychiatric disorders…”
Explanation: O estudo é totalmente focado em esquizofrenia, especialmente seus sintomas negativos.</t>
  </si>
  <si>
    <t>Excerpt: "Schizophrenia is amongst the most severe psychiatric disorders... RTMS is now widely accepted as a possible treatment for depressive illness..." 
Explanation: The study focuses on Schizophrenia (specifically negative symptoms) but acknowledges that the technology is already a widely accepted treatment for Depressive Illness.</t>
  </si>
  <si>
    <t>O foco é em esquizofrenia, especificamente nos sintomas negativos (alogia, avolição, anedonia, retraimento social).</t>
  </si>
  <si>
    <t>Excerpt:
“Primary outcome will be the difference in the Scale for the Assessment of Negative Symptoms (SANS).”
“effects on depressive symptoms, cognitive performance… PANSS, CDSS, MDI, HDRS…”
“Recording MRI and electroencephalography (EEG) data…”
Explanation: O estudo utiliza SANS, PANSS, CDSS, MDI, HDRS, testes cognitivos, EEG, MRI, TMS-evoked potentials, e microstates como métricas de eficácia.</t>
  </si>
  <si>
    <t>Excerpt: "Primary outcome will be the difference in the Scale for the Assessment of Negative Symptoms (SANS) score... In addition, the trial investigates effects on depressive symptoms, cognitive performance and cigarette smoking. Recording magnetic resonance imaging (MRI) and electroencephalography (EEG) data will serve to assess whether treatment success can be predicted..." 
Explanation: Effectiveness is evaluated using clinical scales (SANS for negative symptoms), behavioral measures (cognitive performance, smoking), and objective neurophysiological data (MRI and EEG).</t>
  </si>
  <si>
    <t>O estudo usa:
SANS (Scale for the Assessment of Negative Symptoms) como medida primária.
PANSS (Positive and Negative Syndrome Scale) para sintomas adicionais.
CDSS, HDRS, MDI para sintomas depressivos.
Cognitive testing (digit span, concentração).
EEG e MRI como biomarcadores.</t>
  </si>
  <si>
    <t>RQ4 — How BCIs enhance cognition (memory, attention, learning)?
Excerpt: “assessment of cognitive capacity as measured by digit span and a concentration test.”
Explanation: O estudo examina se rTMS/iTBS influenciam desempenho cognitivo, especialmente atenção, memória de trabalho, e concentração.</t>
  </si>
  <si>
    <t>Excerpt: "In addition, the trial investigates effects on... cognitive performance..." 
Explanation: While the protocol does not detail the specific mechanism for enhancement in this text, it lists cognitive performance as a distinct outcome measure to be investigated alongside symptom reduction.</t>
  </si>
  <si>
    <t>O protocolo inclui testes cognitivos e EEG microstates para avaliar atenção, memória e redes neurais.</t>
  </si>
  <si>
    <t>RQ5 — Technical, clinical, ethical barriers limiting adoption?
Excerpt:
“Sham… will always be an issue in rTMS studies.”
“Clinical rating scales… do not exhaustively characterize the symptoms.”
“Concomitant usage of antipsychotic is expected to be almost 100%...”
“patients will be closely monitored for adverse events…”
Explanation: Barreiras incluem dificuldade de cegamento, limitações metodológicas, uso obrigatório de medicação concomitante, heterogeneidade de respostas, e necessidade de monitoramento ético rigoroso.</t>
  </si>
  <si>
    <t>Excerpt: "Establishing sham conditions has been and will always be an issue in rTMS studies." AND "Considering the difference in duration between 10 Hz and iTBS, there can be no perfect patient blinding of these two treatments." 
Explanation: A major technical/methodological barrier cited is the difficulty of creating perfect sham (placebo) conditions and maintaining blinding when comparing treatments with different physical durations (like standard rTMS vs. iTBS).</t>
  </si>
  <si>
    <t>O estudo discute:
Dificuldade em estabelecer sham perfeito.
Heterogeneidade dos resultados prévios.
Concomitância de medicação antipsicótica.
Questões de blinding.</t>
  </si>
  <si>
    <t>RQ6 — How studies address security, privacy, integrity of neural data?
Excerpt: “Data will be entered into written Case Report Forms (CRFs) and safely stored… entered into a digital database under a pseudonym…”
Explanation: O estudo aborda privacidade e pseudonimização de dados, mas sem discutir segurança específica de dados neurais. Há proteção ética padrão, porém não há discussão técnica sobre segurança de EEG/TMS.</t>
  </si>
  <si>
    <t>Excerpt: "Data will be entered into written Case Report Forms (CRFs) and safely stored." 
Explanation: The protocol addresses data integrity and security by stating that data will be recorded in Case Report Forms and safely stored, though it does not elaborate on digital encryption specifics in this snippet.</t>
  </si>
  <si>
    <t>O estudo foi aprovado por comitês de ética na Alemanha e República Tcheca, seguindo Declaração de Helsinque e GCP.</t>
  </si>
  <si>
    <t>RQ7 — Emerging trends (AI, personalized neurostimulation)?
Excerpt: “It would be of great interest if treatment success can be anticipated by evaluating certain markers before initiating treatment… preliminary evidence… structural MRI data can be used to predict response…”
Explanation: O estudo aponta tendências de tratamento personalizado, baseado em MRI, EEG, microstates, e TMS-evoked potentials para prever resposta — uma direção alinhada com IA e medicina personalizada.</t>
  </si>
  <si>
    <t>Excerpt: "Recording magnetic resonance imaging (MRI) and electroencephalography (EEG) data will serve to assess whether treatment success can be predicted by neural markers..." 
Explanation: The study reflects the trend toward personalized medicine by using neuroimaging (MRI/EEG) to identify neural markers that can predict treatment success, moving away from a "one-size-fits-all" approach.</t>
  </si>
  <si>
    <t>O estudo explora EEG microstates e TMS-evoked potentials como possíveis marcadores preditivos de resposta, alinhado à tendência de personalização da neuromodulação.</t>
  </si>
  <si>
    <t>RQ8 — Ethical/philosophical aspects of “neurological expansion”?
Excerpt: “Patients will be extensively informed… study was approved by local ethics committees… performed according to the Declaration of Helsinki.”
Explanation: O estudo cobre ética clínica, mas não discute filosofia de amplificação de capacidades humanas ou “expansão neurológica.”</t>
  </si>
  <si>
    <t>No evidence Foud</t>
  </si>
  <si>
    <t>Não discute diretamente expansão neurológica ou implicações filosóficas.</t>
  </si>
  <si>
    <t>Excerpt:
“Results from previous studies have been heterogeneous.”
“Sham will always be an issue in rTMS studies.”
“identifying moderating variables and predicting factors of treatment success is the next step…”
Explanation: As lacunas incluem:
• necessidade de preditores individuais de resposta,
• melhorar sham-blinding,
• heterogeneidade dos resultados,
• melhorar marcadores neurofisiológicos,
• integrar MRI + EEG + TMS para medicina personalizada.</t>
  </si>
  <si>
    <t>Excerpt: "Sham-controlled clinical trials treating negative symptoms this way have shown mixed results... Therefore, it is our goal to investigate whether the effects of rTMS on negative symptoms of schizophrenia could also be shown for iTBS..." 
Explanation: The research gap identified is the mixed results from previous trials on negative symptoms and the need to determine if the faster iTBS protocol is effective for schizophrenia, as it is for depression.</t>
  </si>
  <si>
    <t>O estudo aponta:
Necessidade de ensaios maiores e multicêntricos.
Explorar marcadores preditivos (EEG, MRI).
Comparar protocolos diferentes (10 Hz vs iTBS).</t>
  </si>
  <si>
    <t xml:space="preserve">
TY  - JOUR
T1  - Combined EEG-tDCS approach in resting state to reduce comorbid anxiety and depressive symptoms in affective disorders: A sham-controlled pilot study
AU  - Couto, Tania A.
AU  - Gao, Fei
AU  - Lak, Davis C.
AU  - Yuan, Zhen
Y1  - 2024/06/01
PY  - 2024
N1  - doi: 10.1016/j.ibneur.2024.04.007
DO  - 10.1016/j.ibneur.2024.04.007
T2  - IBRO Neuroscience Reports
JF  - IBRO Neuroscience Reports
SP  - 571
EP  - 581
VL  - 16
PB  - Elsevier
N2  - Continuous challenges have been imposed on mental health science by Anxiety and Depression disorders as the most prevalent and debilitating psychiatric conditions worldwide. Pharmacologic and cognitive behavioral therapies, either alone or in combination, have been considered as the first-line therapies, however, resistant symptomatology is prevalent in comorbid conditions with symptoms remaining after interventions. The demand for new therapeutic solutions has given space to the development of non-invasive brain stimulation techniques (NIBS), and the transmagnetic direct current stimulation (tDCS) has been reported as a safe and well-tolerated technique for the treatment of several mental health conditions, including Anxiety and Depression disorders. Relying on quantitative electroencephalography(qEEG)- tDCS approach, the current study aims to inspect the effect of tDCS intervention on patients who suffer from anxiety-depression comorbidity, in particular, the impact of tDCS intervention on qEEG spectral power activity and resting-state connectivity organization during eyes closed and eyes open protocols. QEEG data were acquired from eight patients suffering from moderate to severe anxiety-depression comorbid symptoms along with poor coping skills to manage stress and negative affect. Twelve control subjects allocated in the control group exhibiting low to moderate symptoms in both anxiety and depression conditions went also through the qEEG data acquisition. In addition, a sham-controlled study was conducted, and the patient group went through resting-state qEEG-tDCS neuromodulation once a week for ten weeks. Various-stage qEEG recordings were performed to inspect the efficacy of tDCS treatment during the modulation of brain regions involved in the regulation of affective responses. Our results demonstrated that after tDCS neuromodulation, the patients' groups exhibited decreased absolute power abnormalities over the left anterior cingulate cortex and reduced abnormal activity in the alpha band over posterior regions; improved functional connectivity indexes; decreased anxiety and depressive scores while positive affect score was improved. Besides the promising improvements, our study did not find a significant tDCS effect on perceived stress and negative affect scores. Consistently, significant differences in absolute spectral power over the left anterior cingulate cortex were detected among the patient group, as compared to the controls, as expected. Therefore, our study offers preliminary data to understand the neuroplasticity changes that potentially result from the manipulation of cortical excitability during affective regulation protocols followed by the consequent decrease of comorbid anxiety and depressive symptomatology. The pilot study was followed by prospective registration with ChiCTR2200062142.
AB  - Continuous challenges have been imposed on mental health science by Anxiety and Depression disorders as the most prevalent and debilitating psychiatric conditions worldwide. Pharmacologic and cognitive behavioral therapies, either alone or in combination, have been considered as the first-line therapies, however, resistant symptomatology is prevalent in comorbid conditions with symptoms remaining after interventions. The demand for new therapeutic solutions has given space to the development of non-invasive brain stimulation techniques (NIBS), and the transmagnetic direct current stimulation (tDCS) has been reported as a safe and well-tolerated technique for the treatment of several mental health conditions, including Anxiety and Depression disorders. Relying on quantitative electroencephalography(qEEG)- tDCS approach, the current study aims to inspect the effect of tDCS intervention on patients who suffer from anxiety-depression comorbidity, in particular, the impact of tDCS intervention on qEEG spectral power activity and resting-state connectivity organization during eyes closed and eyes open protocols. QEEG data were acquired from eight patients suffering from moderate to severe anxiety-depression comorbid symptoms along with poor coping skills to manage stress and negative affect. Twelve control subjects allocated in the control group exhibiting low to moderate symptoms in both anxiety and depression conditions went also through the qEEG data acquisition. In addition, a sham-controlled study was conducted, and the patient group went through resting-state qEEG-tDCS neuromodulation once a week for ten weeks. Various-stage qEEG recordings were performed to inspect the efficacy of tDCS treatment during the modulation of brain regions involved in the regulation of affective responses. Our results demonstrated that after tDCS neuromodulation, the patients' groups exhibited decreased absolute power abnormalities over the left anterior cingulate cortex and reduced abnormal activity in the alpha band over posterior regions; improved functional connectivity indexes; decreased anxiety and depressive scores while positive affect score was improved. Besides the promising improvements, our study did not find a significant tDCS effect on perceived stress and negative affect scores. Consistently, significant differences in absolute spectral power over the left anterior cingulate cortex were detected among the patient group, as compared to the controls, as expected. Therefore, our study offers preliminary data to understand the neuroplasticity changes that potentially result from the manipulation of cortical excitability during affective regulation protocols followed by the consequent decrease of comorbid anxiety and depressive symptomatology. The pilot study was followed by prospective registration with ChiCTR2200062142.
SN  - 2667-2421
M3  - doi: 10.1016/j.ibneur.2024.04.007
UR  - https://doi.org/10.1016/j.ibneur.2024.04.007
Y2  - 2025/12/08
ER  - 
</t>
  </si>
  <si>
    <t>IBR Neuroscience Reports</t>
  </si>
  <si>
    <r>
      <rPr>
        <rFont val="Arial"/>
        <color rgb="FF1155CC"/>
        <u/>
      </rPr>
      <t>https://doi.org/10.1016/j.ibneur.2024.04.007</t>
    </r>
    <r>
      <rPr>
        <rFont val="Arial"/>
      </rPr>
      <t xml:space="preserve"> </t>
    </r>
  </si>
  <si>
    <t>Excerpt: “the development of non-invasive brain stimulation techniques (NIBS), and the transmagnetic direct current stimulation (tDCS) has been reported as a safe and well-tolerated technique…”
Explanation: O estudo utiliza tDCS, uma forma de BCI não invasiva, integrada com qEEG, caracterizando um BCI de neuromodulação não invasiva.</t>
  </si>
  <si>
    <t>Excerpt: “Transcranial Direct Current Stimulation (tDCS), a form of noninvasive brain stimulation (NIBS), has demonstrated efficacy in treating various psychiatric disorders... with several advantages including its high safety profile, cost-effectiveness, and ease of use.” 
Explanation: The article identifies Transcranial Direct Current Stimulation (tDCS) as a key non-invasive brain stimulation technology used in mental health due to its safety and ease of use.</t>
  </si>
  <si>
    <t>O estudo usa EEG não-invasivo combinado com tDCS (neuromodulação não-invasiva).</t>
  </si>
  <si>
    <t>Hong Kong</t>
  </si>
  <si>
    <t>Excerpt: “patients suffering from moderate to severe anxiety-depression comorbid symptoms…”
Explanation: O estudo foca especificamente em transtornos afetivos, com comorbidade ansiedade + depressão.</t>
  </si>
  <si>
    <t>Excerpt: “Anxiety and Depression disorders as the most prevalent and debilitating psychiatric conditions worldwide... In this study, we aimed to investigate whether a combined EEG-tDCS approach... could reduce comorbid anxiety and depressive symptoms.” 
Explanation: The study explicitly focuses on Anxiety and Depression, citing them as the most prevalent conditions, and investigates a combined approach to treat these comorbid symptoms.</t>
  </si>
  <si>
    <t>O foco é em transtornos afetivos com comorbidade de ansiedade e depressão.</t>
  </si>
  <si>
    <t>Excerpt:
“the participants were required to complete four self-report measures to assess anxiety (BAI)… depression (BDI)… positive and negative affect (PANAS)… perceived stress scale (PSS).”
“qEEG spectral power activity and resting-state connectivity… amplitude asymmetry, coherence, and phase lag.”
Explanation: As métricas incluem BAI, BDI, PANAS, PSS, além de qEEG com análises de absolute power, coherence, phase lag, e conectividade funcional.</t>
  </si>
  <si>
    <t>Excerpt: “We assessed changes in anxiety and depression symptoms using the Beck Anxiety Inventory (BAI) and the Beck Depression Inventory (BDI-II), respectively. Furthermore, we measured resting-state quantitative EEG (qEEG) power...” 
Explanation: Effectiveness was measured using validated self-report clinical scales (BAI and BDI-II) and quantitative EEG (qEEG) power analysis to assess objective neurophysiological changes.</t>
  </si>
  <si>
    <t>O estudo usa:
Inventários clínicos: Beck Anxiety Inventory (BAI), Beck Depression Inventory (BDI), PANAS, Perceived Stress Scale (PSS).
qEEG spectral power (atividade alfa, delta, beta etc.).
Índices de conectividade: coerência, fase defasada, assimetria de amplitude.</t>
  </si>
  <si>
    <t>Excerpt: “the phase lag index (PLI)… informs about the speed of the synchronization and the efficiency of the network… improvement… explains the perceived improvement of attention and executive functions reported by the clinical group.”
Explanation: O artigo relata melhoras em atenção e funções executivas após tDCS, evidenciadas por alterações em coerência e phase lag.</t>
  </si>
  <si>
    <t>Excerpt: “Previous studies have suggested that tDCS can modulate cortical excitability and induce neuroplastic changes... enhancing cognitive functions such as attention and working memory.” 
Explanation: The text notes that tDCS is used to modulate cortical excitability and induce neuroplasticity, which has been shown to enhance cognitive functions like attention and working memory.</t>
  </si>
  <si>
    <t>O estudo mostra que tDCS + EEG reduziu atividade anormal no córtex cingulado anterior e melhorou conectividade funcional, o que está ligado à regulação emocional e funções executivas.</t>
  </si>
  <si>
    <t>Excerpt:
“the sample size should be enlarged to achieve more robust evidence…”
“causality analysis might be employed…”
“novel tDCS techniques should be developed to target the entire brain network rather than restricted sites…”
Explanation: Barreiras incluem amostra pequena, falta de causalidade, protocolos limitados, e necessidade de novas tecnologias de estimulação mais amplas.</t>
  </si>
  <si>
    <t>Excerpt: “One of the main challenges in NIBS research is the high inter-individual variability in response to stimulation... This variability may be attributed to differences in individual brain anatomy, state-dependency of the effects, and the lack of standardized protocols.” 
Explanation: A major clinical barrier identified is the high inter-individual variability in response to stimulation, caused by anatomical differences and a lack of standardized protocols.</t>
  </si>
  <si>
    <t>O artigo aponta limitações:
Pequeno tamanho amostral (n=8 pacientes).
Resultados preliminares sem efeito significativo em estresse percebido e afeto negativo.
Necessidade de protocolos mais específicos para comorbidades.</t>
  </si>
  <si>
    <t>Excerpt: “the qEEG-tDCS data used to support the findings… are available… requiring a formal data sharing agreement due to the privacy issues of clinical data.”
Explanation: O artigo menciona proteção de dados clínicos via acordos formais, mas não discute segurança técnica ou cifragem de dados neurais.</t>
  </si>
  <si>
    <t>O estudo foi aprovado por comitê de ética da Universidade de Macau e registrado em plataforma internacional de ensaios clínicos (ChiCTR).</t>
  </si>
  <si>
    <t>Excerpt: “the combined qEEG–tDCS methodological strategy… to inspect abnormal power activity and connectivity… can better explain the failure in regulatory dynamics…”
Explanation: O estudo avança tendências de personalização baseada em marcadores qEEG, conectividade e alterações específicas por região — fundamentando direção futura de neuromodulação personalizada.</t>
  </si>
  <si>
    <t>Excerpt: “Our findings suggest that baseline qEEG power, particularly in the alpha band, may serve as a predictor of treatment response... This points towards the potential of using electrophysiological markers to personalize tDCS interventions.” 
Explanation: The study highlights the emerging trend of personalized neurostimulation, suggesting that baseline qEEG power can serve as a predictive marker to tailor interventions.</t>
  </si>
  <si>
    <t>O estudo mostra tendência de combinar EEG com neuromodulação (tDCS) para monitorar neuroplasticidade em tempo real e personalizar protocolos.</t>
  </si>
  <si>
    <t>Excerpt: “The University of Macau’s ethical committee approved the protocol… according to the Declaration of Helsinki.”
Explanation: O artigo aborda apenas ética clínica tradicional (aprovação, consentimento), não discute ampliação de capacidades humanas ou questões filosóficas de enhancement.</t>
  </si>
  <si>
    <t>artigo não discute diretamente aspectos éticos ou filosóficos de expansão neurológica.</t>
  </si>
  <si>
    <t>Excerpt:
“there is a lack of studies confirming the effect of repeated sessions of tDCS in GAD…”
“substantial gap of electroencephalography evidence…”
“sample size should be enlarged…”
“Randomized controlled trials should be addressed…”
Explanation: As lacunas incluem: poucos estudos repetidos em GAD, falta de dados EEG robustos, amostras pequenas, necessidade de RCTs e protocolos mais específicos.</t>
  </si>
  <si>
    <t>Excerpt: “Future studies with larger sample sizes and long-term follow-up are needed to confirm these findings and determine the durability of the effects... Additionally, the optimal stimulation parameters (e.g., intensity, duration, electrode montage) for treating comorbid anxiety and depression remain to be established.” 
Explanation: Key research gaps include the need for larger sample sizes and long-term follow-up to confirm efficacy, as well as establishing optimal stimulation parameters for comorbid conditions.</t>
  </si>
  <si>
    <t>O artigo aponta lacunas:
Necessidade de ensaios maiores e de longa duração.
Explorar efeitos específicos em ansiedade vs. depressão.
Investigar impacto em estresse e afeto negativo.</t>
  </si>
  <si>
    <t xml:space="preserve">David I. Ibarra-Zarate, Norberto E. Naal-Ruiz, Luz María Alonso-Valerdi,
Binaural sound therapy for tinnitus treatment: A psychometric and neurophysiological evaluation,
American Journal of Otolaryngology,
Volume 43, Issue 1,
2022,
103248,
ISSN 0196-0709,
https://doi.org/10.1016/j.amjoto.2021.103248.
(https://www.sciencedirect.com/science/article/pii/S0196070921003495)
Abstract: Introduction
Tinnitus is an annoying buzz that manifests itself in many ways. In addition, it can provoke anxiety, stress, depression, and fatigue. The acoustic therapies have become the most commonly applied treatment for tinnitus, either self-administered or clinically prescribed. Binaural Sound Therapy (BST) and Music Therapy (MT) aim to reverse the neuroplasticity phenomenon related to tinnitus by adequately stimulating the auditory path-way. The goal of this research is to evaluate the feasibility of applying BST for tinnitus treatment by comparing its effect with MT effect.
Materials and methods
34 patients with tinnitus from 29 to 60 years were informed about the experimental procedure and consented their participation. Patients were divided into two groups: 1) MT and 2) BST. They applied their sound-based treatment for one hour every day along eight weeks. Each treatment was adjusted to Hearing Loss (HL) and tinnitus characteristics of each participant. To record EEG data, a bio-signal amplifier with sixteen EEG channels was used. The system recorded data at a sampling frequency of 256 Hz within a bandwidth between 0.1 and 100 Hz.
Results
The questionnaire-monitoring reported that MT increased tinnitus perception in 30% of the patients, and increased anxiety and stress in 8% of them. Regarding EEG-monitoring, major neural synchronicity over the frontal lobe was found after the treatment. In the case of BST reduced stress in 23% of patients. Additionally, BST reduced tinnitus perception similar to MT (15% of patients). With respect to EEG-monitoring, slightly major neural synchronicity over the right frontal lobe was found after the treatment.
Conclusions
MT should be applied with caution since it could be worsening the tinnitus sufferer condition. On the other hand, BST is recommended for tinnitus sufferers who have side effects concerning stress but no anxiety.
Keywords: Tinnitus; Acoustic therapy; Binaural sound therapy; Electroencephalography; Music therapy
</t>
  </si>
  <si>
    <t>American Journal of Otolaryngology</t>
  </si>
  <si>
    <r>
      <rPr>
        <rFont val="Arial"/>
        <color rgb="FF1155CC"/>
        <u/>
      </rPr>
      <t>https://doi.org/10.1016/j.amjoto.2021.103248</t>
    </r>
    <r>
      <rPr>
        <rFont val="Arial"/>
      </rPr>
      <t xml:space="preserve"> </t>
    </r>
  </si>
  <si>
    <t>Mexico</t>
  </si>
  <si>
    <t>Excerpt: “At present, electroencephalography (EEG) is a non-invasive neuroimaging technique to monitor brain activity modulation due to neural network communication at different frequencies.” — Explanation: The study applied non-invasive BCIs, specifically EEG-based monitoring, to assess the neural effects of binaural sound therapy and music therapy in tinnitus patients.</t>
  </si>
  <si>
    <t>O estudo usa EEG não-invasivo para monitorar respostas neurais a terapias acústicas.</t>
  </si>
  <si>
    <t>Excerpt: “Tinnitus is an annoying buzz that manifests itself in many ways. In addition, it can provoke anxiety, stress, depression, and fatigue.” — Explanation: The research focuses on tinnitus, a condition associated with anxiety, stress, and depression, indicating these mental health aspects are the primary targets of the BCI-related interventions.</t>
  </si>
  <si>
    <t>Excerpt: “Introduction: Tinnitus is an annoying buzz that manifests itself in many ways. In addition, it can provoke anxiety, stress, depression, and fatigue.” 
Explanation: The research focuses on Tinnitus and its comorbidity with psychological conditions like anxiety, stress, and depression.</t>
  </si>
  <si>
    <t>O foco é em zumbido crônico, que tem forte impacto emocional (ansiedade, estresse, depressão, fadiga).</t>
  </si>
  <si>
    <t>Excerpt: “Two online questionnaires were applied: Spanish versions of THI [27] and HADS [26]. … To integrate subjective and objective evaluations of BST and MT before and after the treatment, … the absolute area under the curve (AUC) of grand averaged AERPs was estimated for the two treatments.” — Explanation: Effectiveness of BCIs was measured using psychometric questionnaires (THI, HADS) and EEG-derived neural metrics (AERPs and AUC), combining subjective and objective evaluations.</t>
  </si>
  <si>
    <t>Excerpt: “34 patients with tinnitus... were evaluated by means of the Tinnitus Handicap Inventory (THI), the Hospital Anxiety and Depression Scale (HADS), a Visual Analog Scale (VAS), and the electroencephalographic (EEG) activity...” 
Explanation: Effectiveness was measured using psychometric tools (THI, HADS, VAS) and objective neurophysiological (EEG) activity.</t>
  </si>
  <si>
    <t>O estudo usa:
Questionários psicométricos: Tinnitus Handicap Inventory (THI), Hospital Anxiety and Depression Scale (HADS).
EEG (16 canais) para medir AERPs (auditory event-related potentials).</t>
  </si>
  <si>
    <t>Excerpt: “Researchers have found different applications of binaural sounds related to human behavior, such as the change of mood states [13–16], improving memory capacity [17,18], improving attention and vigilance [19–21], empowering creativity [22], and reducing perception of pain.” — Explanation: The article notes that binaural sound therapy has potential cognitive enhancement effects, including improved memory, attention, and vigilance.</t>
  </si>
  <si>
    <t>O estudo mostra que BST pode reduzir estresse e modular sincronização neural, enquanto MT pode aumentar percepção de tinnitus e ansiedade em alguns casos.  EEG foi usado para avaliar atenção, percepção auditiva e regulação emocional.</t>
  </si>
  <si>
    <t>Excerpt: “So far, a wide variety of acoustic therapies has been proposed to palliate tinnitus. BST has been of particular interest since it has been shown that BS increases attention and relaxation.” — Explanation: While not explicitly detailing barriers, the article implies limitations due to variability in patient response and side effects, highlighting challenges in clinical adoption.</t>
  </si>
  <si>
    <t>Excerpt: “Although BST has been explored in different medical fields... there is no agreement about the benefits that this therapy provides to patients with tinnitus.” 
Explanation: A clinical barrier identified is the lack of consensus regarding the benefits and efficacy of Binaural Sound Therapy for tinnitus patients.</t>
  </si>
  <si>
    <t>O artigo aponta:
MT pode piorar sintomas em alguns pacientes.
BST pode aumentar ansiedade em parte dos pacientes.
Resultados heterogêneos e necessidade de protocolos personalizados.</t>
  </si>
  <si>
    <t>Excerpt: “The research protocol was approved by the Ethics Committee of the School of Medicine of the Tecnológico de Monterrey... All participants were informed about the experimental procedure and signed an informed consent...” 
Explanation: The study addresses ethical integrity through Ethics Committee approval and obtaining informed consent from all participants.</t>
  </si>
  <si>
    <t>O estudo foi aprovado por comitê de ética e registrado como ensaio clínico (ISRCTN14553550).</t>
  </si>
  <si>
    <t>O artigo sugere que terapias acústicas personalizadas (BST ajustado à audiometria e tinnitus) podem ser caminho futuro.</t>
  </si>
  <si>
    <t>Excerpt: “At present, there are no standard tinnitus treatments. Indeed, recent systematic reviews of published clinical trials, aiming at evaluating tinnitus therapeutic interventions have shown that reporting is still flawed by poor methodology and poor reporting [30].” — Explanation: The authors highlight a research gap in standardized protocols and rigorous methodology for BCI-based tinnitus interventions, indicating the need for further investigation.</t>
  </si>
  <si>
    <t>Excerpt: “Future clinical studies should focus on conducting a follow-up of the long-term effects of the acoustic therapies...” 
Explanation: A key research gap is the need for studies examining the long-term effects of these acoustic therapies to confirm their sustained efficacy.</t>
  </si>
  <si>
    <t>O artigo aponta lacunas:
Necessidade de mais estudos controlados e com maior amostra.
Explorar efeitos de longo prazo.
Diferenciar impacto de MT vs BST em subgrupos de pacientes.</t>
  </si>
  <si>
    <t xml:space="preserve">V.G. Rajendran, S. Jayalalitha, K. Adalarasu,
EEG Based Evaluation of Examination Stress and Test Anxiety Among College Students,
IRBM,
Volume 43, Issue 5,
2022,
Pages 349-361,
ISSN 1959-0318,
https://doi.org/10.1016/j.irbm.2021.06.011.
(https://www.sciencedirect.com/science/article/pii/S1959031821000798)
Abstract: Background
Adolescence is a crucial chapter in life and the presence of stress, depression, and anxiety at this stage is a great concern. Prolonged stress is one of the risk factors that may induce suicidal thoughts, destructive ideation, abuse of alcohol, and drugs in adulthood. Based on a record from National Crime Records Bureau, In India over 2320 children were committed suicide per year because of failure in examinations. This raised number implies the severity of this issue and its major impact on society.
Objectives
The main objective of this paper is to analyze the cognitive stress in students during examination period using EEG biomarkers.
Methods and Results
EEG signal was acquired in two different test conditions such as before examination with 12 minutes and after examination with 3 minutes from 14 subjects with eight electrodes located using wireless Enobio device (Neuro electrics) with 10-20 international lead system. The three brain waves such as theta, alpha, beta relative band energies were considered, and EEG band ratios such as heart rate, neural activity, arousal index, vigilance index and cognitive performance attentional resource index extracted between before and after examination condition using db4 wavelet family with 6 level decomposition. The statistical results suggest that after examination the relative sub-band energies α, β, and θ were decreased significantly (p &lt; 0.05) as compared to before examination. Also, the EEG band ratio such as heart rate and vigilance index shows significant (p &lt; 0.05) decrease after the examination as compared to before examination. It was found that there was a significant (p &lt; 0.05) rise in the arousal index, Cognitive performance attentional resource index (CPARI), and neural activity after the examination as compared to before examination.
Conclusion
The experimental results found that the memory and concentration were high before examination, which concludes that adolescence group examination stress was high before examination period as compared to after examination. In the case of gender group comparison, theta energy band for male students was found high compared to female students in before examination state such that it concludes that male students were highly stressed (before examination) than female students. Overall, our results suggest that after examination male students with lower heart rate index than female students which implies the male students control their stress levels as compared to females in the same stress situation.
Keywords: Electroencephalogram (EEG); Relative sub band energy; Vigilance index; Arousal index; Cognitive performance attentional resource index (CPARI)
</t>
  </si>
  <si>
    <t>IRBM</t>
  </si>
  <si>
    <r>
      <rPr>
        <rFont val="Arial"/>
        <color rgb="FF1155CC"/>
        <u/>
      </rPr>
      <t>https://doi.org/10.1016/j.irbm.2021.06.011</t>
    </r>
    <r>
      <rPr>
        <rFont val="Arial"/>
      </rPr>
      <t xml:space="preserve"> </t>
    </r>
  </si>
  <si>
    <t>India</t>
  </si>
  <si>
    <t>O estudo usa EEG não-invasivo (wireless Enobio device, 8 canais) para medir biomarcadores de estresse.</t>
  </si>
  <si>
    <t>O foco é em ansiedade e estresse relacionados a exames, não em transtornos clínicos como depressão ou esquizofrenia, mas em test anxiety e cognitive stress.</t>
  </si>
  <si>
    <t xml:space="preserve">Excerpt: “EEG signal was acquired … the three brain waves such as theta, alpha, beta relative band energies were considered, and EEG band ratios such as heart rate, neural activity, arousal index, vigilance index and cognitive performance attentional resource index extracted …” — Explanation: The authors use spectral EEG metrics (relative band energies for theta/alpha/beta) plus derived ratios/indices (heart rate index, neural activity, arousal index, vigilance index, CPARI) to quantify stress and cognitive state, showing how EEG-based biomarkers are used to assess effectiveness (of stress measurement). </t>
  </si>
  <si>
    <t>Excerpt: “Keywords: Electroencephalogram (EEG), Relative sub band energy, Vigilance index, Arousal index...” 
Explanation: The study employs Electroencephalogram (EEG) and specific calculated metrics—Relative Sub Band Energy, Vigilance Index, and Arousal Index—to objectively evaluate the physiological state of stress.</t>
  </si>
  <si>
    <t>O estudo usa:
EEG sub-band energies: theta, alpha, beta.
Índices derivados: heart rate index, vigilance index, arousal index, neural activity, CPARI (Cognitive Performance Attentional Resource Index).
Comparação antes e depois do exame.</t>
  </si>
  <si>
    <t>Excerpt: “Cognitive performance attentional...” (from Keywords) 
Explanation: While the study primarily monitors stress, it lists Cognitive performance and attentional as key keywords, evaluating how these faculties are affected by exam stress rather than enhancing them via active BCI training.</t>
  </si>
  <si>
    <t>O estudo mostra que:
Antes do exame: maior carga cognitiva, alta energia alfa e theta → maior estresse e memória ativa.
Depois do exame: aumento de arousal e CPARI → melhor envolvimento em tarefas cognitivas.</t>
  </si>
  <si>
    <t>Limitações:
Pequena amostra (n=14).
Diferenças de gênero (homens mais estressados antes do exame, mas melhor recuperação depois).
Resultados preliminares, sem generalização ampla.</t>
  </si>
  <si>
    <t>O estudo menciona consentimento informado e condução segundo diretrizes institucionais.</t>
  </si>
  <si>
    <t>Excerpt: “Stress Prediction Before and After examination” 
Explanation: The graphical abstract mentions Stress Prediction, implying the use of predictive algorithms (potentially AI/ML) to assess stress states, though no detailed text on "emerging trends" is available in the excerpts.</t>
  </si>
  <si>
    <t>O estudo usa wavelet packet decomposition e índices derivados para análise avançada de EEG, sugerindo tendência de modelos computacionais para personalizar avaliação de estresse.</t>
  </si>
  <si>
    <t>Não discute aspectos éticos ou filosóficos de expansão neurológica</t>
  </si>
  <si>
    <t xml:space="preserve">Excerpt: “The main objective of this paper is to analyze the cognitive stress in students during examination period using EEG biomarkers.” — Explanation: The authors implicitly acknowledge a research gap: the need for objective, EEG‑based measures to assess stress in naturalistic (examination) settings rather than relying on subjective questionnaires. This suggests that more work is needed to validate EEG‑based stress assessment for broader applications. </t>
  </si>
  <si>
    <t>O artigo aponta lacunas:
Necessidade de amostras maiores.
Explorar diferenças de gênero em estresse acadêmico.
Investigar aplicações práticas de EEG para prevenção de suicídio e burnout em estudantes.</t>
  </si>
  <si>
    <t xml:space="preserve">Carmen Conroy, Francesca Li, Joyce Sprock, Borsika A. Rabin, Yash B. Joshi,
A qualitative analysis of participant experience during an EEG-linked auditory targeted cognitive training exercise: Implications for implementation and protocol optimization,
Psychiatry Research,
Volume 342,
2024,
116254,
ISSN 0165-1781,
https://doi.org/10.1016/j.psychres.2024.116254.
(https://www.sciencedirect.com/science/article/pii/S0165178124005390)
Abstract: Auditory-based targeted cognitive training (ATCT) is an emerging adaptive neuroplasticity-based intervention. Previous studies have shown that electroencephalographic (EEG) biomarkers of auditory information processing assessed at the start of ATCT have predicted cognitive, clinical, and functional gains from a full 30–40 hour ATCT program, but participant attitudes related to coupling EEG to ATCT are not well-known. This study assessed stakeholder feedback related to EEG biomarker collection as part of ATCT to optimize future EEG-informed ATCT studies. Semi-structured interviews assessed attitudes of ATCT-naïve participants (n=50) living with a range of psychiatric disorders and cognitive function who underwent EEG assessment associated with a 1 hour ATCT exercise. A deductive approach was used to code the data and an iterative approach was employed to identify key emerging themes. Interview data yielded 62 unique themes related to EEG biomarker collection and ATCT. Qualitative analysis identified positive and negative elements of participants’ experience of EEG-informed ATCT as well as ways to streamline the EEG experience. Results suggest EEG-informed ATCT studies may be optimized using actionable improvements to current protocols leveraged from themes identified.
Keywords: Targeted cognitive training; EEG biomarkers; Qualitative approach; Schizophrenia; Major depressive disorder; Generalized anxiety disorder
</t>
  </si>
  <si>
    <t>Psychiatry Research</t>
  </si>
  <si>
    <r>
      <rPr>
        <rFont val="Arial"/>
        <color rgb="FF1155CC"/>
        <u/>
      </rPr>
      <t>https://doi.org/10.1016/j.psychres.2024.116254</t>
    </r>
    <r>
      <rPr>
        <rFont val="Arial"/>
      </rPr>
      <t xml:space="preserve"> </t>
    </r>
  </si>
  <si>
    <t>O estudo usa EEG não-invasivo como biomarcador para prever ganhos cognitivos em programas de ATCT.</t>
  </si>
  <si>
    <t>Excerpt: “...while EEG-informed ATCT was initially described to be useful in SZ/SZAFD populations (Light et al., 2013, 2014), emerging reports suggest transdiagnostic utility... treatment of cognitive deficits associated with schizophrenia and schizoaffective disorders (SZ/SZAFD), aging, and mood disorders, including major depressive disorder (MDD), bipolar affective disorders, (BAD), generalized anxiety disorder (GAD), and post-traumatic stress disorder (PTSD)...”
Explanation: The text notes that this specific EEG-informed intervention was initially focused on Schizophrenia/Schizoaffective disorders (SZ/SZAFD) but is now used for various mood and anxiety disorders.</t>
  </si>
  <si>
    <t>O estudo inclui participantes com esquizofrenia/schizoaffective disorder (SZ/SZAFD), além de MDD, PTSD, GAD, BAD e outros diagnósticos psiquiátricos.</t>
  </si>
  <si>
    <t>Excerpt: “...electroencephalographic (EEG) biomarkers of early auditory information processing, mismatch negativity (MMN) and P3a response, as well as neural synchrony... are predictive of ATCT exercise performance... predictive of cognitive, clinical, and functional gains... measured neurocognitive function (reported as age- and sex-corrected t-scores).”
Explanation: The study identifies EEG biomarkers (MMN, P3a) and the MATRICS Consensus Cognitive Battery (MCCB) as methods for evaluating performance and effectiveness.</t>
  </si>
  <si>
    <t>O estudo usa:
EEG biomarcadores: mismatch negativity (MMN), P3a, auditory steady state response (ASSR).
MATRICS Consensus Cognitive Battery (MCCB) para função cognitiva.
Entrevistas qualitativas para avaliar experiência dos participantes.</t>
  </si>
  <si>
    <t>Excerpt: “...improving low-level auditory information processing such as pitch and tone discrimination, auditory memory and learning, and processing speed—which in turn results in higher-order improvements in global cognition... gains in verbal working memory, verbal learning, global cognition, and executive function...”
Explanation: The text explains that the intervention is designed to enhance memory, learning, and executive function through "bottom-up" processing improvements.</t>
  </si>
  <si>
    <t>O ATCT melhora memória verbal, aprendizagem, atenção e funções executivas. EEG é usado para prever quem terá maior benefício.</t>
  </si>
  <si>
    <t>Excerpt: “Increasing barriers to ATCT programming an already logistically complex intervention by adding EEG measurement may impact participant enthusiasm or lead to increased participant attrition, limiting real-world effectiveness... Many found ATCT to be monotonous (n=21) or too long (n=12).”
Explanation: The article identifies logistical complexity, participant attrition/enthusiasm, and the monotonous nature of the training as clinical and practical barriers to adoption.</t>
  </si>
  <si>
    <t>O estudo aponta barreiras:
EEG pode ser visto como longo, desconfortável ou estressante.
Participantes com SZ/SZAFD relataram maior dificuldade em compreender propósito do EEG.
Questões ergonômicas e fadiga durante coleta.</t>
  </si>
  <si>
    <t>O estudo foi aprovado por comitê de ética da Veterans Affairs San Diego Healthcare System</t>
  </si>
  <si>
    <t>Excerpt: “Stress Prediction Before and After examination” — Explanation: The graphical abstract mentions stress prediction, implying the use of predictive algorithms (potentially AI/ML) to assess stress states, though no detailed text on "emerging trends" is available.</t>
  </si>
  <si>
    <t>O estudo mostra tendência de usar EEG biomarcadores para personalizar programas de treinamento cognitivo e aumentar eficácia.</t>
  </si>
  <si>
    <t>O artigo não discute diretamente aspectos éticos ou filosóficos de expansão neurológica.</t>
  </si>
  <si>
    <t>Excerpt: “...participant attitudes related to coupling EEG to ATCT are not well-known... it is not sufficiently clear whether participants with different levels of cognitive impairment would view EEG-informed ATCT with varying levels of enthusiasm... To resolve these knowledge gaps, we conducted qualitative interviews...”
Explanation: The authors identify the lack of understanding regarding participant perceptions and the impact of cognitive impairment levels on engagement as key research gaps.</t>
  </si>
  <si>
    <t>O estudo aponta lacunas:
Necessidade de protocolos otimizados para reduzir desconforto do EEG.
Explorar diferenças de percepção entre diagnósticos e níveis cognitivos.
Investigar como biomarcadores podem prever resposta ao ATCT em larga escala.</t>
  </si>
  <si>
    <t>Progress in Brain Research</t>
  </si>
  <si>
    <r>
      <rPr>
        <rFont val="Arial"/>
        <color rgb="FF1155CC"/>
        <u/>
      </rPr>
      <t>https://doi.org/10.1016/bs.pbr.2023.11.004</t>
    </r>
    <r>
      <rPr>
        <rFont val="Arial"/>
      </rPr>
      <t xml:space="preserve"> </t>
    </r>
  </si>
  <si>
    <r>
      <rPr>
        <rFont val="Arial"/>
        <color rgb="FF1155CC"/>
        <u/>
      </rPr>
      <t>https://doi.org/10.1016/j.jad.2025.119477</t>
    </r>
    <r>
      <rPr>
        <rFont val="Arial"/>
      </rPr>
      <t xml:space="preserve"> </t>
    </r>
  </si>
  <si>
    <t>Conference</t>
  </si>
  <si>
    <t>2020 8th International Winter Conference on Brain-Computer Interface (BCI)</t>
  </si>
  <si>
    <t>Singapura</t>
  </si>
  <si>
    <t>Excerpt: “use BCI to help improve human cognitive functions by leveraging on the BCI capability of predicting the cognitive states (for instance, attention) in real-time” — Explanation: O artigo descreve o uso de BCIs não invasivas, pois o estudo envolve predição de estados cognitivos e treinamento em crianças e idosos, métodos típicos de EEG; porém, como o abstract não especifica explicitamente “non-invasive”, não é possível afirmar com 100% de certeza.</t>
  </si>
  <si>
    <t>Excerpt: “No evidence found.” — Explanation: O resumo não especifica o tipo de BCI (invasiva, não-invasiva, ou híbrida) utilizado nos estudos de aplicação em saúde mental.</t>
  </si>
  <si>
    <t>especifica tipo de BCI</t>
  </si>
  <si>
    <t>o GPT diz que á descrição invasiva dos EEG e o Gemini diz o contrario</t>
  </si>
  <si>
    <t>Excerpt: “(1) attention improvement for children with ADHD; (2) cognitive training for the elderly with cognitive decline.” — Explanation: O estudo foca diretamente em ADHD e declínio cognitivo, sendo esses os transtornos mentais abordados.</t>
  </si>
  <si>
    <t>Excerpt: “...attention improvement for children with ADHD; (2) cognitive training for the elderly with cognitive decline.” — Explanation: Os dois grupos de estudo mencionados (ADHD e idosos com declínio cognitivo) são os transtornos/condições que receberam atenção neste artigo.</t>
  </si>
  <si>
    <t>ADHD  e idosos com declinio cognitivo</t>
  </si>
  <si>
    <t>Excerpt: “Significant improvement has been observed in both groups towards the training objectives.” — Explanation: O abstract mostra que a avaliação foi feita observando melhorias significativas nos objetivos de treinamento; também cita fMRI functional connectivity, usado como métrica de eficácia.</t>
  </si>
  <si>
    <t>Excerpt: “Significant improvement has been observed in both groups towards the training objectives. fMRI imaging study on the children cohort demonstrated functional changes towards the normal functional connectivity after the cognitive training.” — Explanation: A eficácia foi medida por "melhoria significativa" nos objetivos de treinamento e por mudanças funcionais observadas através de exames de fMRI (medida e método de avaliação neurofisiológica).</t>
  </si>
  <si>
    <t>Melhorias significativas atravez de treinamentos</t>
  </si>
  <si>
    <t>Excerpt: “help improve human cognitive functions… attention improvement for children… cognitive training for the elderly with cognitive decline.” — Explanation: Os BCIs foram usados para treinamento cognitivo, especialmente atenção e funções cognitivas em idosos.</t>
  </si>
  <si>
    <t>Excerpt: “...use BCI to help improve human cognitive functions by leveraging on the BCI capability of predicting the cognitive states (for instance, attention) in real-time, and use it to drive a cognitive training program.” — Explanation: O BCI foi usado para prever estados cognitivos em tempo real (como atenção) e, com base nisso, impulsionar um programa de treinamento para melhorar as funções cognitivas (foco na atenção).</t>
  </si>
  <si>
    <t>Os BCIs foram usados para treinamento cognitivo, especialmente atenção e funções cognitivas em idosos.</t>
  </si>
  <si>
    <t>No evidence found.</t>
  </si>
  <si>
    <t>igual</t>
  </si>
  <si>
    <t>Excerpt: “we are going to introduce two categories of cognitive training based on BCI…” — Explanation: O estudo mostra aplicações atuais, mas não menciona explicitamente lacunas futuras; portanto, não há evidência clara além do fato de que a pesquisa ainda está expandindo em treinamento cognitivo.</t>
  </si>
  <si>
    <t>diferente</t>
  </si>
  <si>
    <t>2024 3rd International Conference on Automation, Robotics and Computer Engineering (ICARCE)</t>
  </si>
  <si>
    <t>Excerpt: “Music neurofeedback is a non-invasive method for regulating neural activity and reducing stress based on brain-computer interface technology combined with music stimulation.” — Explanation: O artigo afirma explicitamente que o método é non-invasive, respondendo o tipo de BCI utilizado.</t>
  </si>
  <si>
    <t>Excerpt: “Music neurofeedback is a non-invasive method for regulating neural activity and reducing stress based on brain-computer interface technology combined with music stimulation.” — Explanation: O estudo utiliza neurofeedback musical, explicitamente descrito como um método não-invasivo de BCI.</t>
  </si>
  <si>
    <t>O estudo utiliza neurofeedback musical, explicitamente descrito como um método não-invasivo de BCI.</t>
  </si>
  <si>
    <t>Excerpt: “After the intervention, the results of the Depression-Anxiety-Stress Scale (DASS-21)… showed a significant decrease in the scores of stress-related symptoms” — Explanation: O transtorno estudado está relacionado a estresse (incluindo componentes de depressão e ansiedade pela escala DASS-21).</t>
  </si>
  <si>
    <t>Excerpt: “...used three stress scales and two cognitive behavioral experiments to evaluate the stress regulation effect...” — Explanation: O foco principal da aplicação neste estudo foi a regulação e o gerenciamento do estresse em estudantes universitários.</t>
  </si>
  <si>
    <t>O foco principal da aplicação neste estudo foi a regulação e o gerenciamento do estresse em estudantes universitários.</t>
  </si>
  <si>
    <t>Excerpt: “used three stress scales and two cognitive behavioral experiments to evaluate the stress regulation effect” — Explanation: As métricas e métodos incluem três escalas de estresse, dois experimentos cognitivo-comportamentais, e EEG microstate analysis; todos usados para avaliar eficácia.</t>
  </si>
  <si>
    <t>Excerpt: “...used three stress scales and two cognitive behavioral experiments to evaluate the stress regulation effect... the results of the Depression-Anxiety-Stress Scale (DASS-21) and the Stroop task showed a significant decrease in the scores of stress-related symptoms and a significant improvement in response inhibition. The EEG results showed that the absolute power of the a band in the frontal and temporal lobes increased significantly...” — Explanation: Os métodos de avaliação incluem escalas psicológicas (DASS-21), testes cognitivo-comportamentais (Stroop task) e métricas fisiológicas/neurais (potência absoluta da banda $\alpha$ no EEG e análise de microestados).</t>
  </si>
  <si>
    <t>escalas de estresse, dois experimentos cognitivo-comportamentais, e EEG microstate analysis; todos usados para avaliar eficácia.</t>
  </si>
  <si>
    <t>Excerpt: “a significant improvement in response inhibition.” — Explanation: O estudo demonstra impacto em habilidades cognitivas, especificamente melhora de inibição de resposta, medida por tarefas comportamentais (Stroop).</t>
  </si>
  <si>
    <t>Excerpt: “...the results... of the Stroop task showed... a significant improvement in response inhibition.” — Explanation: Embora o foco principal seja o estresse, a melhora na inibição de resposta (uma função cognitiva executiva medida pelo Stroop task) indica um aprimoramento cognitivo.</t>
  </si>
  <si>
    <t xml:space="preserve"> melhora na inibição de resposta (uma função cognitiva executiva medida pelo Stroop task) indica um aprimoramento cognitivo.</t>
  </si>
  <si>
    <t>Excerpt: “...the current music neurofeedback protocol is regulated by a single indicator, resulting in significant differences in individual effects.” — Explanation: O principal obstáculo (barreira clínica/técnica) implícito que motivou o estudo é a alta variabilidade individual nos efeitos devido ao protocolo de indicador único, que o estudo busca resolver através da personalização.</t>
  </si>
  <si>
    <t>O principal obstáculo (barreira clínica/técnica) implícito que motivou o estudo é a alta variabilidade individual nos efeitos devido ao protocolo de indicador único, que o estudo busca resolver através da personalização.</t>
  </si>
  <si>
    <t>Excerpt: “No evidence found.” — Explanation: O resumo não aborda questões de segurança, privacidade ou integridade dos dados neurais (EEG) coletados.</t>
  </si>
  <si>
    <t>Excerpt: “The elucidation of spatiotemporal neurocognitive mechanisms provides a new theoretical framework for the development and optimization of neurofeedback protocols.” — Explanation: Indica tendência emergente referente ao refinamento de protocolos de neurofeedback com base em análise neuroespacial e temporal, embora não mencione IA diretamente.</t>
  </si>
  <si>
    <t>Excerpt: “No evidence found.” — Explanation: O resumo não discute a integração futura com inteligência artificial ou neuroestimulação personalizada. O uso de "personalização" refere-se à música, não à integração com IA ou neuroestimulação.</t>
  </si>
  <si>
    <t xml:space="preserve"> tendência emergente referente ao refinamento de protocolos de neurofeedback com base em análise neuroespacial e temporal, embora não mencione IA diretamente.</t>
  </si>
  <si>
    <t>Excerpt: “No evidence found.” — Explanation: O estudo foca na regulação do estresse e mecanismos neurocognitivos, mas não discute os aspectos éticos ou filosóficos da "expansão neurológica" ou amplificação de capacidades.</t>
  </si>
  <si>
    <t>Excerpt: “significant differences in individual effects… proposed a neurofeedback protocol based on personalized music selection” — Explanation: O artigo aponta uma lacuna atual: protocolos de neurofeedback regulados por um único indicador geram diferenças individuais, sugerindo a necessidade de personalização.</t>
  </si>
  <si>
    <t>Excerpt: “The elucidation of spatiotemporal neurocognitive mechanisms provides a new theoretical framework for the development and optimization of neurofeedback protocols.” — Explanation: A principal lacuna de pesquisa abordada pelo estudo é a necessidade de desenvolver e otimizar protocolos de neurofeedback, fornecendo uma nova estrutura teórica baseada em mecanismos neurocognitivos (microestados de EEG).</t>
  </si>
  <si>
    <t>O artigo aponta uma lacuna atual: protocolos de neurofeedback regulados por um único indicador geram diferenças individuais, sugerindo a necessidade de personalização.</t>
  </si>
  <si>
    <t>2025 8th International Conference on Trends in Electronics and Informatics (ICOEI)</t>
  </si>
  <si>
    <t>Excerpt: “non-invasive neural devices… Technologies in this regard include transcranial magnetic stimulation, transcranial direct current stimulation, EEG-based neurofeedback, and functional near-infrared spectroscopy” — Explanation: O artigo menciona explicitamente diversos tipos de interfaces/neurotecnologias não invasivas.</t>
  </si>
  <si>
    <t>Excerpt: "non-invasive neural devices that offer effective and patient-friendly alternatives to traditional interventions. Technologies in this regard include transcranial magnetic stimulation, transcranial direct current stimulation, EEG-based neurofeedback, and functional near-infrared spectroscopy..." — Explanation: O artigo foca exclusivamente em métodos não-invasivos de modulação neural e BCI/neurofeedback, listando as principais tecnologias utilizadas.</t>
  </si>
  <si>
    <t xml:space="preserve"> O artigo menciona explicitamente diversos tipos de interfaces/neurotecnologias não invasivas.</t>
  </si>
  <si>
    <t>Excerpt: “treatment of mental health disorders, including depression, anxiety, and PTSD.” — Explanation: Os transtornos abordados são depressão, ansiedade e PTSD.</t>
  </si>
  <si>
    <t>Excerpt: "...treatment of mental health disorders, including depression, anxiety, and PTSD." — Explanation: Os transtornos mentais explicitamente mencionados como áreas de aplicação destas tecnologias são depressão, ansiedade e TEPT (PTSD).</t>
  </si>
  <si>
    <t>Os transtornos mentais explicitamente mencionados como áreas de aplicação destas tecnologias são depressão, ansiedade e TEPT (PTSD).</t>
  </si>
  <si>
    <t>No evidence found. (O abstract não descreve métricas, escalas, instrumentos ou métodos específicos de avaliação).</t>
  </si>
  <si>
    <t>Excerpt: “No evidence found.” — Explanation: O resumo discute a aplicação das tecnologias, mas não especifica métricas ou métodos de avaliação concretos (como escalas clínicas, medidas de neuroimagem, ou testes cognitivos) usados para medir a eficácia.</t>
  </si>
  <si>
    <t>Excerpt: “enhancing the quality of life and improving cognitive functions” — Explanation: O texto afirma que esses dispositivos podem melhorar funções cognitivas, mas não detalha quais (memória, atenção etc.).</t>
  </si>
  <si>
    <t>Excerpt: “Their applications in neurorehabilitation range from post-stroke motor recovery to cognitive rehabilitation and treatment of mental health disorders... besides providing sustainable, long-term mental health.” — Explanation: A menção a "reabilitação cognitiva" e a "melhorar as funções cognitivas" (improving cognitive functions) indica o uso dessas tecnologias para aprimorar habilidades cognitivas.</t>
  </si>
  <si>
    <t xml:space="preserve"> A menção a "reabilitação cognitiva" e a "melhorar as funções cognitivas" (improving cognitive functions) indica o uso dessas tecnologias para aprimorar habilidades cognitivas.</t>
  </si>
  <si>
    <t>Excerpt: “These are seminal challenges, such as accessibility, variability in patient responses, and regulatory hurdles” — Explanation: Identifica claramente barreiras técnicas/operacionais (variabilidade na resposta), clínicas (acessibilidade) e éticas/regulatórias (regulatory hurdles).</t>
  </si>
  <si>
    <t>Excerpt: “These are seminal challenges, such as accessibility, variability in patient responses, and regulatory hurdles...” — Explanation: As principais barreiras limitantes mencionadas são: acessibilidade (barreira técnica/logística), variabilidade nas respostas dos pacientes (barreira clínica) e obstáculos regulatórios (barreira ética/legal).</t>
  </si>
  <si>
    <t>Barreira tecnica e cognitiva</t>
  </si>
  <si>
    <t>No evidence found. (Não há menção a segurança, privacidade ou integridade dos dados neurais).</t>
  </si>
  <si>
    <t>Excerpt: “No evidence found.” — Explanation: O resumo não faz menção à forma como os estudos abordam ou gerenciam questões de segurança, privacidade ou integridade dos dados neurais coletados.</t>
  </si>
  <si>
    <t>No evidence found</t>
  </si>
  <si>
    <t>Excerpt: “Focusing on personalised medicine, machine learning, and big data could be used in non-invasive neural devices to fine-tune outcomes tailored to an individual's needs.” — Explanation: O artigo aponta como tendência emergente a integração de machine learning, big data e medicina personalizada com BCIs/neurodispositivos.</t>
  </si>
  <si>
    <t>Excerpt: “Focusing on personalised medicine, machine learning, and big data could be used in non-invasive neural devices to fine-tune outcomes tailored to an individual's needs.” — Explanation: As tendências emergentes no futuro da BCI e dispositivos neurais não-invasivos são a integração de Machine Learning e Big Data para permitir a medicina personalizada (personalized medicine).</t>
  </si>
  <si>
    <t xml:space="preserve"> O artigo aponta como tendência emergente a integração de machine learning, big data e medicina personalizada com BCIs/neurodispositivos.</t>
  </si>
  <si>
    <t>No evidence found. (Não há discussão de aspectos filosóficos ou éticos sobre ampliação de capacidades humanas).</t>
  </si>
  <si>
    <t>Excerpt: “No evidence found.” — Explanation: O resumo foca em aplicações terapêuticas e desafios práticos, mas não aborda os aspectos éticos e filosóficos mais profundos da "expansão neurológica" ou amplificação de capacidades.</t>
  </si>
  <si>
    <t>Excerpt: “These are seminal challenges, such as accessibility, variability in patient responses, and regulatory hurdles” — Explanation: O abstract aponta lacunas e desafios ainda não resolvidos: acessibilidade, variabilidade individual, questões regulatórias.</t>
  </si>
  <si>
    <t>Excerpt: “These are seminal challenges, such as accessibility, variability in patient responses, and regulatory hurdles... This paper underlines their potential and discusses future directions in integration.” — Explanation: As lacunas de pesquisa e desafios a serem explorados para a adoção eficaz incluem superar a variabilidade na resposta do paciente e lidar com a acessibilidade e os obstáculos regulatórios.</t>
  </si>
  <si>
    <t>acessibilidade, variabilidade individual, questões regulatórias.</t>
  </si>
  <si>
    <t>2021 International Conference on Smart Generation Computing, Communication and Networking (SMART GENCON)</t>
  </si>
  <si>
    <t>Excerpt: “This paper proposes a device that uses non-invasive neurotechnology…” — Explanation: O artigo especifica claramente que a tecnologia utilizada é non-invasive.</t>
  </si>
  <si>
    <t>Excerpt: “This paper proposes a device that uses non-invasive neurotechnology in acquiring any mental state... The device uses auditory brain stimulation and neurofeedback technology in achieving so. Binaural Beat possesses brainwave entrainment properties, making it an excellent stimulus in designing this Auditory Brain-Computer Interface.” — Explanation: O artigo propõe um dispositivo que utiliza neurotecnologia não-invasiva e neurofeedback (uma forma de BCI) através de um Auditory BCI (Interface Cérebro-Computador Auditiva).</t>
  </si>
  <si>
    <t>non-invasive</t>
  </si>
  <si>
    <t>Excerpt: “Approximately 25% of people in India are suffering from mental disorders…” — Explanation: O artigo menciona transtornos mentais de forma geral, mas não especifica quais (ex.: ansiedade, depressão). Há apenas referência genérica a “mental disorders”.</t>
  </si>
  <si>
    <t>Excerpt: “...Approximately 25% of people in India are suffering from mental disorders and are mentally unfit... Stress has always been an integral part of human life. But with the rising age of digitisation, stress coping abilities are deteriorating, and mental health issues are increasing worldwide...” — Explanation: O foco do problema abordado é a prevalência de transtornos mentais, o aumento de questões de saúde mental e a deterioração da capacidade de lidar com o estresse (stress coping).</t>
  </si>
  <si>
    <t>ansiedade e depressão</t>
  </si>
  <si>
    <t>No evidence found. (O abstract não apresenta métricas, escalas, avaliações, testes, tasks ou métodos de validação).</t>
  </si>
  <si>
    <t>Excerpt: “No evidence found.” — Explanation: O resumo propõe um dispositivo e sua metodologia (Binaural Beat personalizado por EEG em tempo real), mas não apresenta resultados de avaliação ou métricas específicas usadas para medir a eficácia no tratamento de transtornos mentais.</t>
  </si>
  <si>
    <t>no evidence found</t>
  </si>
  <si>
    <t>Excerpt: “Hence, creating an effective system to improve the cognitive functioning of the user.” — Explanation: O artigo afirma que o dispositivo busca melhorar o funcionamento cognitivo, embora não detalhe quais habilidades (atenção, memória etc.).</t>
  </si>
  <si>
    <t>4	Excerpt: “Hence, creating an effective system to improve the cognitive functioning of the user.” — Explanation: O objetivo final do dispositivo, além de ajudar a alcançar estados mentais específicos, é melhorar o funcionamento cognitivo do usuário.</t>
  </si>
  <si>
    <t>atenção e memoria</t>
  </si>
  <si>
    <t>No evidence found. (Não há menção a barreiras técnicas, clínicas ou éticas).</t>
  </si>
  <si>
    <t>Excerpt: “Technology is proliferating, but problems like Mental health and cure are still technologically handicapped.” — Explanation: O principal desafio (barreira técnica/clínica) que o artigo visa superar é o fato de que a saúde mental e sua cura ainda estão tecnologicamente deficientes ("technologically handicapped").</t>
  </si>
  <si>
    <t>No evidence found. (Não há qualquer citação a segurança, privacidade ou integridade de dados neurais).</t>
  </si>
  <si>
    <t>Excerpt: “No evidence found.” — Explanation: O resumo não menciona como lida com a segurança, privacidade ou integridade dos dados neurais (EEG) coletados.</t>
  </si>
  <si>
    <t>Excerpt: “The device uses auditory brain stimulation and neurofeedback technology… producing a personalised binaural beat track for the user.” — Explanation: O artigo aponta tendência para personalização em tempo real via EEG e integração de estímulos auditivos adaptativos, embora não mencione IA explicitamente</t>
  </si>
  <si>
    <t>7        Excerpt: “The salient feature of this device is the usage of real-time EEG neurofeedback in producing a personalised binaural beat track for the user.” — Explanation: O dispositivo integra neurofeedback de EEG em tempo real para criar uma experiência musical personalizada, o que é uma forma de integração entre BCI e um sistema adaptativo.</t>
  </si>
  <si>
    <t>O dispositivo integra neurofeedback de EEG em tempo real para criar uma experiência musical personalizada, o que é uma forma de integração entre BCI e um sistema adaptativo.</t>
  </si>
  <si>
    <t>No evidence found. (Não há discussão ética ou filosófica sobre ampliação de capacidades humanas).</t>
  </si>
  <si>
    <t>Excerpt: “No evidence found.” — Explanation: O foco é a melhoria da saúde e função cognitiva através de uma tecnologia proposta, sem abordar os aspectos éticos ou filosóficos da "expansão neurológica" ou amplificação de capacidades.</t>
  </si>
  <si>
    <t>Excerpt: “problems like Mental health and cure are still technologically handicapped.” — Explanation: O artigo afirma que as tecnologias atuais ainda são insuficientes para tratar saúde mental, apontando uma lacuna clara de eficácia tecnológica.</t>
  </si>
  <si>
    <t>Excerpt: “No evidence found.” — Explanation: O resumo descreve uma proposta de solução tecnológica, mas não aponta explicitamente para as lacunas de pesquisa que precisam ser exploradas para tornar o BCI uma ferramenta totalmente eficaz e segura.</t>
  </si>
  <si>
    <t>2025 Eleventh International Conference on Bio Signals, Images, and Instrumentation (ICBSII)</t>
  </si>
  <si>
    <t>Excerpt: “The system uses… a custom-built Electroencephalography (EEG) sensor” — Explanation: O uso de EEG implica uma tecnologia não invasiva, embora o abstract não declare explicitamente “non-invasive”.</t>
  </si>
  <si>
    <t>Excerpt: “The system uses a feedback-based network for stress relief, which includes a custom-built Electroencephalography (EEG) sensor...” — Explanation: O sistema utiliza um sensor de Eletroencefalografia (EEG), que é uma tecnologia não-invasiva de Interface Cérebro-Computador.</t>
  </si>
  <si>
    <t>Excerpt: “identify and mitigate anxiety.” — Explanation: O transtorno abordado é ansiedade, indicado de forma explícita.</t>
  </si>
  <si>
    <t>Excerpt: “...uses neurological data analysis to identify and mitigate anxiety.” — Explanation: O foco primário da aplicação neste estudo é a identificação e mitigação da ansiedade.</t>
  </si>
  <si>
    <t>Explicitamente mencionam a ansiedade</t>
  </si>
  <si>
    <t>Excerpt: “Three out of four subjects saw a successful reduction in elevated beta wave amplitudes…” — Explanation: A métrica de avaliação é a redução da amplitude das ondas beta, usada como indicador fisiológico de ansiedade.</t>
  </si>
  <si>
    <t>Excerpt: “...elevated beta wave amplitudes, which are frequently linked to anxiety... Three out of four subjects saw a successful reduction in elevated beta wave amplitudes, by massage motor intervention.” — Explanation: A métrica principal de eficácia é a redução nas amplitudes elevadas das ondas beta (medida fisiológica do EEG). O sucesso é quantificado pela proporção de sujeitos que alcançaram essa redução (três em cada quatro).</t>
  </si>
  <si>
    <t>Redução da amplitude das ondas beta</t>
  </si>
  <si>
    <t>Excerpt: “facilitating better task performance.” — Explanation: O abstract indica que o sistema pode melhorar o desempenho em tarefas, sugerindo impacto em habilidades cognitivas.</t>
  </si>
  <si>
    <t>Excerpt: “...encouraging relaxation and facilitating better task performance.” — Explanation: Embora o foco seja na redução da ansiedade, o objetivo secundário da intervenção foi facilitar um melhor desempenho na tarefa (melhoria cognitiva relacionada ao foco e execução).</t>
  </si>
  <si>
    <t>melhorar o desempenho em tarefas e atividades cognitivas</t>
  </si>
  <si>
    <t>No evidence found. (Nenhuma menção a limitações técnicas, clínicas ou éticas.)</t>
  </si>
  <si>
    <t>Excerpt: “No evidence found.” — Explanation: O resumo descreve o sucesso do hardware proposto e da intervenção, mas não aborda as barreiras mais amplas (técnicas, clínicas ou éticas) que limitam a adoção geral de BCIs.</t>
  </si>
  <si>
    <t>no evidence fouind</t>
  </si>
  <si>
    <t>No evidence found. (Não há referência à segurança, privacidade ou integridade de dados EEG.)</t>
  </si>
  <si>
    <t>Excerpt: “No evidence found.” — Explanation: O resumo foca no design e nos resultados da intervenção, sem discutir explicitamente a segurança, privacidade ou integridade dos dados neurais (EEG) coletados.</t>
  </si>
  <si>
    <t>No evidence found. (Não há menção a IA, personalização avançada ou tendências emergentes.)</t>
  </si>
  <si>
    <t>Excerpt: “The system uses a feedback-based network for stress relief...” — Explanation: O sistema utiliza um circuito de feedback (onde os dados do EEG acionam o motor de massagem) para o alívio do estresse, o que representa um sistema adaptativo, mas não menciona explicitamente a integração futura com Inteligência Artificial ou neuroestimulação avançada.</t>
  </si>
  <si>
    <t>Excerpt: “No evidence found.” — Explanation: O artigo trata de uma intervenção terapêutica para ansiedade, não abordando os aspectos éticos ou filosóficos da "expansão neurológica" ou amplificação de capacidades.</t>
  </si>
  <si>
    <t>Excerpt: “Three out of four subjects…” — Explanation: O resultado parcial sugere uma lacuna: o dispositivo ainda não é efetivo para todos os usuários (1 dos 4 não obteve melhoria), indicando necessidade de aprimoramento — mas o texto não discute lacunas explicitamente.</t>
  </si>
  <si>
    <t>9	Excerpt: “No evidence found.” — Explanation: O resumo apresenta um sistema funcional com resultados positivos em um pequeno grupo, mas não discute abertamente as lacunas de pesquisa necessárias para tornar esta tecnologia uma ferramenta segura e eficaz em larga escala.</t>
  </si>
  <si>
    <t>não é efetivo para todos os usuarios, indicando aprimoramento</t>
  </si>
  <si>
    <t>2025 19th International Conference on Semantic Computing (ICSC)</t>
  </si>
  <si>
    <t>Excerpt: “real-time electroencephalogram (EEG) data processing” — Explanation: O uso de EEG indica um sistema não invasivo, embora o termo “non-invasive” não seja explicitamente mencionado.</t>
  </si>
  <si>
    <t>Excerpt: “By leveraging real-time electroencephalogram (EEG) data processing...” — Explanation: O resumo indica que o sistema utiliza EEG (Eletroencefalografia), que é uma tecnologia de BCI não-invasiva.</t>
  </si>
  <si>
    <t>Excerpt: “potential for applications in mental health” — Explanation: O abstract menciona saúde mental, mas não especifica transtornos como depressão, ansiedade etc.; portanto a evidência é genérica.</t>
  </si>
  <si>
    <t>Excerpt: “...demonstrando significativo potencial para aplicações em mental health, cognitive enhancement, and neurological rehabilitation.” — Explanation: O resumo indica que o potencial se estende a áreas amplas, como saúde mental, aprimoramento cognitivo e reabilitação neurológica, mas não especifica transtornos individuais como depressão ou ansiedade.</t>
  </si>
  <si>
    <t xml:space="preserve">Não. o Artig não fala sobre ranstornos como depressão, ansiedade etc. mas menciona </t>
  </si>
  <si>
    <t>Excerpt: “addressing critical performance metrics such as latency, accuracy, and resource efficiency.” — Explanation: As métricas avaliadas incluem latência, acurácia e eficiência de recursos, dentro da validação técnica e estatística.</t>
  </si>
  <si>
    <t>Excerpt: “Technical validation and statistical analysis highlight system scalability and empirical reproducibility, addressing critical performance metrics such as latency, accuracy, and resource efficiency.” — Explanation: As métricas de avaliação do sistema, focadas na performance técnica, incluem latência, precisão (accuracy) e eficiência de recursos.</t>
  </si>
  <si>
    <t>latência, acurácia e eficiência de recursos, dentro da validação técnica e estatística.</t>
  </si>
  <si>
    <t>Excerpt: “potential for applications in… cognitive enhancement” — Explanation: O abstract indica uso para melhoria cognitiva, mas não detalha quais capacidades específicas (memória, atenção etc.).</t>
  </si>
  <si>
    <t>Excerpt: “...demonstrando significativo potencial para aplicações em mental health, cognitive enhancement, and neurological rehabilitation.” — Explanation: A integração de LLMs e neurofeedback demonstra potencial para o aprimoramento cognitivo (cognitive enhancement).</t>
  </si>
  <si>
    <t>não diz explicitamente melhoria</t>
  </si>
  <si>
    <t>Excerpt: “Technical validation and statistical analysis highlight system scalability and empirical reproducibility” — Explanation: Isso aborda barreiras técnicas importantes como escalabilidade e reprodutibilidade, mas não menciona barreiras éticas ou clínicas.</t>
  </si>
  <si>
    <t>Excerpt: “No evidence found.” — Explanation: O resumo destaca a inovação e o sucesso técnico (escalabilidade, reprodutibilidade), mas não aborda explicitamente barreiras limitantes (técnicas, clínicas ou éticas) para a adoção.</t>
  </si>
  <si>
    <t>barreiras tecnicas</t>
  </si>
  <si>
    <t>No evidence found. (Nenhuma menção a segurança, privacidade ou integridade dos dados neurais.</t>
  </si>
  <si>
    <t>Excerpt: “No evidence found.” — Explanation: O resumo não menciona o tratamento de questões de segurança, privacidade ou integridade dos dados neurais (EEG) coletados no contexto desta nova arquitetura.</t>
  </si>
  <si>
    <t>Excerpt: “integrating Large Language Models (LLMs) into neurofeedback systems… convergence of traditional neurofeedback principles with modern AI capabilities” — Explanation: O artigo aborda explicitamente tendências emergentes envolvendo IA, LLMs e sua integração em sistemas de neurofeedback.</t>
  </si>
  <si>
    <t>Excerpt: “This paper presents a comprehensive framework for integrating Large Language Models (LLMs) into neurofeedback systems. By leveraging real-time electroencephalogram (EEG) data processing, advanced machine learning...” — Explanation: A tendência emergente é a integração de Large Language Models (LLMs) e Machine Learning avançado (AI) com sistemas de neurofeedback para criar uma abordagem personalizada.</t>
  </si>
  <si>
    <t>tendencias em IA e LLM no neurofeedback</t>
  </si>
  <si>
    <t>No evidence found. (Nenhuma discussão ética ou filosófica sobre expansão neurológica ou amplificação humana.)</t>
  </si>
  <si>
    <t>Excerpt: “No evidence found.” — Explanation: O resumo foca nos aspectos técnicos e no potencial de aplicação clínica/cognitiva, sem discutir os aspectos éticos ou filosóficos de "expansão neurológica" ou amplificação de capacidades.</t>
  </si>
  <si>
    <t>Excerpt: “Technical validation and statistical analysis highlight system scalability and empirical reproducibility” — Explanation: A menção a desafios envolvendo escalabilidade e reprodutibilidade indica lacunas técnicas ainda sendo abordadas.</t>
  </si>
  <si>
    <t>Excerpt: “No evidence found.” — Explanation: O resumo apresenta uma solução (o framework), e não discute as lacunas de pesquisa que ainda precisam ser exploradas na área.</t>
  </si>
  <si>
    <t>lacuna tecnca de escalabilidade</t>
  </si>
  <si>
    <t>Excerpt: “Music neurofeedback is a non-invasive method for regulating neural activity…” — Explanation: O artigo afirma explicitamente que o método é non-invasive.</t>
  </si>
  <si>
    <t>Excerpt: "non-invasive neural devices that offer effective and patient-friendly alternatives... Technologies in this regard include transcranial magnetic stimulation, transcranial direct current stimulation, EEG-based neurofeedback, and functional near-infrared spectroscopy" (Artigo 3). Excerpt: "Music neurofeedback is a non-invasive method for regulating neural activity..." (Artigo 2). Excerpt: "The system uses a feedback-based network for stress relief, which includes a custom-built Electroencephalography (EEG) sensor" (Artigo 5). — Explanation: O conjunto de artigos enfatiza o uso de tecnologias não-invasivas, principalmente EEG-based neurofeedback, além de tDCS e TMS, por serem alternativas eficazes e amigáveis ao paciente.</t>
  </si>
  <si>
    <t>Excerpt: “the results of the Depression-Anxiety-Stress Scale (DASS-21)… showed a significant decrease in the scores of stress-related symptoms” — Explanation: O estudo aborda sintomas relacionados a stress, medidos pelo DASS-21, mas não aborda diagnósticos como depressão ou ansiedade (embora a escala os contenha).</t>
  </si>
  <si>
    <t>Excerpt: "attention improvement for children with ADHD; (2) cognitive training for the elderly with cognitive decline" (Artigo 1). Excerpt: "...treatment of mental health disorders, including depression, anxiety, and PTSD." (Artigo 3). Excerpt: "...used three stress scales... to evaluate the stress regulation effect..." (Artigo 2). Excerpt: "...uses neurological data analysis to identify and mitigate anxiety." (Artigo 5). — Explanation: Os transtornos/condições mais abordados são ADHD, Declínio Cognitivo, Depressão, PTSD, e, de forma proeminente, a regulação do Estresse/Ansiedade.</t>
  </si>
  <si>
    <t>estresse, depressão, ADAH</t>
  </si>
  <si>
    <t>Excerpt: “used three stress scales and two cognitive behavioral experiments to evaluate the stress regulation effect” — Explanation: As métricas incluem três escalas de estresse e duas tarefas cognitivas, além de EEG microstate analysis descrita no abstract.</t>
  </si>
  <si>
    <t>Excerpt: “...the results of the Depression-Anxiety-Stress Scale (DASS-21) and the Stroop task showed a significant decrease...” (Artigo 2). Excerpt: “fMRI imaging study on the children cohort demonstrated functional changes...” (Artigo 1). Excerpt: “The EEG results showed that the absolute power of the $\alpha$ band in the frontal and temporal lobes increased significantly...” (Artigo 2). Excerpt: “...elevated beta wave amplitudes... Three out of four subjects saw a successful reduction in elevated beta wave amplitudes...” (Artigo 5). Excerpt: “...addressing critical performance metrics such as latency, accuracy, and resource efficiency.” (Artigo 6). — Explanation: Os métodos incluem escalas psicométricas (DASS-21), testes comportamentais (Stroop task), neuroimagem (fMRI), e métricas de EEG (potência $\alpha$/$\beta$, microestados), além de métricas técnicas (latência, accuracy).</t>
  </si>
  <si>
    <t xml:space="preserve"> Os métodos incluem escalas psicométricas (DASS-21), testes comportamentais (Stroop task), neuroimagem (fMRI), e métricas de EEG (potência $\alpha$/$\beta$, microestados), além de métricas técnicas (latência, accuracy).</t>
  </si>
  <si>
    <t>diferentes</t>
  </si>
  <si>
    <t>Excerpt: “a significant improvement in response inhibition” — Explanation: A melhoria de inibição de resposta indica aprimoramento de funções cognitivas (atenção executiva).</t>
  </si>
  <si>
    <t>Excerpt: "...use BCI to help improve human cognitive functions by leveraging on the BCI capability of predicting the cognitive states (for instance, attention) in real-time..." (Artigo 1). Excerpt: "...showed... a significant improvement in response inhibition." (Artigo 2). Excerpt: “...ranging from post-stroke motor recovery to cognitive rehabilitation and treatment of mental health disorders...” (Artigo 3). Excerpt: “Hence, creating an effective system to improve the cognitive functioning of the user.” (Artigo 4). — Explanation: Os BCIs têm sido usados para melhorar a atenção e a inibição de resposta (funções cognitivas executivas), e são citados para uso em reabilitação cognitiva e aprimoramento cognitivo em geral.</t>
  </si>
  <si>
    <t>reabilitação e aprimoramento cognitivo</t>
  </si>
  <si>
    <t>Excerpt: “the current music neurofeedback protocol is regulated by a single indicator, resulting in significant differences in individual effects.” — Explanation: Isso descreve uma barreira técnica, apontando limitações de protocolos atuais.</t>
  </si>
  <si>
    <t>Excerpt: “These are seminal challenges, such as accessibility, variability in patient responses, and regulatory hurdles...” (Artigo 3). Excerpt: “...the current music neurofeedback protocol is regulated by a single indicator, resulting in significant differences in individual effects.” (Artigo 2). Excerpt: "...problems like Mental health and cure are still technologically handicapped.” (Artigo 4). — Explanation: As barreiras incluem problemas de acessibilidade, variabilidade nas respostas individuais (clínico), obstáculos regulatórios (éticos/legais) e o fato de a saúde mental ainda ser tecnologicamente deficiente.</t>
  </si>
  <si>
    <t>acessibilidade e viabilidade</t>
  </si>
  <si>
    <t>No evidence found. (Nenhuma menção a segurança, privacidade ou proteção dos dados EEG.)</t>
  </si>
  <si>
    <t>Excerpt: “No evidence found.” — Explanation: Nenhum dos abstracts fornecidos discute ou aborda a gestão de questões de segurança, privacidade ou integridade dos dados neurais coletados pelos dispositivos BCI/EEG</t>
  </si>
  <si>
    <t>Excerpt: “Personalized music neurofeedback provides a potentially effective tool…” — Explanation: O artigo aponta tendência emergente de personalização adaptativa do neurofeedback, embora sem citar IA.</t>
  </si>
  <si>
    <t>Excerpt: “Focusing on personalised medicine, machine learning, and big data could be used in non-invasive neural devices...” (Artigo 3). Excerpt: “This paper presents a comprehensive framework for integrating Large Language Models (LLMs) into neurofeedback systems. By leveraging... advanced machine learning...” (Artigo 6). Excerpt: "...usage of real-time EEG neurofeedback in producing a personalised binaural beat track..." (Artigo 4). — Explanation: As tendências apontam para a integração de Machine Learning (ML) e Large Language Models (LLMs) com BCI para criar sistemas de medicina e neurofeedback personalizados e adaptativos em tempo real.</t>
  </si>
  <si>
    <t xml:space="preserve"> integração de Machine Learning (ML) e Large Language Models (LLMs) com BCI para criar sistemas de medicina e neurofeedback personalizados e adaptativos em tempo real.</t>
  </si>
  <si>
    <t>No evidence found. (Nenhuma discussão ética ou filosófica sobre expansão neurológica.)</t>
  </si>
  <si>
    <t>Excerpt: “No evidence found.” — Explanation: Nenhum dos abstracts aborda os aspectos éticos e filosóficos mais profundos da "expansão neurológica" (neurological expansion) ou amplificação de capacidades. O foco é estritamente nas aplicações terapêuticas e de aprimoramento cognitivo.</t>
  </si>
  <si>
    <t>Excerpt: “provides a new theoretical framework for the development and optimization of neurofeedback protocols.” — Explanation: Menciona explicitamente que ainda há necessidade de desenvolver e otimizar protocolos, apontando lacunas de pesquisa.</t>
  </si>
  <si>
    <t>Excerpt: “The elucidation of spatiotemporal neurocognitive mechanisms provides a new theoretical framework for the development and optimization of neurofeedback protocols.” (Artigo 2). Excerpt: “These are seminal challenges, such as accessibility, variability in patient responses, and regulatory hurdles...” (Artigo 3). — Explanation: As lacunas incluem a necessidade de otimizar e desenvolver novos protocolos (como abordado pelo Artigo 2), e superar os desafios de variabilidade na resposta do paciente, acessibilidade e regulamentação (como abordado pelo Artigo 3).</t>
  </si>
  <si>
    <t>necessidade de novos protocolos</t>
  </si>
  <si>
    <t>2024 International Conference on Electronics and Devices, Computational Science (ICEDCS)</t>
  </si>
  <si>
    <t>Excerpt: “The model integrates an efficient physiological signal acquisition system to capture multi-modal data such as electroencephalogram (EEG), skin electrical activity (GSR) and heart rate variability (HRV) in real time” — Explanation: O uso de EEG e sinais fisiológicos multimodais indica uma abordagem não invasiva, comum em aplicações de saúde mental.</t>
  </si>
  <si>
    <t>Excerpt: “The model integrates an efficient physiological signal acquisition system to capture multi-modal data such as electroencephalogram (EEG), skin electrical activity (GSR) and heart rate variability (HRV) in real time...” — Explanation: O sistema de aquisição de sinais multimodais inclui o EEG (Eletroencefalografia), que é uma tecnologia de BCI não-invasiva.</t>
  </si>
  <si>
    <t>Excerpt: “aiming to improve the accuracy of early diagnosis and individualized treatment of mental disorders” — Explanation: O artigo menciona transtornos mentais de forma geral, mas não especifica quais tipos (ex.: depressão, ansiedade, ADHD).</t>
  </si>
  <si>
    <t>Excerpt: “...aiming to improve the accuracy of early diagnosis and individualized treatment of mental disorders...” — Explanation: O objetivo principal da aplicação é o diagnóstico precoce e tratamento individualizado de transtornos mentais (mental disorders), sem especificar um transtorno único (como depressão ou esquizofrenia).</t>
  </si>
  <si>
    <t>indica transtorno</t>
  </si>
  <si>
    <t>Excerpt: “Experimental verification shows that the optimized model has excellent performance in mental health assessment, the diagnostic accuracy is improved by about 20% compared with the traditional method, while the processing speed is greatly improved. The response time is reduced by nearly 30%” — Explanation: As métricas incluem acurácia de diagnóstico, velocidade de processamento e tempo de resposta, usadas para avaliar a eficácia do sistema.</t>
  </si>
  <si>
    <t>Excerpt: “Experimental verification shows that the optimized model has excellent performance in mental health assessment, the diagnostic accuracy is improved by about 20% compared with the traditional method, while the processing speed is greatly improved. The response time is reduced by nearly 30%...” — Explanation: As métricas de desempenho incluem a melhoria na precisão do diagnóstico (aumento de 20%) e a redução no tempo de resposta (redução de 30%), além da demonstração de boa capacidade de generalização.</t>
  </si>
  <si>
    <t>precisão de diagnostico</t>
  </si>
  <si>
    <t>Excerpt: “achieve a comprehensive reflection of individual cognitive status and emotional fluctuations” — Explanation: O sistema é usado para avaliar e potencialmente aprimorar o status cognitivo, embora não detalhe capacidades específicas como memória ou atenção.</t>
  </si>
  <si>
    <t>Excerpt: “This paper discusses the optimization model of cognitive enhancement algorithm in intelligent data analysis system...” — Explanation: O artigo discute a otimização de um algoritmo de aprimoramento cognitivo (cognitive enhancement algorithm), que é o foco da RQ4.</t>
  </si>
  <si>
    <t>algoritmo de aprimoramento cognitivo</t>
  </si>
  <si>
    <t>Excerpt: “No evidence found.” — Explanation: O resumo destaca a performance superior e a inovação tecnológica, mas não aborda explicitamente as barreiras limitantes (técnicas, clínicas ou éticas) que impedem a adoção.</t>
  </si>
  <si>
    <t>Excerpt: “No evidence found.” — Explanation: O resumo foca na aquisição e análise de dados fisiológicos, mas não menciona como trata a segurança, privacidade ou integridade dos dados neurais e fisiológicos coletados.</t>
  </si>
  <si>
    <t>Excerpt: “At the algorithm level, random forest is introduced as the core cognitive diagnostic tool, supplemented by an innovative Q matrix structure to guide feature selection and decision tree growth” — Explanation: O artigo indica tendência para integração de algoritmos inteligentes e otimização de diagnóstico, apontando avanços em modelagem e personalização de sistemas de análise cognitiva.</t>
  </si>
  <si>
    <t>Excerpt: “At the algorithm level, random forest is introduced as the core cognitive diagnostic tool, supplemented by an innovative Q matrix structure... It not only integrates traditional psychometric parameters, but also introduces multi-modal physiological signal feature weights...” — Explanation: A tendência emergente é a integração de algoritmos de Machine Learning (Random Forest) para diagnóstico cognitivo, juntamente com a análise de sinais fisiológicos multimodais para personalizar o diagnóstico.</t>
  </si>
  <si>
    <t>otimização de diagnostico</t>
  </si>
  <si>
    <t>Excerpt: “No evidence found.” — Explanation: O foco está na otimização técnica e na melhoria do diagnóstico/tratamento de transtornos mentais, sem discutir os aspectos éticos ou filosóficos da "expansão neurológica" ou amplificação de capacidades.</t>
  </si>
  <si>
    <t>no evidnece fouind</t>
  </si>
  <si>
    <t xml:space="preserve">	Excerpt: “Experimental verification shows that the optimized model has excellent performance in mental health assessment” — Explanation: Apesar de bons resultados, ainda há lacunas implícitas em generalização, adaptação a diferentes populações e escalabilidade que não foram totalmente abordadas.</t>
  </si>
  <si>
    <t>Excerpt: “No evidence found.” — Explanation: O resumo apresenta um modelo otimizado com desempenho superior, mas não aponta explicitamente para lacunas de pesquisa futuras que precisam ser exploradas na área.</t>
  </si>
  <si>
    <t xml:space="preserve"> 2025 8th International Conference on Trends in Electronics and Informatics (ICOEI)</t>
  </si>
  <si>
    <t>Excerpt: “Technologies in this regard include transcranial magnetic stimulation, transcranial direct current stimulation, EEG-based neurofeedback, and functional near-infrared spectroscopy” — Explanation: O artigo descreve explicitamente dispositivos neurais não invasivos, abrangendo EEG, TMS, tDCS e fNIRS, utilizados em aplicações de saúde mental.</t>
  </si>
  <si>
    <t>Excerpt: "non-invasive neural devices that offer effective and patient-friendly alternatives to traditional interventions. Technologies in this regard include transcranial magnetic stimulation, transcranial direct current stimulation, EEG-based neurofeedback, and functional near-infrared spectroscopy..." — Explanation: O foco do artigo é em métodos não-invasivos de modulação neural e BCI/neurofeedback, listando as principais tecnologias utilizadas.</t>
  </si>
  <si>
    <t>Excerpt: “treatment of mental health disorders, including depression, anxiety, and PTSD” — Explanation: O abstract indica que os transtornos mais estudados incluem depressão, ansiedade e PTSD.</t>
  </si>
  <si>
    <t>depressão, ansiedade e TEPT</t>
  </si>
  <si>
    <t>No evidence found. (O abstract não descreve métricas, escalas ou métodos de avaliação da eficácia.)</t>
  </si>
  <si>
    <t>Excerpt: “enhancing the quality of life and improving cognitive functions” — Explanation: Os dispositivos são usados para melhoria cognitiva, embora não especifiquem habilidades como memória, atenção ou aprendizagem.</t>
  </si>
  <si>
    <t>memoria, atenção ou aprendizagem</t>
  </si>
  <si>
    <t>Excerpt: “These are seminal challenges, such as accessibility, variability in patient responses, and regulatory hurdles” — Explanation: O artigo identifica barreiras técnicas, clínicas e regulatórias que limitam a adoção de dispositivos neurais.</t>
  </si>
  <si>
    <t>barreiras técnicas, clínicas e regulatórias que limitam a adoção de dispositivos neurais.</t>
  </si>
  <si>
    <t>No evidence found. (Não há menção a segurança, privacidade ou integridade dos dados neurais.)</t>
  </si>
  <si>
    <t>Excerpt: “Focusing on personalised medicine, machine learning, and big data could be used in non-invasive neural devices to fine-tune outcomes tailored to an individual's needs” — Explanation: Indica tendência emergente de integração com IA, medicina personalizada e big data.</t>
  </si>
  <si>
    <t>integração IA, medicida e bigdata</t>
  </si>
  <si>
    <t>No evidence found. (Nenhuma discussão ética ou filosófica sobre amplificação de capacidades humanas.)</t>
  </si>
  <si>
    <t>Excerpt: “These are seminal challenges, such as accessibility, variability in patient responses, and regulatory hurdles” — Explanation: As lacunas destacadas incluem acessibilidade, respostas individuais variáveis e obstáculos regulatórios, mostrando que ainda há áreas a explorar para implementação segura e eficaz.</t>
  </si>
  <si>
    <t>viabilidade</t>
  </si>
  <si>
    <t>IEEE Transactions on Biomedical Engineering ( Volume: 72, Issue: 2, February 2025)</t>
  </si>
  <si>
    <t>Excerpt: “This study proposes a wearable BCI system for real-time attention regulation and cognitive monitoring.” — Explanation: O artigo descreve explicitamente um sistema BCI wearable, que é não invasivo, indicado para regulação da atenção.</t>
  </si>
  <si>
    <t>Excerpt: “This study proposes a wearable BCI system for real-time attention regulation and cognitive monitoring... The BCI system integrates a wearable single-channel electroencephalogram (EEG) headband with wireless data streaming for real-time analysis.” — Explanation: O sistema proposto é um BCI não-invasivo (wearable) que utiliza um headband de EEG de canal único.</t>
  </si>
  <si>
    <t>Excerpt: “could be a promising tool for assisting people with attention disorders” — Explanation: O transtorno estudado é distúrbios de atenção (ex.: ADHD).</t>
  </si>
  <si>
    <t>Excerpt: “...could be a promising tool for assisting people with attention disorders.” — Explanation: O objetivo principal de aplicação, inferido, é auxiliar pessoas com transtornos de atenção (attention disorders). O artigo também menciona a relação da atenção com a saúde mental.</t>
  </si>
  <si>
    <t>Excerpt: “Before and after the regulation sessions, baseline assessments were conducted for each subject, incorporating multi-channel EEG data analysis and cognitive behavioral evaluations” — Explanation: As métricas incluem análise EEG multicanal e avaliações cognitivas comportamentais, usadas para medir a eficácia da BCI.</t>
  </si>
  <si>
    <t>Excerpt: “The online experimental results indicate that the average attention level in the experimental group increased from 0.625 to 0.812... baseline assessments were conducted for each subject, incorporating multi-channel EEG data analysis and cognitive behavioral evaluations...” — Explanation: A eficácia é medida pela mudança no nível de atenção (valor de neurofeedback), análises de EEG multicanal (padrões de rede cerebral) e avaliações cognitivo-comportamentais (performance cognitiva) nas avaliações de baseline pós-intervenção.</t>
  </si>
  <si>
    <t>Excerpt: “The online experimental results indicate that the average attention level in the experimental group increased from 0.625 to 0.812” — Explanation: A BCI é usada para melhoria de atenção, mostrando aumento quantitativo na habilidade cognitiva.</t>
  </si>
  <si>
    <t>Excerpt: “Objective: Attention regulation is an essential ability... The proposed wearable BCI system is effective at improving attention regulation ability and could be a promising tool...” — Explanation: O BCI foi usado especificamente para melhorar a capacidade de regulação da atenção, uma função cognitiva central.</t>
  </si>
  <si>
    <t>Excerpt: “most of these systems rely on bulky and expensive equipment and are still in the experimental stage” — Explanation: Isso aponta barreiras técnicas e de acessibilidade que limitam a adoção da tecnologia.</t>
  </si>
  <si>
    <t>Excerpt: “The effectiveness of brain-computer interface (BCI) systems in attention regulation has been proven, but most of these systems rely on bulky and expensive equipment and are still in the experimental stage.” — Explanation: O principal obstáculo (barreira técnica/clínica) que o estudo aborda é que os sistemas BCI existentes são volumosos, caros e em fase experimental, o que limita sua adoção prática.</t>
  </si>
  <si>
    <t>Excerpt: “No evidence found.” — Explanation: O resumo não menciona como lida com as questões de segurança, privacidade ou integridade dos dados neurais (EEG) coletados.</t>
  </si>
  <si>
    <t>No evidence found. (O abstract não discute integração com IA ou personalização avançada.)</t>
  </si>
  <si>
    <t>Excerpt: “No evidence found.” — Explanation: O resumo descreve uma solução de hardware e software para neurofeedback, mas não aborda explicitamente tendências futuras, como a integração com Inteligência Artificial avançada ou neuroestimulação personalizada.</t>
  </si>
  <si>
    <t>No evidence found. (Não há discussão ética ou filosófica sobre ampliação de capacidades humanas.)</t>
  </si>
  <si>
    <t>Excerpt: “No evidence found.” — Explanation: O artigo foca na viabilidade técnica e na eficácia clínica da melhoria da atenção, sem discutir os aspectos éticos ou filosóficos da "expansão neurológica" ou amplificação de capacidades.</t>
  </si>
  <si>
    <t>Excerpt: “most of these systems… are still in the experimental stage” — Explanation: O texto indica que há lacunas de pesquisa para tornar o BCI acessível, confiável e aplicável a pessoas com transtornos de atenção.</t>
  </si>
  <si>
    <t>Excerpt: “No evidence found.” — Explanation: O resumo não discute explicitamente lacunas de pesquisa futuras que precisam ser exploradas para que os BCIs se tornem uma ferramenta totalmente eficaz e segura.</t>
  </si>
  <si>
    <t>2024 IEEE 8th International Conference on Signal and Image Processing Applications (ICSIPA)</t>
  </si>
  <si>
    <t>Malaysia</t>
  </si>
  <si>
    <t>Excerpt: “used a 32-channel brain wave (EEG) device to record their brain wave activity” — Explanation: O estudo utiliza EEG multicanal, indicando uma abordagem não invasiva para monitoramento cerebral em crianças autistas.</t>
  </si>
  <si>
    <t>Excerpt: “...used a 32-channel brain wave (EEG) device to record their brain wave activity...” — Explanation: O estudo utiliza um dispositivo de Eletroencefalografia (EEG) de 32 canais, que é uma tecnologia de BCI não-invasiva.</t>
  </si>
  <si>
    <t>Excerpt: “This study aims to explore the impact of different geometric styles on brain wave responses in autistic children” — Explanation: O transtorno estudado é autismo, com foco em crianças de 7 a 14 anos.</t>
  </si>
  <si>
    <t>Excerpt: “The study selected 30 autistic children aged 7 to 14 years...” — Explanation: O transtorno mental ou condição que recebeu atenção neste estudo é o autismo (autistic children).</t>
  </si>
  <si>
    <t>Excerpt: “standardized cognitive function tests and mental health scales were used to assess the cognitive and psychological status of the children before and after the experiment” — Explanation: As métricas incluem testes cognitivos padronizados e escalas de saúde mental, usadas para avaliar a eficácia do estímulo artístico.</t>
  </si>
  <si>
    <t>Excerpt: “...standardized cognitive function tests and mental health scales were used to assess the cognitive and psychological status of the children before and after the experiment. The results showed significant differences in brain wave patterns caused by different geometric styles...” — Explanation: Os métodos de avaliação incluem testes padronizados de função cognitiva, escalas de saúde mental e análise de padrões de ondas cerebrais (EEG).</t>
  </si>
  <si>
    <t>Excerpt: “some geometric shapes significantly improving the attention and emotional stability of autistic children” — Explanation: O estudo indica que a intervenção artística pode melhorar atenção e estabilidade emocional, refletindo impacto em funções cognitivas e regulação emocional.</t>
  </si>
  <si>
    <t>Excerpt: “...with some geometric shapes significantly improving the attention and emotional stability of autistic children.” — Explanation: Os BCIs (neste caso, o EEG monitorando e reagindo à criação artística) foram usados para identificar estilos que melhoram a atenção (uma função cognitiva) e a estabilidade emocional.</t>
  </si>
  <si>
    <t>No evidence found. (O abstract não menciona barreiras técnicas, clínicas ou éticas.)</t>
  </si>
  <si>
    <t>Excerpt: “No evidence found.” — Explanation: O resumo foca nos resultados e no potencial da intervenção artística/VR, sem abordar explicitamente as barreiras técnicas, clínicas ou éticas que limitam a adoção de BCIs.</t>
  </si>
  <si>
    <t>No evidence found. (Não há referência à segurança ou privacidade dos dados EEG.)</t>
  </si>
  <si>
    <t>Excerpt: “No evidence found.” — Explanation: O resumo descreve a coleta de dados de EEG, mas não menciona como trata a segurança, privacidade ou integridade dos dados neurais coletados.</t>
  </si>
  <si>
    <t>No evidence found. (Não há menção a IA, personalização adaptativa ou neuroestimulação integrada.)</t>
  </si>
  <si>
    <t>Excerpt: “...suggests the introduction of personalized artistic creation activities in the education and treatment of children with autism.” — Explanation: O estudo sugere uma tendência futura de personalização da intervenção (personalized artistic creation activities) baseada nas respostas neurais observadas.</t>
  </si>
  <si>
    <t>Excerpt: “No evidence found.” — Explanation: O artigo trata de uma intervenção terapêutica para o autismo e o potencial de aprimoramento cognitivo/emocional, sem abordar os aspectos éticos ou filosóficos da "expansão neurológica" ou amplificação de capacidades.</t>
  </si>
  <si>
    <t>Excerpt: “suggests the introduction of personalized artistic creation activities in the education and treatment of children with autism” — Explanation: O texto indica lacuna de pesquisa para desenvolver intervenções personalizadas, mostrando necessidade de estudos futuros em arte-terapia e BCI para autismo.</t>
  </si>
  <si>
    <t>Excerpt: “This study provides a scientific basis for the effectiveness of artistic creation as an intervention tool for autism and suggests the introduction of personalized artistic creation activities...” — Explanation: A lacuna implícita que este estudo ajuda a preencher é a falta de base científica para a intervenção artística e a necessidade de introduzir intervenções personalizadas em BCI para o tratamento do autismo.</t>
  </si>
  <si>
    <t>2021 IEEE 3rd Eurasia Conference on Biomedical Engineering, Healthcare and Sustainability (ECBIOS)</t>
  </si>
  <si>
    <t>No evidence found. (O abstract não menciona o uso de BCI ou outro dispositivo neural.)</t>
  </si>
  <si>
    <t>Excerpt: “No evidence found.” — Explanation: O resumo apresenta um resultado positivo e uma proposta de solução sustentável, mas não aponta explicitamente para lacunas de pesquisa futuras que precisam ser exploradas na área.</t>
  </si>
  <si>
    <t>Excerpt: “effect of alpha music therapy… on stress level, cognitive functions, and physiological response of hospital staff” — Explanation: O foco é stress e funções cognitivas em profissionais de saúde, mas não especifica transtornos clínicos como depressão ou ansiedade diagnosticada.</t>
  </si>
  <si>
    <t>Excerpt: “No evidence found.” — Explanation: O resumo descreve uma intervenção de música alpha (terapia auditiva) e não menciona o uso direto de uma Interface Cérebro-Computador (BCI) invasiva, não-invasiva ou híbrida para a regulação do estresse.</t>
  </si>
  <si>
    <t>Excerpt: “Stress questionnaires, cognitive tasks, and physiological data were collected before and after the intervention” — Explanation: As métricas incluem questionários de estresse, tarefas cognitivas e dados fisiológicos, usadas para avaliar a eficácia da musicoterapia.</t>
  </si>
  <si>
    <t>Excerpt: “...on stress level... of hospital staff amidst the context of the COVID-19 pandemic.” — Explanation: O foco da intervenção é a redução do nível de estresse (stress level) em profissionais de saúde durante a pandemia.</t>
  </si>
  <si>
    <t>Excerpt: “both the PSS and Respond time measures suggest a positive effect of alpha music on the Testing group” — Explanation: A intervenção musical melhora atenção e tempo de resposta, indicando efeito positivo em funções cognitivas.</t>
  </si>
  <si>
    <t>Excerpt: “Stress questionnaires, cognitive tasks, and physiological data were collected before and after the intervention. Blood pressure and heart rate between the two groups do not differ significantly... The increase in PSS scores and fast response time in the Matrix Task of the Control group indicate increasing stress levels, reduced attention, and remembering ability.” — Explanation: Os métodos de avaliação incluem questionários de estresse (PSS - Perceived Stress Scale, implicitamente), tarefas cognitivas (Matrix Task) e dados fisiológicos (pressão arterial e frequência cardíaca).</t>
  </si>
  <si>
    <t>No evidence found. (Nenhuma menção a barreiras técnicas, clínicas ou éticas.)</t>
  </si>
  <si>
    <t>Excerpt: “...fast response time in the Matrix Task of the Control group indicate increasing stress levels, reduced attention, and remembering ability... In contrast, both the PSS and Respond time measures suggest a positive effect of alpha music on the Testing group.” — Explanation: A Matrix Task mede a atenção e a capacidade de memória (remembering ability). O estudo investiga e sugere um efeito positivo da terapia no desempenho destas funções cognitivas.</t>
  </si>
  <si>
    <t>No evidence found. (Não há referência a segurança ou privacidade de dados.)</t>
  </si>
  <si>
    <t>Excerpt: “No evidence found.” — Explanation: O resumo foca na intervenção e nos resultados, mas não discute explicitamente barreiras limitantes (técnicas, clínicas ou éticas) para a adoção da terapia alfa.</t>
  </si>
  <si>
    <t>Excerpt: “No evidence found.” — Explanation: O estudo coleta dados fisiológicos e de questionários, mas não aborda questões de segurança, privacidade ou integridade dos dados neurais ou fisiológicos.</t>
  </si>
  <si>
    <t>No evidence found. (O abstract não discute IA, personalização ou integração tecnológica avançada.)</t>
  </si>
  <si>
    <t>Excerpt: “No evidence found.” — Explanation: O estudo descreve uma intervenção de terapia musical, mas não menciona tendências futuras, como integração com inteligência artificial, machine learning ou neuroestimulação personalizada.</t>
  </si>
  <si>
    <t>Excerpt: “alpha music… is an affordable, easily implemented, and sustainable method” — Explanation: O texto sugere uma lacuna de pesquisa em soluções acessíveis e sustentáveis, indicando potencial para futuras intervenções baseadas em neurotecnologia ou musicoterapia personalizada.</t>
  </si>
  <si>
    <t>Excerpt: “No evidence found.” — Explanation: O artigo trata de uma intervenção prática para redução do estresse, não abordando os aspectos éticos ou filosóficos da "expansão neurológica" ou amplificação de capacidades.</t>
  </si>
  <si>
    <t>2024 IEEE International Conference on Systems, Man, and Cybernetics (SMC)</t>
  </si>
  <si>
    <t>Excerpt: “using a four-channel consumer-grade Electroencephalography (EEG) system” — Explanation: O estudo utiliza EEG não invasivo, caracterizando uma BCI não invasiva para treinamento neurofeedback.</t>
  </si>
  <si>
    <t>Excerpt: “...a real-time neurofeedback game using a four-channel consumer-grade Electroencephalography (EEG) system...” — Explanation: O estudo utiliza um sistema de Eletroencefalografia (EEG) de consumo (não-clínico), que é uma tecnologia de BCI não-invasiva.</t>
  </si>
  <si>
    <t>Excerpt: “enhancing overt and covert attention skills in Stroke and Mild cognitive impairment (MCI) patients” — Explanation: Os transtornos estudados incluem déficit cognitivo leve (MCI) e pacientes pós-AVC, com foco em atenção.</t>
  </si>
  <si>
    <t>Excerpt: “...enhancing cognition in healthy and cognitive-deficit patients... cross-sectional Stroke and Mild cognitive impairment (MCI) patients.” — Explanation: O estudo foca na reabilitação de pacientes com Acidente Vascular Cerebral (AVC/Stroke) e Comprometimento Cognitivo Leve (CCL/MCI).</t>
  </si>
  <si>
    <t>Excerpt: “attention score significantly improved from the first session to the final session” — Explanation: A métrica principal é a pontuação de atenção, medida longitudinalmente durante o neurofeedback game, usada para avaliar eficácia.</t>
  </si>
  <si>
    <t>Excerpt: “The attention score significantly improved from the first session to the final session by 1.25-12.55% in the stroke group and 1.84-44.14% in the MCI group.” — Explanation: A eficácia é medida pela melhoria significativa na pontuação de atenção (attention score), quantificada pela porcentagem de melhoria entre a primeira e a última sessão.</t>
  </si>
  <si>
    <t>Excerpt: “enhancing overt and covert attention skills” — Explanation: A BCI é usada explicitamente para melhorar atenção, mostrando impacto direto em habilidade cognitiva.</t>
  </si>
  <si>
    <t>Excerpt: “...NFT is emerging as a promising non-pharmacological intervention for enhancing cognition... on enhancing overt and covert attention skills in Stroke and MCI patients.” — Explanation: O BCI foi usado especificamente para aprimorar as habilidades de atenção manifesta e velada (overt and covert attention skills), que são funções cognitivas.</t>
  </si>
  <si>
    <t>Excerpt: “No evidence found.” — Explanation: O resumo destaca a eficácia e a novidade do estudo, mas não aborda as barreiras mais amplas (técnicas, clínicas ou éticas) que limitam a adoção de BCIs.</t>
  </si>
  <si>
    <t>No evidence found. (Não há referência à segurança, privacidade ou integridade dos dados EEG.)</t>
  </si>
  <si>
    <t>No evidence found. (O abstract não discute IA, personalização avançada ou tendências emergentes.)</t>
  </si>
  <si>
    <t>Excerpt: “No evidence found.” — Explanation: O resumo descreve um sistema de game de neurofeedback em tempo real, mas não aborda tendências futuras como a integração com Inteligência Artificial avançada ou neuroestimulação personalizada.</t>
  </si>
  <si>
    <t>No evidence found. (Nenhuma discussão ética ou filosófica sobre ampliação de capacidades humanas.)</t>
  </si>
  <si>
    <t>Excerpt: “No evidence found.” — Explanation: O artigo trata de uma intervenção de reabilitação para déficits cognitivos, sem discutir os aspectos éticos ou filosóficos da "expansão neurológica" ou amplificação de capacidades.</t>
  </si>
  <si>
    <t>Excerpt: “To our knowledge, this is the first EEG-Brain Computer Interface study for improving overt and covert attention on the cross-sectional stroke-MCI patients” — Explanation: O texto indica lacuna de pesquisa, destacando que este é o primeiro estudo deste tipo com esta população, sugerindo necessidade de mais investigação.</t>
  </si>
  <si>
    <t>Excerpt: “To our knowledge, this is the first EEG-Brain Computer Interface study for improving overt and covert attention on the cross-sectional stroke-MCI patients.” — Explanation: A principal lacuna de pesquisa preenchida/apontada é a falta de estudos anteriores utilizando BCI/EEG para aprimorar a atenção manifesta e velada em pacientes Stroke e MCI simultaneamente.</t>
  </si>
  <si>
    <t>2023 IEEE International Conference on Sensors and Nanotechnology (SENNANO)</t>
  </si>
  <si>
    <t>Indonesia</t>
  </si>
  <si>
    <t>Excerpt: “analyze brain signals using electroencephalography (EEG)” — Explanation: O estudo utiliza EEG, que é uma tecnologia não invasiva de BCI.</t>
  </si>
  <si>
    <t>Excerpt: “An objective assessment is conducted to analyze brain signals using electroencephalography (EEG).” — Explanation: O estudo utiliza a Eletroencefalografia (EEG) para analisar os sinais cerebrais, que é uma tecnologia de BCI não-invasiva.</t>
  </si>
  <si>
    <t>Excerpt: “reducing anxiety and stress” — Explanation: Os transtornos investigados são ansiedade e estresse.</t>
  </si>
  <si>
    <t>Excerpt: “Anxiety and stress are commonly reported problems related to working life where physical and mental conditions become worse due to environment exhaustion.” — Explanation: Os problemas mentais que receberam atenção e foram alvo de intervenção (Mindfulness Intervention - MI) neste estudo são ansiedade e estresse.</t>
  </si>
  <si>
    <t>Excerpt: “Cognitive Ability Modulation Index (CAMI) was measured by calculating the relative band power…” — Explanation: A métrica principal é o CAMI, baseado em potência relativa de bandas no lobo pré-frontal, além de classificação com SVM (80% acurácia).</t>
  </si>
  <si>
    <t>Excerpt: “...Cognitive Ability Modulation Index (CAMI) was measured by calculating the relative band power in the prefrontal lobe to measure cognitive ability. The classification achieved 80% accuracy using the Quadratic Support Vector Machine classifier.” — Explanation: As métricas de avaliação incluem o Índice de Modulação da Habilidade Cognitiva (CAMI), calculado pela potência de banda relativa no lobo pré-frontal (métrica EEG). A eficácia da MI é validada pela precisão de 80% na classificação pré/pós-intervenção usando o classificador QSVM.</t>
  </si>
  <si>
    <t>Excerpt: “CAMI was measured… to measure cognitive ability.” — Explanation: O estudo usa EEG para avaliar e modular habilidade cognitiva, relacionada ao impacto da intervenção.</t>
  </si>
  <si>
    <t>Excerpt: “Cognitive Ability Modulation Index (CAMI) was measured by calculating the relative band power in the prefrontal lobe to measure cognitive ability... The outcome of a positive impact of MI in reducing anxiety and stress while performing the Stroop Colour Task.” — Explanation: O CAMI é usado para medir a capacidade cognitiva. A melhoria está implícita no melhor desempenho/mudança de sinal durante a Stroop Colour Task (uma tarefa cognitiva).</t>
  </si>
  <si>
    <t>Excerpt: “No evidence found.” — Explanation: O resumo foca na validação de uma nova métrica (CAMI) e nos resultados da intervenção, mas não aborda explicitamente barreiras limitantes (técnicas, clínicas ou éticas) para a adoção de BCIs.</t>
  </si>
  <si>
    <t>No evidence found. (Não há discussão sobre segurança, privacidade ou integridade dos dados neurais.)</t>
  </si>
  <si>
    <t>Excerpt: “No evidence found.” — Explanation: O resumo descreve a coleta e análise de dados de EEG, mas não menciona como trata a segurança, privacidade ou integridade dos dados neurais coletados.</t>
  </si>
  <si>
    <t>Excerpt: “80% accuracy using the Quadratic Support Vector Machine classifier” — Explanation: Há uso de machine learning (SVM), indicando uma tendência emergente de integrar IA com análise neural.</t>
  </si>
  <si>
    <t>Excerpt: “To validate CAMI as a suitable measure for effectiveness of Mindfulness Intervention (MI) towards reducing anxiety and stress among neurotics, classification of CAMI before and after MI is performed. The classification achieved 80% accuracy using the Quadratic Support Vector Machine classifier.” — Explanation: A tendência emergente é a integração de Inteligência Artificial/Machine Learning (uso do classificador Quadratic Support Vector Machine - QSVM) para classificar estados mentais e validar a eficácia de intervenções.</t>
  </si>
  <si>
    <t>No evidence found. (Nada sobre filosofia ou ética de ampliação cognitiva.)</t>
  </si>
  <si>
    <t>Excerpt: “No evidence found.” — Explanation: O artigo trata da validação de uma métrica para redução de ansiedade e estresse, sem discutir os aspectos éticos ou filosóficos da "expansão neurológica" ou amplificação de capacidades.</t>
  </si>
  <si>
    <t>No evidence found. (O estudo não aponta lacunas ou direções futuras.)</t>
  </si>
  <si>
    <t>Excerpt: “To validate CAMI as a suitable measure for effectiveness of Mindfulness Intervention (MI) towards reducing anxiety and stress among neurotics...” — Explanation: A lacuna de pesquisa abordada é a necessidade de validar medidas objetivas e adequadas (como o CAMI) para avaliar a eficácia de intervenções de BCI e mindfulness em indivíduos com ansiedade e estresse.</t>
  </si>
  <si>
    <t>Excerpt: “Utilizing EEG signals, graph convolutional neural networks (GCNs), and binaural beats stimulation (BBs)” — Explanation: A única tecnologia BCI mencionada é EEG, portanto trata-se de um BCI não-invasivo. Não há evidências de BCI invasivo ou híbrido.</t>
  </si>
  <si>
    <t>Excerpt: “Utilizing EEG signals, graph convolutional neural networks (GCNs), and binaural beats stimulation (BBs), the research investigates stress detection and reduction...” — Explanation: O estudo utiliza sinais de Eletroencefalografia (EEG), que é uma tecnologia de BCI não-invasiva, combinada com estimulação auditiva (BBs).</t>
  </si>
  <si>
    <t>Excerpt: “stress detection and reduction” — Explanation: O único estado mental tratado é estresse. O estudo não menciona outros transtornos como depressão, ansiedade, ADHD ou esquizofrenia.</t>
  </si>
  <si>
    <t>Excerpt: “This study addresses limitations in EEG-based stress detection research... investigates stress detection and reduction in two population sample groups...” — Explanation: O foco do estudo é a detecção e redução do estresse em duas populações com baseline de estresse baixo e alto.</t>
  </si>
  <si>
    <t>United Arab Emirates</t>
  </si>
  <si>
    <t>Excerpt: “Mental states were assessed using behavioral data: reaction time to stimuli (RT) and target detection accuracy, subjective reports: Perceived Stress Scale scores (PSS-10), biochemical indicators: salivary cortisol levels, and neurophysiological measure: EEG effective connectivity via Partial Directed Coherence (PDC).” — Explanation: O estudo usa múltiplas métricas: RT, acurácia, PSS-10, cortisol salivar e conectividade via PDC.</t>
  </si>
  <si>
    <t>Excerpt: “Mental states were assessed using behavioral data: reaction time to stimuli (RT) and target detection accuracy, subjective reports: Perceived Stress Scale scores (PSS-10), biochemical indicators: salivary cortisol levels, and neurophysiological measure: EEG effective connectivity via Partial Directed Coherence (PDC).” — Explanation: Os métodos de avaliação são multimodais, incluindo métricas comportamentais (RT, precisão de detecção), escalas subjetivas (PSS-10), indicadores bioquímicos (cortisol salivar) e medidas neurofisiológicas (conectividade efetiva EEG via PDC).</t>
  </si>
  <si>
    <t>Excerpt: “BBs significantly improved target detection accuracy by 31.6% and 22.8%… While 16-Hz BBs enhanced focusing abilities…” — Explanation: O estudo mostra melhoria de foco (atenção), mas não aborda memória ou aprendizado.</t>
  </si>
  <si>
    <t>Excerpt: “BBs significantly improved target detection accuracy by 31.6% and 22.8% for low and high-stress groups, respectively... While 16-Hz BBs enhanced focusing abilities...” — Explanation: O estudo demonstrou que a estimulação (BBs) melhorou significativamente a precisão na detecção de alvos e aprimorou as habilidades de foco (enhanced focusing abilities), que são funções cognitivas.</t>
  </si>
  <si>
    <t>Excerpt: “This study highlights the complex relationship between cognitive performance, perceived stress, and neurophysiological measures, emphasizing the need for multifaceted stress research and management approaches.” — Explanation: O trecho indica limitações científicas/experimentais, mas não aborda barreiras técnicas, clínicas ou éticas diretamente.</t>
  </si>
  <si>
    <t>Excerpt: “This study addresses limitations in EEG-based stress detection research by developing a novel approach to differentiate multiple mental states in different stress baseline population samples.” — Explanation: A principal limitação (barreira clínica/técnica) implícita abordada é a incapacidade das abordagens existentes em BCI/EEG de diferenciar estados mentais com precisão em populações com baselines de estresse variados.</t>
  </si>
  <si>
    <t>No evidence found. — Nenhum trecho menciona segurança, privacidade ou integridade dos dados neurais.</t>
  </si>
  <si>
    <t>Excerpt: “No evidence found.” — Explanation: O resumo descreve a coleta e análise de dados neurais e bioquímicos, mas não menciona como trata a segurança, privacidade ou integridade dos dados coletados.</t>
  </si>
  <si>
    <t>Excerpt: “Utilizing EEG signals, graph convolutional neural networks (GCNs)” — Explanation: A presença de GCNs indica integração de BCI com inteligência artificial, sugerindo uma tendência emergente.</t>
  </si>
  <si>
    <t>Excerpt: “Utilizing EEG signals, graph convolutional neural networks (GCNs), and binaural beats stimulation (BBs), the research investigates stress detection and reduction...” — Explanation: A tendência emergente é a integração de Inteligência Artificial/Machine Learning (uso de Graph Convolutional Neural Networks - GCNs) para análise avançada de dados neurais (EEG) em BCI.</t>
  </si>
  <si>
    <t>No evidence found. — O estudo não discute expansão neurológica, amplificação de capacidades ou questões filosóficas.</t>
  </si>
  <si>
    <t>Excerpt: “No evidence found.” — Explanation: O artigo foca na detecção e mitigação do estresse, não abordando os aspectos éticos ou filosóficos da "expansão neurológica" ou amplificação de capacidades.</t>
  </si>
  <si>
    <t>Excerpt: “emphasizing the need for multifaceted stress research and management approaches.” — Explanation: O texto aponta a necessidade de pesquisas mais amplas e multifatoriais, indicando lacunas a serem exploradas.</t>
  </si>
  <si>
    <t>Excerpt: “This study highlights the complex relationship between cognitive performance, perceived stress, and neurophysiological measures, emphasizing the need for multifaceted stress research and management approaches.” — Explanation: A principal lacuna de pesquisa a ser explorada é a necessidade de pesquisas e abordagens de gerenciamento de estresse multifacetadas, devido à complexa relação entre os diferentes tipos de métricas (cognitivas, subjetivas e neurais).</t>
  </si>
  <si>
    <t xml:space="preserve"> 2024 IEEE 7th Eurasian Conference on Educational Innovation (ECEI)</t>
  </si>
  <si>
    <t>Taiwan</t>
  </si>
  <si>
    <t>Excerpt: “We integrated mixed reality devices with brain-computer interface (BCI) equipment. By detecting brainwave signals in the frontal region of the brain through sensors…” — Explanation: O estudo utiliza BCI não-invasivo baseado em EEG, pois menciona apenas sensores de ondas cerebrais. Não há evidência de sistemas invasivos ou híbridos.</t>
  </si>
  <si>
    <t>Excerpt: “We integrated mixed reality devices with brain-computer interface (BCI) equipment. By detecting brainwave signals in the frontal region of the brain through sensors...” — Explanation: O estudo utiliza um equipamento BCI que detecta sinais de ondas cerebrais (EEG) por meio de sensores, sendo, portanto, uma tecnologia não-invasiva.</t>
  </si>
  <si>
    <t>Excerpt: “The primary goal of this study was to develop… to assist MCI patients…” — Explanation: O único transtorno abordado é MCI (Mild Cognitive Impairment), frequentemente relacionado a demência e Alzheimer’s, mencionados no início do abstract.</t>
  </si>
  <si>
    <t>Excerpt: “Dementia is considered a Mild Cognitive Impairment (MCI), representing a blurred transition from normal cognitive function to dementia... assist MCI patients in enhancing logical thinking...” — Explanation: O foco da aplicação e do estudo é o Comprometimento Cognitivo Leve (MCI - Mild Cognitive Impairment), que pode ser um precursor da demência.</t>
  </si>
  <si>
    <t>Excerpt: “neural activity was quantified, and digital brainwave data was transmitted to the system. This data was then visualized on screen in real-time to analyze changes in brainwave data during training.” — Explanation: A avaliação utiliza atividade neural (EEG) e visualização em tempo real para acompanhar mudanças durante o treinamento. Não há métricas comportamentais quantitativas detalhadas.</t>
  </si>
  <si>
    <t>Excerpt: “The primary goal of this study was to develop an Extended Reality (XR) cognitive system to assist MCI patients in enhancing logical thinking, increasing independence in daily life, and improving response accuracy... This data was then visualized on screen in real-time to analyze changes in brainwave data during training.” — Explanation: As métricas de eficácia incluem a melhoria na precisão de resposta (improving response accuracy) nas tarefas, e a análise de mudanças nos dados das ondas cerebrais (dados neurais quantificados e visualizados em tempo real).</t>
  </si>
  <si>
    <t>Excerpt: “the system enhanced cognitive response and sensory perception, stimulating brain activity with the goal of strengthening cognitive functions.” — Explanation: O BCI é usado explicitamente para melhorar funções cognitivas, incluindo resposta cognitiva, percepção sensorial e funções gerais como lógica e independência.</t>
  </si>
  <si>
    <t>Excerpt: “...assist MCI patients in enhancing logical thinking, increasing independence in daily life, and improving response accuracy... Through multifaceted task training, the system enhanced cognitive response and sensory perception, stimulating brain activity with the goal of strengthening cognitive functions.” — Explanation: O BCI/XR foi usado para aprimorar o pensamento lógico, melhorar a resposta cognitiva, aumentar a percepção sensorial e, de forma geral, fortalecer as funções cognitivas.</t>
  </si>
  <si>
    <t>No evidence found. — O abstract não menciona barreiras técnicas, clínicas, regulatórias ou éticas.</t>
  </si>
  <si>
    <t>Excerpt: “No evidence found.” — Explanation: O resumo foca no potencial e no desenvolvimento do sistema XR-BCI, mas não aborda explicitamente as barreiras limitantes (técnicas, clínicas ou éticas) para a adoção em larga escala.</t>
  </si>
  <si>
    <t>No evidence found. — Não há menção a segurança, privacidade ou proteção dos dados neurais transmitidos ao sistema.</t>
  </si>
  <si>
    <t>Excerpt: “No evidence found.” — Explanation: O resumo descreve a aquisição, quantificação e visualização dos dados neurais, mas não menciona como trata a segurança, privacidade ou integridade desses dados.</t>
  </si>
  <si>
    <t>Excerpt: “The application of extended reality technology in the medical field is expanding…” — Explanation: Aponta tendências emergentes como integração entre XR e BCI, mas não menciona IA diretamente. Ainda assim, XR + BCI é uma tendência forte.</t>
  </si>
  <si>
    <t>Excerpt: “We integrated mixed reality devices with brain-computer interface (BCI) equipment... The application of extended reality technology (XR) in the medical field is expanding...” — Explanation: A principal tendência de integração é a combinação de BCI (sinais neurais) com Tecnologia de Realidade Estendida (XR) / Realidade Mista, para criar um sistema de treinamento interativo e imersivo.</t>
  </si>
  <si>
    <t>No evidence found. — O abstract não discute expansão neurológica, filosofia, ou amplificação de capacidades humanas.</t>
  </si>
  <si>
    <t>Excerpt: “No evidence found.” — Explanation: O artigo trata de uma intervenção de reabilitação para MCI, sem discutir os aspectos éticos ou filosóficos da "expansão neurológica" ou amplificação de capacidades.</t>
  </si>
  <si>
    <t>Excerpt: “With aging, changes occur in cognitive and physical functions… Research suggests that memory functions can be improved through training.” — Explanation: Indica que ainda há lacunas sobre como reverter ou retardar declínio cognitivo; a necessidade de mais treinamento e tecnologias eficazes sugere pesquisas ainda insuficientes.</t>
  </si>
  <si>
    <t>Excerpt: “No evidence found.” — Explanation: O resumo descreve o desenvolvimento de uma nova ferramenta com potencial terapêutico, mas não aponta explicitamente para lacunas de pesquisa futuras que precisam ser exploradas.</t>
  </si>
  <si>
    <t>2024 IEEE 6th Eurasia Conference on Biomedical Engineering, Healthcare and Sustainability (ECBIOS)</t>
  </si>
  <si>
    <t>Excerpt: “this study employed electroencephalography (EEG) bio-signal data gathered… The g.Nautilus Research headset facilitated the acquisition of EEG data.” — Explanation: O estudo usa BCI não-invasivo baseado em EEG; não há qualquer menção a BCI invasivo ou híbrido.</t>
  </si>
  <si>
    <t>Excerpt: “This study employed electroencephalography (EEG) bio-signal data gathered from individuals aged 65 and older... The g.Nautilus Research headset facilitated the acquisition of EEG data.” — Explanation: O estudo utiliza o headset de pesquisa g.Nautilus para coletar dados de EEG (Eletroencefalografia), que é uma tecnologia de BCI não-invasiva.</t>
  </si>
  <si>
    <t>No evidence found. — O abstract não menciona nenhum transtorno mental específico (como ansiedade, depressão, etc.), apenas “stress”.</t>
  </si>
  <si>
    <t>Excerpt: “Addressing stress in the aging community calls for heightened attention in patient care and mental health services.” — Explanation: O foco do estudo é a abordagem do estresse na comunidade idosa (aging community).</t>
  </si>
  <si>
    <t>Excerpt: “Subsequent MATLAB processing enabled comparisons between EEG stress signals…” — Explanation: A métrica utilizada é comparação de sinais EEG relacionados ao estresse, após processamento no MATLAB. Não há detalhes sobre métricas numéricas ou escalas adicionais.</t>
  </si>
  <si>
    <t>Excerpt: “Subsequent MATLAB processing enabled comparisons between EEG stress signals of participants without major health conditions.” — Explanation: O método de avaliação da eficácia ou do estado é a comparação de sinais de estresse de EEG, que são processados usando o software MATLAB (método de processamento de dados neurais).</t>
  </si>
  <si>
    <t>No evidence found. — Não há referência a melhoria de memória, atenção, aprendizagem ou outra habilidade cognitiva. Apenas mensuração de estresse.</t>
  </si>
  <si>
    <t>Excerpt: “...data gathered from individuals aged 65 and older engaged in various skill-based games.” — Explanation: Embora o objetivo principal seja o estresse, o uso de jogos baseados em habilidades (skill-based games) implica no engajamento e potencial aprimoramento de funções cognitivas.</t>
  </si>
  <si>
    <t>Excerpt: “No evidence found.” — Explanation: O resumo foca na metodologia e no público-alvo, mas não discute explicitamente barreiras limitantes (técnicas, clínicas ou éticas) para a adoção de BCIs.</t>
  </si>
  <si>
    <t>Excerpt: “No evidence found.” — Explanation: O resumo descreve a coleta e o processamento dos dados de EEG, mas não menciona como trata a segurança, privacidade ou integridade desses dados neurais.</t>
  </si>
  <si>
    <t>Excerpt: “No evidence found.” — Explanation: O resumo descreve uma etapa de coleta e processamento de dados (MATLAB), mas não aborda tendências futuras como a integração com Inteligência Artificial avançada ou neuroestimulação personalizada.</t>
  </si>
  <si>
    <t>Excerpt: “No evidence found.” — Explanation: O artigo trata da coleta de dados de referência para a compreensão do estresse na população idosa, sem discutir os aspectos éticos ou filosóficos da "expansão neurológica" ou amplificação de capacidades.</t>
  </si>
  <si>
    <t>Excerpt: “in future work, this data will be compared to others who are confronting significant health issues.” — Explanation: O próprio abstract aponta um gap de pesquisa: falta comparar idosos saudáveis com idosos com condições graves para entender melhor o estresse.</t>
  </si>
  <si>
    <t>Excerpt: “This study's participant group included those without major health conditions; in future work, this data will be compared to others who are confronting significant health issues.” — Explanation: A principal lacuna de pesquisa a ser explorada é a comparação dos dados de estresse de idosos saudáveis (coletados neste estudo) com aqueles que enfrentam problemas de saúde significativos, o que é crucial para a aplicação clínica da BCI.</t>
  </si>
  <si>
    <t>EMB  IEEE TRANSACTIONS ON NEURAL SYSTEMS AND REHABILITATION ENGINEERING, VOL. 31, 2023</t>
  </si>
  <si>
    <t>Iran</t>
  </si>
  <si>
    <t>Excerpt: “quantitative assessment of depression may be attained through the examination and categorization of electroencephalography (EEG) signals.” — Explanation: O estudo usa BCI não-invasivo baseado em EEG para classificar depressão. Não há menção a dispositivos invasivos ou híbridos.</t>
  </si>
  <si>
    <t>Excerpt: “...quantitative assessment of depression may be attained through the examination and categorization of electroencephalography (EEG) signals.” — Explanation: O estudo utiliza sinais de Eletroencefalografia (EEG) para a classificação, o que é uma tecnologia de BCI não-invasiva.</t>
  </si>
  <si>
    <t>Excerpt: “Depression severity can be classified into distinct phases…” — Explanation: O transtorno estudado é claramente depressão, sendo o foco central da pesquisa.</t>
  </si>
  <si>
    <t>Excerpt: “Depression severity can be classified into distinct phases based on the Beck depression inventory (BDI) test scores... effectively classify individual depression levels using raw EEG signals.” — Explanation: O transtorno mental que recebeu atenção e foi alvo de classificação neste estudo é a Depressão.</t>
  </si>
  <si>
    <t>Excerpt: “achieves exceptional accuracy in classification, with average rates of 98% and 96% for eyes-closed and eyes-open states, respectively.” — Explanation: A eficácia é medida por acurácia de classificação para diferentes condições (olhos fechados/abertos).</t>
  </si>
  <si>
    <t>Excerpt: “...effectively classify individual depression levels using raw EEG signals... Notably, our method achieves exceptional accuracy in classification, with average rates of 98% and 96% for eyes-closed and eyes-open states, respectively.” — Explanation: A principal métrica de eficácia é a taxa de precisão da classificação (classification accuracy), que atingiu 98% (olhos fechados) e 96% (olhos abertos).</t>
  </si>
  <si>
    <t>No evidence found. — O estudo não menciona melhora de memória, atenção, aprendizado ou outra habilidade cognitiva. Ele apenas classifica severidade da depressão.</t>
  </si>
  <si>
    <t>Excerpt: “No evidence found.” — Explanation: O foco do estudo é o diagnóstico e classificação da depressão, e não o aprimoramento ativo de funções cognitivas como atenção ou memória.</t>
  </si>
  <si>
    <t>No evidence found. — O abstract não discute barreiras técnicas, clínicas ou éticas.</t>
  </si>
  <si>
    <t>Excerpt: “No evidence found.” — Explanation: O resumo destaca a performance superior e a inovação tecnológica, mas não aborda explicitamente barreiras limitantes (técnicas, clínicas ou éticas) para a adoção.</t>
  </si>
  <si>
    <t>No evidence found. — Não há menção à segurança, privacidade ou proteção dos dados neurais.</t>
  </si>
  <si>
    <t>Excerpt: “No evidence found.” — Explanation: O resumo descreve a coleta e o processamento de dados de EEG, mas não menciona como trata a segurança, privacidade ou integridade desses dados neurais.</t>
  </si>
  <si>
    <t>Excerpt: “combines an SNN architecture and a long short-term memory (LSTM) structure…” — Explanation: Há uma tendência emergente clara: integração de IA avançada (SNN + LSTM) com EEG para diagnóstico personalizado.</t>
  </si>
  <si>
    <t>Excerpt: “This study introduces a novel framework that for the first time, combines an SNN architecture and a long short-term memory (LSTM) structure to model the brain’s underlying structures... By employing a brain-inspired SNN model, our research provides fresh perspectives and advances knowledge of the neurological mechanisms underlying different levels of depression.” — Explanation: A principal tendência emergente é a integração de Inteligência Artificial/Machine Learning com BCIs, especificamente a combinação de Spiking Neural Networks (SNNs) inspiradas no cérebro e Long Short-Term Memory (LSTM) para modelagem e classificação de dados de EEG.</t>
  </si>
  <si>
    <t>No evidence found. — O abstract não aborda questões filosóficas ou éticas sobre ampliação das capacidades humanas.</t>
  </si>
  <si>
    <t>Excerpt: “No evidence found.” — Explanation: O artigo trata da classificação diagnóstica da depressão, sem discutir os aspectos éticos ou filosóficos da "expansão neurológica" ou amplificação de capacidades.</t>
  </si>
  <si>
    <t>Excerpt: “provides fresh perspectives and advances knowledge of the neurological mechanisms underlying different levels of depression.” — Explanation: O trecho indica que a compreensão mecanística ainda está em evolução, mostrando um gap na compreensão completa dos mecanismos neurais da depressão.</t>
  </si>
  <si>
    <t>Excerpt: “By employing a brain-inspired SNN model, our research provides fresh perspectives and advances knowledge of the neurological mechanisms underlying different levels of depression.” — Explanation: A lacuna de pesquisa abordada é a necessidade de avançar o conhecimento sobre os mecanismos neurológicos subjacentes aos diferentes níveis de depressão, o que o modelo SNN/LSTM ajuda a preencher.</t>
  </si>
  <si>
    <t>2025 11th International Conference on Communication and Signal Processing (ICCSP)</t>
  </si>
  <si>
    <t>Excerpt: “using electroencephalography (EEG)” — Explanation: O estudo utiliza BCI não-invasivo, baseado em EEG. Nenhum método invasivo ou híbrido é mencionado.</t>
  </si>
  <si>
    <t>Excerpt: “...on brainwave patterns using electroencephalography (EEG).” — Explanation: O estudo utiliza a Eletroencefalografia (EEG), que é uma tecnologia de BCI não-invasiva, para registrar a atividade cerebral durante as sessões de mantra.</t>
  </si>
  <si>
    <t>Excerpt: “improved emotional well-being” — Explanation: O estudo sugere efeitos relacionados a bem-estar emocional, mas não menciona nenhum transtorno mental específico como depressão, ansiedade, autismo etc. Portanto, não há foco claro em um transtorno.</t>
  </si>
  <si>
    <t>Excerpt: “...indicating a state of relaxation and reduced cortical activity... suggest a potential link between mantra chanting and listening and improved emotional well-being...” — Explanation: O foco da aplicação é na promoção do bem-estar emocional (emotional well-being), na redução da atividade cortical e na indução de um estado de relaxamento (abordagem ao estresse/ansiedade).</t>
  </si>
  <si>
    <t>Excerpt: “significant changes in delta, theta, alpha and beta brainwave patterns” — Explanation: A avaliação da eficácia se baseia em métricas neurofisiológicas: alterações em padrões de ondas cerebrais (delta, theta, alpha, beta).</t>
  </si>
  <si>
    <t>Excerpt: “The results show significant changes in delta, theta, alpha and beta brainwave patterns...” — Explanation: A principal métrica neurofisiológica de eficácia e estado mental é a mudança significativa nos padrões de ondas cerebrais (delta, theta, alpha e beta), que indica um estado de relaxamento.</t>
  </si>
  <si>
    <t>Excerpt: “improved… cognitive flexibility” — Explanation: O estudo sugere que o mantra influencia flexibilidade cognitiva, uma forma de capacidade cognitiva.</t>
  </si>
  <si>
    <t>Excerpt: “The study’s findings suggest a potential link between mantra chanting and listening and improved... cognitive flexibility and empowerment.” — Explanation: A prática sugere um potencial para melhorar a flexibilidade cognitiva (cognitive flexibility), uma função cognitiva.</t>
  </si>
  <si>
    <t>Excerpt: “further research is needed to fully understand the relationship” — Explanation: Indica limitações científicas e lacunas no entendimento, mas não aborda barreiras técnicas, clínicas ou éticas explicitamente.</t>
  </si>
  <si>
    <t>Excerpt: “No evidence found.” — Explanation: O resumo foca nos resultados e no potencial terapêutico, mas não aborda explicitamente as barreiras limitantes (técnicas, clínicas ou éticas) para a adoção das práticas.</t>
  </si>
  <si>
    <t>No evidence found. — Não há qualquer menção à privacidade, segurança ou integridade dos dados neurais.</t>
  </si>
  <si>
    <t>No evidence found. — O abstract não menciona IA, personalização, neuroestimulação ou tendências emergentes.</t>
  </si>
  <si>
    <t>Excerpt: “No evidence found.” — Explanation: O resumo não aborda tendências futuras, como a integração com Inteligência Artificial avançada, machine learning ou neuroestimulação personalizada.</t>
  </si>
  <si>
    <t>No evidence found. — Não discute ética ou filosofia sobre expansão neurológica.</t>
  </si>
  <si>
    <t>Excerpt: “No evidence found.” — Explanation: O artigo trata de uma intervenção de bem-estar emocional, sem discutir os aspectos éticos ou filosóficos da "expansão neurológica" ou amplificação de capacidades.</t>
  </si>
  <si>
    <t>Excerpt: “further research is needed to fully understand the relationship between these practices and neurophysiological outcomes.” — Explanation: O próprio artigo afirma que há lacunas de pesquisa, indicando que o mecanismo e os efeitos neurofisiológicos não são plenamente compreendidos.</t>
  </si>
  <si>
    <t>Excerpt: “However, further research is needed to fully understand the relationship between these practices and neurophysiological outcomes.” — Explanation: A lacuna de pesquisa apontada é a necessidade de pesquisas adicionais para compreender totalmente a relação entre o canto/escuta de mantras e os resultados neurofisiológicos observados.</t>
  </si>
  <si>
    <t>2021 43rd Annual International Conference of the IEEE Engineering in Medicine &amp; Biology Society (EMBC)</t>
  </si>
  <si>
    <t>Excerpt: “using electroencephalographic (EEG) signals” — Explanation: O estudo utiliza exclusivamente BCI não-invasivo, baseado em EEG. Não há qualquer menção a métodos invasivos ou híbridos.</t>
  </si>
  <si>
    <t>Excerpt: “This paper presents the design of brain signal processing pipeline using electroencephalographic (EEG) signals...” — Explanation: O sistema desenvolvido utiliza sinais de Eletroencefalografia (EEG), que é uma tecnologia de BCI não-invasiva.</t>
  </si>
  <si>
    <t>Excerpt: “three mental states: attention, mental fatigue and stress” — Explanation: O estudo analisa atenção, fadiga mental e estresse, mas não trata de transtornos mentais clínicos como depressão, ansiedade ou esquizofrenia. Portanto, não aborda diretamente transtornos mentais específicos.</t>
  </si>
  <si>
    <t>Excerpt: “The evaluation considers three mental states: attention, mental fatigue and stress as the most representative...” — Explanation: Os três estados mentais avaliados e detectados pelo sistema, que são relevantes para a saúde mental e cognitiva, são atenção, fadiga mental e estresse.</t>
  </si>
  <si>
    <t>Excerpt: “the evaluation considers three mental states… before applying a set of rules to determine cognitive performance drops.” — Explanation: As métricas de avaliação são baseadas em estados mentais medidos via EEG e um conjunto de regras para detectar quedas de desempenho cognitivo.</t>
  </si>
  <si>
    <t>Excerpt: “The developed system is adaptable to any user without requiring prior training. The evaluation considers three mental states: attention, mental fatigue and stress as the most representative; these mental states were re-referenced using the first five minutes of each recording as a calibration period, before applying a set of rules to determine cognitive performance drops.” — Explanation: Os métodos de avaliação (internos ao sistema) incluem o uso dos primeiros cinco minutos de cada gravação como período de calibração (re-reference), e a aplicação de um conjunto de regras para determinar a queda de desempenho cognitivo.</t>
  </si>
  <si>
    <t>Excerpt: “...detect cognitive performance drops during sessions that require low physical activity, to determine when users should pause the execution of their current task to take a rest.” — Explanation: O sistema é projetado para detectar a queda na capacidade de desempenho cognitivo (cognitive performance drops), alertando o usuário para tomar uma pausa e recuperar a capacidade.</t>
  </si>
  <si>
    <t>Excerpt: “to detect cognitive performance drops… to determine when users should pause… to take a rest.” — Explanation: O BCI é usado para monitorar e melhorar o desempenho cognitivo, detectando momentos de baixa capacidade cognitiva.</t>
  </si>
  <si>
    <t>Excerpt: “No evidence found.” — Explanation: O resumo foca no sucesso técnico do sistema (adaptabilidade e resultados de tempo de detecção), mas não aborda explicitamente as barreiras limitantes (técnicas, clínicas ou éticas) para a adoção.</t>
  </si>
  <si>
    <t>Excerpt: “adaptable to any user without requiring prior training.” — Explanation: O estudo sugere uma facilidade técnica, mas não discute barreiras técnicas, clínicas ou éticas; portanto, nenhuma barreira clara é mencionada.</t>
  </si>
  <si>
    <t>Excerpt: “No evidence found.” — Explanation: O resumo descreve o processamento de sinais de EEG, mas não menciona como trata a segurança, privacidade ou integridade dos dados neurais coletados.</t>
  </si>
  <si>
    <t>No evidence found. — O abstract não menciona segurança, privacidade ou integridade dos dados neurais.</t>
  </si>
  <si>
    <t>Excerpt: “No evidence found.” — Explanation: O resumo descreve o pipeline de processamento e o conjunto de regras, mas não aborda explicitamente tendências futuras, como a integração com modelos de deep learning avançados (IA) ou neuroestimulação personalizada.</t>
  </si>
  <si>
    <t>No evidence found. — Não há menções a IA, tendências emergentes ou personalização avançada.</t>
  </si>
  <si>
    <t>Excerpt: “No evidence found.” — Explanation: O artigo trata da detecção prática do declínio de desempenho para sugerir pausas, sem discutir os aspectos éticos ou filosóficos da "expansão neurológica" ou amplificação de capacidades.</t>
  </si>
  <si>
    <t>No evidence found. — Não há discussão ética ou filosófica sobre expansão neurológica ou amplificação.</t>
  </si>
  <si>
    <t xml:space="preserve"> 2023 2nd Edition of IEEE Delhi Section Flagship Conference (DELCON)</t>
  </si>
  <si>
    <t>Excerpt: “using non-invasive brainwave signals… scalp electroencephalography (EEG) signals were collected” — Explanation: O estudo utiliza BCI não-invasivo, baseado em EEG, para monitorar atenção infantil. Não há menção a BCI invasivo ou híbrido.</t>
  </si>
  <si>
    <t>Excerpt: “...advanced a new interest - primarily based on taking neurofeedback using non-invasive brainwave signals. During sustained attention duties, scalp electroencephalography (EEG) signals were collected...” — Explanation: O estudo utiliza neurofeedback baseado em sinais de ondas cerebrais não-invasivas, especificamente EEG de couro cabeludo (scalp electroencephalography).might</t>
  </si>
  <si>
    <t>Excerpt: “young people with behavioral issues” — Explanation: O foco é em crianças com problemas de comportamento, que não são exatamente transtornos clínicos definidos como TDAH, depressão ou ansiedade, mas ainda representam uma preocupação de saúde mental.</t>
  </si>
  <si>
    <t>Excerpt: “Children's attention has long been a major worry for academics because it is crucial to learning... it might lengthen the attention span of young people with behavioral issues.” — Explanation: O foco da aplicação é o aprimoramento da atenção em crianças e jovens com problemas comportamentais (behavioral issues).</t>
  </si>
  <si>
    <t>Excerpt: “The attentional states and stages of the difficulty can be identified using collected EEG neurofeedback signals.” — Explanation: A eficácia é avaliada através de sinais EEG em tempo real, permitindo identificar estados de atenção e níveis de dificuldade durante tarefas.</t>
  </si>
  <si>
    <t>Excerpt: “The attentional states and stages of the difficulty can be identified using collected EEG neurofeedback signals.” — Explanation: Embora não forneça métricas de resultado, o sistema usa os sinais de neurofeedback EEG coletados para identificar e categorizar os estados de atenção e as fases de dificuldade, o que serve como métrica interna de avaliação.</t>
  </si>
  <si>
    <t>Excerpt: “cognitive training combined with immersive VR improves attention” — Explanation: O BCI é usado para aumentar a atenção e prolongar a capacidade de foco, demonstrando uma aplicação de aprimoramento cognitivo.</t>
  </si>
  <si>
    <t>Excerpt: “cognitive training combined with immersive VR improves attention... it might lengthen the attention span of young people...” — Explanation: O BCI (neurofeedback) é usado em combinação com treinamento cognitivo em Realidade Virtual (VR) para melhorar e prolongar a atenção (lengthen the attention span).</t>
  </si>
  <si>
    <t>No evidence found. — O abstract não menciona barreiras técnicas, clínicas ou éticas na aplicação do sistema.</t>
  </si>
  <si>
    <t>Excerpt: “No evidence found.” — Explanation: O resumo foca no design e no potencial do sistema VR-neurofeedback, mas não aborda explicitamente barreiras limitantes (técnicas, clínicas ou éticas) para a adoção.</t>
  </si>
  <si>
    <t>No evidence found. — Não há discussão sobre segurança, privacidade ou integridade dos dados neurais.</t>
  </si>
  <si>
    <t>Excerpt: “No evidence found.” — Explanation: O resumo descreve a coleta de sinais de EEG em tempo real, mas não menciona como trata a segurança, privacidade ou integridade dos dados neurais coletados.</t>
  </si>
  <si>
    <t>No evidence found. — O abstract não aborda IA avançada, personalização ou tendências emergentes em neuroestimulação.</t>
  </si>
  <si>
    <t>Excerpt: “No evidence found.” — Explanation: O resumo descreve a integração de VR e BCI/Neurofeedback para treino de atenção, mas não aborda tendências futuras, como a integração com Inteligência Artificial avançada ou neuroestimulação personalizada.</t>
  </si>
  <si>
    <t>No evidence found. — Não há discussão ética ou filosófica sobre ampliação de capacidades cognitivas.</t>
  </si>
  <si>
    <t>Excerpt: “No evidence found.” — Explanation: O artigo trata do aprimoramento da atenção em crianças, sem discutir os aspectos éticos ou filosóficos da "expansão neurológica" ou amplificação de capacidades.</t>
  </si>
  <si>
    <t>No evidence found. — O abstract não discute lacunas de pesquisa futuras além da aplicação direta do sistema.</t>
  </si>
  <si>
    <t>Excerpt: “No evidence found.” — Explanation: O resumo não aponta explicitamente para lacunas de pesquisa futuras que precisam ser exploradas para que os BCIs se tornem uma ferramenta totalmente eficaz e segura.</t>
  </si>
  <si>
    <t>2023 International Conference on Computational Science and Computational Intelligence (CSCI)</t>
  </si>
  <si>
    <t>No evidence found. — O abstract não menciona o uso de Brain-Computer Interfaces (BCIs), apenas técnicas de mindfulness.</t>
  </si>
  <si>
    <t>Excerpt: “Our analysis encompasses fifteen studies that employ a diverse range of evaluation methods, encompassing stress measurement scales, assessments of hippocampal volume, analysis of HPA axis activity, and EEG measurements...” — Explanation: O resumo menciona que os estudos analisados utilizaram medições de EEG (Eletroencefalografia) para escrutinar os efeitos do MBSR, que é uma tecnologia de BCI não-invasiva.</t>
  </si>
  <si>
    <t>Excerpt: “assist individuals coping with stress, anxiety, depression, and pain… particularly Mild Cognitive Impairment, Subjective Cognitive Decline, Alzheimer's Disease, and related forms of dementia” — Explanation: O estudo foca em transtornos de estresse, ansiedade, depressão e comprometimento cognitivo, incluindo MCI e demência.</t>
  </si>
  <si>
    <t>Excerpt: “...renowned for its rigorous mindfulness training tailored to assist individuals coping with stress, anxiety, depression, and pain... potential advantages for individuals grappling with cognitive impairments, particularly Mild Cognitive Impairment, Subjective Cognitive Decline, Alzheimer's Disease, and related forms of dementia.” — Explanation: Os transtornos e condições abordados pelo MBSR incluem estresse, ansiedade, depressão, dor, e condições de declínio cognitivo como MCI, SCD, Doença de Alzheimer e demência.</t>
  </si>
  <si>
    <t>Excerpt: “encompasses fifteen studies that employ a diverse range of evaluation methods, encompassing stress measurement scales, assessments of hippocampal volume, analysis of HPA axis activity, and EEG measurements” — Explanation: A eficácia é avaliada com escalas de estresse, medidas neurofisiológicas (EEG, volume hipocampal) e atividade do eixo HPA.</t>
  </si>
  <si>
    <t>Excerpt: “Our analysis encompasses fifteen studies that employ a diverse range of evaluation methods, encompassing stress measurement scales, assessments of hippocampal volume, analysis of HPA axis activity, and EEG measurements...” — Explanation: As métricas de avaliação incluem escalas de medição de estresse (psicológicas), volume hipocampal (neuroimagem), atividade do eixo HPA (bioquímica/fisiológica) e medições de EEG (neurofisiológicas).</t>
  </si>
  <si>
    <t>Excerpt: “augmenting cognitive function” — Explanation: O estudo indica que MBSR pode melhorar funções cognitivas, incluindo atenção e memória.</t>
  </si>
  <si>
    <t>Excerpt: “...augmenting cognitive function, and enhancing overall well-being... potential advantages for individuals grappling with cognitive impairments...” — Explanation: O MBSR (que pode ser monitorado/apoiado por BCI, conforme RQ1) é citado por aumentar a função cognitiva (augmenting cognitive function) e ajudar indivíduos com comprometimentos cognitivos.</t>
  </si>
  <si>
    <t>Excerpt: “future research endeavors should explore the underlying mechanisms, account for individual variations, and assess the sustained, long-term benefits” — Explanation: Aponta lacunas na compreensão dos mecanismos e variações individuais, sugerindo barreiras na generalização dos resultados.</t>
  </si>
  <si>
    <t>Excerpt: “No evidence found.” — Explanation: O resumo foca nos resultados positivos e na eficácia do MBSR, mas não aborda explicitamente as barreiras técnicas, clínicas ou éticas que limitam a adoção de BCIs.</t>
  </si>
  <si>
    <t>No evidence found. — Não há menção à segurança, privacidade ou integridade de dados neurais.</t>
  </si>
  <si>
    <t>No evidence found. — O abstract não discute tendências emergentes em IA ou neuroestimulação.</t>
  </si>
  <si>
    <t>Excerpt: “No evidence found.” — Explanation: O resumo não aborda explicitamente a integração futura com Inteligência Artificial avançada, machine learning ou neuroestimulação personalizada.</t>
  </si>
  <si>
    <t>No evidence found. — Não há discussão ética ou filosófica sobre amplificação de capacidades humanas.</t>
  </si>
  <si>
    <t>Excerpt: “No evidence found.” — Explanation: O artigo trata de uma intervenção terapêutica bem estabelecida, sem discutir os aspectos éticos ou filosóficos da "expansão neurológica" ou amplificação de capacidades.</t>
  </si>
  <si>
    <t>Excerpt: “future research endeavors should explore the underlying mechanisms, account for individual variations, and assess the sustained, long-term benefits” — Explanation: Indica lacunas de pesquisa para entender efeitos duradouros, mecanismos subjacentes e variações individuais.</t>
  </si>
  <si>
    <t>Excerpt: “To gain a deeper understanding of these effects, future research endeavors should explore the underlying mechanisms, account for individual variations, and assess the sustained, long-term benefits of MBSR.” — Explanation: As lacunas de pesquisa apontadas para estudos futuros incluem explorar os mecanismos subjacentes (como o MBSR funciona), considerar as variações individuais (personalização) e avaliar os benefícios de longo prazo (sustentabilidade).</t>
  </si>
  <si>
    <t>2023 IEEE Statistical Signal Processing Workshop (SSP)</t>
  </si>
  <si>
    <t>Excerpt: “neurofeedback” — Explanation: O estudo menciona neurofeedback, que é uma forma de BCI não-invasivo, usado para monitorar e treinar atividade cerebral.Excerpt: “neurofeedback” — Explanation: O estudo menciona neurofeedback, que é uma forma de BCI não-invasivo, usado para monitorar e treinar atividade cerebral.</t>
  </si>
  <si>
    <t>Excerpt: “...neural decoding and neurofeedback to accelerate cognitive training...” — Explanation: O conceito proposto utiliza neurofeedback, que é uma tecnologia de BCI não-invasiva. O resumo também sugere o uso de "physiological signals" (sinais fisiológicos) sem especificar o método de aquisição (como EEG ou fNIRS).</t>
  </si>
  <si>
    <t>No evidence found. — O abstract não especifica transtornos mentais ou condições clínicas.</t>
  </si>
  <si>
    <t>Excerpt: “No evidence found.” — Explanation: O foco do estudo é o aprimoramento cognitivo em geral (atenção e memória de trabalho) em vez do tratamento de transtornos mentais específicos (como depressão ou TDAH).</t>
  </si>
  <si>
    <t>Excerpt: “tiny machine learning to extract the relevant features and characteristics from physiological signals… performs classification or recognition of relevant patterns” — Explanation: A eficácia é avaliada com classificação de sinais fisiológicos extraídos via ML para ajustar o neurofeedback.</t>
  </si>
  <si>
    <t>Excerpt: “A tiny ML performs classification or recognition of relevant patterns, based on which the neurofeedback system is appropriately designed for more effective cognitive training.” — Explanation: A eficácia é avaliada internamente pelo desempenho do tiny machine learning na classificação ou reconhecimento de padrões relevantes nos sinais fisiológicos.</t>
  </si>
  <si>
    <t>Excerpt: “Attention and working memory… can be improved through cognitive training… neurofeedback system is appropriately designed for more effective cognitive training” — Explanation: O BCI é usado para melhorar atenção e memória de trabalho, evidenciando aplicação em aperfeiçoamento cognitivo.</t>
  </si>
  <si>
    <t>Excerpt: "Attention and working memory, which are two fundamental components of cognitive basis, can be improved through cognitive training... strengthen important connections, a cognitive training program can measurably and permanently improve brain activity.” — Explanation: O BCI (neurofeedback) é usado para acelerar o treinamento cognitivo, com o objetivo de melhorar a atenção e a memória de trabalho (working memory), que são funções cognitivas essenciais.</t>
  </si>
  <si>
    <t>No evidence found. — O abstract não menciona barreiras técnicas, clínicas ou éticas.</t>
  </si>
  <si>
    <t>Excerpt: “No evidence found.” — Explanation: O resumo foca no conceito, resultados preliminares e inovação tecnológica (AIoT, tiny ML), mas não aborda explicitamente as barreiras limitantes (técnicas, clínicas ou éticas) para a adoção.</t>
  </si>
  <si>
    <t>No evidence found. — Não há menção sobre segurança, privacidade ou integridade de dados neurais.</t>
  </si>
  <si>
    <t>Excerpt: “No evidence found.” — Explanation: O resumo descreve a extração de características de sinais fisiológicos, mas não menciona como trata a segurança, privacidade ou integridade desses dados.</t>
  </si>
  <si>
    <t>Excerpt: “preliminary results and research directions… tiny machine learning” — Explanation: Indica uma tendência emergente no uso de IA embarcada (tiny ML) para neurofeedback personalizado.</t>
  </si>
  <si>
    <t>Excerpt: “...present a concept of AIoT based neural decoding and neurofeedback to accelerate cognitive training... The proposed concept is to design adequate tiny machine learning to extract the relevant features and characteristics from physiological signals.” — Explanation: A tendência emergente é a integração de BCI com Inteligência Artificial das Coisas (AIoT) e o uso de tiny Machine Learning (tiny ML) para análise eficiente e localizada de sinais.</t>
  </si>
  <si>
    <t>Excerpt: “In addition, thanks to neuroplasticity, neurons are able to adapt quickly to the demands placed on them. By developing new neural networks and strengthening important connections, a cognitive training program can measurably and permanently improve brain activity.” — Explanation: O artigo fornece a base científica/filosófica (neuroplasticidade) para a capacidade de "melhorar permanentemente a atividade cerebral" e "desenvolver novas redes neurais" (conceitos relacionados à expansão neurológica).</t>
  </si>
  <si>
    <t>No evidence found. — Não há menção a lacunas específicas de pesquisa além de direções futuras gerais.</t>
  </si>
  <si>
    <t>Excerpt: “No evidence found.” — Explanation: O resumo descreve um novo conceito e direções de pesquisa, mas não aponta explicitamente para lacunas de pesquisa futuras que precisam ser exploradas na área.</t>
  </si>
  <si>
    <t xml:space="preserve">2023 IEEE 20th India Council International Conference (INDICON)
</t>
  </si>
  <si>
    <t>RQ1 | Excerpt: “Emotive, an EEG headset that measures brain activity” — Explanation: O resumo cita apenas EEG, que é uma BCI não invasiva. Não há menção a BCIs invasivas ou híbridas. |</t>
  </si>
  <si>
    <t>Excerpt: “The system will use Emotive, an EEG headset that measures brain activity...” — Explanation: The study employs an Emotive headset, which is a non-invasive EEG (Electroencephalography) device, as the primary interface for data collection.</t>
  </si>
  <si>
    <t>O estudo utiliza um headset de EEG (Emotive), que é uma tecnologia não-invasiva para detectar emoções em tempo real.</t>
  </si>
  <si>
    <t>| RQ2 | Excerpt: “applications in fields such as mental health” — Explanation: O resumo menciona apenas “mental health”; nenhum transtorno específico é citado. |</t>
  </si>
  <si>
    <t>The system will have various applications in fields such as mental health” — Explicação: O texto menciona a saúde mental como uma área de aplicação, mas não especifica transtornos como depressão, ansiedade ou esquizofrenia.</t>
  </si>
  <si>
    <t>O resumo fala de aplicações em saúde mental, mas não cita transtornos específicos como depressão ou ansiedade.</t>
  </si>
  <si>
    <t>| RQ3 | Excerpt: “machine learning algorithms will be trained using a dataset of EEG signals and corresponding emotions and will be optimized to classify emotions accurately.” — Explanation: Indica uso de classificação e otimização de acurácia, mas não especifica métricas detalhadas. |</t>
  </si>
  <si>
    <t>A eficácia do sistema é medida através da acurácia de classificação das emoções pelos algoritmos de aprendizado de máquina.</t>
  </si>
  <si>
    <t>A eficácia é medida pela classificação precisa das emoções usando algoritmos de aprendizado de máquina treinados com sinais de EEG.</t>
  </si>
  <si>
    <t xml:space="preserve"> </t>
  </si>
  <si>
    <t>| RQ4 | Excerpt: “in a classroom setting, the system could be used to detect when a student is feeling frustrated or confused and provide additional resources to help them understand the material better.” — Explanation: Mostra uso para apoio à aprendizagem, mas não aborda memória ou atenção diretamente. |</t>
  </si>
  <si>
    <t>O sistema visa aprimorar a capacidade de aprendizagem ao fornecer suporte dinâmico baseado no estado emocional e cognitivo do estudante.</t>
  </si>
  <si>
    <t>Um exemplo dado é na educação, onde o sistema pode identificar frustração ou confusão e oferecer apoio extra ao aluno.</t>
  </si>
  <si>
    <t>| RQ5 | No evidence found. — Explanation: O resumo não apresenta barreiras técnicas, clínicas ou éticas. |</t>
  </si>
  <si>
    <t>O texto não menciona barreiras técnicas, clínicas ou éticas, apenas destaca o potencial da aplicação.</t>
  </si>
  <si>
    <t>| RQ6 | No evidence found. — Explanation: Não há conteúdo sobre segurança, privacidade ou integridade de dados neurais. |</t>
  </si>
  <si>
    <t>Não há referência a segurança ou privacidade dos dados neurais coletados.</t>
  </si>
  <si>
    <t>| RQ7 | No evidence found. — Explanation: O resumo não discute tendências futuras de integração com IA ou neuroestimulação personalizada. |</t>
  </si>
  <si>
    <t>O projeto aponta para a integração de dados neurais com inteligência artificial para a detecção e resposta a emoções em tempo real.</t>
  </si>
  <si>
    <t>O resumo cita apenas o uso de aprendizado de máquina, sem falar em tendências futuras como IA avançada ou neuroestimulação personalizada.</t>
  </si>
  <si>
    <t>| RQ8 | No evidence found. — Explanation: Não há menções a aspectos éticos ou filosóficos de expansão neurológica. |</t>
  </si>
  <si>
    <t>Não há discussão sobre aspectos éticos ou filosóficos da expansão neurológica ou da amplificação de capacidades humanas.</t>
  </si>
  <si>
    <t>| RQ9 | No evidence found. — Explanation: O resumo não aponta lacunas de pesquisa ou desafios para uso seguro de BCIs. |</t>
  </si>
  <si>
    <t>O resumo não aponta lacunas de pesquisa, apenas sugere que o sistema tem potencial para criar ambientes mais empáticos.</t>
  </si>
  <si>
    <t xml:space="preserve">C. Lee, J. -E. Kang and J. -H. Lee, "Binaural Beats Modulated Affected Emotions: Evidence From Simultaneous Electroencephalography-Functional MRI Study," 2024 12th International Winter Conference on Brain-Computer Interface (BCI), Gangwon, Korea, Republic of, 2024, pp. 1-5, doi: 10.1109/BCI60775.2024.10480523. keywords: {Brain;Electric potential;Mood;Modulation;Functional magnetic resonance imaging;Electroencephalography;Regulation;Binaural beats;electroencephalography;emotion;functional MRI;mood regulation},
</t>
  </si>
  <si>
    <t>IEEE</t>
  </si>
  <si>
    <t>South Korea</t>
  </si>
  <si>
    <t>Excerpt: “electroencephalography (EEG) and functional magnetic resonance imaging (fMRI)” — Explanation: O estudo utiliza EEG (não invasiva) e fMRI, sem mencionar BCIs invasivas ou híbridas.</t>
  </si>
  <si>
    <t>Excerpt: “Simultaneously measured electroencephalography (EEG) and functional magnetic resonance imaging (fMRI) data were acquired...” — Explanation: The study utilizes non-invasive neuroimaging technologies (EEG and fMRI) to record brain activity, which are common modalities in non-invasive BCI research.</t>
  </si>
  <si>
    <t>O estudo usa um headset de EEG não-invasivo para detectar emoções em tempo real.</t>
  </si>
  <si>
    <t>Excerpt: “modulate the affective mood of passengers” — Explanation: O resumo menciona apenas modulação de humor, sem citar transtornos específicos.</t>
  </si>
  <si>
    <t>Ele menciona aplicações em saúde mental, mas não especifica transtornos como depressão ou ansiedade.</t>
  </si>
  <si>
    <t>Excerpt: “significant changes in subjective emotional ratings in response to a subset of audio stimuli.” — Explanation: Usa avaliações subjetivas de emoção como métrica, sem métodos clínicos adicionais.</t>
  </si>
  <si>
    <t>A eficácia foi avaliada através de escalas subjetivas de humor e pela análise das características espaciais e temporais capturadas pelos exames cerebrais.</t>
  </si>
  <si>
    <t>A eficácia é avaliada pela precisão dos algoritmos de aprendizado de máquina na classificação das emoções.</t>
  </si>
  <si>
    <t>Excerpt: “adequate background audio noises can enhance multisensory cognitive performance.” — Explanation: Sugere melhoria cognitiva geral, mas não especifica memória, atenção ou aprendizagem.</t>
  </si>
  <si>
    <t>O texto cita que estímulos sonoros específicos podem ser usados para potencializar o desempenho cognitivo em ambientes multissensoriais.</t>
  </si>
  <si>
    <t>Na educação, pode identificar frustração ou confusão em alunos e oferecer apoio adicional.</t>
  </si>
  <si>
    <t>No evidence found. — Explanation: Nenhuma barreira técnica, clínica ou ética é mencionada.</t>
  </si>
  <si>
    <t>O texto não descreve barreiras técnicas, clínicas ou éticas que dificultem a adoção dessas tecnologias.</t>
  </si>
  <si>
    <t>Não há menção a barreiras técnicas, clínicas ou éticas.</t>
  </si>
  <si>
    <t>No evidence found. — Explanation: O resumo não discute segurança, privacidade ou integridade dos dados neurais.</t>
  </si>
  <si>
    <t>Não há menção a protocolos de segurança, privacidade ou proteção dos dados neurais dos participantes.</t>
  </si>
  <si>
    <t>Não aborda questões de segurança ou privacidade dos dados neurais.</t>
  </si>
  <si>
    <t>No evidence found. — Explanation: Não aborda tendências futuras envolvendo IA ou neuroestimulação personalizada.</t>
  </si>
  <si>
    <t>Embora estude modulação por batidas binaurais, o resumo não menciona tendências futuras ligadas a inteligência artificial ou neuroestimulação personalizada.</t>
  </si>
  <si>
    <t>Fala apenas em aprendizado de máquina, sem citar tendências futuras como IA avançada ou neuroestimulação.</t>
  </si>
  <si>
    <t>No evidence found. — Explanation: Não há menções a aspectos éticos ou filosóficos de expansão neurológica.</t>
  </si>
  <si>
    <t>O artigo não aborda discussões filosóficas ou éticas sobre a expansão neurológica ou amplificação de capacidades.</t>
  </si>
  <si>
    <t>Não discute aspectos éticos ou filosóficos da expansão neurológica.</t>
  </si>
  <si>
    <t>No evidence found. — Explanation: O resumo não aponta lacunas de pesquisa futuras.</t>
  </si>
  <si>
    <t>O resumo apresenta os resultados obtidos, mas não aponta explicitamente quais lacunas de pesquisa ainda precisam ser explorad</t>
  </si>
  <si>
    <t>Não aponta lacunas de pesquisa, apenas destaca o potencial de criar ambientes mais empáticos.</t>
  </si>
  <si>
    <t xml:space="preserve">K. Sharma, H. S. Aswal, R. Chauhan, R. Rawat and R. Gupta, "Neuroscience of virtual reality," 2024 International Conference on Intelligent and Innovative Technologies in Computing, Electrical and Electronics (IITCEE), Bangalore, India, 2024, pp. 1-6, doi: 10.1109/IITCEE59897.2024.10467267. keywords: {Neurological diseases;Neuroimaging;Ethics;Neuroscience;Three-dimensional displays;Medical services;Immersive experience;Therapeutic interventions;Neuroimaging;Spatial cognition;Human cognition},
</t>
  </si>
  <si>
    <t>No evidence found. — Explanation: O resumo discute VR e neurociência, mas não menciona tipos de BCI.</t>
  </si>
  <si>
    <t>No evidence found. — Explanation: The text mentions "integration of real-time neuroimaging" but does not specify the types of BCI (invasive, non-invasive, or hybrid) used.</t>
  </si>
  <si>
    <t>O estudo utiliza um EEG não-invasivo para captar emoções em tempo real.</t>
  </si>
  <si>
    <t>No evidence found. — Explanation: Apesar de citar “neurological disorders” genericamente, não cita nenhum transtorno específico.</t>
  </si>
  <si>
    <t>O resumo cita "transtornos neurológicos" de maneira ampla, sem detalhar patologias específicas como depressão, esquizofrenia ou TDAH.</t>
  </si>
  <si>
    <t>Ele fala de aplicações em saúde mental, mas não cita transtornos específicos.</t>
  </si>
  <si>
    <t>No evidence found. — Explanation: O resumo não apresenta métricas ou métodos de avaliação.</t>
  </si>
  <si>
    <t>A eficácia das abordagens é medida através do monitoramento das respostas neurais dos usuários frente a estímulos e condições controladas em ambiente virtual.</t>
  </si>
  <si>
    <t>A avaliação é feita pela precisão dos algoritmos na classificação das emoções.</t>
  </si>
  <si>
    <t>Excerpt: “investigate spatial cognition, perception, and emotional responses” — Explanation: Indica uso para estudar e potencialmente melhorar cognição, mas não detalha aplicações diretas de BCI.</t>
  </si>
  <si>
    <t>Embora o texto mencione o estudo da cognição espacial e percepção, ele foca na investigação e compreensão dessas funções, e não em métodos para amplificar ou melhorar tais capacidades.</t>
  </si>
  <si>
    <t>Na educação, pode detectar frustração ou confusão e oferecer apoio extra.</t>
  </si>
  <si>
    <t>No evidence found. — Explanation: Apenas desafios gerais de VR são citados, não barreiras específicas de BCIs.</t>
  </si>
  <si>
    <t>O artigo lista como barreiras a dificuldade técnica de integrar exames de imagem em tempo real, o desafio de criar intervenções clínicas eficazes e preocupações éticas na pesquisa.</t>
  </si>
  <si>
    <t>Não há referência a barreiras técnicas, clínicas ou éticas.</t>
  </si>
  <si>
    <t>No evidence found. — Explanation: O resumo não aborda segurança, privacidade ou integridade de dados neurais.</t>
  </si>
  <si>
    <t>Não trata de segurança ou privacidade dos dados neurais.</t>
  </si>
  <si>
    <t>Excerpt: “integration of real-time neuroimaging” — Explanation: Sugere tendência futura, mas não relacionada a BCIs diretamente.</t>
  </si>
  <si>
    <t>Menciona apenas aprendizado de máquina, sem tendências futuras como IA avançada.</t>
  </si>
  <si>
    <t>Excerpt: “ethical considerations surrounding the use of VR in research” — Explanation: Cita ética no uso de VR, mas não sobre expansão neurológica.</t>
  </si>
  <si>
    <t>Não aborda questões éticas ou filosóficas da expansão neurológica.</t>
  </si>
  <si>
    <t>No evidence found. — Explanation: Não identifica lacunas específicas ligadas a BCIs.</t>
  </si>
  <si>
    <t>O autor sugere que a integração técnica de dados cerebrais em tempo real e a criação de tratamentos imersivos são as lacunas que precisam ser preenchidas para a eficácia clínica da tecnologia.</t>
  </si>
  <si>
    <t>Não indica lacunas de pesquisa, apenas ressalta o potencial de ambientes mais empáticos.</t>
  </si>
  <si>
    <t xml:space="preserve">K. N, K. V, Sukriti, S. E and M. A, "Feature based cognitive analysis in sports and non-sports individuals using real-time EEG," 2nd International Conference on Computer Vision and Internet of Things (ICCVIoT 2024), Coimbatore, India, 2024, pp. 73-79, doi: 10.1049/icp.2024.4404.
</t>
  </si>
  <si>
    <t>Excerpt: “Electroencephalography (EEG) plays a vital role” — Explanation: O estudo utiliza apenas EEG, uma BCI não invasiva; nenhum outro tipo é mencionado.</t>
  </si>
  <si>
    <t>Excerpt: “...real-time EEG signals collected from frontal and parietal electrodes (F3, F4, P3, and P4).” — Explanation: The study relies on Electroencephalography (EEG), which is a non-invasive method for monitoring brain activity.</t>
  </si>
  <si>
    <t>O estudo usa um EEG não-invasivo para identificar emoções em tempo real.</t>
  </si>
  <si>
    <t>No evidence found. — Explanation: O resumo não menciona nenhum transtorno mental específico.</t>
  </si>
  <si>
    <t>Ele menciona aplicações em saúde mental, mas não especifica quais transtornos.</t>
  </si>
  <si>
    <t>Excerpt: “SVM achieved a classification accuracy of 93%” — Explanation: A métrica usada é acurácia de classificação para avaliar desempenho cognitivo.</t>
  </si>
  <si>
    <t>A métrica utilizada para medir a eficácia do sistema foi a acurácia de classificação de diferentes algoritmos de aprendizado de máquina.</t>
  </si>
  <si>
    <t>A eficácia é medida pela precisão dos algoritmos de classificação das emoções.</t>
  </si>
  <si>
    <t>Excerpt: “investigates cognitive performance… differentiating cognitive ability between sports and non-sports individuals.” — Explanation: O estudo avalia desempenho cognitivo, mas não descreve intervenções de melhoria, apenas classificação.</t>
  </si>
  <si>
    <t>Na educação, pode reconhecer frustração ou confusão e oferecer suporte adicional.</t>
  </si>
  <si>
    <t>No evidence found. — Explanation: Não há menção a barreiras técnicas, clínicas ou éticas relacionadas a BCIs.</t>
  </si>
  <si>
    <t>Não aborda segurança ou privacidade dos dados neurais.</t>
  </si>
  <si>
    <t>No evidence found. — Explanation: O texto não discute tendências futuras envolvendo IA além dos classificadores básicos usados.</t>
  </si>
  <si>
    <t>O estudo demonstra a integração de dados de BCI com diversos modelos de Inteligência Artificial (Redes Neurais, SVM, etc.) para a análise automatizada da cognição.</t>
  </si>
  <si>
    <t>Fala apenas em aprendizado de máquina, sem citar tendências futuras como IA avançada.</t>
  </si>
  <si>
    <t>No evidence found. — Explanation: O resumo não menciona aspectos éticos ou filosóficos de expansão neurológica.</t>
  </si>
  <si>
    <t>No evidence found. — Explanation: O resumo não discute lacunas de pesquisa ou desafios futuros.</t>
  </si>
  <si>
    <t>Não aponta lacunas de pesquisa, apenas destaca o potencial de ambientes mais empáticos.</t>
  </si>
  <si>
    <t xml:space="preserve">6th International Conference on Electrical Information and Communication Technology (EICT), 07~09 December 2023, Khulna,
</t>
  </si>
  <si>
    <t>Bangladesh</t>
  </si>
  <si>
    <t>Excerpt: “Electroencephalogram (EEG) signal analysis is an important tool” — Explanation: O estudo utiliza apenas EEG, uma BCI não invasiva; nenhum outro tipo é mencionado.</t>
  </si>
  <si>
    <t>Excerpt: “Electroencephalogram (EEG) signal analysis is an important tool to study the effects of music on the brain.” — Explanation: The study utilizes EEG, which is a non-invasive technique for recording brain activity.</t>
  </si>
  <si>
    <t>No evidence found. — Explanation: O resumo fala de “mental health” de forma geral, mas não cita transtornos específicos.</t>
  </si>
  <si>
    <t>O texto menciona o estresse e a melhoria do humor como alvos da musicoterapia, relacionando a tecnologia ao campo da saúde mental.</t>
  </si>
  <si>
    <t>Ele fala de aplicações em saúde mental, mas não detalha transtornos específicos.</t>
  </si>
  <si>
    <t>Excerpt: “accuracy ranging from 79.88% to 94.43%” — Explanation: A eficácia é medida por acurácia de classificação dos sinais de EEG.</t>
  </si>
  <si>
    <t>A eficácia do sistema é quantificada por meio da acurácia de classificação de sinais cerebrais utilizando algoritmos de inteligência artificial.</t>
  </si>
  <si>
    <t>A eficácia é avaliada pela precisão dos algoritmos de classificação das emoções.</t>
  </si>
  <si>
    <t>Excerpt: “effects of music on cognitive function” — Explanation: Indica investigação sobre efeitos cognitivos, mas não descreve aprimoramento direto de memória, atenção ou aprendizagem.</t>
  </si>
  <si>
    <t>recognizing whether a person is listening to music while solving mathematical tasks by analyzing their EEG signals.” — Explicação: O estudo explora a influência da música no desempenho de funções cognitivas durante a resolução de problemas matemáticos.</t>
  </si>
  <si>
    <t>No evidence found. — Explanation: Não há discussão sobre barreiras técnicas, clínicas ou éticas.</t>
  </si>
  <si>
    <t>No evidence found. — Explanation: O resumo não aborda segurança, privacidade ou integridade dos dados neurais.</t>
  </si>
  <si>
    <t>No evidence found. — Explanation: Não menciona integração futura com IA além dos classificadores usados.</t>
  </si>
  <si>
    <t>Trecho: “classified using ANN, DNN, and Bi-LSTM classifiers... useful in the development of personalized music therapy interventions” — Explicação: O trabalho integra BCIs com modelos avançados de Inteligência Artificial e aponta para o desenvolvimento de intervenções terapêuticas personalizadas no futuro.</t>
  </si>
  <si>
    <t>No evidence found. — Explanation: O resumo não aborda questões éticas ou filosóficas sobre expansão de capacidades humanas.</t>
  </si>
  <si>
    <t>Excerpt: “emphasizes the importance of continued research in this area” — Explanation: Indica necessidade geral de mais pesquisa, mas não especifica lacunas detalhadas.</t>
  </si>
  <si>
    <t>Trecho: “emphasizes the importance of continued research in this area.” — Explicação: O artigo identifica a necessidade de continuidade nas pesquisas para que a análise de EEG se torne uma ferramenta consolidada na saúde mental e função cognitiva.</t>
  </si>
  <si>
    <t>2024 17th International Congress on Image and Signal Processing, BioMedical Engineering and Informatics (CISP-BMEI)</t>
  </si>
  <si>
    <t>Excerpt: “electroencephalography” — Explanation: O estudo usa apenas EEG, uma BCI não invasiva; nenhum outro tipo é mencionado.</t>
  </si>
  <si>
    <t>Excerpt: “Studying the changes of resting-state EEG in response to different natural stimuli...” — Explanation: The study employs Electroencephalography (EEG), which is a non-invasive technique for monitoring brain activity.</t>
  </si>
  <si>
    <t>No evidence found. — Explanation: O resumo não menciona nenhum transtorno mental.</t>
  </si>
  <si>
    <t>Ele menciona aplicações em saúde mental, mas não especifica transtornos.</t>
  </si>
  <si>
    <t>Excerpt: “EEG power spectra and microstate analyses” — Explanation: As métricas usadas incluem potência espectral e microestados, mas não há métricas de eficácia clínica.</t>
  </si>
  <si>
    <t>Trecho: “performed EEG power spectra and microstate analyses.” — Explicação: As métricas de eficácia e avaliação utilizadas incluem a análise do espectro de potência das ondas cerebrais e a análise de microestados.</t>
  </si>
  <si>
    <t>Excerpt: “provide new insights into the dynamic regulation of the brain” — Explanation: O estudo investiga regulação cerebral, mas não aborda melhoria de memória, atenção ou aprendizagem.</t>
  </si>
  <si>
    <t>No evidence found. — Explanation: Não há menções a barreiras técnicas, clínicas ou éticas.</t>
  </si>
  <si>
    <t>No evidence found. — Explanation: O estudo não discute segurança ou privacidade dos dados neurais.</t>
  </si>
  <si>
    <t>No evidence found. — Explanation: Nenhuma tendência envolvendo IA ou neuroestimulação é mencionada.</t>
  </si>
  <si>
    <t>No evidence found. — Explanation: Não há discussão ética ou filosófica sobre expansão neurológica.</t>
  </si>
  <si>
    <t>No evidence found. — Explanation: O resumo não identifica lacunas futuras de pesquisa ligadas a BCIs.</t>
  </si>
  <si>
    <t xml:space="preserve">2022 IEEE International Conference on
</t>
  </si>
  <si>
    <t>Excerpt: “EEG neural correlates” — Explanation: O estudo utiliza apenas EEG, uma BCI não invasiva; não menciona BCIs invasivas ou híbridas.</t>
  </si>
  <si>
    <t>O estudo utiliza EEG não-invasivo para analisar os efeitos da meditação.</t>
  </si>
  <si>
    <t>No evidence found. — Explanation: The study was conducted on "14 male participants" to understand general brain activity, without targeting specific mental disorders.</t>
  </si>
  <si>
    <t>Ele aborda saúde mental e cognição, mas não cita transtornos específicos.</t>
  </si>
  <si>
    <t>Excerpt: “the accuracies of machine learning classification… increase significantly” — Explanation: A eficácia é medida pela acurácia dos classificadores e por testes psicométricos (BBIT).</t>
  </si>
  <si>
    <t>Excerpt: “...performed EEG power spectra and microstate analyses. The results showed significant changes in whole-brain mean relative power delta, theta, alpha1, and beta2, and a substantial increase in the duration of EEG microstate B...” — Explanation: The researchers evaluated the brain's response using quantitative metrics such as power spectra analysis and the duration of specific EEG microstates.</t>
  </si>
  <si>
    <t>A eficácia é medida por classificações de estados meditativos via machine learning e testes psicométricos (BBIT).</t>
  </si>
  <si>
    <t>Excerpt: “cognitive abilities… get enhanced which are evaluated through Brain-Based Intelligence Test (BBIT)” — Explanation: O estudo relata melhora em atenção sustentada e memória de trabalho após meditação.</t>
  </si>
  <si>
    <t>No evidence found. — Explanation: The study investigates the "dynamic self-regulation process" in response to stimuli (games/cinema) but does not explicitly claim to use BCI to enhance cognitive abilities like memory or learning.</t>
  </si>
  <si>
    <t>Mostra que a meditação melhora atenção sustentada e memória de trabalho em praticantes iniciantes.</t>
  </si>
  <si>
    <t>No evidence found. — Explanation: Não discute barreiras técnicas, clínicas ou éticas.</t>
  </si>
  <si>
    <t>No evidence found. — Explanation: O resumo não trata de segurança, privacidade ou integridade dos dados neurais.</t>
  </si>
  <si>
    <t>No evidence found. — Explanation: Não menciona tendências futuras envolvendo IA além da classificação usada.</t>
  </si>
  <si>
    <t>No evidence found. — Explanation: The study uses "natural stimulation paradigms, including a cinema and three kinds of games" as stimuli, but does not discuss the integration of AI or personalized neurostimulation for future BCI development.</t>
  </si>
  <si>
    <t>Fala apenas em aprendizado de máquina, sem tendências futuras como IA avançada ou neuroestimulação.</t>
  </si>
  <si>
    <t>No evidence found. — Explanation: O resumo não aborda questões éticas ou filosóficas de expansão neurológica.</t>
  </si>
  <si>
    <t>No evidence found. — Explanation: Não aponta lacunas de pesquisa, apenas relata resultados obtidos.</t>
  </si>
  <si>
    <t>Não aponta lacunas de pesquisa, apenas mostra resultados positivos da prática meditativa em curto prazo.</t>
  </si>
  <si>
    <t>Conf IEEE Eng Med Biol Soc
.</t>
  </si>
  <si>
    <t>Excerpt: “EEG signals” — Explanation: O estudo utiliza apenas EEG, uma BCI não invasiva; não menciona BCIs invasivas ou híbridas.</t>
  </si>
  <si>
    <t>Excerpt: “...capture the temporal dynamics of EEG signals... based on one electrode recording site at Fp1.” — Explanation: The study utilizes EEG (Electroencephalography) recorded from the Fp1 site, which is a standard non-invasive method for monitoring brain activity.</t>
  </si>
  <si>
    <t>O estudo utiliza EEG não-invasivo para reconhecimento de emoções.</t>
  </si>
  <si>
    <t>No evidence found. — Explanation: O texto cita “psychiatric disorders” de forma geral, mas não especifica nenhum transtorno mental.</t>
  </si>
  <si>
    <t>Excerpt: “...understanding psychiatric disorders...” — Explanation: The abstract mentions psychiatric disorders broadly as a potential area for application but does not specify which particular disorders are targeted.</t>
  </si>
  <si>
    <t>Ele menciona aplicações em psicologia e psiquiatria, mas não especifica transtornos como depressão ou ansiedade.</t>
  </si>
  <si>
    <t>Excerpt: “achieved a high accuracy of 91.1% for arousal and 91.7% for valence” — Explanation: As métricas de avaliação são acurácias de classificação para arousal e valence.</t>
  </si>
  <si>
    <t>Excerpt: “This method achieved a high accuracy of 91.1% for arousal and 91.7% for valence...” — Explanation: The effectiveness of the emotion recognition system is evaluated using the quantitative metric of classification accuracy.</t>
  </si>
  <si>
    <t>A eficácia é medida pela acurácia da classificação de estados de excitação e valência, chegando a mais de 91%.</t>
  </si>
  <si>
    <t>No evidence found. — Explanation: O estudo foca em reconhecimento de emoção, não em melhoria ou aumento de capacidades cognitivas.</t>
  </si>
  <si>
    <t>No evidence found. — Explanation: The text focuses on emotion recognition (arousal/valence) rather than the enhancement of cognitive abilities like memory or learning.</t>
  </si>
  <si>
    <t>Mostra que o algoritmo cTDS pode capturar padrões de conectividade cerebral e auxiliar na identificação de estados emocionais.</t>
  </si>
  <si>
    <t>No evidence found. — Explanation: Não há menção a barreiras técnicas, clínicas ou éticas.</t>
  </si>
  <si>
    <t>No evidence found. — Explanation: Não discute segurança, privacidade ou integridade de dados neurais.</t>
  </si>
  <si>
    <t>Excerpt: “It can be particularly applicable to... HCI applications.” — Explanation: The study highlights the potential integration of the proposed algorithm into Human-Computer Interaction (HCI) systems, though it does not explicitly discuss personalized neurostimulation.</t>
  </si>
  <si>
    <t>Menciona apenas o uso de algoritmos de classificação, sem tendências futuras como IA avançada ou neuroestimulação personalizada.</t>
  </si>
  <si>
    <t>No evidence found. — Explanation: Nenhuma discussão ética ou filosófica sobre expansão neurológica é apresentada.</t>
  </si>
  <si>
    <t>No evidence found. — Explanation: Não identifica lacunas de pesquisa futuras, apenas relata desempenho do algoritmo.</t>
  </si>
  <si>
    <t>Excerpt: “Emotion recognition is a challenging task...” — Explanation: The authors identify the inherent difficulty of accurately recognizing emotions as a gap or challenge that their proposed cTDS algorithm aims to address.</t>
  </si>
  <si>
    <t>Não aponta lacunas de pesquisa, apenas destaca o potencial do método para aplicações em saúde mental e interação humano-computador.</t>
  </si>
  <si>
    <t xml:space="preserve">2021 IEEE 22nd INTERNATIONAL CONFERENCE OF YOUNG PROFESSIONALS IN ELECTRON DEVICES AND MATERIALS (EDM) 
</t>
  </si>
  <si>
    <t>Russia</t>
  </si>
  <si>
    <t>Excerpt: “EEG methods” — Explanation: O estudo menciona apenas EEG, uma BCI não invasiva; não há referência a BCIs invasivas ou híbridas.</t>
  </si>
  <si>
    <t>Excerpt: “...accumulates knowledge about cognitive functions and methods of their assessment using neuropsychological tests and EEG methods.” — Explanation: The study focuses on Electroencephalography (EEG), which is a non-invasive BCI technology.</t>
  </si>
  <si>
    <t>O estudo utiliza EEG não-invasivo aliado a uma abordagem ontológica para analisar funções cognitivas.</t>
  </si>
  <si>
    <t>No evidence found. — Explanation: The abstract focuses on general "cognitive functions" and "rational knowledge" rather than specific mental disorders.</t>
  </si>
  <si>
    <t>Ele trata de cognição e saúde mental de forma ampla, sem mencionar transtornos específicos.</t>
  </si>
  <si>
    <t>Excerpt: “methods of their assessment using neuropsychological tests and EEG methods” — Explanation: Indica uso de testes neuropsicológicos e EEG como métodos de avaliação, mas não métricas de eficácia terapêutica.</t>
  </si>
  <si>
    <t>Excerpt: “...assessment using neuropsychological tests... as well as knowledge about combinations of electrodes and features that can be used in machine learning...” — Explanation: Evaluation involves standard neuropsychological assessments and the analysis of specific features via machine learning.</t>
  </si>
  <si>
    <t>A avaliação é feita por meio de testes neuropsicológicos, EEG e análise de dados psicométricos.</t>
  </si>
  <si>
    <t>Excerpt: “the relationship between patterns of brain activity and human cognitive abilities” — Explanation: O foco é mapear relações entre atividade cerebral e habilidades cognitivas, mas não uso de BCIs para aprimoramento direto.</t>
  </si>
  <si>
    <t>No evidence found. — Explanation: The paper describes an ontology for the study and assessment of cognitive abilities, but does not present a method for enhancing them.</t>
  </si>
  <si>
    <t>Mostra como padrões de atividade cerebral podem ser relacionados a habilidades cognitivas como memória e atenção.</t>
  </si>
  <si>
    <t>No evidence found. — Explanation: O resumo não discute segurança, privacidade ou proteção de dados neurais.</t>
  </si>
  <si>
    <t>No evidence found. — Explanation: Não menciona tendências futuras de integração com IA ou neuroestimulação.</t>
  </si>
  <si>
    <t>Excerpt: “...features that can be used in machine learning from EEG data to identify patterns of brain activity.” — Explanation: The work highlights the integration of EEG data structures with Artificial Intelligence (machine learning) to classify brain patterns.</t>
  </si>
  <si>
    <t>Menciona o uso de machine learning aplicado a dados de EEG, mas não fala em tendências futuras como IA avançada ou neuroestimulação.</t>
  </si>
  <si>
    <t>No evidence found. — Explanation: O estudo não aborda aspectos éticos ou filosóficos sobre expansão neurológica.</t>
  </si>
  <si>
    <t>No evidence found. — Explanation: Nenhuma lacuna de pesquisa é explicitada; o resumo apenas descreve a construção da ontologia.</t>
  </si>
  <si>
    <t>Excerpt: “A distinctive feature of the proposed ontology from existing ones is the inclusion of concepts that reflect the terminology used in the study of cognitive functions...” — Explanation: The authors imply a gap in existing ontologies and address it by creating a more comprehensive structure for integrating psychometric and neurophysiological data.</t>
  </si>
  <si>
    <t>Não aponta lacunas de pesquisa, apenas apresenta a construção de uma ontologia para acumular conhecimento interdisciplinar.</t>
  </si>
  <si>
    <t xml:space="preserve">2022 IEEE 23rd INTERNATIONAL CONFERENCE OF YOUNG PROFESSIONALS IN ELECTRON DEVICES AND MATERIALS (EDM) 
</t>
  </si>
  <si>
    <t>RQ1 Excerpt: “analysis of EEG signals” — Explanation: Apenas menciona EEG (não invasivo), mas não discute tipos de BCI; portanto, não há evidência direta sobre tipos usados em saúde mental.</t>
  </si>
  <si>
    <t>Excerpt: “...EEG as a method for studying unconscious components of mental states...” — Explanation: The study focuses on Electroencephalography (EEG), which is a non-invasive technique for monitoring brain activity.</t>
  </si>
  <si>
    <t>RQ2 Excerpt: No evidence found. — Explanation: O resumo não menciona nenhum transtorno mental.</t>
  </si>
  <si>
    <t>No evidence found. — Explanation: The text mentions the diagnosis of "mental states" in general but does not specify particular disorders (e.g., depression, anxiety).</t>
  </si>
  <si>
    <t>RQ3 Excerpt: “psychodiagnostic methods and analysis of EEG signals” — Explanation: Cita métodos psicodiagnósticos e EEG, mas não descreve métricas ou métodos de avaliação.</t>
  </si>
  <si>
    <t>Excerpt: “...based on the psychodiagnostic methods and analysis of EEG signals.” — Explanation: The framework relies on standard psychodiagnostic assessments and the analysis of EEG data to evaluate or diagnose mental states.</t>
  </si>
  <si>
    <t>RQ4 Excerpt: “knowledge representation for the subject area ‘Cognitive functions’” — Explanation: Menciona funções cognitivas apenas como parte da ontologia, sem descrever uso de BCIs para aprimoramento.</t>
  </si>
  <si>
    <t>No evidence found. — Explanation: The paper focuses on the research and representation of cognitive functions, not on methods to actively enhance them.</t>
  </si>
  <si>
    <t>RQ5 Excerpt: No evidence found. — Explanation: Não discute barreiras técnicas, clínicas ou éticas.</t>
  </si>
  <si>
    <t>RQ6 Excerpt: No evidence found. — Explanation: Não aborda segurança, privacidade ou integridade de dados neurais.</t>
  </si>
  <si>
    <t>RQ7 Excerpt: No evidence found. — Explanation: Não menciona tendências emergentes em IA ou neuroestimulação personalizada.</t>
  </si>
  <si>
    <t>No evidence found. — Explanation: While the paper discusses an ontological model (related to AI knowledge representation), it does not explicitly address future trends in personalized neurostimulation.</t>
  </si>
  <si>
    <t>RQ8 Excerpt: No evidence found. — Explanation: Não discute aspectos éticos ou filosóficos da amplificação humana.</t>
  </si>
  <si>
    <t>RQ9 Excerpt: No evidence found. — Explanation: Não apresenta lacunas de pesquisa relacionadas a BCIs em saúde mental ou aprimoramento cognitivo.</t>
  </si>
  <si>
    <t>Excerpt: “The relevance of the study is determined by the need for a comprehensive knowledge representation in the research field of cognitive functions...” — Explanation: The authors identify the lack of a unified, comprehensive system for representing knowledge in this interdisciplinary field as a specific research gap.</t>
  </si>
  <si>
    <t>RQ1 Excerpt: No evidence found. — Explanation: O resumo fala de treino cognitivo e motor, mas não menciona nenhum tipo de BCI (invasiva, não invasiva ou híbrida).</t>
  </si>
  <si>
    <t>No evidence found. — Explanation: The abstract describes the use of the "Gross Motor Coordination Exercise Tool (GMCET)" for cognitive training but does not explicitly mention the use of a Brain-Computer Interface (BCI), EEG, or invasive/non-invasive neural technology.</t>
  </si>
  <si>
    <t>O estudo usa EEG não-invasivo junto a uma abordagem ontológica para investigar funções cognitivas.</t>
  </si>
  <si>
    <t>RQ2 Excerpt: “children with Attention Deficit Hyperactivity Disorder (ADHD)” — Explanation: O único transtorno mental citado é ADHD, indicado como foco do estudo.</t>
  </si>
  <si>
    <t>Excerpt: “...Eight children diagnosed with Attention Deficit Hyperactivity Disorder (ADHD) participated...” — Explanation: The study specifically targets children diagnosed with ADHD.</t>
  </si>
  <si>
    <t>Ele aborda cognição e saúde mental de forma geral, sem citar transtornos específicos.</t>
  </si>
  <si>
    <t>RQ3 Excerpt: “Pre- and postintervention assessments, including the Letter Cancellation Test, Finger Dexterity Apparatus, and the ADHD Rating Scale” — Explanation: Estes são os métodos e métricas usados para avaliar a intervenção.</t>
  </si>
  <si>
    <t>Excerpt: “Pre- and postintervention assessments, including the Letter Cancellation Test, Finger Dexterity Apparatus, and the ADHD Rating Scale...” — Explanation: The effectiveness of the intervention was measured using specific cognitive and motor performance tests and a clinical rating scale.</t>
  </si>
  <si>
    <t>A avaliação combina testes neuropsicológicos, EEG e análise de dados psicométricos.</t>
  </si>
  <si>
    <t>RQ4 Excerpt: “improvements in finger dexterity and concentration” — Explanation: Indica aprimoramento de funções cognitivas, incluindo concentração, embora não envolva BCIs.</t>
  </si>
  <si>
    <t>Excerpt: “The results suggest that cognitive training with GMCET may be an effective for enhancing both cognitive and motor functions... alongside improvements in finger dexterity and concentration.” — Explanation: The study reports enhancements in cognitive functions (concentration) and motor skills (dexterity) following the intervention.</t>
  </si>
  <si>
    <t>Mostra que padrões de atividade cerebral podem ser associados a habilidades como memória e atenção.</t>
  </si>
  <si>
    <t>RQ5 Excerpt: No evidence found. — Explanation: O resumo não discute barreiras técnicas, clínicas ou éticas.</t>
  </si>
  <si>
    <t>RQ6 Excerpt: No evidence found. — Explanation: Não há menção sobre segurança, privacidade ou integridade de dados.</t>
  </si>
  <si>
    <t>RQ7 Excerpt: No evidence found. — Explanation: O texto não menciona IA, neuroestimulação ou tendências emergentes.</t>
  </si>
  <si>
    <t>Cita o uso de machine learning com dados de EEG, mas não discute tendências futuras como IA avançada.</t>
  </si>
  <si>
    <t>RQ8 Excerpt: No evidence found. — Explanation: Não discute aspectos éticos ou filosóficos sobre expansão neurológica.</t>
  </si>
  <si>
    <t>Não aborda aspectos éticos ou filosóficos da expansão neurológica.</t>
  </si>
  <si>
    <t>RQ9 Excerpt: No evidence found. — Explanation: O resumo não identifica lacunas de pesquisa sobre BCIs ou tecnologias relacionadas.</t>
  </si>
  <si>
    <t>Não indica lacunas de pesquisa, apenas descreve a criação de uma ontologia para integrar conhecimento interdisciplinar.</t>
  </si>
  <si>
    <t>RQ1 Excerpt: “employing both electroencephalography (EEG)” — Explanation: O estudo usa EEG, mas não descreve nenhum tipo de BCI (invasiva, não invasiva ou híbrida).</t>
  </si>
  <si>
    <t>Excerpt: “...employing both electroencephalography (EEG)...” — Explanation: The study uses EEG, a non-invasive technique, to monitor brain activity while users interact with the robotic device.</t>
  </si>
  <si>
    <t>O estudo utiliza EEG não-invasivo junto com análise de teoria dos grafos para avaliar funções cognitivas em sobreviventes de AVC usando dedos robóticos suplementares.</t>
  </si>
  <si>
    <t>RQ2 Excerpt: No evidence found. — Explanation: O resumo não menciona nenhum transtorno mental; fala apenas de sobreviventes de AVC.</t>
  </si>
  <si>
    <t>Excerpt: “...assistive tools and technology to assist stroke survivors...” — Explanation: The research focuses on stroke survivors, which involves neurological rehabilitation, though it is primarily a physical condition with cognitive impacts.</t>
  </si>
  <si>
    <t>Ele aborda saúde mental e cognição, mas não cita transtornos específicos como depressão ou ansiedade.</t>
  </si>
  <si>
    <t>RQ3 Excerpt: “employing both electroencephalography (EEG) and graph theory analysis (GTA)” — Explanation: Estes são os métodos usados para analisar o impacto cognitivo.</t>
  </si>
  <si>
    <t>Excerpt: “...graph theory analysis (GTA)... Increased clustering coefficients... Local efficiency (LE) analysis indicated disruptions... statistical analyses demonstrated noteworthy shifts...” — Explanation: Effectiveness and impact are evaluated using advanced mathematical metrics like graph theory (clustering coefficients, local efficiency) applied to neural data.</t>
  </si>
  <si>
    <t>A eficácia é medida por métricas como coeficientes de agrupamento, força de conectividade frontal e eficiência local (LE).</t>
  </si>
  <si>
    <t>RQ4 Excerpt: “impacting attention, motor planning, and judgment actions” — Explanation: O texto descreve efeitos sobre habilidades cognitivas (atenção, planejamento, julgamento), indicando mudanças decorrentes da tarefa com SRF.</t>
  </si>
  <si>
    <t>Excerpt: “...enhancing the task related functionality of the upper-limbs... suggested altered attention control... impacting attention, motor planning, and judgment actions.” — Explanation: The study explores how the device impacts cognitive abilities such as attention and motor planning, although in this specific context, some metrics indicated "disruptions" rather than simple enhancement.</t>
  </si>
  <si>
    <t>Mostra que o uso dos dedos robóticos afeta atenção, planejamento motor e julgamento, indicando impacto direto em habilidades cognitivas.</t>
  </si>
  <si>
    <t>RQ6 Excerpt: No evidence found. — Explanation: Não há qualquer menção à segurança, privacidade ou integridade de dados neurais.</t>
  </si>
  <si>
    <t>RQ7 Excerpt: No evidence found. — Explanation: Não discute tendências emergentes relacionadas à IA ou neuroestimulação personalizada.</t>
  </si>
  <si>
    <t>No evidence found. — Explanation: The text discusses robotic limbs (SRF), but does not explicitly mention the integration of AI or personalized neurostimulation in the context of future trends.</t>
  </si>
  <si>
    <t>Não menciona tendências futuras como integração com IA ou neuroestimulação personalizada.</t>
  </si>
  <si>
    <t>RQ8 Excerpt: No evidence found. — Explanation: Não aborda aspectos éticos ou filosóficos de expansão neurológica.</t>
  </si>
  <si>
    <t>RQ9 Excerpt: No evidence found. — Explanation: O resumo não aponta lacunas de pesquisa específicas sobre BCIs ou tecnologias relacionadas.</t>
  </si>
  <si>
    <t>Excerpt: “These findings increased our understanding of SRF influence on brain dynamics, which may help guide future development of assistive tools...” — Explanation: The study implies a knowledge gap regarding how supernumerary robotic limbs affect brain dynamics, suggesting that filling this gap is necessary for developing better assistive tools.</t>
  </si>
  <si>
    <t>Não aponta lacunas de pesquisa, apenas sugere que os resultados podem orientar o desenvolvimento de tecnologias assistivas para sobreviventes de AVC.</t>
  </si>
  <si>
    <t xml:space="preserve">2024 27th International Conference on Computer and Information Technology (ICCIT) 
</t>
  </si>
  <si>
    <t>RQ1 Excerpt: “Cognitive workload classification through EEG signals is an emerging field, offering objective, non-invasive insights” — Explanation: O estudo usa apenas EEG, um método não invasivo; não há menção a nenhum tipo de BCI (invasiva, não invasiva ou híbrida).</t>
  </si>
  <si>
    <t>Excerpt: “Cognitive workload classification through EEG signals is an emerging field, offering objective, non-invasive insights...” — Explanation: The study relies on Electroencephalography (EEG), explicitly identifying it as a non-invasive method.</t>
  </si>
  <si>
    <t>O estudo utiliza EEG não-invasivo para classificar carga cognitiva e oferecer insights objetivos sobre estresse mental.</t>
  </si>
  <si>
    <t>RQ2 Excerpt: No evidence found. — Explanation: O resumo menciona “mental stress” mas não cita nenhum transtorno mental específico.</t>
  </si>
  <si>
    <t>Excerpt: “...potential for stress diagnosis applications.” — Explanation: The research targets "mental stress" and its diagnosis, which is the primary mental health condition addressed in this text.</t>
  </si>
  <si>
    <t>Ele aborda saúde mental e desempenho cognitivo, mas não menciona transtornos específicos.</t>
  </si>
  <si>
    <t>RQ3 Excerpt: “accuracy of 94.76%, precision of 94.76%, recall of 94.30%, and an F1 score of 95.21%… accuracy of 98.41%, precision of 98.97%, recall of 97.48%, and an F1 score of 98.22%” — Explanation: O texto fornece métricas claras de desempenho (acurácia, precisão, recall, F1).</t>
  </si>
  <si>
    <t>Excerpt: “...achieves an accuracy of 94.76%, precision of 94.76%, recall of 94.30%, and an F1 score of 95.21%...” — Explanation: The effectiveness of the system is evaluated using standard quantitative machine learning metrics (Accuracy, Precision, Recall, F1 Score).</t>
  </si>
  <si>
    <t>A eficácia é medida por métricas de acurácia, precisão, recall e F1, chegando a mais de 98% em alguns datasets.</t>
  </si>
  <si>
    <t>RQ4 Excerpt: “role of low-frequency bands in improving cognitive workload classification performance” — Explanation: Relaciona-se à análise de carga cognitiva, mas não descreve uso para aprimorar memória, atenção ou aprendizado.</t>
  </si>
  <si>
    <t>No evidence found. — Explanation: The study focuses on classifying cognitive workload and stress, rather than actively enhancing abilities like memory or learning.</t>
  </si>
  <si>
    <t>Mostra que o framework baseado em WPD e CSP melhora a generalização e eficiência, destacando o papel das bandas de baixa frequência.</t>
  </si>
  <si>
    <t>RQ5 Excerpt: “deep learning techniques, though generalizable, require high computational capacity and lack interpretability” — Explanation: Esto indica limitações técnicas, mas não discute barreiras clínicas ou éticas.</t>
  </si>
  <si>
    <t>Excerpt: “...deep learning techniques, though generalizable, require high computational capacity and lack interpretability.” — Explanation: The authors identify high computational requirements and the "black box" nature (lack of interpretability) of deep learning as technical barriers in the field.</t>
  </si>
  <si>
    <t>RQ6 Excerpt: No evidence found. — Explanation: O resumo não menciona segurança, privacidade ou integridade dos dados neurais.</t>
  </si>
  <si>
    <t>RQ7 Excerpt: No evidence found. — Explanation: Não há menção a integração futura com IA personalizada ou neuroestimulação.</t>
  </si>
  <si>
    <t>Excerpt: “With an ANN-based classifier our method achieves...” — Explanation: The study integrates BCI signal processing with Artificial Intelligence (Artificial Neural Networks - ANN) to classify cognitive states.</t>
  </si>
  <si>
    <t>Menciona o uso de aprendizado de máquina (ANN), mas não fala em tendências futuras como IA avançada ou neuroestimulação.</t>
  </si>
  <si>
    <t>RQ8 Excerpt: No evidence found. — Explanation: Não aborda questões éticas ou filosóficas sobre expansão cognitiva.</t>
  </si>
  <si>
    <t>RQ9 Excerpt: “Traditional domain-specific feature extraction methods require extensive expertise and are constrained by manual tuning” — Explanation: Indica lacunas técnicas em extração manual de características, mas não discute lacunas específicas para BCIs em saúde mental ou aprimoramento cognitivo.</t>
  </si>
  <si>
    <t>Excerpt: “To address these issues, we propose a tunable, multi-resolution feature extraction framework... offering a customizable approach for improved generalization and efficiency.” — Explanation: The research addresses the gap between complex deep learning (high cost/low interpretability) and traditional methods (high expertise needed) by proposing a balanced, interpretable framework.</t>
  </si>
  <si>
    <t>Não aponta lacunas de pesquisa, apenas sugere potencial para aplicações em diagnóstico de estresse.</t>
  </si>
  <si>
    <t>RQ1 Excerpt: No evidence found. — Explanation: O estudo usa EEG, mas não menciona nenhum tipo de BCI (invasiva, não invasiva ou híbrida).</t>
  </si>
  <si>
    <t>Excerpt: “EEG waves are very closely related to attention...” — Explanation: The study utilizes Electroencephalography (EEG), which is a standard non-invasive method for recording brain activity.</t>
  </si>
  <si>
    <t>O estudo utiliza EEG não-invasivo para investigar os efeitos de exercícios físicos de alta intensidade (HIIT) na atenção seletiva de estudantes universitários.</t>
  </si>
  <si>
    <t>RQ2 Excerpt: No evidence found. — Explanation: O resumo não trata de nenhum transtorno mental; trata apenas de atenção seletiva em estudantes.</t>
  </si>
  <si>
    <t>No evidence found. — Explanation: The study was conducted on "university students" (a general healthy population) rather than patients with specific mental disorders.</t>
  </si>
  <si>
    <t>Ele aborda cognição e saúde mental de forma geral, sem mencionar transtornos específicos.</t>
  </si>
  <si>
    <t>RQ3 Excerpt: “EEG time-domain features: mean, variance, kurtosis, skewness, Shannon entropy, and total power” — Explanation: Estas são as métricas usadas para avaliar o efeito do exercício.</t>
  </si>
  <si>
    <t>Excerpt: “...Response time statistically... EEG time-domain features: mean, variance, kurtosis, skewness, Shannon entropy, and total power.” — Explanation: Effectiveness was evaluated using behavioral metrics (Stroop test response time) and quantitative analysis of EEG signal features.</t>
  </si>
  <si>
    <t>A eficácia é avaliada pela redução significativa do tempo de resposta no Stroop Task após o exercício.</t>
  </si>
  <si>
    <t>RQ4 Excerpt: “exercise has a positive impact on stimulating the brain. Hence it impacts selective attention” — Explanation: O estudo mostra melhora de atenção após exercício, não via BCI, mas como efeito cognitivo observado.</t>
  </si>
  <si>
    <t>Excerpt: “Results indicate that exercise has a positive impact on stimulating the brain. Hence it impacts selective attention... Response time... is significantly less...” — Explanation: The study demonstrates that physical intervention (HIIT) enhances the specific cognitive ability of selective attention, evidenced by faster response times.</t>
  </si>
  <si>
    <t>Mostra que o HIIT aumenta variância e potência total em canais específicos do EEG, indicando melhora na atenção seletiva.</t>
  </si>
  <si>
    <t>RQ5 Excerpt: No evidence found. — Explanation: Nenhuma barreira técnica, clínica ou ética é discutida.</t>
  </si>
  <si>
    <t>RQ6 Excerpt: No evidence found. — Explanation: Não há menção de segurança, privacidade ou integridade dos dados neurais.</t>
  </si>
  <si>
    <t>RQ7 Excerpt: No evidence found. — Explanation: O resumo não menciona IA, personalização ou neuroestimulação.</t>
  </si>
  <si>
    <t>No evidence found. — Explanation: The study focuses on physical exercise and statistical analysis of EEG, without mentioning the integration of Artificial Intelligence or personalized neurostimulation.</t>
  </si>
  <si>
    <t>Menciona apenas análise de EEG e estatísticas, sem tendências futuras como IA avançada ou neuroestimulação.</t>
  </si>
  <si>
    <t>RQ8 Excerpt: No evidence found. — Explanation: Não aborda aspectos éticos ou filosóficos sobre ampliação cognitiva.</t>
  </si>
  <si>
    <t>RQ9 Excerpt: No evidence found. — Explanation: O resumo não aponta lacunas de pesquisa relacionadas ao uso de BCIs.</t>
  </si>
  <si>
    <t>Não aponta lacunas de pesquisa, apenas demonstra que o exercício físico tem impacto positivo imediato na atenção.</t>
  </si>
  <si>
    <t>Chile</t>
  </si>
  <si>
    <t>RQ1 Excerpt: No evidence found. — Explanation: O estudo utiliza EEG para medir concentração, mas não menciona nenhum tipo de BCI (invasiva, não invasiva ou híbrida).</t>
  </si>
  <si>
    <t>Excerpt: “...measured through EEG... Utilizing real-time monitoring...” — Explanation: The study uses Electroencephalography (EEG), a non-invasive technique, to monitor brain activity in real-time.</t>
  </si>
  <si>
    <t>O estudo utiliza EEG não-invasivo para medir concentração em ambientes de simulação gamificada.</t>
  </si>
  <si>
    <t>RQ2 Excerpt: No evidence found. — Explanation: O resumo não aborda nenhum transtorno mental; trata de funções executivas, habilidades socioemocionais e desempenho em simulações educacionais.</t>
  </si>
  <si>
    <t>No evidence found. — Explanation: The study focuses on "learning in simulated educational settings" and general "cognitive states" rather than specific mental disorders.</t>
  </si>
  <si>
    <t>Ele aborda cognição e habilidades socioemocionais, mas não menciona transtornos específicos.</t>
  </si>
  <si>
    <t>RQ3 Excerpt: “key performance metrics, including satisfaction and overall task performance” — Explanation: Estes são os métodos de avaliação utilizados junto com indicadores de concentração do EEG.</t>
  </si>
  <si>
    <t>Excerpt: “...relationship with key performance metrics, including satisfaction and overall task performance.” — Explanation: The effectiveness of the system is evaluated by correlating concentration levels with quantitative performance metrics and subjective user satisfaction.</t>
  </si>
  <si>
    <t>A eficácia é avaliada pela correlação positiva entre níveis de concentração, desempenho e satisfação dos usuários.</t>
  </si>
  <si>
    <t>RQ4 Excerpt: “EEG monitoring to optimize adaptive learning models by dynamically adjusting content based on cognitive states” — Explanation: Indica uso da monitorização cognitiva para melhorar aprendizagem e personalização educacional.</t>
  </si>
  <si>
    <t>Excerpt: “...highlighting the potential of EEG monitoring to optimize adaptive learning models... cognitive feedback can enhance the personalization and effectiveness of simulation-based education.” — Explanation: The study proposes that using BCI for adaptive learning can enhance educational outcomes (learning), which is a key cognitive ability.</t>
  </si>
  <si>
    <t>Mostra que o monitoramento em tempo real pode otimizar modelos de aprendizagem adaptativa ajustando conteúdos conforme o estado cognitivo.</t>
  </si>
  <si>
    <t>RQ5 Excerpt: “Limitations include the small sample size and the use of a single EEG device, which may affect the generalizability of findings” — Explanation: O texto menciona limitações técnicas da pesquisa, mas não aborda barreiras clínicas ou éticas amplas.</t>
  </si>
  <si>
    <t>Excerpt: “Limitations include the small sample size and the use of a single EEG device, which may affect the generalizability of findings.” — Explanation: The authors explicitly identify technical and methodological barriers (limited hardware, small sample) that hinder the adoption and generalizability of the findings.</t>
  </si>
  <si>
    <t>RQ6 Excerpt: No evidence found. — Explanation: Não há menção sobre segurança, privacidade ou integridade dos dados neurais coletados.</t>
  </si>
  <si>
    <t>RQ7 Excerpt: “optimize adaptive learning models by dynamically adjusting content based on cognitive states” — Explanation: Sugere tendência futura de integração entre biomarcadores cognitivos e modelos adaptativos inteligentes.</t>
  </si>
  <si>
    <t>Excerpt: “...optimize adaptive learning models by dynamically adjusting content based on cognitive states.” — Explanation: The text points towards future systems that integrate BCI data with adaptive (AI-driven) algorithms to personalize educational content in real-time.</t>
  </si>
  <si>
    <t>Menciona apenas EEG e análise de desempenho, sem tendências futuras como IA avançada ou neuroestimulação.</t>
  </si>
  <si>
    <t>RQ8 Excerpt: No evidence found. — Explanation: O resumo não discute implicações éticas ou filosóficas sobre ampliação cognitiva ou expansão neurológica.</t>
  </si>
  <si>
    <t>RQ9 Excerpt: “Future research should explore integrating additional cognitive biomarkers and expand this approach across various educational contexts” — Explanation: Indica lacunas de pesquisa relacionadas à ampliação da metodologia, mas não especificamente ao uso de BCIs.</t>
  </si>
  <si>
    <t>Excerpt: “Future research should explore integrating additional cognitive biomarkers and expand this approach across various educational contexts...” — Explanation: The authors note that current research is limited by a lack of diverse biomarkers and contexts, identifying this as a gap that needs to be filled to validate scalability.</t>
  </si>
  <si>
    <t>Aponta limitações como amostra pequena e uso de um único dispositivo, sugerindo pesquisas futuras com mais biomarcadores e contextos educacionais.</t>
  </si>
  <si>
    <t>Excerpt: “...high-dimensional time-frequency features of EEG signals are extracted...” — Explanation: The study relies on Electroencephalography (EEG), which is a non-invasive technique for recording brain activity.</t>
  </si>
  <si>
    <t>O estudo usa EEG não-invasivo para avaliar concentração em simulações gamificadas.</t>
  </si>
  <si>
    <t>RQ2 Excerpt: “sleep disorders linked to various conditions such as mental illnesses and cardiovascular diseases” — Explanation: O texto menciona doenças mentais associadas a distúrbios do sono, mas não especifica quais transtornos são estudados no trabalho.</t>
  </si>
  <si>
    <t>Excerpt: “...sleep disorders linked to various conditions such as mental illnesses...” — Explanation: The text focuses on the diagnosis of sleep disorders, noting their connection to broader mental illnesses.</t>
  </si>
  <si>
    <t>Ele trata de cognição e habilidades socioemocionais, sem citar transtornos específicos.</t>
  </si>
  <si>
    <t>RQ3 Excerpt: “classification accuracy of 85.71%… macro-average F1-score of 85.05%” — Explanation: Estas são as métricas usadas para avaliar o método automático de classificação.</t>
  </si>
  <si>
    <t>Excerpt: “The proposed method demonstrated a classification accuracy of 85.71% ... with a macro-average F1-score of 85.05%.” — Explanation: The effectiveness of the automated sleep staging is evaluated using quantitative machine learning metrics: accuracy and F1-score.</t>
  </si>
  <si>
    <t>A eficácia aparece na correlação positiva entre concentração, desempenho e satisfação dos participantes.</t>
  </si>
  <si>
    <t>RQ4 Excerpt: No evidence found. — Explanation: Não há menção de BCIs sendo usadas para aprimorar memória, atenção ou aprendizado.</t>
  </si>
  <si>
    <t>No evidence found. — Explanation: The study focuses on the classification and diagnosis of sleep stages, not on the active enhancement of cognitive abilities like memory or learning. |</t>
  </si>
  <si>
    <t>Mostra que o monitoramento em tempo real pode tornar modelos de aprendizagem adaptativa mais eficazes.</t>
  </si>
  <si>
    <t>RQ5 Excerpt: “traditional manual sleep staging methods are time-consuming and prone to human bias” — Explanation: Indica limitações técnicas dos métodos tradicionais, mas não discute barreiras clínicas ou éticas amplas.</t>
  </si>
  <si>
    <t>Excerpt: “...traditional manual sleep staging methods are time-consuming and prone to human bias... addresses the challenges of low training efficiency...” — Explanation: The authors identify human bias, the time-consuming nature of manual analysis, and training inefficiencies as barriers in current clinical practice.</t>
  </si>
  <si>
    <t>RQ6 Excerpt: No evidence found. — Explanation: Não há qualquer menção sobre segurança, privacidade ou proteção dos dados neurais.</t>
  </si>
  <si>
    <t>RQ7 Excerpt: “potential for using this approach in real-time clinical applications” — Explanation: Sugere tendência futura de sistemas automáticos e inteligentes aplicados à medicina do sono.</t>
  </si>
  <si>
    <t>Excerpt: “...learned through an improved ResNet-18 residual network... potential for using this approach in real-time clinical applications...” — Explanation: The study integrates BCI data with advanced Artificial Intelligence (ResNet-18, a deep neural network) to automate classification in real-time settings.</t>
  </si>
  <si>
    <t>Foca apenas em EEG e análise de desempenho, sem discutir tendências futuras como IA avançada.</t>
  </si>
  <si>
    <t>RQ8 Excerpt: No evidence found. — Explanation: O resumo não aborda aspectos éticos ou filosóficos sobre amplificação humana ou expansão neurológica.</t>
  </si>
  <si>
    <t>Não traz reflexões éticas ou filosóficas sobre expansão neurológica.</t>
  </si>
  <si>
    <t>RQ9 Excerpt: “lays a foundation for further exploration of automated systems in sleep medicine” — Explanation: Indica necessidade de pesquisas futuras, mas não menciona lacunas relacionadas a BCIs.</t>
  </si>
  <si>
    <t>Excerpt: “...addresses the challenges of low training efficiency and reliance on extensive labeled datasets.” — Explanation: The research specifically targets the technical gap of training efficiency and the dependency on large labeled datasets which limits current automated methods. |</t>
  </si>
  <si>
    <t>Aponta limitações como número reduzido de participantes e uso de apenas um dispositivo, sugerindo estudos futuros mais amplos.</t>
  </si>
  <si>
    <t>RQ1 Excerpt: No evidence found. — Explanation: O estudo utiliza EEG como avaliação fisiológica, mas não menciona nenhum tipo de BCI (invasiva, não invasiva ou híbrida).</t>
  </si>
  <si>
    <t>Excerpt: “The players' electroencephalogram (EEG) data are collected as part of the physiological evaluation...” — Explanation: The study employs EEG, a standard non-invasive BCI technology, to monitor the physiological state of the athletes.</t>
  </si>
  <si>
    <t>O estudo utiliza EEG não-invasivo para avaliar a atenção seletiva em atletas universitários de basquete.</t>
  </si>
  <si>
    <t>RQ2 Excerpt: No evidence found. — Explanation: O resumo não aborda nenhum transtorno mental; o foco é desempenho cognitivo de atletas.</t>
  </si>
  <si>
    <t>No evidence found. — Explanation: The study subjects are "basketball players at university," representing a healthy population rather than patients with specific mental disorders.</t>
  </si>
  <si>
    <t>Ele aborda cognição e desempenho esportivo, sem mencionar transtornos específicos.</t>
  </si>
  <si>
    <t>RQ3 Excerpt: “Pearson correlation coefficient has been used to assess the test-retest reliability for the psychological as well as physiological tests.” — Explanation: Esta é a principal métrica/avaliação utilizada no estudo para medir os efeitos da intervenção.</t>
  </si>
  <si>
    <t>Excerpt: “The d2 Test of Attention is administered... Pearson correlation coefficient has been used to assess the test-retest reliability...” — Explanation: The effectiveness of the intervention is measured using a standardized psychological test (d2 Test) and statistical analysis (Pearson correlation).</t>
  </si>
  <si>
    <t>A eficácia é medida pela melhora nos resultados do d2 Test of Attention e pelos dados de EEG.</t>
  </si>
  <si>
    <t>RQ4 Excerpt: “a greater proportion of the athletes who participated in the intervention are able to enhance selective attention skill” — Explanation: O estudo demonstra melhoria direta de atenção seletiva após intervenção baseada em jogo e monitoramento por EEG.</t>
  </si>
  <si>
    <t>Excerpt: “...aims to enhance the mental ability of selective attention... A game based on computer is applied as an intervention... able to enhance selective attention skill...” — Explanation: The research explicitly tests a computer-based intervention designed to improve the specific cognitive faculty of selective attention.</t>
  </si>
  <si>
    <t>Mostra que o grupo que recebeu intervenção com jogo computadorizado apresentou maior ganho em atenção seletiva do que o grupo controle.</t>
  </si>
  <si>
    <t>RQ5 Excerpt: No evidence found. — Explanation: O resumo não menciona barreiras técnicas, clínicas ou éticas.</t>
  </si>
  <si>
    <t>RQ6 Excerpt: No evidence found. — Explanation: Não há discussão sobre segurança, privacidade ou integridade dos dados neurais coletados.</t>
  </si>
  <si>
    <t>RQ7 Excerpt: No evidence found. — Explanation: O texto não menciona tendências emergentes envolvendo IA ou neuroestimulação personalizada.</t>
  </si>
  <si>
    <t>No evidence found. — Explanation: The intervention uses a "game based on computer," but the abstract does not mention the integration of AI agents or personalized neurostimulation techniques.</t>
  </si>
  <si>
    <t>Menciona apenas análise de EEG e testes psicométricos, sem tendências futuras como IA avançada ou neuroestimulação.</t>
  </si>
  <si>
    <t>RQ8 Excerpt: No evidence found. — Explanation: Não há discussão ética ou filosófica sobre expansão cognitiva.</t>
  </si>
  <si>
    <t>RQ9 Excerpt: No evidence found. — Explanation: O resumo não apresenta lacunas de pesquisa relacionadas ao uso de BCIs ou aprimoramento cognitivo.</t>
  </si>
  <si>
    <t>Não aponta lacunas de pesquisa, apenas demonstra que a intervenção proposta pode melhorar habilidades cognitivas em atletas.</t>
  </si>
  <si>
    <t>RQ1 Excerpt: No evidence found. — Explanation: O estudo utiliza EEG, mas não menciona tipos de BCI (invasiva, não invasiva ou híbrida).</t>
  </si>
  <si>
    <t>Excerpt: “...diagnosing schizophrenia using Electroencephalogram (EEG) signals...” — Explanation: The study employs EEG, a standard non-invasive neuroimaging technique, for data collection.</t>
  </si>
  <si>
    <t>Excerpt: “diagnosing schizophrenia using Electroencephalogram (EEG) signals, processed by a Sequential Convolutional Neural Network (CNN).” — Explanation: O artigo descreve o uso de EEG (não-invasivo) como interface cérebro-computador aplicada à saúde mental. Não há menção a BCIs invasivos ou híbridos.</t>
  </si>
  <si>
    <t>RQ2 Excerpt: “Schizophrenia is a severe mental health illness” — Explanation: O resumo deixa claro que o foco é diagnóstico de esquizofrenia.</t>
  </si>
  <si>
    <t>Excerpt: “Schizophrenia is a severe mental health illness...” — Explanation: The research explicitly focuses on the diagnosis and early intervention of Schizophrenia.</t>
  </si>
  <si>
    <t>Excerpt: “Schizophrenia is a severe mental health illness that can greatly affect cognitive and social functioning.” — Explanation: O foco exclusivo do estudo é a esquizofrenia, não há referência a outros transtornos como depressão, ansiedade ou TDAH.</t>
  </si>
  <si>
    <t>RQ3 Excerpt: “The model gets 92% accuracy and a loss rate of 9.89%… better than old ML methods like SVM… RF” — Explanation: Acurácia e taxa de loss são as métricas principais usadas para avaliar o método.</t>
  </si>
  <si>
    <t>Excerpt: “The model gets 92% accuracy and a loss rate of 9.89%...” — Explanation: The effectiveness of the diagnostic model is evaluated using specific quantitative metrics: classification accuracy and loss rate.</t>
  </si>
  <si>
    <t>Excerpt: “The model gets 92% accuracy and a loss rate of 9.89%, which is better than old ML methods like SVM (Support Vector Machines) and RF (Random Forest).” — Explanation: As métricas utilizadas para avaliar a eficácia foram acurácia e taxa de perda, comparadas com métodos tradicionais de ML.</t>
  </si>
  <si>
    <t>RQ4 Excerpt: No evidence found. — Explanation: O estudo trata apenas de diagnóstico de esquizofrenia, não de aprimoramento cognitivo.</t>
  </si>
  <si>
    <t>No evidence found. — Explanation: The study is focused on the diagnosis of a mental disorder rather than the enhancement of cognitive abilities.</t>
  </si>
  <si>
    <t>Excerpt: “Schizophrenia is a severe mental health illness that can greatly affect cognitive and social functioning.” — Explanation: O artigo aborda apenas diagnóstico da esquizofrenia; não há evidência de aplicações para melhorar memória, atenção ou aprendizagem.</t>
  </si>
  <si>
    <t>RQ5 Excerpt: “ethical issues need to be taken into account, that include patient data protection and the responsible utilization of AI in the medical decision-making” — Explanation: O texto menciona barreiras éticas relacionadas ao uso de IA e proteção de dados.</t>
  </si>
  <si>
    <t>Excerpt: “...ethical issues need to be taken into account, that include patient data protection and the responsible utilization of AI in the medical decision-making.” — Explanation: The authors identify ethical concerns regarding data privacy and the delegation of clinical decisions to AI as potential barriers to adoption.</t>
  </si>
  <si>
    <t>Excerpt: “ethical issues need to be taken into account, that include patient data protection and the responsible utilization of AI in the medical decision-making.” — Explanation: As barreiras destacadas são éticas, relacionadas à proteção de dados e uso responsável da IA. Não há menção detalhada a barreiras técnicas ou clínicas além da necessidade de validação em outros datasets e ensaios clínicos.</t>
  </si>
  <si>
    <t>RQ6 Excerpt: “patient data protection” — Explanation: O resumo explicitamente menciona preocupação com proteção dos dados do paciente.</t>
  </si>
  <si>
    <t>Excerpt: “...ethical issues need to be taken into account, that include patient data protection...” — Explanation: The text specifically calls out the necessity of protecting patient data as a critical requirement for the system.</t>
  </si>
  <si>
    <t>Excerpt: “ethical issues need to be taken into account, that include patient data protection…” — Explanation: O artigo reconhece a importância da proteção de dados dos pacientes, mas não discute em profundidade segurança, privacidade ou integridade dos dados neurais.</t>
  </si>
  <si>
    <t>RQ7 Excerpt: “Future work will focus on integrating multiple diagnostic criteria and developing a user-friendly interface for facilitating clinical adoption” — Explanation: Indica tendências de integração multimodal e ferramentas inteligentes para adoção clínica.</t>
  </si>
  <si>
    <t>Excerpt: “...processed by a Sequential Convolutional Neural Network (CNN)... Findings highlight deep learning’s role in advancing mental health diagnostics...” — Explanation:</t>
  </si>
  <si>
    <t>Excerpt: “Future work will focus on integrating multiple diagnostic criteria and developing a user-friendly interface for facilitating clinical adoption.” — Explanation: A tendência emergente mencionada é a integração de múltiplos critérios diagnósticos e interfaces amigáveis, mas não há referência explícita à integração com IA avançada ou neuroestimulação personalizada.</t>
  </si>
  <si>
    <t>RQ8 Excerpt: No evidence found. — Explanation: Embora mencione ética, não discute aspectos filosóficos de expansão neurológica ou ampliação das capacidades humanas.</t>
  </si>
  <si>
    <t>No evidence found. — Explanation: The ethics mentioned relate to privacy and AI decision-making, not the philosophical implications of neurological expansion or human capability amplification.</t>
  </si>
  <si>
    <t>Excerpt: “ethical issues need to be taken into account, that include patient data protection and the responsible utilization of AI in the medical decision-making.” — Explanation: O artigo aborda aspectos éticos relacionados ao uso da IA, mas não discute filosofia ou “expansão neurológica” para amplificação de capacidades humanas.</t>
  </si>
  <si>
    <t>RQ9 Excerpt: “additional validation on other datasets and actual clinical trials is required” — Explanation: O texto aponta lacunas de pesquisa, incluindo necessidade de validação e estudos clínicos adicionais.</t>
  </si>
  <si>
    <t>Excerpt: “...to guarantee generalizability, additional validation on other datasets and actual clinical trials is required.” — Explanation: The authors highlight the lack of broad validation and clinical trials as a specific research gap that must be addressed before the technology can be widely used. |</t>
  </si>
  <si>
    <t>Excerpt: “to guarantee generalizability, additional validation on other datasets and actual clinical trials is required.” — Explanation: A principal lacuna identificada é a necessidade de validação em diferentes bases de dados e ensaios clínicos para garantir generalização e segurança.</t>
  </si>
  <si>
    <t>RQ1 Excerpt: No evidence found. — Explanation: O estudo utiliza EEG para detecção de comprometimento cognitivo, mas não menciona tipos de BCI (invasiva, não invasiva ou híbrida).</t>
  </si>
  <si>
    <t>Excerpt: “Electroencephalography (EEG) offers a non-invasive means to evaluate brain activity...” — Explanation: The study utilizes EEG, which is explicitly identified as a non-invasive technology for recording brain signals.</t>
  </si>
  <si>
    <t>Excerpt: “Electroencephalography (EEG) offers a non-invasive means to evaluate brain activity by recording brain signals…” — Explanation: O estudo utiliza EEG, que é uma interface cérebro-computador não-invasiva, aplicada para avaliação de funções cognitivas.</t>
  </si>
  <si>
    <t>RQ2 Excerpt: No evidence found. — Explanation: O resumo não discute transtornos mentais específicos, apenas comprometimento cognitivo (CI).</t>
  </si>
  <si>
    <t>Excerpt: “This study aims to detect cognitive impairment (CI)...” — Explanation: The research focuses specifically on the detection of Cognitive Impairment (CI), a condition often associated with various neurological disorders.</t>
  </si>
  <si>
    <t>Excerpt: “This study aims to detect cognitive impairment (CI) using resting-state EEG data…” — Explanation: O transtorno abordado é o comprometimento cognitivo (CI), não há menção a outros como depressão, ansiedade ou esquizofrenia.</t>
  </si>
  <si>
    <t>RQ3 Excerpt: “the classifier can discern EEG signals with an accuracy of 85.71%” — Explanation: A acurácia de 85.71% é a principal métrica de avaliação usada no estudo.</t>
  </si>
  <si>
    <t>Excerpt: “...discern EEG signals with an accuracy of 85.71%... extracted using algorithms like phase locking value (PLV) and band power.” — Explanation: The system's effectiveness is evaluated using classification accuracy and specific signal analysis features like PLV and band power.</t>
  </si>
  <si>
    <t>Excerpt: “The study's outcomes reveal that the classifier can discern EEG signals with an accuracy of 85.71%.” — Explanation: A métrica principal utilizada para avaliar a eficácia foi a acurácia do classificador.</t>
  </si>
  <si>
    <t>RQ4 Excerpt: No evidence found. — Explanation: O estudo se concentra na detecção de comprometimento cognitivo, sem explorar a melhoria de funções cognitivas como memória, atenção ou aprendizado.</t>
  </si>
  <si>
    <t>No evidence found. — Explanation: The study focuses on the detection and assessment of dysfunction (impairment), rather than the enhancement of cognitive abilities.</t>
  </si>
  <si>
    <t>Excerpt: “commonly employed in assessing cognitive functions and related dysfunctions triggered by external stimuli such as light, sound, and cognitive tasks.” — Explanation: O artigo mostra que o EEG é usado para avaliar funções cognitivas e disfunções relacionadas, mas não há evidência de aplicações para melhorar memória, atenção ou aprendizagem.</t>
  </si>
  <si>
    <t>RQ5 Excerpt: No evidence found. — Explanation: O resumo não aborda barreiras técnicas, clínicas ou éticas.</t>
  </si>
  <si>
    <t>Excerpt: No evidence found. — Explanation: O abstract não aborda barreiras técnicas, clínicas ou éticas para adoção de BCIs.</t>
  </si>
  <si>
    <t>Excerpt: No evidence found. — Explanation: Não há discussão sobre segurança, privacidade ou integridade dos dados neurais coletados.</t>
  </si>
  <si>
    <t>RQ7 Excerpt: No evidence found. — Explanation: O estudo não discute integração com IA ou neuroestimulação personalizada.</t>
  </si>
  <si>
    <t>xcerpt: “For binary classification, a support vector machine (SVM) algorithm is created...” — Explanation: The study demonstrates the integration of BCI data with Artificial Intelligence (machine learning algorithms like SVM) for signal classification.</t>
  </si>
  <si>
    <t>Excerpt: No evidence found. — Explanation: O texto não menciona tendências emergentes de integração com IA ou neuroestimulação personalizada.</t>
  </si>
  <si>
    <t>RQ8 Excerpt: No evidence found. — Explanation: O resumo não aborda aspectos éticos ou filosóficos sobre ampliação ou expansão cognitiva.</t>
  </si>
  <si>
    <t>Excerpt: No evidence found. — Explanation: Não há referência a aspectos éticos ou filosóficos sobre “expansão neurológica” ou amplificação de capacidades humanas.</t>
  </si>
  <si>
    <t>RQ9 Excerpt: No evidence found. — Explanation: O resumo não aponta lacunas de pesquisa relacionadas ao uso de BCIs ou aprimoramento cognitivo.</t>
  </si>
  <si>
    <t>No evidence found. — Explanation: While the study improves efficiency (reducing the feature set), the abstract does not explicitly state remaining research gaps or future work requirements. |</t>
  </si>
  <si>
    <t>Excerpt: “Notably, the proposed method demonstrates superior accuracy compared to contemporary research efforts in the field.” — Explanation: A lacuna apontada é a comparação com pesquisas contemporâneas; o estudo sugere que há espaço para validar e expandir os resultados em contextos mais amplos.</t>
  </si>
  <si>
    <t>RQ1 Excerpt: “This study presents the development of a proposal for an (electroencephalography) EEG-integrated tool designed to enhance cognitive assessment practices” — Explanation: O estudo propõe uma ferramenta integrada de EEG para avaliar o declínio cognitivo, mas não especifica tipos de BCI (invasiva, não invasiva ou híbrida).</t>
  </si>
  <si>
    <t>Excerpt: “The system employs the EMOTIV EPOC X headset to capture EEG signals...” — Explanation: The study utilizes the Emotiv EPOC X, which is a commercial, non-invasive EEG device.</t>
  </si>
  <si>
    <t>Excerpt: “EEG-integrated tool designed to enhance cognitive assessment practices by providing objective, real-time insights into cognitive states and brain activity.” — Explanation: O estudo utiliza EEG, que é uma interface cérebro-computador não-invasiva, aplicada para avaliação cognitiva.</t>
  </si>
  <si>
    <t>RQ2 Excerpt: No evidence found. — Explanation: O resumo não menciona transtornos mentais específicos, apenas declínio cognitivo.</t>
  </si>
  <si>
    <t>Excerpt: “Cognitive decline is a growing concern, especially in aging populations...” — Explanation: The research focuses on "Cognitive decline," a condition often associated with dementia and aging, rather than a specific psychiatric disorder like schizophrenia.</t>
  </si>
  <si>
    <t>Excerpt: “Cognitive decline is a growing concern, especially in aging populations…” — Explanation: O transtorno abordado é o declínio cognitivo, não há menção a outros como depressão, ansiedade ou esquizofrenia.</t>
  </si>
  <si>
    <t>RQ3 Excerpt: “The system employs the EMOTIV EPOC X headset to capture EEG signals and extract key cognitive metrics such as engagement, attention, stress, interest and band power on specific band waves.” — Explanation: O estudo usa métricas cognitivas como atenção e estresse para avaliação, mas não fornece métricas de precisão ou F1-score.</t>
  </si>
  <si>
    <t>Excerpt: “...extract key cognitive metrics such as engagement, attention, stress, interest and band power on specific band waves.” — Explanation: The effectiveness of the assessment is measured using specific cognitive metrics derived from EEG spectral analysis (band power).</t>
  </si>
  <si>
    <t>Excerpt: “extract key cognitive metrics such as engagement, attention, stress, interest and band power on specific band waves.” — Explanation: As métricas utilizadas incluem engajamento, atenção, estresse, interesse e potência de bandas específicas.</t>
  </si>
  <si>
    <t>RQ4 Excerpt: No evidence found. — Explanation: O foco do estudo é na detecção e monitoramento do declínio cognitivo, não no aprimoramento de funções cognitivas como memória, aprendizado ou atenção.</t>
  </si>
  <si>
    <t>No evidence found. — Explanation: The study aims to "enhance cognitive assessment practices" (the method of measuring), not to actively enhance the cognitive abilities (memory, learning) of the users themselves.</t>
  </si>
  <si>
    <t>Excerpt: “extract key cognitive metrics such as engagement, attention, stress, interest and band power…” — Explanation: O artigo mostra que o EEG é usado para acompanhar funções cognitivas como atenção e engajamento, mas não há evidência de aplicações para melhorar memória ou aprendizagem diretamente.</t>
  </si>
  <si>
    <t>RQ5 Excerpt: No evidence found. — Explanation: Não há discussão sobre barreiras técnicas, clínicas ou éticas no resumo.</t>
  </si>
  <si>
    <t>No evidence found. — Explanation: The text discusses the limitations of traditional assessments (subjectivity), but does not explicitly list barriers limiting the adoption of BCI technology itself, other than the implied need for validation.</t>
  </si>
  <si>
    <t>Excerpt: “the future of this proposal can include clinical validation and refinement of signal processing techniques to enhance accuracy and usability.” — Explanation: As barreiras destacadas são técnicas e clínicas, relacionadas à necessidade de validação e refinamento dos métodos de processamento de sinais.</t>
  </si>
  <si>
    <t>Excerpt: No evidence found. — Explanation: O abstract não aborda segurança, privacidade ou integridade dos dados neurais coletados.</t>
  </si>
  <si>
    <t>RQ7 Excerpt: No evidence found. — Explanation: O resumo não menciona integração com IA, neuroestimulação ou outras tecnologias emergentes.</t>
  </si>
  <si>
    <t>No evidence found. — Explanation: The text mentions processing in Python and visualization, but does not explicitly discuss the integration of Artificial Intelligence or personalized neurostimulation as future trends.</t>
  </si>
  <si>
    <t>RQ8 Excerpt: No evidence found. — Explanation: Não há discussão ética ou filosófica sobre ampliação cognitiva ou expansão neurológica.</t>
  </si>
  <si>
    <t>RQ9 Excerpt: “the future of this proposal can include clinical validation and refinement of signal processing techniques to enhance accuracy and usability.” — Explanation: O resumo aponta lacunas de pesquisa no aprimoramento da técnica e validação clínica, mas não especificamente sobre BCIs em saúde mental ou aprimoramento cognitivo.</t>
  </si>
  <si>
    <t>Excerpt: “...future of this proposal can include clinical validation and refinement of signal processing techniques to enhance accuracy and usability.” — Explanation: The authors identify the lack of clinical validation and the need for improved signal processing/usability as specific gaps that future work must address.</t>
  </si>
  <si>
    <t>Excerpt: “the future of this proposal can include clinical validation and refinement of signal processing techniques to enhance accuracy and usability.” — Explanation: A principal lacuna identificada é a necessidade de validação clínica e aprimoramento técnico para garantir eficácia e usabilidade.</t>
  </si>
  <si>
    <t>RQ1: No evidence found. — The abstract does not mention any types of Brain-Computer Interfaces (invasive, non-invasive, hybrid) used in mental health applications.</t>
  </si>
  <si>
    <t>Excerpt: “...utilizing 1D-EEG signals and their various timefrequency (T-F) representation...” — Explanation: The study uses Electroencephalography (EEG), a standard non-invasive method for recording brain activity.</t>
  </si>
  <si>
    <t>Excerpt: “utilizing 1D-EEG signals and their various time-frequency (T-F) representation as 2D pictures.” — Explanation: O estudo utiliza EEG, que é uma interface cérebro-computador não-invasiva, aplicada para detectar carga cognitiva.</t>
  </si>
  <si>
    <t>RQ2: No evidence found. — The abstract does not specify any mental disorders being targeted in the research involving BCIs.</t>
  </si>
  <si>
    <t>No evidence found. — Explanation: The text discusses "cognitive strain," "mental strain," and "cerebral stress" generally, rather than focusing on specific diagnosed mental disorders like depression or schizophrenia.</t>
  </si>
  <si>
    <t>Excerpt: “Individualized cognitive functions may be better understood with the help of this work's subject-wise mental load detecting them.” — Explanation: O transtorno abordado é o estresse/carga cognitiva, não há menção a outros como depressão, ansiedade ou esquizofrenia.</t>
  </si>
  <si>
    <t>RQ3: No evidence found. — The abstract does not detail any metrics or evaluation methods used to measure the effectiveness of BCIs in the treatment of mental disorders.</t>
  </si>
  <si>
    <t>Excerpt: “The proposed Bidirectional Long Short-Term Memory (Bi-LSTM) model achieves a flawless accuracy rate of 100%...” — Explanation: The effectiveness of the system is evaluated using the quantitative metric of classification accuracy, comparing it against other models.</t>
  </si>
  <si>
    <t>Excerpt: “The proposed Bidirectional Long Short-Term Memory (Bi-LSTM) model achieves a flawless accuracy rate of 100%…” — Explanation: A métrica principal utilizada para avaliar a eficácia foi a acurácia, que atingiu 100%.</t>
  </si>
  <si>
    <t>RQ4: Excerpt: “Individualized cognitive functions may be better understood with the help of this work's subject-wise mental load detecting them.” — Explanation: The study uses EEG data and Bi-LSTM models to detect cognitive strain, which may help in enhancing cognitive functions such as understanding mental load.</t>
  </si>
  <si>
    <t>No evidence found. — Explanation: The study focuses on detecting strain and mentions that occupations need abilities like "paying attention, retaining information," but it does not claim the BCI itself is used to enhance these abilities.</t>
  </si>
  <si>
    <t>Excerpt: “A wide range of occupations need for different sets of abilities, such as paying attention, retaining information, recall, and judgement.” — Explanation: O artigo relaciona o uso de BCIs com funções cognitivas como atenção, memória, recordação e julgamento.</t>
  </si>
  <si>
    <t>RQ5: No evidence found. — The abstract does not discuss technical, clinical, or ethical barriers related to the adoption of BCIs.</t>
  </si>
  <si>
    <t>Excerpt: “EEG signal processing relies on removing EOG artifacts.” — Explanation: The authors highlight the technical challenge of artifacts (specifically Electrooculography/eye movement noise) as a significant issue in processing neural data.</t>
  </si>
  <si>
    <t>Excerpt: “In numerous diagnosis scenarios, EEG signal processing relies on removing EOG artifacts.” — Explanation: A barreira técnica destacada é a necessidade de remover artefatos de EOG para melhorar a qualidade dos sinais.</t>
  </si>
  <si>
    <t>RQ6: No evidence found. — The abstract does not address issues related to the security, privacy, or integrity of neural data collected by BCIs.</t>
  </si>
  <si>
    <t>RQ7: No evidence found. — The abstract does not mention emerging trends or future integration of BCIs with artificial intelligence or personalized neurostimulation.</t>
  </si>
  <si>
    <t>Excerpt: “A Bi-LSTM framework incorporating several optimization techniques was used for categorization... training and fine-tuning of the Bi-LSTM networks...” — Explanation: The study integrates BCI signal processing with advanced Artificial Intelligence (Bi-LSTM, a type of recurrent neural network) to classify cognitive states.</t>
  </si>
  <si>
    <t>RQ8: No evidence found. — The abstract does not discuss the ethical or philosophical aspects of "neurological expansion" or amplification of human capabilities.</t>
  </si>
  <si>
    <t>RQ9: Excerpt: “A few other cognition-related objectives still need the attention of scientists.” — Explanation: The abstract mentions that further research is needed on cognition-related objectives, which implies a gap in the field that could be explored for BCIs in cognitive enhancement.</t>
  </si>
  <si>
    <t>Excerpt: “A few other cognition-related objectives still need the attention of scientists.” — Explanation: The authors broadly note that there are remaining objectives in the field of cognition that require further scientific investigation.</t>
  </si>
  <si>
    <t>Excerpt: “A few other cognition-related objectives still need the attention of scientists.” — Explanation: A lacuna identificada é a necessidade de explorar outros objetivos relacionados à cognição que ainda não receberam atenção suficiente.</t>
  </si>
  <si>
    <t>Excerpt: “...framework based on EEG signals...” — Explanation: The study utilizes Electroencephalography (EEG), which is a non-invasive technique for monitoring brain activity.</t>
  </si>
  <si>
    <t>Excerpt: “this paper proposes a framework based on EEG signals to evaluate the effectiveness of TENS therapy in cognitive enhancement.” — Explanation: O estudo utiliza EEG, que é uma interface cérebro-computador não-invasiva, aplicada em conjunto com TENS para avaliar melhorias cognitivas.</t>
  </si>
  <si>
    <t>No evidence found. — Explanation: The study focuses on general "cognitive ability" and "cognitive enhancement" rather than a specific mental disorder (e.g., depression, ADHD).</t>
  </si>
  <si>
    <t>Excerpt: “The transcutaneous electrical nerve stimulation (TENS) is widely regarded as a therapeutic method for improving cognitive ability.” — Explanation: O foco é o aprimoramento da capacidade cognitiva, não há menção a transtornos como depressão, ansiedade ou esquizofrenia.</t>
  </si>
  <si>
    <t>RQ3: Excerpt: “The results based on the dataset established by our research institute indicate that the proposed method is superior to existing methods. It achieves optimal performance in various indicators such as average classification accuracy (ACC), standard deviation (STD), Cohen's kappa coefficient (kappa), F1 score (F1), and area under the curve (AUC).” — Explanation: The abstract describes several performance metrics used to evaluate the effectiveness of the EEG-based method, including ACC, STD, kappa, F1, and AUC.</t>
  </si>
  <si>
    <t>Excerpt: “...optimal performance in various indicators such as average classification accuracy (ACC), standard deviation (STD), Cohen's kappa coefficient (kappa), F1 score (F1), and area under the curve (AUC).” — Explanation: The study utilizes a comprehensive set of quantitative statistical metrics to evaluate the performance of the classification model.</t>
  </si>
  <si>
    <t>Excerpt: “It achieves optimal performance in various indicators such as average classification accuracy (ACC), standard deviation (STD), Cohen's kappa coefficient (kappa), F1 score (F1), and area under the curve (AUC).” — Explanation: As métricas utilizadas para avaliar a eficácia incluem acurácia, desvio padrão, kappa, F1 e AUC.</t>
  </si>
  <si>
    <t>RQ4: No evidence found. — The abstract does not mention the enhancement of cognitive abilities like memory, attention, or learning beyond its focus on cognitive improvement via TENS therapy.</t>
  </si>
  <si>
    <t>Excerpt: “The transcutaneous electrical nerve stimulation (TENS) is widely regarded as a therapeutic method for improving cognitive ability... demonstrated in activities such as thinking, memory, and learning.” — Explanation: The text explicitly links the intervention (TENS) to the improvement of cognitive functions like memory and learning, using EEG to evaluate this enhancement.</t>
  </si>
  <si>
    <t>Excerpt: “Cognitive ability refers to an individual's psychological capacity and level demonstrated in activities such as thinking, memory, and learning.” — Explanation: O artigo relaciona BCIs com funções cognitivas como memória, aprendizagem e pensamento, mostrando aplicação em aprimoramento cognitivo.</t>
  </si>
  <si>
    <t>Excerpt: “...input into the Attention-based Multi-Scale Dilated Convolution Network (A-MSDCNet)... to classify EEGs before and after the application of TENS.” — Explanation: The study represents the integration of Artificial Intelligence (A-MSDCNet) with neurostimulation technologies (TENS) to analyze and verify cognitive enhancement.</t>
  </si>
  <si>
    <t>Excerpt: No evidence found. — Explanation: O texto não menciona tendências emergentes de integração com IA ou neuroestimulação personalizada além do uso de TENS.</t>
  </si>
  <si>
    <t>RQ9: No evidence found. — The abstract does not mention any research gaps to be explored for BCIs in mental healthcare or cognitive enhancement.</t>
  </si>
  <si>
    <t>Excerpt: “indicate that the proposed method is superior to existing methods.” — Explanation: A lacuna identificada é a necessidade de validar e comparar em contextos mais amplos, já que a superioridade foi demonstrada apenas em dataset próprio.</t>
  </si>
  <si>
    <t>Excerpt: “...portable electroencephalography (EEG) acquisition and stimulation device is designed to collect eight-channel EEG signals...” — Explanation: The study uses a non-invasive setup involving EEG for recording and a portable device for stimulation.</t>
  </si>
  <si>
    <t>Excerpt: “a portable electroencephalography (EEG) acquisition and stimulation device is designed to collect eight-channel EEG signals and deliver taVNS to both sides of ears.” — Explanation: O estudo utiliza EEG, que é uma interface cérebro-computador não-invasiva, combinada com estimulação taVNS.</t>
  </si>
  <si>
    <t>RQ2: Excerpt: “taVNS could serve as a promising neuromodulation therapy for psychiatric disorders and individuals with depression or emotional distress.” — Explanation: The abstract indicates that taVNS could be beneficial for individuals with psychiatric disorders, including depression and emotional distress.</t>
  </si>
  <si>
    <t>Excerpt: “...preventing depression... taVNS could serve as a promising neuromodulation therapy for psychiatric disorders and individuals with depression or emotional distress.” — Explanation: The research explicitly targets depression and general psychiatric disorders as the clinical conditions relevant to this technology.</t>
  </si>
  <si>
    <t>Excerpt: “taVNS could serve as a promising neuromodulation therapy for psychiatric disorders and individuals with depression or emotional distress.” — Explanation: O artigo aborda transtornos relacionados a depressão e sofrimento emocional, além de foco em regulação de emoções negativas.</t>
  </si>
  <si>
    <t>RQ3: No evidence found. — The abstract does not detail specific metrics or evaluation methods used to measure the effectiveness of BCIs in the treatment of mental disorders.</t>
  </si>
  <si>
    <t>Excerpt: “...analyze the power spectrum density (PSD) of EEG signals and the functional connectivity network of the brain, based on the phase locking value (PLV)... differences in graph theory parameters...” — Explanation: The study evaluates effectiveness using quantitative neural metrics such as PSD, PLV, and graph theory parameters.</t>
  </si>
  <si>
    <t>Excerpt: “we primarily analyze the power spectrum density (PSD) of EEG signals and the functional connectivity network of the brain, based on the phase locking value (PLV).” — Explanation: As métricas utilizadas para avaliar a eficácia foram PSD e PLV, além de parâmetros de teoria dos grafos.</t>
  </si>
  <si>
    <t>RQ4: No evidence found. — The abstract does not mention enhancement of cognitive abilities such as memory, attention, or learning. It focuses on emotional inhibitory control.</t>
  </si>
  <si>
    <t>Excerpt: “Emotion inhibitory control is a key executive function... taVNS has been proved to enhance behavioral control... enhancing emotional inhibitory control...” — Explanation: The study focuses on using neurostimulation to enhance "inhibitory control," which is identified as a key executive (cognitive) function.</t>
  </si>
  <si>
    <t>Excerpt: “taVNS is a promising method for enhancing emotional inhibitory control by reducing PSD in the alpha band and enhancing PLV within prefrontal inhibitory control networks.” — Explanation: O artigo mostra que BCIs foram usados para melhorar o controle inibitório emocional, regulando atenção e resposta a emoções negativas.</t>
  </si>
  <si>
    <t>Excerpt: “...taVNS could serve as a promising neuromodulation therapy... deliver taVNS to both sides of ears.” — Explanation: The study highlights the trend of using specific neurostimulation techniques (taVNS) to modulate brain activity.</t>
  </si>
  <si>
    <t>Excerpt: No evidence found. — Explanation: O texto não menciona tendências emergentes de integração com IA ou neuroestimulação personalizada além do uso de taVNS.</t>
  </si>
  <si>
    <t>Excerpt: “...the neurocomputational mechanisms underlying taVNS-induced neuroenhancement remain unclear.” — Explanation: The authors identify the lack of understanding regarding the specific neural mechanisms of the enhancement as a research gap their study aims to address.</t>
  </si>
  <si>
    <t>Excerpt: “results indicate that taVNS could serve as a promising neuromodulation therapy for psychiatric disorders and individuals with depression or emotional distress.” — Explanation: A lacuna identificada é a necessidade de validar o uso de taVNS em contextos clínicos mais amplos para confirmar eficácia e segurança.</t>
  </si>
  <si>
    <t>Excerpt: “EMOTIV EPOC (14 channels) is used to conduct EEG...” — Explanation: The study utilizes the Emotiv EPOC, which is a commercial, non-invasive EEG headset.</t>
  </si>
  <si>
    <t>Excerpt: “EMOTIV EPOC (14 channels) is used to conduct EEG across 956 participants…” — Explanation: O estudo utiliza EEG, que é uma interface cérebro-computador não-invasiva, aplicada para analisar processos mentais.</t>
  </si>
  <si>
    <t>No evidence found. — Explanation: The study involves "956 participants" to analyze general mental processes (learning styles, emotional states) rather than targeting specific mental disorders.</t>
  </si>
  <si>
    <t>Excerpt: “analyzed on 4 main dimensions: learning styles, cognition, mental efforts and emotional states.” — Explanation: O artigo aborda dimensões cognitivas e emocionais, mas não menciona transtornos específicos como depressão, ansiedade ou esquizofrenia.</t>
  </si>
  <si>
    <t>No evidence found. — Explanation: The study focuses on finding correlations between mental states rather than evaluating the effectiveness of a BCI for treating mental disorders using specific metrics.</t>
  </si>
  <si>
    <t>Excerpt: “Stronger correlation has been observed in audio-video (A-V) learning style, thinking-(mental) association (T-A) cognitive dimension, and tiredness-stress (TS) emotional state…” — Explanation: As métricas utilizadas incluem correlações entre estilos de aprendizagem, cognição, esforço mental e estados emocionais.</t>
  </si>
  <si>
    <t>RQ4: No evidence found. — The abstract does not mention enhancement of cognitive abilities such as memory, attention, or learning. It focuses on cognitive and emotional analysis related to learning styles and mental efforts.</t>
  </si>
  <si>
    <t>No evidence found. — Explanation: While the study analyzes "learning styles" and "cognition," it focuses on assessment and establishing relationships, rather than an intervention to actively enhance these abilities.</t>
  </si>
  <si>
    <t>Excerpt: “The aim is to establish relationships between different mental concepts and how an individual can benefit from learning about their cognitive and emotional strengths.” — Explanation: O artigo mostra que BCIs foram usados para explorar e potencializar habilidades cognitivas e emocionais, como estilos de aprendizagem e associações mentais.</t>
  </si>
  <si>
    <t>Excerpt: “Deep Learning (DL) approach detects the patterns of the brain activity... With the use of DL, the NEMA AI software provides information...” — Explanation: The research integrates BCI technology with Deep Learning (a subset of Artificial Intelligence) to analyze neural oscillations and detect patterns.</t>
  </si>
  <si>
    <t>Excerpt: “Deep Learning (DL) approach detects the patterns of the brain activity…” — Explanation: Há uma tendência emergente de integração de BCIs com inteligência artificial (DL) para análise de padrões neurais.</t>
  </si>
  <si>
    <t>Excerpt: “A few other cognition-related objectives still need the attention of scientists.” — Explanation: A lacuna identificada é a necessidade de explorar mais objetivos relacionados à cognição e estados emocionais em pesquisas futuras.</t>
  </si>
  <si>
    <t>IEEE press</t>
  </si>
  <si>
    <t xml:space="preserve">No evidence found. — The article describes a wearable affective-robot design using EEG for “emotion cognition,” but it does not discuss invasive vs. non-invasive vs. hybrid BCIs, nor survey which types are most used in mental-health applications. </t>
  </si>
  <si>
    <t>Excerpt: “No evidence found.” — Explanation: I was unable to retrieve the full text of the specified article from the provided IEEE Xplore URL or through publicly accessible sources. Therefore, I cannot extract the required verbatim excerpt.</t>
  </si>
  <si>
    <t xml:space="preserve">No evidence found. — The paper does not refer to any specific mental disorders (depression, anxiety, schizophrenia, ADHD, etc.) or attempt to treat them. </t>
  </si>
  <si>
    <t xml:space="preserve">No evidence found. — There is no description of clinical or psychological evaluation metrics for mental disorder treatment (e.g. symptom scales, behavioral outcomes, follow-up, controlled trials). The paper only speaks of “emotion cognition” and “affective social interaction.” </t>
  </si>
  <si>
    <t xml:space="preserve">No evidence found. — The focus is on emotion recognition and social interaction, not on enhancement of cognitive abilities like memory, attention, or learning. </t>
  </si>
  <si>
    <t xml:space="preserve">Partial evidence: The paper lists some “challenges” for its wearable affective robot. For example: “cost … hard … complex …” and mentions “some challenging issues of a wearable affective robot” in the conclusion. </t>
  </si>
  <si>
    <t xml:space="preserve">No evidence found. — The article does not discuss security, privacy, or data integrity of EEG/neural data. </t>
  </si>
  <si>
    <t xml:space="preserve">No evidence found. — The paper does not describe integration with AI beyond basic “emotion cognition” for social interaction; no mention of personalized neurostimulation or future BCI-AI trends. </t>
  </si>
  <si>
    <t xml:space="preserve">No evidence found. — There is no discussion of philosophical/ethical aspects of “neurological expansion” or enhancement of human capabilities. The focus is on affective companionship, not enhancement. </t>
  </si>
  <si>
    <t xml:space="preserve">No evidence found. — The paper does not identify research gaps in BCI for mental health or cognitive enhancement; it addresses challenges for wearable affective robots in general, not BCI-driven therapy or enhancement. </t>
  </si>
  <si>
    <t>Excerpt: “a method based on analyzing electroencephalogram signals … for emotion detection tasks.” 
SSRN
+1
 — Explanation: The paper uses EEG signals, which implies a non-invasive BCI modality. However, the authors do not compare invasive vs non-invasive vs hybrid BCIs, nor discuss prevalence; they simply use EEG. Therefore the paper does not answer which type has been “most used in mental health applications.”</t>
  </si>
  <si>
    <t>Excerpt: “No evidence found.” — Explanation: The article is a technical paper focused on emotion recognition using EEG signals in a gaming context, not a systematic review detailing the most used types of Brain-Computer Interfaces (invasive, non-invasive, hybrid) in mental health applications.</t>
  </si>
  <si>
    <t xml:space="preserve">No evidence found. — The paper deals with emotion recognition during gaming, not with diagnosing or treating specific mental disorders (e.g. depression, anxiety, schizophrenia, ADHD). The authors never mention clinical mental-health conditions or treat them as targets. </t>
  </si>
  <si>
    <t>Excerpt: “No evidence found.” — Explanation: The article does not conduct a review to determine which mental disorders (e.g., depression, anxiety, schizophrenia, ADHD) have received the most attention in research involving BCIs.</t>
  </si>
  <si>
    <t>Excerpt: “a 1-D Local Binary Pattern (LBP) method transforms the EEG temporal behavior to extract time–frequency features.” and “a semi-supervised clustering method was employed … improving the classification by over 92% in accuracy for 19 self-assessed classes.” 
ResearchGate
+1
 — Explanation: The paper uses feature extraction (via 1-D LBP) and a semi-supervised clustering + classification, and evaluates performance via classification accuracy. But these are metrics for emotion recognition, not for therapeutic effectiveness in treating mental disorders. So while they measure recognition effectiveness, they do not measure clinical outcomes for mental health treatment.</t>
  </si>
  <si>
    <t>Excerpt: “No evidence found.” — Explanation: The article does not discuss metrics and evaluation methods for measuring the effectiveness of BCIs in the treatment of mental disorders, focusing instead on classification accuracy for emotion recognition.</t>
  </si>
  <si>
    <t xml:space="preserve">No evidence found. — The paper does not address cognitive enhancement (memory, attention, learning). It focuses strictly on emotion recognition during gameplay. </t>
  </si>
  <si>
    <t>Excerpt: “No evidence found.” — Explanation: The article does not contain a discussion or review detailing how BCIs have been used to enhance cognitive abilities such as memory, attention, and learning.</t>
  </si>
  <si>
    <t xml:space="preserve">No evidence found. — The paper mentions removing “artifacts” (noise) from EEG data as a technical challenge, but does not discuss broader technical, clinical, or ethical barriers for BCI adoption in therapy or enhancement contexts. </t>
  </si>
  <si>
    <t>Excerpt: “No evidence found.” — Explanation: The article does not address the main technical, clinical, and ethical barriers limiting the adoption of BCIs in therapeutic and human enhancement contexts.</t>
  </si>
  <si>
    <t xml:space="preserve">No evidence found. — There is no discussion of security, privacy, or data integrity of neural data. The paper is purely methodological and does not address data protection concerns. </t>
  </si>
  <si>
    <t>Excerpt: “No evidence found.” — Explanation: While the paper addresses data integrity in terms of artifact reduction and clustering for labeling, it does not discuss how studies address issues of security and privacy of neural data collected by BCIs.</t>
  </si>
  <si>
    <t xml:space="preserve">No evidence found. — The paper does not mention integration with artificial intelligence beyond its semi-supervised clustering / classification for emotion recognition, nor neurostimulation or personalized BCI–AI systems for future applications. </t>
  </si>
  <si>
    <t>Excerpt: “No evidence found.” — Explanation: The article does not outline emerging trends concerning the future of BCIs in integration with artificial intelligence and personalized neurostimulation.</t>
  </si>
  <si>
    <t xml:space="preserve">No evidence found. — There is no philosophical or ethical discussion about “neurological expansion,” human enhancement, or the amplification of human capabilities. The work is confined to emotion recognition in gaming contexts. </t>
  </si>
  <si>
    <t>Excerpt: “No evidence found.” — Explanation: The scientific literature review within this article does not address the ethical and philosophical aspects of "neurological expansion" and the amplification of human capabilities.</t>
  </si>
  <si>
    <t>Partial: the paper implicitly reveals a research gap: that many emotion-recognition datasets suffer from artifacts when using self-assessed labels, and that using semi-supervised clustering to clean such datasets can improve classification accuracy. For example: Excerpt: “the artifacts in the dataset were removed using a novel Conflict Learning approach … associating the extracted samples with the subjects’ emotion labeling.” 
SSRN
+1
 — Explanation: This points to a gap in the reliability and quality of EEG-based emotion datasets, especially when self-report labeling is noisy. However, the paper does not address broader gaps such as lack of clinical validation, long-term studies, or use in mental-health treatment. So while it identifies a methodological/data-quality gap in emotion-recognition research, it does not map out the full set of gaps needed for BCI adoption in mental-health care or cognitive enhancement.</t>
  </si>
  <si>
    <t>Excerpt: “No evidence found.” — Explanation: The article, being a specific technical contribution, does not discuss the broad research gaps that still need to be explored for BCIs to become an effective and safe tool in mental healthcare and cognitive enhancement.</t>
  </si>
  <si>
    <t>b</t>
  </si>
  <si>
    <t xml:space="preserve">ACM Transactions on Computer-Human Interaction, Volume 32, Issue 3
</t>
  </si>
  <si>
    <t>Proceedings of the ACM on Human-Computer Interaction, Volume 9, Issue 6</t>
  </si>
  <si>
    <t xml:space="preserve">IVA '24: Proceedings of the 24th ACM International Conference on Intelligent Virtual Agents
</t>
  </si>
  <si>
    <t xml:space="preserve">Nature Research
</t>
  </si>
  <si>
    <t xml:space="preserve">Journal of Daylighting
</t>
  </si>
  <si>
    <t xml:space="preserve">BMC Sports Science, Medicine and Rehabilitation
</t>
  </si>
  <si>
    <t xml:space="preserve">Multidisciplinary Digital Publishing Institute (MDPI)
</t>
  </si>
  <si>
    <t>Italy</t>
  </si>
  <si>
    <t xml:space="preserve">Multidisciplinary Digital Publishing Institute (MDPI)
</t>
  </si>
  <si>
    <t>Austria</t>
  </si>
  <si>
    <t xml:space="preserve">e-Prime - Advances in Electrical Engineering, Electronics and Energy
</t>
  </si>
  <si>
    <t xml:space="preserve">Oxford University Press
</t>
  </si>
  <si>
    <t xml:space="preserve">Frontiers in Applied Mathematics and Statistics
</t>
  </si>
  <si>
    <t xml:space="preserve">Frontiers in Neuroscience
</t>
  </si>
  <si>
    <t xml:space="preserve">Dove Medical Press Ltd
</t>
  </si>
  <si>
    <t xml:space="preserve">Scientific Reports
</t>
  </si>
  <si>
    <t>New Zeland</t>
  </si>
  <si>
    <t xml:space="preserve">International Journal of Neuropsychopharmacology
</t>
  </si>
  <si>
    <t xml:space="preserve">British Journal of Psychology
</t>
  </si>
  <si>
    <t>Spain</t>
  </si>
  <si>
    <t>E3S Web of Conferences</t>
  </si>
  <si>
    <t xml:space="preserve">Frontiers in Behavioral Neuroscience
</t>
  </si>
  <si>
    <t>Greece</t>
  </si>
  <si>
    <t xml:space="preserve">Frontiers in Public Health
</t>
  </si>
  <si>
    <t xml:space="preserve">Psychology and Aging
</t>
  </si>
  <si>
    <t xml:space="preserve">Acta Obstetricia et Gynecologica Scandinavica
</t>
  </si>
  <si>
    <t>eLife Sciences Publications Ltd</t>
  </si>
  <si>
    <t xml:space="preserve">Frontiers in Human Neuroscience
</t>
  </si>
  <si>
    <t>Psychiatry and Clinical Psychopharmacology</t>
  </si>
  <si>
    <t>France</t>
  </si>
  <si>
    <t>Multidisciplinary Digital Publishing Institute (MDPI)</t>
  </si>
  <si>
    <t>International Society for Neurofeedback and Research</t>
  </si>
  <si>
    <t xml:space="preserve">NeuroRegulation
</t>
  </si>
  <si>
    <t>Ireland</t>
  </si>
  <si>
    <t xml:space="preserve">Frontiers in Psychiatry
</t>
  </si>
  <si>
    <t xml:space="preserve">NeuroImage: Clinical
</t>
  </si>
  <si>
    <t xml:space="preserve">Brain Sciences
</t>
  </si>
  <si>
    <t xml:space="preserve">Frontiers in Aging Neuroscience
</t>
  </si>
  <si>
    <t xml:space="preserve">Pharmaceuticals
</t>
  </si>
  <si>
    <t>Sovremennye Tehnologii v Medicine</t>
  </si>
  <si>
    <t>Computational Intelligence and Neuroscience</t>
  </si>
  <si>
    <t>Iceland</t>
  </si>
  <si>
    <t>PROMPT</t>
  </si>
  <si>
    <t>Task: Read the article and extract verbatim excerpts (exact text) that answer each Research Question (RQ).
If the article does not answer an RQ, write: “No evidence found.”
Also add a 1–2 sentence explanation for each answer.
Return the final output as a table with two columns:
| RQ | Response (Excerpt + Explanation) |
Research Questions (do not modify):
RQ1: What types of Brain-Computer Interfaces (invasive, non-invasive, hybrid) have been most used in mental health applications?
RQ2: Which mental disorders have received the most attention in research involving BCIs (e.g., depression, anxiety, schizophrenia, ADHD)?
RQ3: What metrics and evaluation methods are used to measure the effectiveness of BCIs in the treatment of mental disorders?
RQ4: How have BCIs been used to enhance cognitive abilities such as memory, attention, and learning?
RQ5: What are the main technical, clinical, and ethical barriers limiting the adoption of BCIs in therapeutic and human enhancement contexts?
RQ6: How do current studies address issues of security, privacy, and integrity of neural data collected by BCIs?
RQ7: What emerging trends point to the future of BCIs in integration with artificial intelligence and personalized neurostimulation?
RQ8: How does the scientific literature address the ethical and philosophical aspects of "neurological expansion" and the amplification of human capabilities?
RQ9: What research gaps still need to be explored for BCIs to become an effective and safe tool in mental healthcare and cognitive enhancement?
Output Format (strict):
Produce a table like this:
RQ        Response
RQ1        Excerpt: “…” — Explanation: …
RQ2        Excerpt: “…” — Explanation: …
RQ3        Excerpt: “…” — Explanation: …
RQ4        Excerpt: “…” — Explanation: …
RQ5        Excerpt: “…” — Explanation: …
RQ6        Excerpt: “…” — Explanation: …
RQ7        Excerpt: “…” — Explanation: …
RQ8        Excerpt: “…” — Explanation: …
RQ9        Excerpt: “…” — Explanation: …
Rules:
– Use exact quoted text from the article (no paraphrasing).
– Excerpt and Explanation must appear together in the same cell.
– Choose the most relevant excerpt for each RQ.
– If no answer exists, write “No evidence found.”</t>
  </si>
  <si>
    <t>RQ1:</t>
  </si>
  <si>
    <t>&lt;&lt;What types of Brain-Computer Interfaces (invasive, non-invasive, hybrid) have been most used in mental health applications?&gt;&gt;</t>
  </si>
  <si>
    <t>Quais tipos de Interfaces Cérebro-Computador (invasivas, não invasivas, híbridas) têm sido mais utilizadas em aplicações voltadas à saúde mental?</t>
  </si>
  <si>
    <t>RQ2:</t>
  </si>
  <si>
    <t>&lt;&lt;Which mental disorders have received the most attention in research involving BCIs (e.g., depression, anxiety, schizophrenia, ADHD)?&gt;&gt;</t>
  </si>
  <si>
    <t>Quais transtornos mentais têm recebido maior atenção nas pesquisas envolvendo BCIs (por exemplo, depressão, ansiedade, esquizofrenia, TDAH)?</t>
  </si>
  <si>
    <t>RQ3:</t>
  </si>
  <si>
    <t>&lt;&lt;What metrics and evaluation methods are used to measure the effectiveness of BCIs in the treatment of mental disorders?&gt;&gt;</t>
  </si>
  <si>
    <t xml:space="preserve">Quais métricas e métodos de avaliação são empregados para medir a eficácia das BCIs no tratamento de distúrbios mentais?
</t>
  </si>
  <si>
    <t>RQ4:</t>
  </si>
  <si>
    <t>&lt;&lt;How have BCIs been used to enhance cognitive abilities such as memory, attention, and learning?&gt;&gt;</t>
  </si>
  <si>
    <t>De que forma as BCIs têm sido utilizadas para aprimorar capacidades cognitivas, como memória, atenção e aprendizado?</t>
  </si>
  <si>
    <t>RQ5:</t>
  </si>
  <si>
    <t>&lt;&lt;What are the main technical, clinical, and ethical barriers limiting the adoption of BCIs in therapeutic and human enhancement contexts?&gt;&gt;</t>
  </si>
  <si>
    <t xml:space="preserve">Quais são as principais barreiras técnicas, clínicas e éticas que limitam a adoção de BCIs em contextos terapêuticos e de amplificação humana?
</t>
  </si>
  <si>
    <t>RQ6:</t>
  </si>
  <si>
    <t>&lt;&lt;How do current studies address issues of security, privacy, and integrity of neural data collected by BCIs?&gt;&gt;</t>
  </si>
  <si>
    <t xml:space="preserve">Como os estudos atuais abordam questões de segurança, privacidade e integridade dos dados neurais coletados por BCIs?
</t>
  </si>
  <si>
    <t>RQ7:</t>
  </si>
  <si>
    <t>&lt;&lt;What emerging trends point to the future of BCIs in integration with artificial intelligence and personalized neurostimulation?&gt;&gt;</t>
  </si>
  <si>
    <t>Quais tendências emergentes apontam para o futuro das BCIs na integração com inteligência artificial e neuroestimulação personalizada?</t>
  </si>
  <si>
    <t>RQ8:</t>
  </si>
  <si>
    <t>&lt;&lt;How does the scientific literature address the ethical and philosophical aspects of "neurological expansion" and the amplification of human capabilities?&gt;&gt;</t>
  </si>
  <si>
    <t xml:space="preserve">Como a literatura científica trata os aspectos éticos e filosóficos da “expansão neurológica” e da amplificação das capacidades humanas?
</t>
  </si>
  <si>
    <t>RQ9:</t>
  </si>
  <si>
    <t>&lt;&lt;What research gaps still need to be explored for BCIs to become an effective and safe tool in healthcare? mental e no aprimoramento cognitivo?&gt;&gt;</t>
  </si>
  <si>
    <t>Quais lacunas de pesquisa ainda precisam ser exploradas para que as BCIs se tornem uma ferramenta efetiva e segura na saúde mental e no aprimoramento cognitivo?</t>
  </si>
  <si>
    <t>,sss</t>
  </si>
  <si>
    <t>S1</t>
  </si>
  <si>
    <r>
      <rPr>
        <rFont val="Arial"/>
        <b/>
        <color theme="1"/>
      </rPr>
      <t>Embora não seja um estudo de BCI</t>
    </r>
    <r>
      <rPr>
        <rFont val="Arial"/>
        <color theme="1"/>
      </rPr>
      <t>, ele usa tals métricas de avaliação de treinamento cognitivo:
Questionários: Liebowitz Social Anxiety Scale (LSAS), State-Trait Anxiety Inventory (STAI-T), Beck Depression Inventory (BDI-13).
Tarefas cognitivas: Automated Operation Span Task (Aospan), Stroop Task, Dot-Probe Task.
Medidas neurofisiológicas: ERP componentes P1, N170, P2, N2.</t>
    </r>
  </si>
  <si>
    <r>
      <rPr>
        <rFont val="Arial"/>
        <b/>
        <color theme="1"/>
      </rPr>
      <t>O artigo não usa BCI,</t>
    </r>
    <r>
      <rPr>
        <rFont val="Arial"/>
        <color theme="1"/>
      </rPr>
      <t xml:space="preserve"> mas mostra que treinamento de memória de trabalho pode melhorar atenção e reduzir sintomas de ansiedade, segundo tal trecho: “The training enhanced WM transfer task performance, reduced SA symptoms, and changed the amplitude of the P1, N170, P2, and N2 ERP components.”</t>
    </r>
  </si>
  <si>
    <r>
      <rPr>
        <rFont val="Arial"/>
        <color theme="1"/>
      </rPr>
      <t>O artigo aponta lacunas sobre treinamento de memória e ansiedade social,</t>
    </r>
    <r>
      <rPr>
        <rFont val="Arial"/>
        <b/>
        <color theme="1"/>
      </rPr>
      <t xml:space="preserve"> mas não sobre o contexto BCIs:</t>
    </r>
    <r>
      <rPr>
        <rFont val="Arial"/>
        <color theme="1"/>
      </rPr>
      <t xml:space="preserve">
“These data provide preliminary evidence of the usefulness of WM trainings to reduce potential indices of SA, but further research is necessary to unravel the causal relation among these indices.”</t>
    </r>
  </si>
  <si>
    <t>s2</t>
  </si>
  <si>
    <r>
      <rPr>
        <rFont val="Arial"/>
        <color theme="1"/>
      </rPr>
      <t xml:space="preserve">Este estudo não utiliza diretamente BCIs clássicos, mas sim estimulação cerebral não invasiva:
“Pilot randomized double-blind-controlled trial of repetitive paired associative stimulation (rPAS), a paradigm that combines transcranial magnetic stimulation (TMS) of the dorsolateral prefrontal cortex (DLPFC) with peripheral median nerve stimulation.”
Isso se aproxima de BCI não-invasivo, pois envolve TMS + EEG para medir plasticidade e desempenho cognitivo </t>
    </r>
    <r>
      <rPr>
        <rFont val="Arial"/>
        <b/>
        <color theme="1"/>
      </rPr>
      <t>mas não é de fato.</t>
    </r>
  </si>
  <si>
    <t>S3</t>
  </si>
  <si>
    <r>
      <rPr>
        <rFont val="Arial"/>
        <b/>
        <color theme="1"/>
      </rPr>
      <t>Este estudo não usa diretamente BCIs</t>
    </r>
    <r>
      <rPr>
        <rFont val="Arial"/>
        <color theme="1"/>
      </rPr>
      <t>, mas sim EEG (eletroencefalografia) para investigar atividade periódica e aperiódica em pacientes com esquizofrenia: “Before and after the language comprehension tasks (humor, metaphor and irony), the 5-min eyes-closed and eyes-open EEG signals were collected respectively.”</t>
    </r>
  </si>
  <si>
    <t>S4</t>
  </si>
  <si>
    <r>
      <rPr>
        <rFont val="Arial"/>
        <color rgb="FF1155CC"/>
        <u/>
      </rPr>
      <t>https://pubmed.ncbi.nlm.nih.gov/39428872/</t>
    </r>
    <r>
      <rPr>
        <rFont val="Arial"/>
      </rPr>
      <t xml:space="preserve"> </t>
    </r>
  </si>
  <si>
    <t>S5</t>
  </si>
  <si>
    <t>S7</t>
  </si>
  <si>
    <r>
      <rPr>
        <rFont val="Arial"/>
        <color rgb="FF1155CC"/>
        <u/>
      </rPr>
      <t>https://pubmed.ncbi.nlm.nih.gov/40419149/</t>
    </r>
    <r>
      <rPr>
        <rFont val="Arial"/>
      </rPr>
      <t xml:space="preserve"> </t>
    </r>
  </si>
  <si>
    <r>
      <rPr>
        <rFont val="Arial"/>
        <color rgb="FF1155CC"/>
        <u/>
      </rPr>
      <t>https://pubmed.ncbi.nlm.nih.gov/38252479/</t>
    </r>
    <r>
      <rPr>
        <rFont val="Arial"/>
      </rPr>
      <t xml:space="preserve"> </t>
    </r>
  </si>
  <si>
    <t>S8</t>
  </si>
  <si>
    <r>
      <rPr>
        <rFont val="Arial"/>
        <color rgb="FF1155CC"/>
        <u/>
      </rPr>
      <t>https://pubmed.ncbi.nlm.nih.gov/37833489/</t>
    </r>
    <r>
      <rPr>
        <rFont val="Arial"/>
      </rPr>
      <t xml:space="preserve"> </t>
    </r>
  </si>
  <si>
    <t>S9</t>
  </si>
  <si>
    <r>
      <rPr>
        <rFont val="Arial"/>
        <color rgb="FF1155CC"/>
        <u/>
      </rPr>
      <t>https://onlinelibrary.wiley.com/doi/10.1002/hup.70020?af=R</t>
    </r>
    <r>
      <rPr>
        <rFont val="Arial"/>
      </rPr>
      <t xml:space="preserve">  10.1002/hup.70020 </t>
    </r>
  </si>
  <si>
    <t>S10</t>
  </si>
  <si>
    <r>
      <rPr>
        <rFont val="Arial"/>
        <color rgb="FF1155CC"/>
        <u/>
      </rPr>
      <t>https://doi.org/10.1016/j.neulet.2019.134648</t>
    </r>
    <r>
      <rPr>
        <rFont val="Arial"/>
      </rPr>
      <t xml:space="preserve"> </t>
    </r>
  </si>
  <si>
    <t>S11</t>
  </si>
  <si>
    <r>
      <rPr>
        <rFont val="Arial"/>
        <color rgb="FF1155CC"/>
        <u/>
      </rPr>
      <t>https://doi.org/10.1016/j.nicl.2021.102559</t>
    </r>
    <r>
      <rPr>
        <rFont val="Arial"/>
      </rPr>
      <t xml:space="preserve"> </t>
    </r>
  </si>
  <si>
    <t>ANULADA</t>
  </si>
  <si>
    <r>
      <rPr>
        <rFont val="Arial"/>
        <color rgb="FF1155CC"/>
        <u/>
      </rPr>
      <t>https://doi.org/10.2196/49467</t>
    </r>
    <r>
      <rPr>
        <rFont val="Arial"/>
      </rPr>
      <t xml:space="preserve"> </t>
    </r>
  </si>
  <si>
    <t>S12</t>
  </si>
  <si>
    <r>
      <rPr>
        <rFont val="Arial"/>
        <color rgb="FF1155CC"/>
        <u/>
      </rPr>
      <t>https://doi.org/10.1016/j.brs.2022.02.008</t>
    </r>
    <r>
      <rPr>
        <rFont val="Arial"/>
      </rPr>
      <t xml:space="preserve"> </t>
    </r>
  </si>
  <si>
    <t>S13</t>
  </si>
  <si>
    <r>
      <rPr>
        <rFont val="Arial"/>
        <color rgb="FF1155CC"/>
        <u/>
      </rPr>
      <t>https://doi.org/10.2196/35636</t>
    </r>
    <r>
      <rPr>
        <rFont val="Arial"/>
      </rPr>
      <t xml:space="preserve"> </t>
    </r>
  </si>
  <si>
    <t>S14</t>
  </si>
  <si>
    <r>
      <rPr>
        <rFont val="Arial"/>
        <color rgb="FF1155CC"/>
        <u/>
      </rPr>
      <t>https://doi.org/10.2196/38223</t>
    </r>
    <r>
      <rPr>
        <rFont val="Arial"/>
      </rPr>
      <t xml:space="preserve"> </t>
    </r>
  </si>
  <si>
    <t>S15</t>
  </si>
  <si>
    <r>
      <rPr>
        <rFont val="Arial"/>
        <color rgb="FF1155CC"/>
        <u/>
      </rPr>
      <t>https://doi.org/10.1016/j.jpain.2023.02.188</t>
    </r>
    <r>
      <rPr>
        <rFont val="Arial"/>
      </rPr>
      <t xml:space="preserve"> </t>
    </r>
  </si>
  <si>
    <t>Usa rTMS (não-invasivo) combinado com ACT (mindfulness-based psychotherapy). no bci</t>
  </si>
  <si>
    <t>S16</t>
  </si>
  <si>
    <r>
      <rPr>
        <rFont val="Arial"/>
        <color rgb="FF1155CC"/>
        <u/>
      </rPr>
      <t>https://doi.org/10.1016/j.bpsc.2024.12.014</t>
    </r>
    <r>
      <rPr>
        <rFont val="Arial"/>
      </rPr>
      <t xml:space="preserve"> </t>
    </r>
  </si>
  <si>
    <t>S17</t>
  </si>
  <si>
    <r>
      <rPr>
        <rFont val="Arial"/>
        <color rgb="FF1155CC"/>
        <u/>
      </rPr>
      <t>https://doi.org/10.1016/j.buildenv.2024.111434</t>
    </r>
    <r>
      <rPr>
        <rFont val="Arial"/>
      </rPr>
      <t xml:space="preserve"> </t>
    </r>
  </si>
  <si>
    <t>S18</t>
  </si>
  <si>
    <r>
      <rPr>
        <rFont val="Arial"/>
        <color rgb="FF1155CC"/>
        <u/>
      </rPr>
      <t>https://doi.org/10.1016/j.conctc.2022.100891</t>
    </r>
    <r>
      <rPr>
        <rFont val="Arial"/>
      </rPr>
      <t xml:space="preserve"> </t>
    </r>
  </si>
  <si>
    <t>S19</t>
  </si>
  <si>
    <r>
      <rPr>
        <rFont val="Arial"/>
        <color rgb="FF1155CC"/>
        <u/>
      </rPr>
      <t>https://doi.org/10.1016/j.ibneur.2024.04.007</t>
    </r>
    <r>
      <rPr>
        <rFont val="Arial"/>
      </rPr>
      <t xml:space="preserve"> </t>
    </r>
  </si>
  <si>
    <t>S20</t>
  </si>
  <si>
    <r>
      <rPr>
        <rFont val="Arial"/>
        <color rgb="FF1155CC"/>
        <u/>
      </rPr>
      <t>https://doi.org/10.1016/j.amjoto.2021.103248</t>
    </r>
    <r>
      <rPr>
        <rFont val="Arial"/>
      </rPr>
      <t xml:space="preserve"> </t>
    </r>
  </si>
  <si>
    <t>S21</t>
  </si>
  <si>
    <r>
      <rPr>
        <rFont val="Arial"/>
        <color rgb="FF1155CC"/>
        <u/>
      </rPr>
      <t>https://doi.org/10.1016/j.irbm.2021.06.011</t>
    </r>
    <r>
      <rPr>
        <rFont val="Arial"/>
      </rPr>
      <t xml:space="preserve"> </t>
    </r>
  </si>
  <si>
    <t>S22</t>
  </si>
  <si>
    <r>
      <rPr>
        <rFont val="Arial"/>
        <color rgb="FF1155CC"/>
        <u/>
      </rPr>
      <t>https://doi.org/10.1016/j.psychres.2024.116254</t>
    </r>
    <r>
      <rPr>
        <rFont val="Arial"/>
      </rPr>
      <t xml:space="preserve"> </t>
    </r>
  </si>
  <si>
    <r>
      <rPr>
        <rFont val="Arial"/>
        <color rgb="FF1155CC"/>
        <u/>
      </rPr>
      <t>https://doi.org/10.1016/bs.pbr.2023.11.004</t>
    </r>
    <r>
      <rPr>
        <rFont val="Arial"/>
      </rPr>
      <t xml:space="preserve"> </t>
    </r>
  </si>
  <si>
    <t xml:space="preserve">não invasivo </t>
  </si>
  <si>
    <t>no evidence foud</t>
  </si>
  <si>
    <t xml:space="preserve">transtorno de atenção </t>
  </si>
  <si>
    <t xml:space="preserve">EEG multicanal, cognição </t>
  </si>
  <si>
    <t xml:space="preserve">melhoria de atenção </t>
  </si>
  <si>
    <t xml:space="preserve">barreira técnica e acessibilidade </t>
  </si>
  <si>
    <t xml:space="preserve">acessibilidade </t>
  </si>
  <si>
    <t>EEG multicanal</t>
  </si>
  <si>
    <t xml:space="preserve">Autismo </t>
  </si>
  <si>
    <t>testes cognitivos</t>
  </si>
  <si>
    <t xml:space="preserve">melhora da atenção </t>
  </si>
  <si>
    <t xml:space="preserve">no evidence found </t>
  </si>
  <si>
    <t xml:space="preserve">necessidade de estudos futuros </t>
  </si>
  <si>
    <t>estresse e funções cognitivas</t>
  </si>
  <si>
    <t xml:space="preserve">questionário de estresse e tarefas cognitivas </t>
  </si>
  <si>
    <t xml:space="preserve">deficit cognitivo e atenção </t>
  </si>
  <si>
    <t xml:space="preserve">pontuação de atenção </t>
  </si>
  <si>
    <t xml:space="preserve">falta de estudos anteriores </t>
  </si>
  <si>
    <t xml:space="preserve">ansiedade e estresse </t>
  </si>
  <si>
    <t xml:space="preserve">habilidade cognitivas </t>
  </si>
  <si>
    <t xml:space="preserve">IA, machine learning </t>
  </si>
  <si>
    <t>estress</t>
  </si>
  <si>
    <t>metricas comportamentais</t>
  </si>
  <si>
    <t xml:space="preserve">mwlhoria no foco, funções cognitivas </t>
  </si>
  <si>
    <t xml:space="preserve">barreira clínica e técnica </t>
  </si>
  <si>
    <t xml:space="preserve">BCI com IA, machine learning </t>
  </si>
  <si>
    <t>necessidade de pesquisa e estudos</t>
  </si>
  <si>
    <t xml:space="preserve">comprimento cognitivo </t>
  </si>
  <si>
    <t xml:space="preserve">melhoria cognitivas </t>
  </si>
  <si>
    <t xml:space="preserve">funções cognitivas </t>
  </si>
  <si>
    <t xml:space="preserve">bci + realidade virtual </t>
  </si>
  <si>
    <t xml:space="preserve">necessidade de mais treinamento </t>
  </si>
  <si>
    <t>comparação em sinais de estresse e eeg</t>
  </si>
  <si>
    <t>aprimoramento de funções cognitivas a partir de jogos</t>
  </si>
  <si>
    <t>no evidence founf</t>
  </si>
  <si>
    <t>tratamento de dados</t>
  </si>
  <si>
    <t>Depressão</t>
  </si>
  <si>
    <t xml:space="preserve">acuracia de eficacia </t>
  </si>
  <si>
    <t>Ia com EEG</t>
  </si>
  <si>
    <t>não validado</t>
  </si>
  <si>
    <t>padroes de ondas e estado mental</t>
  </si>
  <si>
    <t>flexibilidade cognitiva</t>
  </si>
  <si>
    <t>“further research is needed to fully understand the relationship</t>
  </si>
  <si>
    <t>necessidde de estudos</t>
  </si>
  <si>
    <t>atenção e estresse</t>
  </si>
  <si>
    <t>desempenho cognitivo</t>
  </si>
  <si>
    <t>estados mentais via EEG e desempenho cognitivo</t>
  </si>
  <si>
    <t>no evidence dound</t>
  </si>
  <si>
    <t>TDAH</t>
  </si>
  <si>
    <t>EEG em tempo real</t>
  </si>
  <si>
    <t>Aprimoramento cognitivo e atrenção</t>
  </si>
  <si>
    <t>estresse, asiedade, depressão</t>
  </si>
  <si>
    <t>medição de estresse</t>
  </si>
  <si>
    <t>BCI ajuda o desenvolvimento cognitivo, atenão e memoria</t>
  </si>
  <si>
    <t>lacunas de pesquisase</t>
  </si>
  <si>
    <t>reconhecimento de padrões e classificação de padroes</t>
  </si>
  <si>
    <t>BCI melhora atenção e memoria</t>
  </si>
  <si>
    <t>BCI com IA</t>
  </si>
  <si>
    <t>expansão neurologica</t>
  </si>
  <si>
    <t>O artigo menciona EEG em um sistema vestível, o que implica potencial uso humano, mas não apresenta evidência empírica clara nem discussão sobre tipos de BCI aplicados a humanos.</t>
  </si>
  <si>
    <t>Não há menção a transtornos mentais nem estudos clínicos ou psicológicos com participantes humanos.</t>
  </si>
  <si>
    <t>Não são apresentados instrumentos clínicos, escalas psicológicas ou métricas de avaliação terapêutica em humanos.</t>
  </si>
  <si>
    <t>Não há avaliação de aprimoramento cognitivo em humanos (memória, atenção ou aprendizado).</t>
  </si>
  <si>
    <t>Desafios são citados de forma conceitual (custo, complexidade), sem validação empírica baseada em estudos com humanos.</t>
  </si>
  <si>
    <t>Não há qualquer discussão sobre segurança, privacidade ou integridade de dados neurais de usuários humanos.</t>
  </si>
  <si>
    <t>Não apresenta experimentos humanos relacionados à integração BCI–IA ou tendências futuras personalizadas.</t>
  </si>
  <si>
    <t>Ausência total de discussão ética, filosófica ou de amplificação de capacidades humanas.</t>
  </si>
  <si>
    <t>Não identifica lacunas de pesquisa baseadas em evidência empírica humana; apenas desafios gerais de engenharia.</t>
  </si>
  <si>
    <t>Utiliza EEG de participantes humanos (BCI não invasiva implícita), porém apenas como meio técnico; não há análise comparativa de tipos de BCI nem contexto de saúde mental.</t>
  </si>
  <si>
    <t>Não aborda transtornos mentais, diagnóstico ou tratamento; emoções são analisadas apenas no contexto de jogos.</t>
  </si>
  <si>
    <t>Métricas são exclusivamente técnicas (acurácia de classificação, clustering), sem qualquer métrica clínica ou psicológica aplicada a humanos.</t>
  </si>
  <si>
    <t>Não investiga aprimoramento cognitivo (memória, atenção ou aprendizado), apenas reconhecimento emocional.</t>
  </si>
  <si>
    <t>Desafios mencionados são técnicos (artefatos em EEG), sem discussão de barreiras clínicas, éticas ou de adoção em humanos.</t>
  </si>
  <si>
    <t>Não discute segurança, privacidade ou proteção de dados neurais dos participantes humanos.</t>
  </si>
  <si>
    <t>Emprega técnicas de machine learning em dados humanos, mas sem discussão de tendências futuras, personalização ou integração BCI–IA aplicada.</t>
  </si>
  <si>
    <t>Não há qualquer discussão ética ou filosófica sobre amplificação de capacidades humanas.</t>
  </si>
  <si>
    <t>Identifica uma lacuna metodológica em datasets EEG humanos (ruído/rotulagem), mas não discute lacunas clínicas ou de saúde mental.</t>
  </si>
  <si>
    <t>Leitura completa do artigo não identificou discussão sobre a RQ1. O foco do estudo está na modelagem computacional e controle inspirado no cérebro, sem relação direta com o escopo da RQ. Classificação “No evidence found” validada.</t>
  </si>
  <si>
    <t>Excerpt: “This research can be applied to intelligent robots, unmanned systems, edge computing of Internet of Things and brain-computer interface.” — Explanation: This excerpt points to the future trend of integrating BCIs with emerging technologies like brain-inspired artificial intelligence (the subject of the paper) and advanced systems such as intelligent robots and edge computing.</t>
  </si>
  <si>
    <t>Excerpt: “No evidence found.” — Explanation: The article does not discuss the types of Brain-Computer Interfaces (invasive, non-invasive, hybrid) used in mental health applications.</t>
  </si>
  <si>
    <t>A leitura completa do artigo confirma que não há discussão sobre tipos de interfaces cérebro-computador (invasivas, não invasivas ou híbridas), nem sua aplicação em contextos de saúde mental. O uso de EEG é estritamente metodológico e não enquadrado como BCI. Classificação “No evidence found” validada.</t>
  </si>
  <si>
    <t>Excerpt: “No evidence found.” — Explanation: The article does not address specific mental disorders like depression, anxiety, or schizophrenia in relation to BCIs.</t>
  </si>
  <si>
    <t>A validação humana confirma que o estudo não aborda transtornos mentais específicos (como depressão, ansiedade ou esquizofrenia) nem aplicações clínicas de BCIs. O foco é exclusivamente em tomada de decisão em cadeias de suprimento. Classificação validada.</t>
  </si>
  <si>
    <t>Excerpt: “No evidence found.” — Explanation: The article does not mention metrics or evaluation methods used to measure the effectiveness of BCIs in mental disorder treatment.</t>
  </si>
  <si>
    <t>Não foram identificadas métricas ou métodos de avaliação relacionados à eficácia de BCIs em tratamento de transtornos mentais. As análises de EEG são utilizadas apenas para inferir estados neurocognitivos em um contexto organizacional. Classificação “No evidence found” confirmada.</t>
  </si>
  <si>
    <t>Excerpt: “No evidence found.” — Explanation: The article does not explain how BCIs have been used to enhance cognitive abilities such as memory, attention, or learning.</t>
  </si>
  <si>
    <t>Excerpt: “By revealing how neuro-cognitive states shape operational effectiveness, this study contributes a novel measurement framework and offers actionable insights for designing decision-support tools and training programs in disruptive supply-chain contexts.” — Explanation: While the study focuses on supply chain decision-making, it uses neurophysiological evidence (EEG) to generate insights for the design of training programs, which addresses the element of enhancing human capabilities and learning.</t>
  </si>
  <si>
    <t>A leitura manual confirma a presença de evidência indireta e conceitual relacionada à RQ4. Embora o estudo não trate de BCIs ou de aprimoramento cognitivo clínico, ele utiliza dados neurofisiológicos (EEG) para fundamentar o design de programas de treinamento e ferramentas de suporte à decisão, o que se alinha ao aspecto de aprendizagem e aprimoramento de capacidades humanas. A evidência é válida, porém não clínica nem terapêutica.</t>
  </si>
  <si>
    <t>Excerpt: “No evidence found.” — Explanation: The article does not discuss technical, clinical, or ethical barriers limiting the adoption of BCIs in therapeutic or human enhancement contexts.</t>
  </si>
  <si>
    <t>O artigo não discute barreiras técnicas, clínicas ou éticas associadas à adoção de BCIs. A ausência de evidência para esta RQ foi confirmada pela validação humana. Classificação correta.</t>
  </si>
  <si>
    <t>Excerpt: “No evidence found.” — Explanation: The article does not mention how current studies address issues of security, privacy, or integrity of neural data collected by BCIs.</t>
  </si>
  <si>
    <t>A análise manual confirma que não há menção a questões de segurança, privacidade ou integridade de dados neurais no contexto de BCIs. O EEG é tratado apenas como instrumento de coleta experimental. Classificação validada.</t>
  </si>
  <si>
    <t>Excerpt: “No evidence found.” — Explanation: The article does not point to emerging trends regarding the future of BCIs in integration with artificial intelligence or personalized neurostimulation.</t>
  </si>
  <si>
    <t>Não foram identificadas discussões sobre tendências futuras de BCIs, integração com inteligência artificial ou neuroestimulação personalizada. O escopo permanece restrito ao contexto de supply chain. Classificação “No evidence found” confirmada.</t>
  </si>
  <si>
    <t>Excerpt: “No evidence found.” — Explanation: The article does not address ethical and philosophical aspects of "neurological expansion" or the amplification of human capabilities.</t>
  </si>
  <si>
    <t>A leitura humana confirma que o artigo não aborda aspectos éticos, filosóficos ou conceituais relacionados à expansão neurológica ou amplificação das capacidades humanas via BCIs. Classificação validada.</t>
  </si>
  <si>
    <t>Excerpt: “No evidence found.” — Explanation: The article does not mention research gaps that need to be explored for BCIs to become an effective and safe tool in mental healthcare or cognitive enhancement.</t>
  </si>
  <si>
    <t>O estudo não identifica lacunas de pesquisa relacionadas ao uso de BCIs em saúde mental ou aprimoramento cognitivo. As limitações discutidas são específicas ao modelo experimental e ao contexto de supply chain. Classificação “No evidence found” validada.</t>
  </si>
  <si>
    <t>Excerpt: “No evidence found.” — Explanation: The article does not describe or classify Brain-Computer Interface types (invasive, non-invasive, or hybrid), nor does it frame EEG usage within a BCI mental health application context.</t>
  </si>
  <si>
    <t>Excerpt: “Here, we address this challenge by utilizing electroencephalography (EEG) for phase-amplitude coupling (PAC) analysis to elucidate the neurological basis of SQ, examining both states of sleep and wakefulness…” — Explanation: This excerpt specifies that the study uses Electroencephalography (EEG), which is a type of non-invasive Brain-Computer Interface technology, for its research.</t>
  </si>
  <si>
    <t>A leitura completa do artigo confirma que o estudo utiliza EEG como ferramenta de aquisição neurofisiológica, sem enquadrá-lo explicitamente como uma Brain-Computer Interface nem discutir classificação de BCIs (invasiva, não invasiva ou híbrida) em um contexto de aplicação em saúde mental. Embora o EEG seja tecnicamente uma tecnologia não invasiva relacionada a BCIs, o artigo não adota essa perspectiva conceitual. Assim, a evidência é indireta e tecnológica, mas não suficiente para caracterizar atendimento pleno à RQ1.</t>
  </si>
  <si>
    <t>Excerpt: “No evidence found.” — Explanation: The study focuses on sleep quality assessment and does not reference specific mental disorders such as depression, anxiety, schizophrenia, or ADHD in relation to BCIs.</t>
  </si>
  <si>
    <t>Excerpt: “Sleep quality (SQ) is vital for physiological and mental health, making its understanding and accurate assessment critical.” — Explanation: The article focuses on "Sleep quality," which is critical for mental health, but it does not specify any particular mental disorders (e.g., depression, anxiety, schizophrenia, ADHD) that received the most attention.</t>
  </si>
  <si>
    <t>A validação humana confirma que o foco do estudo é a qualidade do sono como fator relevante para a saúde mental de forma geral, sem abordar ou comparar transtornos mentais específicos (como depressão, ansiedade, esquizofrenia ou ADHD) em relação a BCIs. A evidência é contextual, mas não específica. Classificação validada como ausência de evidência direta.</t>
  </si>
  <si>
    <t>Excerpt: “No evidence found.” — Explanation: Although signal analysis metrics are discussed for sleep evaluation, the article does not evaluate BCI effectiveness for treating mental disorders.</t>
  </si>
  <si>
    <t>Excerpt: “Leveraging these insights, we applied machine learning models to classify SQ at an individual level, demonstrating that the delta-beta PAC outperformed other EEG characteristics. These findings establish delta-beta PAC as a robust electrophysiological marker to quantify SQ and elucidate its neurological determinants.” — Explanation: The excerpt explicitly identifies delta-beta Phase-Amplitude Coupling (PAC) as the primary metric and electrophysiological marker used, along with machine learning models (such as Support Vector Machine, SVM) as the evaluation method, to quantify Sleep Quality (SQ).</t>
  </si>
  <si>
    <t>A leitura manual identifica evidência clara de métricas neurofisiológicas e métodos de avaliação, incluindo delta–beta phase-amplitude coupling (PAC) como marcador principal e o uso de modelos de machine learning (e.g., SVM) para classificação da qualidade do sono. Contudo, essas métricas não são utilizadas para avaliar a eficácia terapêutica de BCIs em transtornos mentais, mas sim para quantificação e análise de estados neurofisiológicos. A evidência é válida, porém não clínica nem terapêutica.</t>
  </si>
  <si>
    <t>Excerpt: “No evidence found.” — Explanation: The article does not explore the use of BCIs to enhance cognitive abilities such as memory, attention, or learning.</t>
  </si>
  <si>
    <t>Excerpt: “Our results revealed distinct patterns in beta power and delta connectivity in sleep and RS, together with the reaction time of working memory.” — Explanation: The study investigates the relationship between sleep quality and the working memory cognitive ability, using the reaction time metric during a working memory task.</t>
  </si>
  <si>
    <t>A validação humana confirma a existência de evidência indireta relacionada à RQ4. O estudo investiga a relação entre qualidade do sono e desempenho em memória de trabalho, medido por tempo de reação, demonstrando associação entre marcadores neurofisiológicos e capacidades cognitivas. Entretanto, não há uso de BCIs para intervenção ou aprimoramento cognitivo, apenas para análise correlacional. Evidência válida como indireta.</t>
  </si>
  <si>
    <t>Excerpt: “No evidence found.” — Explanation: Technical, clinical, or ethical barriers to adopting BCIs in therapeutic or enhancement contexts are not discussed.</t>
  </si>
  <si>
    <t>O artigo não discute barreiras técnicas, clínicas ou éticas associadas à adoção de BCIs em contextos terapêuticos ou de aprimoramento humano. A ausência de evidência foi confirmada pela leitura humana. Classificação correta.</t>
  </si>
  <si>
    <t>Excerpt: “No evidence found.” — Explanation: The study does not address security, privacy, or integrity concerns related to neural data collected via BCIs.</t>
  </si>
  <si>
    <t>A análise manual confirma que não há qualquer menção a questões de segurança, privacidade ou integridade de dados neurais coletados por meio de EEG ou BCIs. O tema está fora do escopo do estudo. Classificação “No evidence found” validada.</t>
  </si>
  <si>
    <t>Excerpt: “No evidence found.” — Explanation: The article does not mention emerging trends involving AI integration or personalized neurostimulation in BCIs.</t>
  </si>
  <si>
    <t>Excerpt: “Leveraging these insights, we applied machine learning models to classify SQ at an individual level, demonstrating that the delta-beta PAC outperformed other EEG characteristics.” — Explanation: This excerpt indicates the use of machine learning models (a component of Artificial Intelligence) to analyze the BCI data (EEG), which is an emerging trend in the BCI field.</t>
  </si>
  <si>
    <t>A leitura humana identifica evidência indireta e metodológica relacionada à RQ7. O uso de modelos de machine learning para análise e classificação de dados EEG reflete uma tendência emergente na área de neurotecnologia e BCIs. No entanto, o artigo não discute explicitamente integração futura com IA, sistemas adaptativos ou neuroestimulação personalizada. Evidência válida como tendência implícita, não prospectiva explícita.</t>
  </si>
  <si>
    <t>Excerpt: “No evidence found.” — Explanation: Ethical or philosophical discussions on neurological expansion or human capability amplification are absent.</t>
  </si>
  <si>
    <t>O estudo não aborda questões éticas, filosóficas ou conceituais relacionadas à expansão neurológica ou amplificação das capacidades humanas por meio de BCIs. A ausência de evidência foi confirmada por validação humana.</t>
  </si>
  <si>
    <t>Excerpt: “No evidence found.” — Explanation: The article does not identify research gaps related to the future application of BCIs in mental healthcare or cognitive enhancement.</t>
  </si>
  <si>
    <t>A leitura completa do artigo confirma que não são explicitadas lacunas de pesquisa voltadas ao uso futuro de BCIs em saúde mental ou aprimoramento cognitivo. As limitações discutidas são metodológicas e específicas ao estudo do sono. Classificação validada.</t>
  </si>
  <si>
    <t>Excerpt: “No evidence found.” — Explanation: The article does not describe or categorize Brain-Computer Interfaces (invasive, non-invasive, or hybrid), nor does it frame EEG usage within a BCI mental health application.</t>
  </si>
  <si>
    <t>A leitura completa do artigo confirma que o uso de EEG não é enquadrado como Brain-Computer Interface, tampouco há classificação de tipos de BCI (invasiva, não invasiva ou híbrida). O EEG é utilizado apenas como ferramenta de medição neurofisiológica em um experimento de vibração corporal. Classificação “No evidence found” validada.</t>
  </si>
  <si>
    <t>Excerpt: “No evidence found.” — Explanation: The study does not focus on mental disorders (e.g., depression, anxiety, schizophrenia, ADHD), but rather on neural responses to urgency induced by upper body vibration.</t>
  </si>
  <si>
    <t>A validação humana confirma que o estudo não aborda transtornos mentais específicos (como depressão, ansiedade, esquizofrenia ou ADHD). O foco é a resposta neural à urgência induzida por vibração no tronco superior, sem contexto clínico ou de saúde mental. Classificação validada.</t>
  </si>
  <si>
    <t>Excerpt: “No evidence found.” — Explanation: Although EEG metrics such as alpha/beta asymmetry are analyzed, the article does not evaluate the effectiveness of BCIs for treating mental disorders.</t>
  </si>
  <si>
    <t>Embora o artigo analise métricas de EEG, como assimetria alfa/beta, essas medidas não são usadas para avaliar a eficácia de BCIs em tratamento de transtornos mentais. A análise é puramente experimental e correlacional. Classificação “No evidence found” confirmada.</t>
  </si>
  <si>
    <t>Excerpt: “No evidence found.” — Explanation: The article does not investigate the use of BCIs to enhance cognitive abilities like memory, attention, or learning.</t>
  </si>
  <si>
    <t>Excerpt: “In particular, EEG hemispheric asymmetry is known to be correlated with various cognitive functions such as emotions, stress, anxiety, and attention.” — Explanation: The article investigates EEG correlates of urgency, and the quoted text lists attention as one of the cognitive functions known to be correlated with the type of neural signal studied (EEG asymmetry).</t>
  </si>
  <si>
    <t>A leitura manual confirma a existência de evidência conceitual indireta, mas não evidência funcional. O artigo menciona que a assimetria hemisférica do EEG está correlacionada com funções cognitivas como atenção, estresse e emoção; entretanto, o estudo não investiga o uso de BCIs para intervenção, treinamento ou aprimoramento cognitivo. Assim, a evidência não atende diretamente à RQ4, validando a marcação negativa.</t>
  </si>
  <si>
    <t>Excerpt: “No evidence found.” — Explanation: Technical, clinical, or ethical barriers related to adopting BCIs in therapeutic or enhancement contexts are not discussed.</t>
  </si>
  <si>
    <t>O artigo não discute barreiras técnicas, clínicas ou éticas relacionadas à adoção de BCIs em contextos terapêuticos ou de aprimoramento humano. A ausência de evidência foi confirmada por validação humana.</t>
  </si>
  <si>
    <t>Excerpt: “No evidence found.” — Explanation: The article does not address security, privacy, or integrity issues concerning neural data collected via BCIs.</t>
  </si>
  <si>
    <t>A análise humana confirma que não há qualquer discussão sobre segurança, privacidade ou integridade de dados neurais. O tema não faz parte do escopo do estudo. Classificação validada.</t>
  </si>
  <si>
    <t>Excerpt: “No evidence found.” — Explanation: The paper does not mention emerging trends involving AI integration or personalized neurostimulation in BCIs.</t>
  </si>
  <si>
    <t>Excerpt: “No evidence found.” — Explanation: Ethical or philosophical considerations about neurological expansion or amplification of human capabilities are not addressed.</t>
  </si>
  <si>
    <t>Excerpt: “No evidence found.” — Explanation: The article does not identify research gaps related to making BCIs effective or safe tools in mental healthcare or cognitive enhancement.</t>
  </si>
  <si>
    <t>Excerpt: “No evidence found.” — Explanation: Although the study investigates transcutaneous auricular vagus nerve stimulation, it does not describe or classify this technology as a Brain-Computer Interface (invasive, non-invasive, or hybrid), nor does it discuss BCI use in mental health applications.</t>
  </si>
  <si>
    <t>Excerpt: "We used the combination of pleasant meditative classical music and a slow bi-polar wave (0.1-0.2 Hz) of electrical non-invasive transcutaneous auricular vagus nerve stimulation for 5 minutes." — Explanation: The technique used, transcutaneous auricular vagus nerve stimulation (taVNS), is explicitly defined as a non-invasive method of neuromodulation, which falls under the broader category of BCI-related technologies.</t>
  </si>
  <si>
    <t>A leitura completa do artigo confirma que o estudo utiliza transcutaneous auricular vagus nerve stimulation (taVNS) como técnica de neuromodulação não invasiva, porém não a enquadra explicitamente como uma Brain-Computer Interface, nem apresenta classificação formal de BCI (invasiva, não invasiva ou híbrida). Assim, embora a tecnologia esteja relacionada ao ecossistema de BCIs, a evidência é tecnológica e implícita, não conceitual dentro do enquadramento da RQ1.</t>
  </si>
  <si>
    <t>Excerpt: “No evidence found.” — Explanation: The article evaluates emotional state and cognitive functioning in a pilot study but does not explicitly focus on or name specific mental disorders such as depression, anxiety, schizophrenia, or ADHD within a BCI framework.</t>
  </si>
  <si>
    <t>Excerpt: "Vagus nerve stimulation as a modern effective neuromodulation method produces therapeutic effects for treating psychiatric disorders, neuralgia, heart failure, and others. Auricular vagus nerve stimulation reduces anxiety, alleviates stress and emotional burnout, and improves cognitive function." — Explanation: The study and its context mention taVNS is used for "psychiatric disorders," and specifically highlights its ability to reduce anxiety, stress, and emotional burnout (which is related to mental health). The paper itself uses the Maslach Burnout Inventory (MBI) to measure emotional burnout.</t>
  </si>
  <si>
    <t>A validação humana identifica evidência indireta, porém relevante, para a RQ2. O artigo menciona explicitamente que a estimulação do nervo vago é utilizada para transtornos psiquiátricos e demonstra efeitos na redução de ansiedade, estresse e burnout emocional, avaliados por meio do Maslach Burnout Inventory (MBI). Embora o estudo não seja focado em um diagnóstico clínico específico (como depressão ou esquizofrenia), ele aborda claramente constructos de saúde mental, validando a presença de evidência parcial.</t>
  </si>
  <si>
    <t>Excerpt: “No evidence found.” — Explanation: While behavioral and cognitive outcomes are assessed, the paper does not present metrics or evaluation methods aimed at measuring the effectiveness of BCIs in treating mental disorders.</t>
  </si>
  <si>
    <t>Excerpt: "We used the combination of pleasant meditative classical music and a slow bi-polar wave (0.1-0.2 Hz) of electrical non-invasive transcutaneous auricular vagus nerve stimulation for 5 minutes... EEG was registered during the rest state before and after taVNS (3 min, closed eyes condition). To measure the severity of emotional burnout, we used the 22-items Maslach Burnout Inventory (MBI). To determine the development of short-term memory we used 2 computer subtests." — Explanation: Metrics and evaluation methods include: EEG registration to analyze brain activity (e.g., changes in beta/alpha, theta-Fz/alpha-Pz ratios), the 22-items Maslach Burnout Inventory (MBI) for emotional state, and 2 computer subtests for short-term memory assessment.</t>
  </si>
  <si>
    <t>A leitura manual confirma a presença de métricas e métodos de avaliação claros, incluindo registro de EEG pré e pós-taVNS, análise de razões espectrais (beta/alpha, theta-Fz/alpha-Pz), aplicação do MBI para estado emocional e testes computacionais de memória de curto prazo. No entanto, essas métricas avaliam os efeitos de neuromodulação, não a eficácia de um sistema BCI completo para tratamento clínico. A evidência é válida como avaliativa, não como eficácia clínica de BCI.</t>
  </si>
  <si>
    <t>Excerpt: “No evidence found.” — Explanation: The study does not frame the observed changes in cognitive functioning as cognitive enhancement achieved through a BCI system.</t>
  </si>
  <si>
    <t>Excerpt: "The results of the test indicate the improving effect of the set of VNS on short-term memory... Activation of the right dorsolateral prefrontal cortex reflects the taVNS effects on the attention processes." — Explanation: The study shows taVNS has an improving effect on short-term memory and stimulates attention processes, indicating its use for enhancing cognitive abilities.</t>
  </si>
  <si>
    <t>A validação humana confirma evidência direta relacionada à RQ4. O estudo demonstra que a taVNS produziu melhora na memória de curto prazo e ativação de processos atencionais, associados à ativação do córtex pré-frontal dorsolateral direito. Esses resultados caracterizam aprimoramento cognitivo funcional, ainda que o sistema não seja rotulado como BCI. Evidência considerada válida para a RQ4.</t>
  </si>
  <si>
    <t>Excerpt: “No evidence found.” — Explanation: The article does not discuss technical, clinical, or ethical barriers related to adopting BCIs in therapeutic or human enhancement contexts.</t>
  </si>
  <si>
    <t>O artigo não discute barreiras técnicas, clínicas ou éticas associadas à adoção de BCIs ou tecnologias de neuromodulação em contextos terapêuticos ou de aprimoramento humano. A ausência de evidência foi confirmada por validação humana.</t>
  </si>
  <si>
    <t>Excerpt: “No evidence found.” — Explanation: There is no discussion regarding security, privacy, or integrity of neural data collected through BCIs.</t>
  </si>
  <si>
    <t>A leitura humana confirma que não há qualquer discussão sobre segurança, privacidade ou integridade de dados neurais coletados por EEG ou sistemas relacionados. O tema não faz parte do escopo do estudo. Classificação validada.</t>
  </si>
  <si>
    <t>Excerpt: “No evidence found.” — Explanation: The paper does not address emerging trends involving integration of BCIs with artificial intelligence or personalized neurostimulation.</t>
  </si>
  <si>
    <t>O estudo não aborda tendências emergentes envolvendo integração com inteligência artificial, sistemas adaptativos ou personalização de neuromodulação. A taVNS é aplicada de forma fixa e experimental. Classificação “No evidence found” confirmada.</t>
  </si>
  <si>
    <t>Excerpt: “No evidence found.” — Explanation: Ethical or philosophical considerations regarding neurological expansion or amplification of human capabilities are not discussed.</t>
  </si>
  <si>
    <t>Não foram identificadas discussões éticas, filosóficas ou conceituais relacionadas à expansão neurológica ou amplificação das capacidades humanas. A ausência de evidência foi confirmada pela leitura humana.</t>
  </si>
  <si>
    <t>Excerpt: “No evidence found.” — Explanation: The article does not identify research gaps related to the future use of BCIs in mental healthcare or cognitive enhancement.</t>
  </si>
  <si>
    <t>O artigo não explicita lacunas de pesquisa voltadas ao futuro uso de BCIs em saúde mental ou aprimoramento cognitivo. As limitações mencionadas são implícitas ao caráter piloto do estudo, sem articulação direta com agendas futuras de BCI. Classificação validada.</t>
  </si>
  <si>
    <t>Excerpt: “No evidence found.” — Explanation: The article does not discuss Brain-Computer Interfaces (invasive, non-invasive, or hybrid), nor does it frame the robotic system as a BCI-based mental health application.</t>
  </si>
  <si>
    <t>Excerpt: The title mentions "Co-Design and User Evaluation of a Robotic Mental Well-Being Coach." Other related snippets in the search results mention the use of Socially Assistive Robots (SARs) for mental well-being, and one related study mentions analyzing students' "behavioral cues" and "verbal and nonverbal behaviors" to personalize interventions. — Explanation: The primary technology is a Social Robot acting as a mental well-being coach. While the abstract does not explicitly name a neurophysiological device (like EEG), the robot's function in mental health coaching typically involves Affective Computing/Expressive Sensing (e.g., analyzing facial expressions, tone of voice, body language) to monitor the user's emotional state, which is a form of Non-Invasive BCI-related technology.</t>
  </si>
  <si>
    <t>A leitura completa do artigo confirma que o sistema proposto é um Socially Assistive Robot (SAR) para apoio ao bem-estar mental, não sendo descrito ou classificado como Brain-Computer Interface (invasiva, não invasiva ou híbrida). Não há coleta ou uso de sinais neurofisiológicos (como EEG). Embora o robô possa analisar pistas comportamentais e expressivas (e.g., comportamento verbal e não verbal), isso se enquadra em Affective Computing e HCI, e não em BCI. Assim, a classificação “No evidence found” para RQ1 é validada.</t>
  </si>
  <si>
    <t>Excerpt: “No evidence found.” — Explanation: While the study targets public speaking anxiety, it does not investigate mental disorders within the context of BCI research.</t>
  </si>
  <si>
    <t>Excerpt: The title explicitly states the target condition: Public Speaking Anxiety to support university students' mental well-being. Public Speaking Anxiety is a common subtype of Social Anxiety, a mental health disorder. — Explanation: The article focuses on Public Speaking Anxiety (a form of Social Anxiety) for university students.</t>
  </si>
  <si>
    <t>A validação humana confirma a presença de evidência direta relacionada à RQ2. O estudo é explicitamente direcionado a Public Speaking Anxiety, que é reconhecida como um subtipo de Ansiedade Social, um transtorno de saúde mental. Embora o trabalho não esteja inserido no campo de BCIs, ele aborda claramente um problema de saúde mental específico, validando a relevância temática para esta RQ.</t>
  </si>
  <si>
    <t>Excerpt: “No evidence found.” — Explanation: The article evaluates user experience and perceived support but does not report metrics or evaluation methods for assessing the effectiveness of BCIs in treating mental disorders.</t>
  </si>
  <si>
    <t>Excerpt: "We detail a user study with 50 university students to evaluate the usability and acceptability of the developed robotic mental well-being coach system... Moreover, participants' self-reported moods significantly improved following the study." — Explanation: The study uses both qualitative and quantitative methods to evaluate the system, including a Usability Score and measuring changes in participants' self-reported moods (pre- and post-intervention).</t>
  </si>
  <si>
    <t>A leitura manual identifica métricas e métodos de avaliação, incluindo estudo com 50 estudantes universitários, aplicação de escores de usabilidade, medidas de aceitabilidade e comparação de estado de humor auto-relatado pré e pós-intervenção. No entanto, essas métricas avaliam a experiência do usuário e os efeitos percebidos da intervenção robótica, não a eficácia de BCIs no tratamento de transtornos mentais. A evidência é válida como avaliativa em HCI, mas não como evidência de BCI.</t>
  </si>
  <si>
    <t>Excerpt: “No evidence found.” — Explanation: The system supports mental well-being through interaction design, not through BCIs aimed at enhancing cognitive abilities such as memory, attention, or learning.</t>
  </si>
  <si>
    <t>A análise humana confirma que o artigo não investiga o uso de BCIs para aprimoramento cognitivo (memória, atenção ou aprendizagem). O foco está no suporte emocional e redução de ansiedade por meio de interação social mediada por robôs. Assim, a marcação “No evidence found” para RQ4 é consistente e validada.</t>
  </si>
  <si>
    <t>Excerpt: “No evidence found.” — Explanation: The paper does not discuss technical, clinical, or ethical barriers related to the adoption of BCIs in therapeutic or human enhancement contexts.</t>
  </si>
  <si>
    <t>O estudo não discute barreiras técnicas, clínicas ou éticas relacionadas à adoção de BCIs em contextos terapêuticos ou de aprimoramento humano. As considerações apresentadas concentram-se em design, aceitação e usabilidade do sistema robótico. Classificação validada.</t>
  </si>
  <si>
    <t>Excerpt: “No evidence found.” — Explanation: Issues of security, privacy, and integrity of neural data collected via BCIs are not addressed, as no neural data is involved.</t>
  </si>
  <si>
    <t>A validação humana confirma que não há coleta de dados neurais nem discussão sobre segurança, privacidade ou integridade de dados neurofisiológicos. Questões de privacidade são tratadas apenas implicitamente no contexto de HCI, não de BCI. Classificação “No evidence found” correta.</t>
  </si>
  <si>
    <t>Excerpt: “No evidence found.” — Explanation: The article does not discuss emerging trends in BCI integration with artificial intelligence or personalized neurostimulation.</t>
  </si>
  <si>
    <t>Excerpt: "The findings showed that the robotic coach system, which includes the robot and a tablet, received a usability score of 84.05 and had high acceptability..." — Explanation: The article demonstrates the emerging trend of using Social Robots (SARs) as automated coaches to deliver mental health interventions, showing its potential as an innovative and accessible solution.</t>
  </si>
  <si>
    <t>A leitura manual identifica evidência indireta e não relacionada a BCI. O estudo ilustra uma tendência emergente no uso de Socially Assistive Robots como coaches automatizados para saúde mental, mas não discute integração com BCIs, neuroestimulação personalizada ou tendências futuras do campo de BCI. Assim, a evidência é válida apenas no domínio de HCI/SAR, não atendendo diretamente à RQ7 no contexto de BCI.</t>
  </si>
  <si>
    <t>O artigo não aborda questões éticas ou filosóficas relacionadas à expansão neurológica ou amplificação das capacidades humanas por meio de BCIs. As discussões éticas concentram-se em co-design e aceitação do usuário. Classificação validada.</t>
  </si>
  <si>
    <t>Excerpt: “No evidence found.” — Explanation: The study does not identify research gaps related to BCIs becoming effective or safe tools in mental healthcare or cognitive enhancement.</t>
  </si>
  <si>
    <t>A validação humana confirma que o estudo não identifica lacunas de pesquisa relacionadas ao desenvolvimento futuro de BCIs para saúde mental ou aprimoramento cognitivo. As limitações discutidas são específicas ao design do estudo e ao contexto universitário. Classificação “No evidence found” confirmada.</t>
  </si>
  <si>
    <t>Excerpt: “No evidence found.” — Explanation: Although the study addresses mental well-being and mindfulness, it does not focus on specific mental disorders (e.g., depression, anxiety, schizophrenia, ADHD) within a BCI research context.</t>
  </si>
  <si>
    <t>A leitura completa do artigo confirma que o estudo propõe uma aplicação web gamificada de meditação, sem qualquer uso, classificação ou discussão de Brain-Computer Interfaces (invasivas, não invasivas ou híbridas). Não há coleta de sinais neurofisiológicos nem enquadramento conceitual em BCI. A classificação “No evidence found” para RQ1 é correta e validada.</t>
  </si>
  <si>
    <t>Excerpt: "SoulGarden - a gamified, web-based meditation app... to increase users' enjoyment in meditation and thereby enhance their meditation habits, mindfulness, and mental well-being." — Explanation: The intervention is aimed at enhancing mindfulness and general mental well-being. Other related studies confirm the application of similar gamified meditation apps for reducing symptoms of depression and anxiety.</t>
  </si>
  <si>
    <t>A validação humana confirma que o estudo não foca em transtornos mentais específicos (como depressão, ansiedade, esquizofrenia ou ADHD). O objetivo é promover mindfulness e bem-estar mental geral. Embora a literatura relacionada cite benefícios semelhantes para depressão e ansiedade, o artigo em si não aborda diagnósticos clínicos. Assim, a evidência é contextual e indireta, não atendendo diretamente à RQ2.</t>
  </si>
  <si>
    <t>Excerpt: "We conducted a within-subjects field study spanning four weeks (N=30) in which we evaluated the effectiveness of SoulGarden by comparing it to a non-gamified version and baseline measures. Our results show users meditated a lot using SoulGarden and the addition of gamification increased user enjoyment, frequency of meditation, and mindfulness." — Explanation: Key metrics include self-reported measures for user enjoyment, frequency of meditation (habit formation), and mindfulness. The study uses a within-subjects field study design comparing the gamified version to a non-gamified version and baseline measures.</t>
  </si>
  <si>
    <t>A leitura manual identifica métricas e métodos de avaliação claros, incluindo um estudo de campo within-subjects de quatro semanas (N=30), comparação entre versão gamificada, versão não gamificada e baseline, além de medidas auto-relatadas de prazer/enjoyment, frequência de meditação e mindfulness. Contudo, essas métricas avaliam a efetividade de uma intervenção digital de meditação, não a eficácia de BCIs no tratamento de transtornos mentais. Evidência válida como avaliativa em HCI/digital health, mas não em BCI.</t>
  </si>
  <si>
    <t>A validação humana confirma que o artigo não investiga aprimoramento cognitivo específico (como memória, atenção ou aprendizagem) por meio de BCIs. O foco está no desenvolvimento de hábitos de meditação e mindfulness, sem mensuração direta de funções cognitivas. Classificação “No evidence found” validada.</t>
  </si>
  <si>
    <t>Excerpt: "Our results show users meditated a lot using SoulGarden and the addition of gamification increased user enjoyment, frequency of meditation, and mindfulness." — Explanation: The study's key finding is that adding gamification significantly increased user enjoyment, meditation frequency (habit formation), and mindfulness, suggesting that gamification is an effective mechanism for improving engagement in mental health interventions.</t>
  </si>
  <si>
    <t>O estudo não discute barreiras técnicas, clínicas ou éticas relacionadas à adoção de BCIs. As conclusões concentram-se nos benefícios do design gamificado para engajamento e adesão a práticas de bem-estar. Assim, a marcação “No evidence found” para RQ5 é consistente.</t>
  </si>
  <si>
    <t>A leitura humana confirma a ausência de qualquer discussão sobre segurança, privacidade ou integridade de dados neurais, uma vez que não há coleta de dados neurofisiológicos. Classificação validada.</t>
  </si>
  <si>
    <t>Excerpt: "Thus, we contribute evidence for the potential of gamification to increase engagement and enhance mindfulness in meditation practices, ultimately paving the way to more effective mental health interventions." — Explanation: The study's contribution is showing that gamification is a promising design approach to increase user engagement and the effectiveness of digital mental health interventions like meditation apps.</t>
  </si>
  <si>
    <t>A análise manual identifica evidência indireta de tendência, não relacionada a BCI. O artigo aponta a gamificação como abordagem promissora para aumentar engajamento e eficácia de intervenções digitais em saúde mental. Entretanto, não há menção a BCIs, integração com IA neuroadaptativa ou neuroestimulação personalizada. Evidência válida apenas no domínio de HCI/digital mental health, não para tendências em BCI.</t>
  </si>
  <si>
    <t>O estudo não aborda aspectos éticos ou filosóficos relacionados à expansão neurológica ou amplificação das capacidades humanas. As discussões éticas limitam-se implicitamente ao design da aplicação. Classificação “No evidence found” confirmada.</t>
  </si>
  <si>
    <t>A validação humana confirma que o artigo não explicita lacunas de pesquisa voltadas ao desenvolvimento futuro de BCIs em saúde mental ou aprimoramento cognitivo. As contribuições e limitações são apresentadas no contexto de design e avaliação de aplicativos digitais. Classificação validada.</t>
  </si>
  <si>
    <t>Excerpt: “We designed a Virtual Reality (VR) environment coupled with an EMG-based control system for studying the effect of emotional feedback on motor learning.” — Explanation: The system uses an EMG-based control system (Electromyography), which is a non-invasive technique to detect muscle movements that can be used for controlling an interface, and is integrated into a Virtual Reality (VR) environment.</t>
  </si>
  <si>
    <t>A leitura completa do artigo confirma que o sistema proposto utiliza um controle baseado em EMG (eletromiografia) integrado a um ambiente de Realidade Virtual (VR). Embora o EMG seja uma técnica não invasiva de aquisição de sinais fisiológicos usada para controle de interfaces, o estudo não enquadra explicitamente o sistema como uma Brain-Computer Interface, nem discute classificações formais de BCI. Assim, a evidência é tecnológica e implícita, mas não conceitualmente alinhada à RQ1. A marcação “No evidence found” é validada no contexto de BCI.</t>
  </si>
  <si>
    <t>A validação humana confirma que o estudo não aborda transtornos mentais (como depressão, ansiedade, esquizofrenia ou ADHD). Os participantes são indivíduos saudáveis e o foco está em aprendizagem motora, não em saúde mental clínica. Classificação “No evidence found” validada.</t>
  </si>
  <si>
    <t>Excerpt: "We conducted a feasibility study with 10 healthy participants to explore the viability of the proposed setup and gain preliminary insights into the effect of an empathic virtual agent on motor learning performance as measured by task completion time and error rate." — Explanation: The effectiveness of the system is measured by its impact on motor learning performance, using quantitative metrics such as task completion time and error rate.</t>
  </si>
  <si>
    <t>A leitura manual identifica métricas claras de avaliação, incluindo tempo de conclusão da tarefa e taxa de erro, utilizadas para medir desempenho em aprendizagem motora em um estudo de viabilidade com 10 participantes. Contudo, essas métricas não avaliam a eficácia de BCIs no tratamento de transtornos mentais, mas sim o desempenho motor em um ambiente experimental. A evidência é válida como avaliativa funcional, não clínica em BCI.</t>
  </si>
  <si>
    <t>Excerpt: "We designed a Virtual Reality (VR) environment coupled with an EMG-based control system for studying the effect of emotional feedback on motor learning..." — Explanation: The study investigates how a BCI-related system (EMG-based control in VR) can be used to influence and enhance the cognitive ability of motor learning.</t>
  </si>
  <si>
    <t>A validação humana confirma a presença de evidência direta relacionada à RQ4. O estudo investiga como feedback emocional fornecido por um agente virtual inteligente, em combinação com um sistema de controle baseado em EMG e VR, pode influenciar e potencialmente aprimorar a aprendizagem motora, que é uma forma de capacidade cognitivo-motora. Embora não seja rotulado como BCI clássico, o sistema caracteriza uso de tecnologia fisiológica interativa para aprimoramento de desempenho. Evidência considerada válida para RQ4.</t>
  </si>
  <si>
    <t>Excerpt: “We conducted a feasibility study with 10 healthy participants to explore the viability of the proposed setup...” — Explanation: The study itself is designed to explore the viability (a technical and clinical barrier) and feasibility of the proposed setup (integrating VR, EMG, and emotional virtual agents).</t>
  </si>
  <si>
    <t>A leitura humana identifica evidência implícita relacionada à RQ5. O próprio desenho do estudo como um feasibility study tem como objetivo avaliar a viabilidade técnica e experimental da integração entre VR, EMG e agentes virtuais empáticos. No entanto, o artigo não discute explicitamente barreiras éticas ou clínicas mais amplas. A evidência é válida como avaliação inicial de viabilidade, não como análise abrangente de barreiras.</t>
  </si>
  <si>
    <t>A validação humana confirma que o artigo não aborda questões de segurança, privacidade ou integridade de dados associados a sinais fisiológicos ou sistemas do tipo BCI. Esses aspectos não fazem parte do escopo do estudo. Classificação “No evidence found” validada.</t>
  </si>
  <si>
    <t>Excerpt: “We designed a Virtual Reality (VR) environment coupled with an EMG-based control system for studying the effect of emotional feedback on motor learning, using an Intelligent Virtual Agent (IVA) as a personalized coach.” — Explanation: The system integrates a BCI-related technology (EMG) with an Intelligent Virtual Agent (IVA), which is a component of AI, to create a personalized coaching system.</t>
  </si>
  <si>
    <t>A leitura manual identifica evidência indireta de tendência relacionada à RQ7. O estudo integra uma tecnologia fisiológica interativa (EMG) com um Intelligent Virtual Agent (IVA) que fornece feedback emocional personalizado, refletindo uma tendência emergente de combinar sinais fisiológicos com agentes inteligentes para coaching adaptativo. Contudo, essa tendência não é discutida explicitamente como agenda futura de BCI. Evidência válida como tendência implícita.</t>
  </si>
  <si>
    <t>O artigo não discute aspectos éticos ou filosóficos relacionados à expansão neurológica ou amplificação das capacidades humanas. As considerações éticas são limitadas a procedimentos experimentais padrão. Classificação validada.</t>
  </si>
  <si>
    <t>A validação humana confirma que o estudo não explicita lacunas de pesquisa relacionadas ao desenvolvimento futuro de BCIs para saúde mental ou aprimoramento cognitivo. As limitações mencionadas dizem respeito ao tamanho amostral e caráter preliminar do estudo, sem articulação com agendas futuras de BCI. Classificação “No evidence found” confirmada.</t>
  </si>
  <si>
    <t>Excerpt: “Electroencephalography (EEG) was used to record neural activity…” — Explanation: The article reports the use of EEG to measure brain activity, which is a non-invasive neural recording technique. However, it doesn’t discuss BCIs per se or compare invasive, non-invasive, or hybrid BCI types in mental health applications.</t>
  </si>
  <si>
    <t>A leitura completa do artigo confirma o uso de eletroencefalografia (EEG) como técnica não invasiva de registro neural para avaliar estados cognitivos em ambientes de realidade virtual. No entanto, o estudo não enquadra o EEG como uma Brain-Computer Interface, nem discute tipos de BCI (invasiva, não invasiva ou híbrida) ou aplicações em saúde mental. A evidência é instrumental, não conceitual em BCI. Classificação “No evidence found” validada.</t>
  </si>
  <si>
    <t>No evidence found. The article does not address specific mental disorders or research attention to them.</t>
  </si>
  <si>
    <t>A validação humana confirma que o artigo não aborda transtornos mentais específicos (como depressão, ansiedade, esquizofrenia ou ADHD). O foco está em eficiência cognitiva, relaxamento e afeto em contextos ambientais simulados, sem enquadramento clínico. Classificação correta.</t>
  </si>
  <si>
    <t>No evidence found. Metrics described (e.g., EEG alpha/theta ratios) are used to assess cognitive states in an environmental study, not effectiveness of BCIs in treating mental disorders.</t>
  </si>
  <si>
    <t>Excerpt: “The W condition elicited EEG patterns indicative of relaxed attentional engagement, including increased alpha-to-theta (ATR) and alpha-to-beta (ABR) ratios, and a decreased theta-to-beta (TBR) ratio.” — Explanation: This excerpt details the specific neurophysiological metrics (EEG band ratios) used in this BCI-related study to quantify the neural states associated with improved cognitive performance.</t>
  </si>
  <si>
    <t>A leitura manual identifica métricas neurofisiológicas claras, incluindo razões espectrais de EEG (alpha-to-theta, alpha-to-beta, theta-to-beta), usadas para caracterizar estados atencionais e cognitivos. Contudo, essas métricas não são utilizadas para avaliar a eficácia de BCIs no tratamento de transtornos mentais, mas sim para análise de estados cognitivos em um estudo ambiental. A evidência é válida como metodológica, não clínica em BCI.</t>
  </si>
  <si>
    <t>No evidence found. There is discussion of cognitive performance and EEG, but not of using BCIs to enhance memory, attention, or learning.</t>
  </si>
  <si>
    <t>Excerpt: “These neural patterns were associated with higher self-reported relaxation and positive affect, and with enhanced cognitive performance relative to the control condition.” — Explanation: The article shows that specific EEG patterns (measured by a BCI technology) indicative of relaxed attentional engagement correlate with objectively enhanced cognitive performance in a nature-integrated environment.</t>
  </si>
  <si>
    <t>A validação humana confirma a presença de evidência indireta relacionada à RQ4. O estudo demonstra que determinados padrões neurais, associados a ambientes naturais em VR, correlacionam-se com melhor desempenho cognitivo e maior relaxamento. Entretanto, não há intervenção ativa via BCI para aprimoramento cognitivo; o EEG é usado apenas como ferramenta de medição. Assim, a evidência é correlacional, não interventiva.</t>
  </si>
  <si>
    <t>No evidence found. The article does not discuss technical, clinical, or ethical barriers to BCIs.</t>
  </si>
  <si>
    <t>O artigo não discute barreiras técnicas, clínicas ou éticas relacionadas à adoção de BCIs. As limitações mencionadas dizem respeito ao desenho experimental e ao contexto ambiental. Classificação “No evidence found” validada.</t>
  </si>
  <si>
    <t>No evidence found. Security, privacy, or integrity of neural data from BCIs are not addressed.</t>
  </si>
  <si>
    <t>A leitura humana confirma a ausência de qualquer discussão sobre segurança, privacidade ou integridade de dados neurais coletados por EEG ou sistemas do tipo BCI. Esses aspectos não fazem parte do escopo do estudo. Classificação validada.</t>
  </si>
  <si>
    <t>No evidence found. The article does not discuss future trends in BCIs or integration with AI or personalized neurostimulation.</t>
  </si>
  <si>
    <t>A validação humana confirma que o estudo não discute tendências futuras em BCIs, nem integração com inteligência artificial, sistemas adaptativos ou neuroestimulação personalizada. O foco permanece na avaliação ambiental e cognitiva. Classificação “No evidence found” correta.</t>
  </si>
  <si>
    <t>No evidence found. Ethical or philosophical aspects of neurological expansion are not covered.</t>
  </si>
  <si>
    <t>O artigo não aborda aspectos éticos ou filosóficos relacionados à expansão neurológica ou amplificação das capacidades humanas por meio de BCIs. As discussões éticas limitam-se a procedimentos experimentais padrão. Classificação validada.</t>
  </si>
  <si>
    <t>No evidence found. The article does not identify research gaps related to BCIs in mental healthcare or cognitive enhancement.</t>
  </si>
  <si>
    <t>Excerpt: “Overall, the findings highlight the potential of nature-inspired design to foster a synergy between psychological relaxation and cognitive attention, though further research is needed across diverse spatial typologies to isolate specific design parameters.” — Explanation: This excerpt specifies a research gap related to the study's primary findings, indicating that more research is needed across different spatial designs to generalize the effects observed using neurophysiological measures.</t>
  </si>
  <si>
    <t>A leitura humana identifica a menção a necessidade de pesquisas futuras, porém essas lacunas referem-se exclusivamente à generalização dos efeitos de design ambiental (e.g., diferentes tipologias espaciais) e não ao desenvolvimento, segurança ou eficácia de BCIs em saúde mental ou aprimoramento cognitivo. Assim, a classificação “No evidence found” para RQ9, no contexto de BCI, é validada.</t>
  </si>
  <si>
    <t>Excerpt: “EEG data were recorded using a 14-channel Emotiv EPOC X headset and analysed across delta to gamma frequency bands…” — Explanation: This shows that the study used non-invasive EEG recording equipment. However, it does not discuss BCIs broadly (invasive, non-invasive, hybrid) nor does it cover their use in mental health.</t>
  </si>
  <si>
    <t>A leitura completa do artigo confirma o uso de EEG não invasivo, especificamente um headset Emotiv EPOC X de 14 canais, para registrar atividade neural em resposta a diferentes vistas de janelas em salas de aula. Contudo, o estudo não enquadra o EEG como Brain-Computer Interface, nem discute classificação de BCIs (invasiva, não invasiva ou híbrida) ou aplicações em saúde mental. A evidência é instrumental, não conceitual em BCI. Classificação “No evidence found” validada.</t>
  </si>
  <si>
    <t>A validação humana confirma que o artigo não aborda transtornos mentais específicos (como depressão, ansiedade, esquizofrenia ou ADHD). O foco está em respostas cognitivas e atencionais a ambientes visuais, sem enquadramento clínico ou diagnóstico. Classificação correta.</t>
  </si>
  <si>
    <t>No evidence found. While the article uses EEG metrics (e.g., spectral bands), it doesn’t evaluate effectiveness of BCIs in treating mental disorders.</t>
  </si>
  <si>
    <t>Excerpt: “EEG data were recorded using a 14-channel Emotiv EPOC X headset and analysed across delta to gamma frequency bands through power spectral and topographic mapping.” — Explanation: This excerpt details the non-invasive BCI technology (EEG headset) and the specific neurophysiological metrics and analysis methods (frequency bands, power spectral, topographic mapping) used in the study.</t>
  </si>
  <si>
    <t>A leitura manual identifica métricas neurofisiológicas claras, incluindo análise de bandas espectrais (delta a gama), mapas topográficos e análise de potência espectral. No entanto, essas métricas não são utilizadas para avaliar a eficácia de BCIs no tratamento de transtornos mentais, mas sim para caracterizar estados cognitivos em um estudo ambiental/educacional. A evidência é válida como metodológica, não clínica em BCI.</t>
  </si>
  <si>
    <t>No evidence found. The study examines neural responses to visual environments, not the use of BCIs to enhance cognition like memory, attention, or learning.</t>
  </si>
  <si>
    <t>Excerpt: “City views triggered neural patterns associated with cognitive load and overstimulation, while park views supported balanced attentional engagement.” — Explanation: The study used EEG (a BCI-related technology) to objectively measure how different environments (window views) influence specific cognitive states, such as "attentional engagement."</t>
  </si>
  <si>
    <t>A validação humana confirma a presença de evidência indireta relacionada à RQ4. O estudo demonstra que diferentes vistas (cidade vs. parque) evocam padrões neurais associados a carga cognitiva, sobre-estimulação e engajamento atencional. Entretanto, o EEG é usado apenas como ferramenta de medição, não como intervenção ativa para aprimorar cognição (memória, atenção ou aprendizagem). Assim, a evidência é correlacional, não interventiva.</t>
  </si>
  <si>
    <t>No evidence found. There are no discussions of technical, clinical, or ethical barriers related to BCIs.</t>
  </si>
  <si>
    <t>O artigo não discute barreiras técnicas, clínicas ou éticas relacionadas à adoção de BCIs. As limitações mencionadas dizem respeito ao contexto arquitetônico e educacional. Classificação “No evidence found” validada.</t>
  </si>
  <si>
    <t>No evidence found. Security, privacy, or integrity of neural data in BCIs are not discussed.</t>
  </si>
  <si>
    <t>A leitura humana confirma a ausência de qualquer discussão sobre segurança, privacidade ou integridade de dados neurais coletados via EEG ou sistemas do tipo BCI. Esses aspectos não fazem parte do escopo do estudo. Classificação validada.</t>
  </si>
  <si>
    <t>No evidence found. The article does not address trends in BCIs, AI integration, or neurostimulation.</t>
  </si>
  <si>
    <t>A validação humana confirma que o estudo não discute tendências futuras em BCIs, nem integração com inteligência artificial, sistemas adaptativos ou neuroestimulação personalizada. O foco permanece na avaliação de ambientes construídos. Classificação “No evidence found” correta.</t>
  </si>
  <si>
    <t>No evidence found. Ethical/philosophical aspects of neurological enhancement are not present.</t>
  </si>
  <si>
    <t>O artigo não aborda aspectos éticos ou filosóficos relacionados à expansão neurológica ou amplificação das capacidades humanas por meio de BCIs. As considerações éticas são limitadas a procedimentos experimentais padrão. Classificação validada.</t>
  </si>
  <si>
    <t>No evidence found. The conclusions do not identify research gaps in BCIs for mental healthcare or cognitive enhancement.</t>
  </si>
  <si>
    <t>Excerpt: “While much of the literature on window views has centered on office contexts, their significance in educational environments, particularly within green building frameworks, is gaining momentum.” — Explanation: This excerpt identifies a research gap regarding the specific context of the study, noting that while window view research exists for offices, more is needed for educational environments and green building design.</t>
  </si>
  <si>
    <t>A leitura humana identifica a menção a lacunas de pesquisa, porém estas se referem exclusivamente à necessidade de mais estudos sobre vistas de janelas em ambientes educacionais e campus verdes, e não ao desenvolvimento, eficácia ou segurança de BCIs em saúde mental ou aprimoramento cognitivo. Assim, a classificação “No evidence found” para RQ9, no contexto de BCI, é validada.</t>
  </si>
  <si>
    <t>No evidence found. The article does not mention invasive, non-invasive, or hybrid BCIs, nor any brain–computer interface technologies.</t>
  </si>
  <si>
    <t>A leitura completa do artigo confirma que nenhuma tecnologia de Brain-Computer Interface é utilizada ou discutida. O estudo não menciona EEG, fNIRS, EMG, fMRI ou qualquer forma de interface cérebro–computador, seja invasiva, não invasiva ou híbrida. As avaliações são exclusivamente comportamentais e psicométricas. Classificação “No evidence found” corretamente atribuída.</t>
  </si>
  <si>
    <t>No evidence found. The study does not focus on mental disorders (e.g., depression, anxiety, ADHD, schizophrenia), but rather on mental performance in healthy youth athletes.</t>
  </si>
  <si>
    <t>A validação humana confirma que o estudo não aborda transtornos mentais. A amostra é composta por jovens atletas saudáveis, e o foco está no desempenho mental (atenção, flexibilidade cognitiva e tempo de reação), não em condições clínicas como ansiedade, depressão ou ADHD. Classificação validada.</t>
  </si>
  <si>
    <t>No evidence found. No BCI-related metrics or evaluation methods are used to measure treatment effectiveness for mental disorders.</t>
  </si>
  <si>
    <t>Excerpt: “Mental performance was assessed using the TMT-A and B, Stroop Test, and the Vienna Test System (VTS) Reaction Time, focusing on visual attention, cognitive flexibility, and response speed.” — Explanation: This excerpt lists the specific behavioral and psychological tests used in the study to measure aspects of mental performance, which are relevant evaluation metrics in cognitive enhancement research.</t>
  </si>
  <si>
    <t>A leitura humana confirma a ausência total de métricas ou métodos de avaliação relacionados a BCIs ou a tratamentos de transtornos mentais. Os instrumentos utilizados (TMT-A/B, Stroop Test e Vienna Test System) são testes neuropsicológicos padronizados, relevantes para avaliação cognitiva, mas não associados à eficácia de BCIs. Assim, a classificação “No evidence found” para BCI é correta, embora haja evidência metodológica em cognição.</t>
  </si>
  <si>
    <t>No evidence found. Although mental performance is discussed, BCIs are not used to enhance memory, attention, or learning.</t>
  </si>
  <si>
    <t>Excerpt: “The study found that open-skill sports participants exhibited higher cognitive flexibility and better response speed compared to closed-skill sports participants, suggesting a beneficial effect on executive functions.” — Explanation: This study demonstrates that participation in certain activities (open-skill sports) can enhance specific cognitive abilities (cognitive flexibility and response speed), providing evidence for the type of cognitive enhancement effect BCI research often targets.</t>
  </si>
  <si>
    <t>A validação humana confirma a presença de evidência conceitual indireta relacionada à RQ4. O estudo demonstra que a prática de esportes de habilidades abertas está associada a melhorias em funções executivas, como flexibilidade cognitiva e velocidade de resposta. No entanto, não há uso de BCIs como ferramenta de intervenção, apenas fatores comportamentais e ambientais. Portanto, a evidência é analógica ao objetivo da RQ, mas não satisfaz os critérios de BCI. Classificação adequada.</t>
  </si>
  <si>
    <t>No evidence found. The article does not discuss technical, clinical, or ethical barriers related to BCIs.</t>
  </si>
  <si>
    <t>O artigo não discute barreiras técnicas, clínicas ou éticas relacionadas a BCIs. As limitações mencionadas dizem respeito ao desenho do estudo, amostra e instrumentos cognitivos. Classificação “No evidence found” confirmada.</t>
  </si>
  <si>
    <t>No evidence found. Issues of security, privacy, or integrity of neural data are not addressed.</t>
  </si>
  <si>
    <t>A leitura humana confirma que não há coleta de dados neurais, nem discussão sobre segurança, privacidade ou integridade de dados cerebrais. Logo, a ausência de evidência para esta RQ está corretamente identificada.</t>
  </si>
  <si>
    <t>No evidence found. There is no discussion of emerging BCI trends, artificial intelligence integration, or personalized neurostimulation.</t>
  </si>
  <si>
    <t>O estudo não aborda tendências emergentes em BCI, integração com inteligência artificial ou neuroestimulação personalizada. A análise é estritamente esportiva e cognitiva. Classificação validada.</t>
  </si>
  <si>
    <t>No evidence found. Ethical or philosophical considerations of neurological expansion or human capability amplification are not covered.</t>
  </si>
  <si>
    <t>A validação humana confirma que o artigo não trata de questões éticas ou filosóficas relacionadas à amplificação das capacidades humanas por meio de tecnologias neurais. Classificação correta.</t>
  </si>
  <si>
    <t>No evidence found. The study does not identify research gaps related to BCIs in mental healthcare or cognitive enhancement.</t>
  </si>
  <si>
    <t>Excerpt: “Future research should integrate neurophysiological measures, such as EEG or fMRI, to provide a more detailed understanding of the neural mechanisms underlying these differences.” — Explanation: This excerpt directly states a research gap, recommending the inclusion of neurophysiological measures (like EEG, which is a non-invasive BCI) to better understand the neural basis of cognitive differences observed in the study.</t>
  </si>
  <si>
    <t>A leitura humana confirma a existência de uma lacuna de pesquisa explicitamente declarada, recomendando que estudos futuros integrem medidas neurofisiológicas, como EEG ou fMRI, para investigar os mecanismos neurais subjacentes às diferenças cognitivas observadas. Embora isso não configure evidência direta sobre BCIs, trata-se de uma indicação prospectiva clara de aproximação futura com tecnologias BCI. A classificação “No evidence found” no contexto atual do estudo é correta, com nota de potencial relevância futura.</t>
  </si>
  <si>
    <t>No evidence found. The article does not explicitly classify its neurofeedback system as an invasive, non-invasive, or hybrid BCI used in mental health applications.</t>
  </si>
  <si>
    <t>A leitura completa do artigo confirma que o sistema utilizado é Neurofeedback baseado em EEG, caracterizando inequivocamente uma BCI não invasiva, ainda que o artigo não utilize explicitamente o termo “Brain–Computer Interface” nem classifique o sistema como invasivo, não invasivo ou híbrido. Do ponto de vista conceitual e técnico, trata-se de uma BCI clássica de loop fechado, na qual sinais neurais são registrados, processados e devolvidos ao usuário como feedback. Assim, embora a classificação automática “No evidence found” seja formalmente justificável pela ausência de nomenclatura explícita, a validação humana identifica evidência implícita clara de BCI não invasiva.</t>
  </si>
  <si>
    <t>No evidence found. While anxiety is measured, the paper does not position the work within broader BCI research targeting specific mental disorders (e.g., depression, ADHD, schizophrenia).</t>
  </si>
  <si>
    <t>A validação humana confirma que o estudo aborda diretamente ansiedade, medida por instrumento clínico validado (STAI-2), aplicada a estudantes universitários. Embora o artigo não se enquadre explicitamente em uma agenda de pesquisa BCI voltada a transtornos mentais clínicos severos, ele trata de um constructo psicológico central da saúde mental (ansiedade). Portanto, há evidência funcional, ainda que o enquadramento seja educacional/psicológico e não psiquiátrico. A classificação “No evidence found” é aceitável apenas sob critérios estritos de BCI clínico, mas a validação humana reconhece relevância direta para saúde mental.</t>
  </si>
  <si>
    <t>No evidence found. Outcome measures (e.g., working memory tasks, anxiety scales) are not discussed as evaluation metrics for BCI effectiveness in mental disorder treatment.</t>
  </si>
  <si>
    <t>Excerpt: “Assessment tools, including the Corsi Block and Memory Span tests for working memory and the State-Trait Anxiety Inventory-2 (STAI-2) for anxiety, were applied pre- and post-intervention.” — Explanation: This excerpt lists the specific psychometric and cognitive tests (STAI-2, Corsi Block, Memory Span) used in this study to evaluate the effectiveness of the Neurofeedback (BCI) intervention on anxiety and cognitive function.</t>
  </si>
  <si>
    <t>A leitura humana confirma que o estudo apresenta métricas claras e bem definidas para avaliar os efeitos da intervenção baseada em neurofeedback (BCI). Os instrumentos incluem testes de memória de trabalho (Corsi Block, Memory Span) e escala de ansiedade (STAI-2) aplicados em desenho pré–pós-intervenção. Embora o artigo não discuta essas métricas sob a terminologia “eficácia de BCI”, elas avaliam diretamente os efeitos de uma intervenção BCI sobre cognição e estado emocional. Assim, a validação humana identifica evidência positiva para RQ3, mesmo que o enquadramento conceitual não use a linguagem típica de engenharia BCI.</t>
  </si>
  <si>
    <t>No evidence found. The study does not describe BCIs as tools for cognitive enhancement; improvements in working memory are discussed within a neurofeedback training context, not BCI enhancement frameworks.</t>
  </si>
  <si>
    <t>Excerpt: “Neurofeedback training (NFT) has emerged as a promising approach for enhancing cognitive functions and reducing anxiety, yet its specific impact on university student populations requires further investigation.” — Explanation: This statement identifies the key use of the BCI technique (NFT) in this study: targeting and potentially "enhancing cognitive functions" (such as working memory) and reducing negative emotional states like "anxiety."</t>
  </si>
  <si>
    <t>A validação humana confirma evidência direta para RQ4. O estudo investiga explicitamente o potencial do neurofeedback (BCI) para melhorar memória de trabalho e reduzir ansiedade. Ainda que os resultados para memória de trabalho tenham sido mistos, o objetivo declarado do estudo enquadra-se claramente na lógica de cognitive enhancement via BCI. A afirmação de que o neurofeedback visa “enhancing cognitive functions” sustenta plenamente essa RQ. Portanto, a classificação automática “No evidence found” não se sustenta sob validação humana.</t>
  </si>
  <si>
    <t>No evidence found. Technical, clinical, or ethical barriers limiting BCI adoption are not discussed.</t>
  </si>
  <si>
    <t>A leitura humana confirma que o artigo não discute barreiras técnicas, clínicas ou éticas associadas à adoção de BCIs. As limitações apresentadas referem-se principalmente à amostra, duração do treinamento e variabilidade de resposta. Classificação “No evidence found” validada.</t>
  </si>
  <si>
    <t>No evidence found. There is no discussion of security, privacy, or integrity of neural data collected via BCIs.</t>
  </si>
  <si>
    <t>O estudo não aborda questões de segurança, privacidade ou integridade de dados neurais, apesar de envolver coleta de EEG. Não há discussão sobre governança de dados neurais. Classificação “No evidence found” corretamente atribuída.</t>
  </si>
  <si>
    <t>No evidence found. The article does not address emerging trends involving BCIs, artificial intelligence, or personalized neurostimulation.</t>
  </si>
  <si>
    <t>A validação humana confirma que o artigo não discute tendências emergentes, como integração com inteligência artificial, personalização adaptativa avançada ou neuroestimulação combinada. O neurofeedback utilizado segue um modelo tradicional. Classificação validada.</t>
  </si>
  <si>
    <t>Não há qualquer reflexão ética ou filosófica sobre amplificação das capacidades humanas, identidade, autonomia ou implicações sociais do uso de BCIs. Classificação “No evidence found” confirmada.</t>
  </si>
  <si>
    <t>No evidence found. The article does not identify research gaps related to BCIs becoming effective or safe tools in mental healthcare or cognitive enhancement.</t>
  </si>
  <si>
    <t>Excerpt: “Despite the lack of observed improvements in working memory, these results highlight the need for continued exploration of NFT applications across different populations and settings, emphasizing its potential utility in educational and therapeutic contexts.” — Explanation: The conclusion identifies a research gap, noting that the mixed results on working memory require "continued exploration of NFT applications across different populations and settings" to fully ascertain its effectiveness.</t>
  </si>
  <si>
    <t>A leitura humana confirma a presença de uma lacuna de pesquisa explicitamente identificada. Os autores reconhecem que os resultados mistos em memória de trabalho indicam a necessidade de novos estudos, com diferentes populações, protocolos e contextos educacionais e terapêuticos. Embora não discutam segurança ou prontidão clínica, apontam claramente para a necessidade de amadurecimento científico da aplicação de NFT (BCI). Assim, há evidência positiva para RQ9.</t>
  </si>
  <si>
    <t>No evidence found. The article does not mention invasive, non-invasive, or hybrid BCIs, nor does it frame EEG usage as a brain–computer interface.</t>
  </si>
  <si>
    <t>A leitura integral do artigo confirma que o estudo utiliza EEG não invasivo para aquisição e análise de sinais neurais, especificamente por meio de Power Spectrum Density (PSD). No entanto, o sistema não estabelece um loop de controle, feedback ou interação homem–máquina, nem é descrito como Brain–Computer Interface. O EEG é utilizado exclusivamente como ferramenta de monitoramento neurofisiológico, e não como interface computacional ativa. Assim, sob validação humana, não há evidência de BCI, nem explícita nem implícita. A classificação “No evidence found” está correta e validada.</t>
  </si>
  <si>
    <t>No evidence found. No mental disorders (e.g., depression, anxiety, ADHD, schizophrenia) are the focus; the study examines attention, stress, and workload in healthy participants.</t>
  </si>
  <si>
    <t>A validação humana confirma que o estudo não investiga transtornos mentais nem condições clínicas de saúde mental. Os constructos analisados — atenção, estresse e carga mental — são avaliados em participantes saudáveis, em contexto ocupacional/ambiental. Não há enquadramento psiquiátrico, psicológico clínico ou terapêutico. Portanto, nenhuma evidência para RQ2, classificação corretamente atribuída.</t>
  </si>
  <si>
    <t>No evidence found. EEG power spectrum density is used for cognitive assessment, not for evaluating the effectiveness of BCIs in treating mental disorders.</t>
  </si>
  <si>
    <t>Excerpt: “Attention levels were measured by examining beta wave activity, while stress responses were evaluated through an alpha wave analysis. Additionally, mental workload was assessed by considering the overall distribution of PSD through the theta-to-alpha ratio.” — Explanation: This excerpt details the specific neurophysiological metrics (beta, alpha, and theta-to-alpha ratios derived from EEG signals) used in this BCI-related study to objectively measure cognitive states like attention, stress, and mental workload.</t>
  </si>
  <si>
    <t>A leitura humana confirma que, embora o artigo descreva métricas neurofisiológicas bem definidas (atividade beta para atenção, alfa para estresse, razão theta/alpha para carga mental), essas métricas não são utilizadas para avaliar a eficácia de uma BCI, nem para tratamento de transtornos mentais. O EEG é empregado como instrumento de avaliação cognitiva passiva, não como intervenção. Assim, a classificação “No evidence found” permanece válida, embora se reconheça que o estudo contribui metodologicamente para avaliação cognitiva baseada em EEG.</t>
  </si>
  <si>
    <t>No evidence found. The study measures cognitive performance but does not use BCIs to enhance memory, attention, or learning.</t>
  </si>
  <si>
    <t>Excerpt: “The analysis of the power spectrum density on the cognitive aspects of attention and stress yielded results indicating that participants were in the best attention condition and in a relaxed or unstressed state when exposed to noise levels of 65 dB in both continuous and intermittent noise types.” — Explanation: This finding demonstrates the use of EEG (a BCI technology) to monitor and identify environmental conditions that support the "best attention condition" and a "relaxed or unstressed state," which are key components of cognitive enhancement.</t>
  </si>
  <si>
    <t>Sob validação humana, confirma-se que o estudo não utiliza BCIs para aprimorar ativamente memória, atenção ou aprendizagem. O trabalho identifica condições ambientais (níveis de ruído) associadas a melhores estados atencionais e menor estresse, mas não propõe nem testa intervenções baseadas em BCI para enhancement cognitivo. O EEG atua apenas como ferramenta de medição. Portanto, não há evidência direta para RQ4, e a classificação original é metodologicamente correta.</t>
  </si>
  <si>
    <t>No evidence found. Technical, clinical, or ethical barriers to BCI adoption are not discussed.</t>
  </si>
  <si>
    <t>O artigo não discute barreiras técnicas, clínicas ou éticas relacionadas ao uso de BCIs. As limitações apresentadas concentram-se em aspectos experimentais (níveis de ruído, generalização dos resultados). Classificação “No evidence found” confirmada.</t>
  </si>
  <si>
    <t>No evidence found. Issues of neural data security, privacy, or integrity are not addressed.</t>
  </si>
  <si>
    <t>Não há qualquer menção a segurança, privacidade ou integridade de dados neurais, apesar da coleta de EEG. A governança dos dados não é discutida. Classificação corretamente atribuída.</t>
  </si>
  <si>
    <t>No evidence found. There is no discussion of emerging BCI trends, AI integration, or personalized neurostimulation.</t>
  </si>
  <si>
    <t>Excerpt: “The Power Use of Power Spectrum Density for Measures of Cognitive Performance Based on Electroencephalography: Systematic Literature Review.” — Explanation: This snippet references a systematic review by the same authors, which, by focusing on "Power Spectrum Density for Measures of Cognitive Performance," highlights the contemporary trend of using advanced signal processing techniques (often integrated with AI) to derive cognitive insights from EEG data.</t>
  </si>
  <si>
    <t>A validação humana confirma que o artigo não discute tendências emergentes em BCI, como integração com IA, sistemas adaptativos ou neuroestimulação personalizada. A referência a uma revisão sistemática dos próprios autores não constitui evidência direta neste estudo. Assim, a classificação “No evidence found” é adequada.</t>
  </si>
  <si>
    <t>No evidence found. Ethical or philosophical aspects of neurological expansion or human capability amplification are not covered.</t>
  </si>
  <si>
    <t>Não são abordadas questões éticas, filosóficas ou sociais relacionadas à ampliação das capacidades humanas ou impactos do uso de tecnologias neurais. Classificação validada.</t>
  </si>
  <si>
    <t>Excerpt: “These findings supported the importance of considering the impact of environmental noise on human cognitive well-being and demonstrated the potential of EEG monitoring as an objective tool for assessing the impact of noise on cognitive performance.” — Explanation: The conclusion implicitly points to the need for further research by advocating for the continued use of EEG monitoring as a potentially objective and effective tool for assessing environmental impact on cognitive performance and well-being.</t>
  </si>
  <si>
    <t>Embora o artigo não identifique explicitamente “research gaps” no campo de BCIs ou saúde mental, a conclusão sugere implicitamente a necessidade de pesquisas futuras ao destacar o potencial do EEG como ferramenta objetiva para avaliar impactos ambientais na cognição. No entanto, essa lacuna é ambiental/ergonômica, e não relacionada à eficácia, segurança ou evolução de BCIs em saúde mental ou enhancement cognitivo. Assim, não há evidência direta para RQ9, e a classificação original é validada.</t>
  </si>
  <si>
    <t>No evidence found. The article does not discuss invasive, non-invasive, or hybrid BCIs, nor does it frame EEG-based affect classification as a BCI used in mental health applications.</t>
  </si>
  <si>
    <t>A leitura integral do artigo confirma que o estudo utiliza EEG não invasivo (32 canais) para aquisição de sinais neurais, os quais são posteriormente processados por modelos de deep learning (CNN) para classificação afetiva. Entretanto, não existe qualquer loop de interação cérebro–computador, controle em tempo real ou feedback adaptativo ao usuário. O EEG é empregado como sensor passivo, e o sistema não é descrito nem conceitualizado como BCI. Assim, sob validação humana rigorosa, não há evidência de BCI, apenas de neuro-sensoriamento com análise computacional. A classificação “No evidence found” para RQ1 é correta e validada.</t>
  </si>
  <si>
    <t>No evidence found. No mental disorders (e.g., depression, anxiety, ADHD, schizophrenia) are addressed; the study focuses on affect classification in experimental conditions.</t>
  </si>
  <si>
    <t>A validação humana confirma que o artigo não aborda transtornos mentais nem populações clínicas. Os estados analisados (valência e excitação/arousal) são constructos afetivos gerais, investigados em contexto experimental, sem relação direta com depressão, ansiedade, TDAH ou outros transtornos psiquiátricos. Portanto, nenhuma evidência para RQ2, classificação validada.</t>
  </si>
  <si>
    <t>No evidence found. Evaluation metrics relate to classification accuracy of affective states, not to measuring the effectiveness of BCIs in treating mental disorders.</t>
  </si>
  <si>
    <t>Excerpt: “Electroencephalography (EEG) signals were recorded using a 32-channel system and processed to extract features, which were then used to train a convolutional neural network (CNN) for affect classification (valence and arousal).” — Explanation: This excerpt details the BCI hardware (32-channel EEG system) and the advanced AI/technical metrics (CNN for classification of neural features into affective states like valence and arousal) used to evaluate brain responses.</t>
  </si>
  <si>
    <t>Embora o estudo apresente métricas técnicas robustas — incluindo acurácia de classificação, arquitetura CNN e extração de features EEG — essas métricas não avaliam eficácia terapêutica, nem impacto clínico de BCIs em saúde mental. A avaliação refere-se exclusivamente ao desempenho de classificação afetiva, não a tratamento ou intervenção. Assim, sob validação humana, não há evidência para RQ3, apesar da contribuição metodológica relevante. Classificação confirmada.</t>
  </si>
  <si>
    <t>No evidence found. BCIs are not used to enhance memory, attention, or learning; EEG is used solely for affect recognition.</t>
  </si>
  <si>
    <t>Excerpt: “This study aimed to investigate the influence of light conditions (warm white, cold white, and full spectrum) on the neural classification of affective states, suggesting the potential for environments to be optimized for better emotional and cognitive well-being.” — Explanation: The research uses BCI/EEG to link external environmental factors (light conditions) to internal brain states (affective states), which is a prerequisite for using BCI technology to enhance well-being and, indirectly, cognitive function.</t>
  </si>
  <si>
    <t>O artigo não utiliza BCIs para aprimorar diretamente memória, atenção ou aprendizagem. Contudo, a validação humana reconhece que o estudo estabelece uma relação causal indireta entre condições ambientais (iluminação) e estados afetivos neurais, o que pode futuramente informar estratégias de otimização do bem-estar emocional. Ainda assim, no escopo estrito da RQ4 (uso ativo de BCIs para cognitive enhancement), não há evidência direta. A classificação “No evidence found” permanece metodologicamente correta.</t>
  </si>
  <si>
    <t>No evidence found. The paper does not discuss technical, clinical, or ethical barriers to BCI adoption.</t>
  </si>
  <si>
    <t>Não há discussão sobre barreiras técnicas, clínicas ou éticas relacionadas à adoção de BCIs. As limitações mencionadas dizem respeito a parâmetros experimentais (tipos de luz, generalização dos dados). Classificação validada.</t>
  </si>
  <si>
    <t>No evidence found. Security, privacy, and integrity of neural data are not discussed.</t>
  </si>
  <si>
    <t>A leitura humana confirma a ausência total de discussão sobre segurança, privacidade ou integridade dos dados neurais coletados por EEG. Classificação “No evidence found” confirmada.</t>
  </si>
  <si>
    <t>No evidence found. While deep learning is applied, the article does not discuss future trends in BCIs, AI-integrated neurostimulation, or personalized interventions.</t>
  </si>
  <si>
    <t>Excerpt: “This deep learning approach achieved a high accuracy (above 80% for valence and arousal) in classifying affective states based on EEG signals, demonstrating the significant potential of merging BCI and AI for personalized human-environment interactions.” — Explanation: This excerpt directly highlights the key emerging trend of integrating BCI (EEG signals) and AI (deep learning/CNN) to achieve accurate real-time classification of neural data for personalized applications.</t>
  </si>
  <si>
    <t>Sob validação humana, este é o único RQ com evidência indireta relevante. O artigo demonstra claramente a integração entre sinais neurais (EEG) e Inteligência Artificial (CNN) para classificação afetiva com alta acurácia (&gt;80%). Embora os autores não enquadrem explicitamente o sistema como BCI nem discutam tendências futuras de forma conceitual, o trabalho materializa uma tendência emergente: o uso de IA profunda para interpretação personalizada de estados neurais em tempo quase real. Assim, a evidência para RQ7 é válida como evidência implícita/indireta, coerente com os critérios já aplicados em ES88.</t>
  </si>
  <si>
    <t>No evidence found. Ethical or philosophical considerations of neurological expansion or amplification of human capabilities are not addressed.</t>
  </si>
  <si>
    <t>Não são abordados aspectos éticos, filosóficos ou sociais relacionados à ampliação das capacidades humanas ou impactos do uso de tecnologias neurais. Classificação validada.</t>
  </si>
  <si>
    <t>Excerpt: “Future studies should consider a more diverse range of lighting parameters, as well as the long-term effects of exposure, to validate the generalizability of the findings for real-world environmental optimization.” — Explanation: The conclusion identifies a clear research gap, stating that future work needs to explore a "more diverse range of lighting parameters" and the "long-term effects of exposure" to make the BCI/AI-based affect classification generalizable.</t>
  </si>
  <si>
    <t>A validação humana confirma que o artigo identifica explicitamente lacunas de pesquisa, ao recomendar estudos futuros com maior diversidade de parâmetros de iluminação e análise de efeitos de longo prazo, visando maior generalização e aplicação no mundo real. Contudo, essas lacunas estão ancoradas em design ambiental e classificação afetiva, não no avanço clínico, ético ou tecnológico de BCIs para saúde mental. Assim, não há evidência direta para RQ9 no escopo da SLR, e a classificação permanece correta.</t>
  </si>
  <si>
    <t>No evidence found. While the article studies an EEG-based BCI, it does not discuss BCI types used in mental health applications, which is the focus of this RQ.</t>
  </si>
  <si>
    <t>A leitura completa do artigo confirma que o estudo envolve explicitamente um Brain–Computer Interface baseado em EEG voltado à music entrainment. Entretanto, o trabalho não classifica o BCI (invasivo, não invasivo ou híbrido) no contexto de aplicações em saúde mental, nem discute o uso clínico ou terapêutico do sistema. O foco é técnico e computacional. Assim, embora exista um BCI claro, não há evidência pertinente ao escopo desta RQ, que exige enquadramento em aplicações de saúde mental. Classificação “No evidence found” validada.</t>
  </si>
  <si>
    <t>No evidence found. No mental disorders (e.g., depression, anxiety, ADHD, schizophrenia) are addressed; the study focuses on music entrainment and classification performance.</t>
  </si>
  <si>
    <t>A validação humana confirma que nenhum transtorno mental é abordado. O estudo não investiga ansiedade, depressão, TDAH, esquizofrenia ou populações clínicas; concentra-se na classificação de estados cerebrais induzidos por música em participantes saudáveis. Portanto, não há evidência para RQ2, classificação correta.</t>
  </si>
  <si>
    <t>No evidence found. Evaluation metrics relate to machine-learning performance of the BCI system, not to effectiveness in treating mental disorders.</t>
  </si>
  <si>
    <t>Excerpt: “The study investigates the performance of deep learning models, specifically a Convolutional Neural Network (CNN), in classifying brain states induced by music entrainment, using metrics like accuracy, precision, recall, and F1-score.” — Explanation: This excerpt specifies the technical metrics (accuracy, precision, recall, F1-score) and the specific BCI-related evaluation method (deep learning classification of EEG-based brain states) used in the study.</t>
  </si>
  <si>
    <t>Embora o artigo utilize métricas quantitativas robustas — acurácia, precisão, recall e F1-score — estas métricas avaliam desempenho de modelos de deep learning no contexto de classificação EEG, e não a eficácia terapêutica de BCIs para tratamento de transtornos mentais. A validação humana confirma que se trata de avaliação técnica do sistema, não clínica. Assim, não há evidência para RQ3, e a classificação está correta.</t>
  </si>
  <si>
    <t>No evidence found. The BCI is not used to enhance memory, attention, or learning; it is evaluated for music entrainment signal processing.</t>
  </si>
  <si>
    <t>Excerpt: “This study explores the feasibility of an EEG-based Music Entrainment Brain Computer Interface (BCI) for inducing desired brain states, which is relevant for applications in cognitive enhancement and mood regulation.” — Explanation: The article focuses on using EEG-based BCI and music entrainment to actively "inducing desired brain states," which is a method directly relevant to achieving cognitive enhancement and improved focus/mood.</t>
  </si>
  <si>
    <t>A leitura humana identifica evidência conceitual indireta relevante para RQ4. O estudo explora explicitamente a indução ativa de estados cerebrais desejados por meio de um BCI baseado em EEG e music entrainment, com potencial aplicação em regulação de humor, foco e estados cognitivos. Contudo, o artigo não apresenta experimentos diretos de melhoria de memória, atenção ou aprendizagem, nem valida efeitos cognitivos específicos. Portanto, a evidência é potencial e prospectiva, mas não satisfaz plenamente os critérios da RQ. A classificação como “No evidence found” no sentido estrito é metodologicamente defensável, com nota de relevância indireta.</t>
  </si>
  <si>
    <t>No evidence found. Technical, clinical, or ethical barriers to adopting BCIs in therapeutic or enhancement contexts are not discussed.</t>
  </si>
  <si>
    <t>Excerpt: “Despite the promising results, the development of robust and generalizable deep learning models remains a technical challenge that must be overcome for widespread clinical adoption.” — Explanation: This excerpt directly states a main technical barrier: the need to develop "robust and generalizable deep learning models" for BCI systems to enable "widespread clinical adoption."</t>
  </si>
  <si>
    <t>Sob validação humana, este artigo contém evidência explícita relacionada a barreiras técnicas. Os autores afirmam claramente que a robustez, generalização e complexidade dos modelos de deep learning representam desafios para a adoção clínica em larga escala de sistemas BCI. Embora não haja discussão ética ou clínica aprofundada, a identificação de limitações técnicas é inequívoca. Assim, a evidência para RQ5 é válida e corretamente atribuída.</t>
  </si>
  <si>
    <t>No evidence found. Security, privacy, and integrity of neural data are not addressed.</t>
  </si>
  <si>
    <t>A leitura humana confirma que não há qualquer discussão sobre segurança, privacidade ou integridade de dados neurais. O artigo trata exclusivamente de processamento de sinais e desempenho algorítmico. Classificação “No evidence found” confirmada.</t>
  </si>
  <si>
    <t>No evidence found. Although deep learning is used, the article does not discuss future trends in AI-integrated BCIs or personalized neurostimulation for mental health.</t>
  </si>
  <si>
    <t>Excerpt: “The integration of Deep Learning (DL) with EEG-based BCI represents a significant trend, enabling automated feature extraction and classification with high accuracy, which is essential for developing personalized neurostimulation protocols.” — Explanation: This highlights the key emerging trend of integrating Deep Learning (AI) with EEG-based BCI to automate brain state classification, which is a step toward "personalized neurostimulation protocols."</t>
  </si>
  <si>
    <t>A validação humana identifica evidência indireta clara para RQ7. O estudo demonstra a integração entre BCI (EEG) e Deep Learning (CNN) para classificação automática de estados cerebrais, destacando essa integração como um caminho para sistemas personalizados e adaptativos, incluindo potenciais protocolos de neuroestimulação. Embora os autores não apresentem uma discussão explícita sobre tendências futuras, o conteúdo do trabalho materializa uma tendência emergente no campo de BCIs. Assim, a evidência para RQ7 é válida como evidência implícita, consistente com critérios aplicados nos estudos anteriores.</t>
  </si>
  <si>
    <t>No evidence found. Ethical or philosophical discussions on neurological expansion or amplification of human capabilities are absent.</t>
  </si>
  <si>
    <t>O artigo não aborda questões éticas, filosóficas ou sociais relacionadas à amplificação das capacidades humanas ou implicações do uso de BCIs. Classificação validada.</t>
  </si>
  <si>
    <t>No evidence found. The article does not identify research gaps related to BCIs becoming effective and safe tools in mental healthcare or cognitive enhancement.</t>
  </si>
  <si>
    <t>Excerpt: “Future work should focus on optimizing the complexity of deep learning models for real-time processing and on validating the entrainment effect across a more diverse set of subjects and musical stimuli.” — Explanation: This excerpt specifies research gaps related to the technical implementation ("optimizing the complexity of deep learning models for real-time processing") and the generalizability of the BCI application ("validating the entrainment effect across a more diverse set of subjects").</t>
  </si>
  <si>
    <t>A leitura humana confirma que o estudo identifica explicitamente lacunas de pesquisa, recomendando:
(i) otimização da complexidade dos modelos para processamento em tempo real; e
(ii) validação do efeito de entrainment em amostras mais diversas e estímulos musicais variados.
Essas lacunas são técnicas e metodológicas, não clínicas ou regulatórias, mas ainda assim constituem evidência válida de gaps de pesquisa. A classificação atribuída está correta.</t>
  </si>
  <si>
    <t>No evidence found. The article does not describe invasive, non-invasive, or hybrid BCIs; TMS–EEG is used as a neurostimulation and measurement technique, not a brain–computer interface.</t>
  </si>
  <si>
    <t>Excerpt: “Neuroplasticity was assessed by using measurements combining TMS with EEG before and after PAS.” — Explanation: This excerpt demonstrates the use of a hybrid BCI-related approach, combining Transcranial Magnetic Stimulation (TMS - a form of non-invasive neurostimulation) with Electroencephalography (EEG - a non-invasive recording BCI) to study a mental health condition (treatment-resistant depression).</t>
  </si>
  <si>
    <t>A leitura integral do artigo confirma que o estudo utiliza uma combinação de TMS (Transcranial Magnetic Stimulation) e EEG para avaliar neuroplasticidade cortical em pacientes com depressão resistente ao tratamento. Embora essa combinação envolva tecnologias tipicamente associadas ao ecossistema BCI (EEG como registro neural não invasivo e TMS como neuromodulação), o sistema não constitui uma Brain–Computer Interface propriamente dita, pois não há loop fechado de interação, controle computacional em tempo real ou interface cérebro–máquina. O uso de TMS–EEG é experimental e diagnóstico, não interativo. Assim, sob validação humana rigorosa, não há evidência direta de BCI, mas sim de um paradigma híbrido de neuroestimulação + neuroregistro. A classificação “No evidence found” para RQ1, no escopo estrito de BCI, é metodologicamente correta, com nota de relevância tecnológica adjacente.</t>
  </si>
  <si>
    <t>No evidence found. Although treatment-resistant depression is the study population, the paper does not discuss mental disorders in the context of BCI research or compare disorders studied using BCIs.</t>
  </si>
  <si>
    <t>Excerpt: “Major depressive disorder affects over 300 million people globally, with approximately 30% experiencing treatment-resistant depression (TRD). Given that impaired neuroplasticity underlies depression, the present study focused on neuroplasticity in the dorsolateral prefrontal cortex (DLPFC).” — Explanation: This excerpt directly names depression and specifically treatment-resistant depression (TRD) as the mental disorder targeted by this BCI-related study.</t>
  </si>
  <si>
    <t>A validação humana confirma evidência direta e inequívoca para RQ2. O estudo foca explicitamente em Transtorno Depressivo Maior resistente ao tratamento (TRD), descrevendo sua prevalência, impacto clínico e associação com déficits de neuroplasticidade no córtex pré-frontal dorsolateral esquerdo (DLPFC). Trata-se de uma população clínica claramente definida, central ao escopo de saúde mental da SLR. A evidência para RQ2 é válida e corretamente identificada.</t>
  </si>
  <si>
    <t>No evidence found. Neuroplasticity indices derived from TMS–EEG are not presented as metrics for evaluating the effectiveness of BCIs in treating mental disorders.</t>
  </si>
  <si>
    <t>Excerpt: “Neuroplasticity was assessed by using measurements combining TMS with EEG before and after PAS. Both groups exhibited significant increases in the early component of TMS-evoked potentials (TEP) after PAS... Additionally, event-related spectral perturbation analysis highlighted that the gamma power significantly increased after PAS in the HC group, whereas it was decreased in the TRD group.” — Explanation: This study uses neurophysiological metrics, specifically the change in TMS-evoked potentials (TEP) and modulation of gamma power via event-related spectral perturbation analysis, to measure the effects of the neuroplasticity-inducing intervention.</t>
  </si>
  <si>
    <t>Sob validação humana, há evidência clara de métricas neurofisiológicas utilizadas para avaliar os efeitos da intervenção experimental. O estudo emprega potenciais evocados por TMS (TEPs), análise de perturbação espectral relacionada a eventos e modulação de potência gama como indicadores objetivos de neuroplasticidade antes e depois do PAS (Paired Associative Stimulation). Contudo, essas métricas não são apresentadas como avaliação da eficácia de um BCI terapêutico, mas sim como biomarcadores neurofisiológicos de plasticidade cortical. Assim, a evidência é válida no nível metodológico, mas não satisfaz plenamente o critério da RQ, que exige avaliação da eficácia de BCIs como ferramentas terapêuticas. A classificação atribuída é adequada, com nota de relevância parcial.</t>
  </si>
  <si>
    <t>No evidence found. BCIs are not used to enhance memory, attention, or learning; the focus is cortical plasticity in depression.</t>
  </si>
  <si>
    <t>A leitura humana confirma que o estudo não investiga enhancement cognitivo (memória, atenção ou aprendizagem). O foco está exclusivamente na plasticidade cortical associada à depressão, não em melhoria de desempenho cognitivo nem em uso de interfaces neurais para esse fim. Portanto, não há evidência para RQ4, e a classificação está correta.</t>
  </si>
  <si>
    <t>No evidence found. The study does not discuss technical, clinical, or ethical barriers to adopting BCIs.</t>
  </si>
  <si>
    <t>O artigo não discute barreiras técnicas, clínicas ou éticas relacionadas à adoção de BCIs. As limitações são apresentadas apenas em termos de desenho experimental, tamanho amostral e interpretação neurofisiológica. Assim, não há evidência para RQ5, classificação validada.</t>
  </si>
  <si>
    <t>No evidence found. Security, privacy, or integrity of neural data are not addressed.</t>
  </si>
  <si>
    <t>A validação humana confirma que não há qualquer menção a segurança, privacidade ou integridade de dados neurais. O estudo não aborda governança de dados nem implicações de uso clínico ampliado. Classificação “No evidence found” confirmada.</t>
  </si>
  <si>
    <t>No evidence found. There is no discussion of future BCI trends, AI integration, or personalized neurostimulation within a BCI framework.</t>
  </si>
  <si>
    <t>O estudo não discute tendências futuras como integração de BCIs com inteligência artificial, sistemas adaptativos ou neuroestimulação personalizada dentro de um framework BCI. Embora o tema de neuroplasticidade personalizada seja implicitamente relevante, não há discussão explícita ou aplicada a tendências tecnológicas emergentes. Assim, não há evidência para RQ7, classificação correta.</t>
  </si>
  <si>
    <t>No evidence found. Ethical or philosophical considerations of neurological expansion or amplification of human capabilities are not discussed.</t>
  </si>
  <si>
    <t>A leitura humana confirma a ausência total de discussões éticas, filosóficas ou sociais sobre amplificação das capacidades humanas ou impactos do uso de tecnologias neurais. Classificação validada.</t>
  </si>
  <si>
    <t>Excerpt: “Our findings underscore the impaired neuroplasticity of the DLPFC in individuals with TRD.” — Explanation: While not explicitly stating a future research gap, the conclusion implies the need for further clinical research to develop BCI-based interventions to restore the "impaired neuroplasticity" found in patients with TRD.</t>
  </si>
  <si>
    <t>Embora o artigo não apresente uma seção explícita de “research gaps”, a validação humana identifica uma lacuna implícita clara: os achados de neuroplasticidade reduzida no DLPFC em TRD sugerem a necessidade de novas intervenções neuromodulatórias capazes de restaurar essa plasticidade. No entanto, essa lacuna é clínica e neurocientífica, não enquadrada diretamente como um gap de desenvolvimento ou validação de BCIs. Assim, no escopo estrito da SLR, não há evidência direta para RQ9, e a classificação permanece correta.</t>
  </si>
  <si>
    <t>No evidence found. — The article investigates EEG spectral responses related to driver fatigue, but it does not discuss types of Brain-Computer Interfaces used in mental health applications.</t>
  </si>
  <si>
    <t>Excerpt: “No evidence found.” — Explanation: The article focuses on assessing driver fatigue using EEG spectral responses and does not discuss or compare the usage of invasive, non-invasive, or hybrid Brain-Computer Interfaces (BCIs) in mental health applications.</t>
  </si>
  <si>
    <t>A validação humana confirma que o artigo utiliza EEG como ferramenta de registro neurofisiológico para analisar respostas cerebrais associadas à fadiga de motoristas sob diferentes condições de tráfego. Entretanto, não há qualquer implementação de Brain–Computer Interface, nem discussão sobre tipos de BCI (invasiva, não invasiva ou híbrida), tampouco aplicação em saúde mental. O EEG é empregado apenas como instrumento de monitoramento passivo, sem loop de interação cérebro–computador. Assim, a classificação “No evidence found” para RQ1 é correta e metodologicamente consistente.</t>
  </si>
  <si>
    <t>No evidence found. — This study focuses on driver fatigue and EEG band changes, not on mental disorders such as depression, anxiety, ADHD, or schizophrenia.</t>
  </si>
  <si>
    <t>Excerpt: “No evidence found.” — Explanation: The article studies brain activity related to driver fatigue and mental workload, but it does not mention or investigate specific clinical mental disorders such as depression, anxiety, schizophrenia, or ADHD.</t>
  </si>
  <si>
    <t>A leitura integral confirma que o estudo não aborda transtornos mentais clínicos (como depressão, ansiedade, TDAH ou esquizofrenia). O conceito de “fadiga” é tratado como um estado funcional e transitório, associado a condições de direção e carga de trabalho, e não como um diagnóstico psiquiátrico. Portanto, não há evidência para RQ2, e a classificação atribuída está validada.</t>
  </si>
  <si>
    <t>Excerpt: “Studies have investigated its relationship with various biological markers, including sleep state … electroencephalography (EEG) activation levels.” — Explanation: The article uses EEG spectral responses (theta and alpha bands) and NASA-TLX workload scores to measure brain activity and fatigue, but these are not metrics for evaluating therapeutic effectiveness of BCIs in mental disorders.</t>
  </si>
  <si>
    <t>Excerpt: “No evidence found.” — Explanation: The article does not discuss the effectiveness of BCIs in the treatment of mental disorders; therefore, it does not provide information on the specific metrics and evaluation methods used for such applications.</t>
  </si>
  <si>
    <t>Sob validação humana, observa-se que o artigo emprega métricas neurofisiológicas clássicas, como alterações nas bandas theta e alpha do EEG, além de instrumentos psicométricos (NASA-TLX), para quantificar fadiga e carga mental. Contudo, essas métricas não são usadas para avaliar a eficácia de BCIs em tratamento de transtornos mentais, mas apenas para correlação entre estados cerebrais e desempenho em direção veicular. Assim, embora haja métricas neurais, elas não atendem ao escopo da RQ3, e a classificação “No evidence found” permanece correta.</t>
  </si>
  <si>
    <t>No evidence found. — Although the article discusses EEG changes during driving and mentions cognitive performance related to fatigue, it does not cover BCI applications for enhancing memory, attention, or learning.</t>
  </si>
  <si>
    <t>Excerpt: “No evidence found.” — Explanation: The study examines fatigue-related decreases in cognitive function during driving and does not discuss how Brain-Computer Interfaces (BCIs) have been used to enhance cognitive abilities like memory, attention, and learning.</t>
  </si>
  <si>
    <t>A validação humana confirma que o estudo não propõe nem avalia o uso de BCIs para enhancement cognitivo (memória, atenção ou aprendizagem). O foco está em detectar degradação cognitiva causada pela fadiga, e não em promover melhorias cognitivas por meio de interfaces neurais. Logo, não há evidência para RQ4, classificação validada.</t>
  </si>
  <si>
    <t>No evidence found. — The article does not address technical, clinical, or ethical barriers to BCI adoption for therapy or human enhancement.</t>
  </si>
  <si>
    <t>Excerpt: “No evidence found.” — Explanation: The article is a research study on driver fatigue and does not contain a comprehensive review or discussion of the main technical, clinical, and ethical barriers limiting the therapeutic and human enhancement adoption of BCIs.</t>
  </si>
  <si>
    <t>O artigo não discute barreiras técnicas, clínicas ou éticas relacionadas à adoção de BCIs. As limitações abordadas são estritamente metodológicas (condições experimentais, amostra, variabilidade individual). Não há reflexão sobre escalabilidade, uso clínico ou implicações éticas de tecnologias BCI. Portanto, não há evidência para RQ5, e a classificação está correta.</t>
  </si>
  <si>
    <t>No evidence found. — There is no discussion of security, privacy, or neural data integrity issues related to BCIs in the article.</t>
  </si>
  <si>
    <t>Excerpt: “No evidence found.” — Explanation: While the article mentions informed consent for the study, it does not contain a discussion on the broader issues of security, privacy, and integrity of neural data collected by BCIs in general use.</t>
  </si>
  <si>
    <t>Embora o estudo mencione consentimento informado, a validação humana confirma que não há discussão sobre segurança, privacidade ou integridade de dados neurais no contexto de BCIs. Não são abordados riscos de uso contínuo, armazenamento de dados EEG ou governança de informações neurais. Assim, não há evidência para RQ6, classificação confirmada.</t>
  </si>
  <si>
    <t>No evidence found. — Emerging trends linking BCIs with AI or personalized neurostimulation are not part of this driver fatigue study.</t>
  </si>
  <si>
    <t>Excerpt: “No evidence found.” — Explanation: The research focuses on conventional EEG signal analysis related to driver fatigue and does not address future emerging trends such as the integration of BCIs with artificial intelligence or personalized neurostimulation.</t>
  </si>
  <si>
    <t>O artigo utiliza análises convencionais de EEG e não discute tendências emergentes, como integração de BCIs com inteligência artificial avançada, sistemas adaptativos ou neuroestimulação personalizada. Não há projeções futuras no ecossistema BCI. Portanto, não há evidência para RQ7, conforme corretamente classificado.</t>
  </si>
  <si>
    <t>No evidence found. — Ethical or philosophical discussion of neurological expansion or human capability amplification is absent.</t>
  </si>
  <si>
    <t>Excerpt: “No evidence found.” — Explanation: The article does not include a discussion on the ethical and philosophical aspects of "neurological expansion" or the amplification of human capabilities, as it focuses on physiological fatigue assessment.</t>
  </si>
  <si>
    <t>A validação humana confirma a ausência total de discussões éticas ou filosóficas relacionadas à amplificação das capacidades humanas, expansão neurológica ou impactos sociais do uso de tecnologias neurais. O estudo mantém um foco estritamente experimental e funcional. Assim, não há evidência para RQ8, classificação validada.</t>
  </si>
  <si>
    <t>No evidence found. — The article does not outline research gaps for BCIs in mental healthcare or enhancement; it is confined to fatigue and EEG responses under differing traffic conditions.</t>
  </si>
  <si>
    <t>Excerpt: “No evidence found.” — Explanation: The research gaps discussed in the article are specific to understanding driver fatigue in different traffic environments, not the research gaps needed for BCIs to become an effective and safe tool in mental healthcare and cognitive enhancement.</t>
  </si>
  <si>
    <t>Embora o artigo identifique lacunas específicas relacionadas à compreensão da fadiga do motorista em diferentes condições de tráfego, essas lacunas não se relacionam a BCIs aplicadas à saúde mental ou ao enhancement cognitivo. Não há menção a gaps tecnológicos, clínicos ou de segurança que limitem a adoção de BCIs. Portanto, não há evidência para RQ9, e a classificação permanece correta.</t>
  </si>
  <si>
    <t>No evidence found. — This study investigates how emotional valence affects cognitive performance and EEG frequency bands during decision making, but it does not discuss types of Brain-Computer Interfaces (invasive, non-invasive, hybrid) in mental health applications.</t>
  </si>
  <si>
    <t>Excerpt: “No evidence found.” — Explanation: The article reports on a neurophysiological study using EEG as a measurement tool for emotional and cognitive responses in healthy subjects and does not discuss the application or types of Brain-Computer Interfaces (BCIs) in mental health.</t>
  </si>
  <si>
    <t>A validação humana confirma que o artigo utiliza EEG exclusivamente como ferramenta de medição neurofisiológica para analisar como a valência emocional influencia o desempenho cognitivo e respostas cerebrais durante a tomada de decisão. Não há implementação, descrição ou classificação de Brain–Computer Interfaces (invasivas, não invasivas ou híbridas), nem qualquer loop de interação cérebro–computador. O EEG é empregado de forma passiva e observacional, o que justifica plenamente a classificação “No evidence found” para RQ1.</t>
  </si>
  <si>
    <t>No evidence found. — The article does not focus on mental disorders such as depression, anxiety, schizophrenia, or ADHD in the context of BCIs; it studies emotional valence effects in healthy adults.</t>
  </si>
  <si>
    <t>Excerpt: “No evidence found.” — Explanation: The study was conducted on "26 healthy adults," and its scope is focused on stress regulation and decision-making, not the application of neurotechnology or BCIs to treat specific clinical mental disorders.</t>
  </si>
  <si>
    <t>A leitura crítica confirma que o estudo foi conduzido com adultos saudáveis e não investiga transtornos mentais clínicos como depressão, ansiedade, TDAH ou esquizofrenia. Os conceitos de estresse emocional e valência afetiva são tratados como variáveis experimentais, não como condições psicopatológicas. Portanto, não há evidência para RQ2, e a classificação atribuída é correta.</t>
  </si>
  <si>
    <t>Excerpt: “EEG data (frequency bands)… Behavioral data (preparation times)… were collected to assess stress regulation, stress resilience, and cognitive performance.” — Explanation: The study uses EEG frequency band analysis and behavioral preparation times to measure cognitive performance under emotional valence, but this isn’t a metric for evaluating BCIs in mental disorder treatment.</t>
  </si>
  <si>
    <t>Excerpt: “No evidence found.” — Explanation: The article is a preliminary study on cognitive performance and neurophysiological responses to emotional stimuli, and it does not discuss BCI effectiveness metrics because it is not a study on BCI treatment for mental disorders.</t>
  </si>
  <si>
    <t>Sob validação humana, observa-se que o estudo emprega métricas comportamentais (tempos de preparação) e métricas neurofisiológicas (bandas de frequência do EEG) para avaliar desempenho cognitivo sob diferentes estados emocionais. Contudo, essas métricas não são usadas para avaliar a eficácia de BCIs no tratamento de transtornos mentais. O estudo não tem caráter interventivo nem terapêutico via BCI. Assim, a classificação “No evidence found” para RQ3 é metodologicamente adequada.</t>
  </si>
  <si>
    <t>No evidence found. — While the article examines cognitive performance relative to emotional valence, it does not discuss using BCIs to enhance memory, attention, or learning.</t>
  </si>
  <si>
    <t>Excerpt: “No evidence found.” — Explanation: The study examines the impact of emotional stress on cognitive performance and does not discuss or use BCIs to enhance cognitive abilities like memory, attention, or learning.</t>
  </si>
  <si>
    <t>Embora o artigo analise variações no desempenho cognitivo associadas à valência emocional, a validação humana confirma que não há uso de BCIs para enhancement cognitivo (memória, atenção ou aprendizagem). O estudo descreve efeitos moduladores do estado emocional sobre o desempenho, e não intervenções tecnológicas para aprimorá-lo. Logo, não há evidência para RQ4, classificação validada.</t>
  </si>
  <si>
    <t>No evidence found. — There is no discussion of technical, clinical, or ethical barriers to BCIs in therapeutic or human enhancement contexts.</t>
  </si>
  <si>
    <t>Excerpt: “No evidence found.” — Explanation: The article focuses on the experimental results of a social stress test and does not contain a dedicated discussion or review of the technical, clinical, and ethical barriers limiting BCI adoption in therapeutic or enhancement contexts.</t>
  </si>
  <si>
    <t>O artigo não discute barreiras técnicas, clínicas ou éticas relacionadas à adoção de BCIs em contextos terapêuticos ou de aprimoramento humano. As limitações apresentadas são restritas ao tamanho amostral e ao caráter preliminar do estudo, sem extrapolação para desafios tecnológicos ou clínicos. Portanto, não há evidência para RQ5, e a classificação está correta.</t>
  </si>
  <si>
    <t>No evidence found. — Security, privacy, and integrity of neural data in BCI systems are not addressed.</t>
  </si>
  <si>
    <t>Excerpt: “No evidence found.” — Explanation: Although the study mentions adherence to "the General Data Protection Regulation–Reg. UE 2016/679 and its ethical guidelines," it does so only in the context of its own experimental procedure, not as a discussion of security, privacy, and integrity of neural data collected by BCIs.</t>
  </si>
  <si>
    <t>Apesar de mencionar conformidade com o GDPR e normas éticas de pesquisa, a validação humana confirma que não há discussão conceitual sobre segurança, privacidade ou integridade de dados neurais no contexto de BCIs. As referências éticas limitam-se ao protocolo experimental, não ao uso ampliado de dados neurais. Assim, não há evidência para RQ6, classificação confirmada.</t>
  </si>
  <si>
    <t>No evidence found. — The study does not mention emerging trends in BCI integration with AI or personalized neurostimulation.</t>
  </si>
  <si>
    <t>Excerpt: “No evidence found.” — Explanation: The article reports on current EEG frequency band analysis and does not address future emerging trends related to the integration of BCIs with artificial intelligence or personalized neurostimulation.</t>
  </si>
  <si>
    <t>O estudo não aborda tendências emergentes em BCIs, como integração com inteligência artificial, sistemas adaptativos ou neuroestimulação personalizada. As análises utilizam métodos tradicionais de EEG e estatística inferencial. Não há projeções futuras no campo BCI. Portanto, não há evidência para RQ7, conforme corretamente classificado.</t>
  </si>
  <si>
    <t>Excerpt: “No evidence found.” — Explanation: The study is empirical, focusing on neurophysiological responses to stress, and does not engage with the ethical or philosophical aspects of "neurological expansion" or the amplification of human capabilities.</t>
  </si>
  <si>
    <t>A validação humana confirma a ausência total de discussões éticas ou filosóficas relacionadas à expansão neurológica, amplificação das capacidades humanas ou impactos sociais de tecnologias neurais. O artigo mantém foco estritamente experimental e cognitivo. Assim, não há evidência para RQ8, classificação validada.</t>
  </si>
  <si>
    <t>No evidence found. — The article does not identify research gaps related to BCIs in mental health or cognitive enhancement.</t>
  </si>
  <si>
    <t>Excerpt: “No evidence found.” — Explanation: The article identifies research gaps specific to the current study (e.g., how EVES impact decision making) but does not address the broader research gaps for BCIs to become an effective and safe tool in mental healthcare and cognitive enhancement.</t>
  </si>
  <si>
    <t>Embora o artigo reconheça limitações e a necessidade de estudos futuros sobre a relação entre valência emocional e tomada de decisão, essas lacunas não se referem a BCIs nem a sua eficácia, segurança ou aplicabilidade em saúde mental ou enhancement cognitivo. Logo, não há evidência para RQ9, e a classificação permanece correta.</t>
  </si>
  <si>
    <t>No evidence found. — The article reports on resting-state EEG in AD patients but does not discuss types of Brain-Computer Interfaces (invasive, non-invasive, hybrid) in mental health applications.</t>
  </si>
  <si>
    <t>Excerpt: “No evidence found.” — Explanation: The article utilizes resting-state EEG, which is a non-invasive measurement technique, but does not discuss or compare the types of Brain-Computer Interfaces (invasive, non-invasive, hybrid) most used in mental health applications.</t>
  </si>
  <si>
    <t>A validação humana confirma que o estudo utiliza EEG em estado de repouso como ferramenta diagnóstica e exploratória, com o objetivo de investigar alterações funcionais cerebrais associadas à progressão do transtorno de ansiedade. Não há implementação de um Brain–Computer Interface, nem descrição de sistemas invasivos, não invasivos ou híbridos no sentido funcional de BCI (ou seja, sem loop cérebro–computador). O EEG é empregado exclusivamente de forma passiva, justificando corretamente a classificação “No evidence found” para RQ1.</t>
  </si>
  <si>
    <t>Excerpt: “No evidence found.” — Explanation: While the study focuses on Anxiety Disorder (AD) and Generalized Anxiety Disorder (GAD), it does not review or state which mental disorders have received the most attention in research specifically involving BCIs.</t>
  </si>
  <si>
    <t>Embora o estudo investigue diretamente Anxiety Disorder (AD) e Generalized Anxiety Disorder (GAD), a validação humana confirma que o artigo não se propõe a analisar o panorama de transtornos mentais mais investigados em pesquisas com BCIs, nem contextualiza esses transtornos dentro da literatura de BCI em saúde mental. O foco é clínico-diagnóstico, não bibliométrico ou tecnológico. Portanto, a classificação “No evidence found” para RQ2 é conceitualmente correta.</t>
  </si>
  <si>
    <t>Excerpt: “Then, EEG features, including univariate power spectral density (PSD), fuzzy entropy (FE), and multivariable functional connectivity (FC), were extracted and compared between AS and GAD.” — Explanation: This indicates what EEG measures were used in this study to analyze brain function in anxiety disorder, but these are neurophysiological metrics in EEG research, not metrics for evaluating BCIs in mental disorder treatment.</t>
  </si>
  <si>
    <t>Excerpt: “No evidence found.” — Explanation: The article reports on diagnostic metrics (PSD, FE, FC) for classifying anxiety states, but it does not discuss the metrics or evaluation methods used to measure the effectiveness of BCIs in the treatment of mental disorders.</t>
  </si>
  <si>
    <t>O artigo emprega métricas neurofisiológicas sofisticadas, incluindo Power Spectral Density (PSD), Fuzzy Entropy (FE) e Functional Connectivity (FC), para caracterizar diferenças cerebrais associadas à duração da doença em pacientes com ansiedade. Contudo, a validação humana confirma que essas métricas são utilizadas como biomarcadores diagnósticos e classificatórios, e não como métricas de eficácia de BCIs no tratamento de transtornos mentais. Não há intervenção mediada por BCI nem avaliação terapêutica. Assim, não há evidência para RQ3, e a classificação está correta.</t>
  </si>
  <si>
    <t>No evidence found. — The paper does not describe the use of BCIs to enhance cognitive abilities such as memory, attention, or learning.</t>
  </si>
  <si>
    <t>Excerpt: “No evidence found.” — Explanation: The study investigates impaired cognitive function in AD patients but does not address the application of BCIs to enhance cognitive abilities like memory, attention, or learning.</t>
  </si>
  <si>
    <t>Apesar de o estudo relatar comprometimento da função cognitiva em pacientes com curso prolongado de ansiedade, a validação humana confirma que nenhuma tecnologia BCI é utilizada para aprimorar memória, atenção ou aprendizagem. O trabalho descreve déficits e associações neurofisiológicas, não estratégias de enhancement cognitivo. Portanto, a classificação “No evidence found” para RQ4 é adequada e consistente.</t>
  </si>
  <si>
    <t>No evidence found. — There is no discussion of technical, clinical, or ethical barriers to adopting BCIs in therapy or cognitive enhancement.</t>
  </si>
  <si>
    <t>Excerpt: “No evidence found.” — Explanation: The article is a specific clinical research paper on EEG biomarkers and does not contain a discussion on the technical, clinical, and ethical barriers limiting the adoption of BCIs.</t>
  </si>
  <si>
    <t>O artigo não discute barreiras técnicas, clínicas ou éticas relacionadas à adoção de BCIs em contextos terapêuticos ou de aprimoramento humano. As limitações apresentadas restringem-se ao desenho do estudo, tamanho amostral e necessidade de validação adicional dos biomarcadores. Logo, não há evidência para RQ5, e a classificação é validada.</t>
  </si>
  <si>
    <t>No evidence found. — The topic of security, privacy, and integrity of neural data collected by BCIs is not addressed.</t>
  </si>
  <si>
    <t>Excerpt: “No evidence found.” — Explanation: The article does not address the broader issues of security, privacy, and integrity concerning neural data collected by BCI systems.</t>
  </si>
  <si>
    <t>Embora o estudo siga protocolos éticos de pesquisa clínica, a validação humana confirma que não há discussão conceitual sobre segurança, privacidade ou integridade de dados neurais no contexto de BCIs. As considerações éticas são procedimentais e específicas do estudo, não estruturais ou tecnológicas. Assim, não há evidência para RQ6, conforme corretamente indicado.</t>
  </si>
  <si>
    <t>No evidence found. — The article does not discuss emerging trends in BCIs, AI integration, or personalized neurostimulation.</t>
  </si>
  <si>
    <t>Excerpt: “Resting-state EEG demonstrated to be a promising examination in the classification in GAD and AS using machine learning methods with better classification accuracy.” — Explanation: This excerpt highlights the integration of neurophysiological data (EEG) with machine learning, which is a core component of future BCIs and personalized neurotechnology trends.</t>
  </si>
  <si>
    <t>O artigo menciona o uso de métodos de machine learning para melhorar a classificação entre subgrupos de ansiedade com base em EEG de repouso. Contudo, a validação humana confirma que essa integração não é discutida como tendência emergente em BCIs, nem relacionada a sistemas fechados, adaptativos ou de neuroestimulação personalizada. Trata-se de uma aplicação analítica de ML em EEG clínico. Portanto, não há evidência para RQ7, mantendo-se a classificação original.</t>
  </si>
  <si>
    <t>No evidence found. — There are no ethical or philosophical discussions of “neurological expansion” or human capability amplification.</t>
  </si>
  <si>
    <t>Excerpt: “No evidence found.” — Explanation: The article is focused on a clinical diagnostic study of Anxiety Disorder and does not address the ethical and philosophical aspects of "neurological expansion" or the amplification of human capabilities.</t>
  </si>
  <si>
    <t>A validação humana confirma a ausência total de discussões éticas ou filosóficas sobre expansão neurológica, amplificação das capacidades humanas ou implicações sociais de tecnologias neurais. O foco do artigo é estritamente clínico e neurofisiológico. Assim, não há evidência para RQ8, classificação correta.</t>
  </si>
  <si>
    <t>No evidence found. — The study does not identify research gaps for BCIs in mental healthcare or cognitive enhancement contexts.</t>
  </si>
  <si>
    <t>Excerpt: “No evidence found.” — Explanation: The research gaps discussed in the article are specific to the prognosis of GAD and the effect of illness duration on brain function, not the general research gaps for BCIs in mental healthcare and cognitive enhancement.</t>
  </si>
  <si>
    <t>Embora o estudo destaque a importância da duração da doença como fator associado a prejuízos cerebrais em GAD, a validação humana confirma que não são identificadas lacunas de pesquisa relacionadas ao desenvolvimento, segurança ou eficácia de BCIs em saúde mental ou cognitive enhancement. As lacunas discutidas são clínicas e prognósticas. Logo, não há evidência para RQ9, e a classificação permanece válida.</t>
  </si>
  <si>
    <t>Excerpt: “The most common non-invasive methods include Electroencephalogram (EEG)… Of these non-invasive methods, EEG is used most extensively for stress recognition due to its: information richness, cost-effectiveness, and high temporal resolution.”</t>
  </si>
  <si>
    <t>Excerpt: “The most common non-invasive methods include Electroencephalogram (EEG), heart rate variability, galvanic skin response, blood volume pulse, and electromyography for data acquisition... Of these non-invasive methods, EEG is used most extensively for stress recognition due to its: information richness, cost-eectiveness, and high temporal resolution.” — Explanation: The article states that, among non-invasive data acquisition methods used for stress recognition, the Electroencephalogram (EEG) is the most extensively utilized due to its data richness, cost-effectiveness, and high temporal resolution.</t>
  </si>
  <si>
    <t>A validação humana confirma que o estudo se enquadra claramente no uso de BCI não invasivo, uma vez que emprega EEG como principal meio de aquisição de sinais cerebrais para reconhecimento de estresse mental. O artigo discute explicitamente o EEG como o método não invasivo mais amplamente utilizado para stress recognition, destacando suas vantagens (riqueza informacional, custo e alta resolução temporal). Embora o foco não seja saúde mental clínica, há uso funcional de EEG dentro de um pipeline cérebro–computador para classificação online, o que justifica a existência de evidência para RQ1.</t>
  </si>
  <si>
    <t>Excerpt: “stress… are recorded during sessions in which participants listen to different types of audio comments designed to induce acute stress.” 
Nature
 — Explanation: The article only addresses acute mental stress, not other mental disorders like depression, anxiety, schizophrenia, ADHD. It does not list or compare disorders.</t>
  </si>
  <si>
    <t>Apesar de abordar mental stress, a validação humana confirma que o estudo trata exclusivamente de estresse agudo induzido experimentalmente, e não de transtornos mentais clínicos (como depressão, ansiedade, ADHD ou esquizofrenia). O artigo não contextualiza o estresse dentro de classificações diagnósticas nem discute a distribuição de atenção da literatura BCI entre diferentes transtornos. Portanto, a classificação “No evidence found” para RQ2 é correta e conceitualmente consistente.</t>
  </si>
  <si>
    <t>Excerpt: “Classification accuracy and sensitivity (true positive rate for stress EEG)… prequential accuracy metric to evaluate the performance of online learning.” 
Nature
 — Explanation: The article uses accuracy, sensitivity, and prequential accuracy to evaluate stress classification performance, but does not address clinical effectiveness of BCIs for treating disorders.</t>
  </si>
  <si>
    <t>Excerpt: “Our O-NSNN models learn on the y producing an average accuracy of 90.76% (σ = 2.09) when classifying EEG signals of brain states associated with these audio comments.” — Explanation: The primary metric used to measure the system's effectiveness is "average accuracy," which achieved a rate of 90.76% (with a standard deviation of 2.09) when classifying stress-related EEG signals.</t>
  </si>
  <si>
    <t>O estudo apresenta métricas técnicas bem definidas para avaliação do sistema BCI, incluindo classification accuracy, sensitivity (TPR) e prequential accuracy, alcançando desempenho médio elevado (≈ 90.76%). A validação humana confirma que essas métricas avaliam desempenho computacional e capacidade de classificação online, e não a eficácia clínica de BCIs no tratamento de transtornos mentais. Assim, há evidência técnica de avaliação, mas não evidência clínica, o que valida o enquadramento adotado para RQ3.</t>
  </si>
  <si>
    <t>No evidence found. — Explanation: The article does not discuss using BCIs to enhance cognitive abilities like memory, attention, or learning.</t>
  </si>
  <si>
    <t>A validação humana confirma que o sistema proposto é destinado à detecção e reconhecimento de estresse, e não à intervenção ativa ou ao aprimoramento cognitivo (memória, atenção ou aprendizagem). Não há loop fechado de modulação cerebral, neurofeedback terapêutico ou cognitive enhancement. Logo, a classificação “No evidence found” para RQ4 é adequada.</t>
  </si>
  <si>
    <t>No evidence found. — Explanation: The article does not address technical, clinical, or ethical barriers limiting BCI adoption in therapy or enhancement contexts.</t>
  </si>
  <si>
    <t>Excerpt: “It is dicult to compare the performance of known stress detection models because the feature engineering and extraction approaches dier from one study to another. is lack of standards also means that the generalizability of the methods presented is questionable... One of the challenges in online learning is handling what is known as the dri phenomena successfully.” — Explanation: Technical barriers include the lack of standardized feature engineering and extraction, which makes performance comparison difficult and raises concerns about generalizability, as well as the challenge of handling data "drift" in online learning environments.</t>
  </si>
  <si>
    <t>Embora o artigo não discuta barreiras clínicas ou éticas, a validação humana confirma que ele identifica barreiras técnicas relevantes, como:
ausência de padronização em feature engineering,
dificuldade de comparação entre modelos existentes,
problemas de generalização,
e desafios associados ao data drift em aprendizado online.</t>
  </si>
  <si>
    <t>No evidence found. — Explanation: There is no mention of security, privacy, or neural data integrity in the article.</t>
  </si>
  <si>
    <t>A validação humana confirma a ausência total de discussão sobre segurança, privacidade ou integridade de dados neurais. Apesar de o sistema operar com dados EEG online e personalizados, essas questões não são abordadas conceitualmente. Assim, não há evidência para RQ6, e a classificação permanece correta.</t>
  </si>
  <si>
    <t>No evidence found. — Explanation: The article does not discuss future trends in BCIs with AI or personalized neurostimulation; it focuses on a specific spiking neural network for stress classification.</t>
  </si>
  <si>
    <t>Excerpt: “In this work, we introduce a novel, articial spiking neural network model called Online Neuroplasticity Spiking Neural Network (O‑NSNN)... ese models are personalized and tested on EEG data... e O‑NSNN algorithm proved to be better for personalized stress recognition in terms of accuracy, eciency, and model interpretability.” — Explanation: Emerging trends include the integration of BCIs (EEG data) with novel artificial intelligence models, such as the O-NSNN, to create personalized systems for stress recognition.</t>
  </si>
  <si>
    <t>O estudo introduz um modelo inovador de inteligência artificial, o Online Neuroplasticity Spiking Neural Network (O-NSNN), capaz de aprender continuamente, adaptar-se ao usuário e operar em tempo real. A validação humana confirma que isso representa claramente uma tendência emergente em BCIs, combinando</t>
  </si>
  <si>
    <t>No evidence found. — Explanation: Ethical or philosophical aspects of neurological expansion or amplification are not discussed.</t>
  </si>
  <si>
    <t>No evidence found. — Explanation: The article does not explicitly identify research gaps for BCIs to become effective and safe tools in mental healthcare or cognitive enhancement.</t>
  </si>
  <si>
    <t>Excerpt: “It is dicult to compare the performance of known stress detection models because the feature engineering and extraction approaches dier from one study to another. is lack of standards also means that the generalizability of the methods presented is questionable... Moreover, these traditional methods require a high volume of labelled data for model training.” — Explanation: The article identifies the research gaps of lacking standardization and questionable generalizability in existing stress detection models, along with the reliance of traditional methods on a high volume of labeled static data.</t>
  </si>
  <si>
    <t>Embora o artigo não discuta explicitamente BCIs em saúde mental clínica, a validação humana confirma que ele identifica lacunas de pesquisa relevantes, incluindo:
falta de padronização metodológica,
baixa generalização entre estudos,
dependência excessiva de dados rotulados estáticos,
limitações de modelos tradicionais frente a ambientes dinâmicos.</t>
  </si>
  <si>
    <t>No evidence found. — Explanation: This article investigates pharmacological effects of ketamine enantiomers on behavior and sleep architecture in rats; it does not discuss types of Brain-Computer Interfaces (invasive, non-invasive, hybrid).</t>
  </si>
  <si>
    <t>A validação humana confirma integralmente a classificação “No evidence found”. O estudo investiga efeitos farmacológicos dos enantiômeros da ketamina ((S)-ketamina e (R)-ketamina) sobre comportamento depressivo e arquitetura sono–vigília em ratos, utilizando testes comportamentais e registros fisiológicos. Não há qualquer uso, menção ou enquadramento conceitual de Brain–Computer Interfaces, sejam elas invasivas, não invasivas ou híbridas. O foco é exclusivamente neuropsicofarmacológico, não tecnológico.</t>
  </si>
  <si>
    <t>Excerpt: “Rats were subjected to 10 days of stress (n = 27) or no stress (n = 9) before being assessed for depressive-like behaviors in the rat forced swimming test on day 12.” 
PMC
 — Explanation: The article focuses exclusively on depression-like behavior (a stress/depression model) in rats; it does not address human mental disorders beyond this context.</t>
  </si>
  <si>
    <t>Embora o artigo investigue depression-like behavior, a validação humana confirma que isso ocorre exclusivamente em um modelo animal (ratos), com indução de estresse e avaliação por testes clássicos (ex.: forced swimming test). O estudo não discute transtornos mentais humanos no contexto de BCIs, nem apresenta uma análise comparativa de quais transtornos recebem maior atenção na literatura BCI. Portanto, a classificação “No evidence found” para RQ2 é conceitualmente correta, apesar da presença de um constructo relacionado à depressão.</t>
  </si>
  <si>
    <t>A validação humana confirma que o artigo não utiliza métricas, protocolos ou métodos de avaliação associados à eficácia de BCIs no tratamento de transtornos mentais. As medidas reportadas (comportamento depressivo, parâmetros de sono REM/NREM, latência, fragmentação do sono) são biomarcadores farmacológicos e fisiológicos, não métricas de desempenho ou eficácia de sistemas cérebro–computador. Assim, não há evidência válida para RQ3.</t>
  </si>
  <si>
    <t>O estudo não aborda aprimoramento cognitivo (memória, atenção ou aprendizagem), nem em humanos nem em animais, e não utiliza qualquer tecnologia BCI com finalidade de modulação cognitiva. A validação humana confirma que os efeitos observados dizem respeito a alterações comportamentais e de sono induzidas por fármacos, o que sustenta corretamente o “No evidence found” em RQ4.</t>
  </si>
  <si>
    <t>A validação humana confirma que o artigo não discute barreiras técnicas, clínicas ou éticas relacionadas à adoção de BCIs, pois BCIs não fazem parte do escopo do estudo. As limitações discutidas no artigo estão restritas ao modelo animal, à farmacodinâmica e à extrapolação translacional para humanos. Portanto, não há evidência para RQ5.</t>
  </si>
  <si>
    <t>O estudo não aborda segurança, privacidade ou integridade de dados neurais, nem em contexto tecnológico nem clínico. Todos os dados são obtidos em ambiente experimental animal, sem discussão de implicações de coleta ou armazenamento de dados neurais em sistemas computacionais. A classificação “No evidence found” para RQ6 é totalmente apropriada.</t>
  </si>
  <si>
    <t>A validação humana confirma que o artigo não discute tendências emergentes em BCIs, nem integração com inteligência artificial, nem neuroestimulação personalizada baseada em sistemas computacionais. Embora a ketamina seja relevante em psiquiatria translacional, o estudo não conecta esses achados a plataformas tecnológicas ou BCIs. Assim, não há evidência para RQ7.</t>
  </si>
  <si>
    <t>O artigo não contém qualquer discussão ética ou filosófica relacionada à expansão neurológica, amplificação de capacidades humanas ou implicações sociotécnicas. O foco permanece estritamente experimental e farmacológico. Portanto, não há evidência para RQ8, corretamente classificada.</t>
  </si>
  <si>
    <t>A validação humana confirma que o estudo não identifica lacunas de pesquisa relacionadas ao desenvolvimento, segurança ou eficácia de BCIs em saúde mental ou aprimoramento cognitivo. As lacunas apontadas (quando presentes) dizem respeito à neurobiologia da depressão e aos mecanismos diferenciais dos enantiômeros da ketamina, e não à tecnologia cérebro–computador. Logo, não há evidência para RQ9.</t>
  </si>
  <si>
    <t>A validação humana confirma corretamente a classificação “No evidence found”. O artigo investiga os efeitos de eventos adversos precoces da vida sobre depressão e desempenho cognitivo, analisados a partir da perspectiva do eixo coração–cérebro. Apesar de utilizar indicadores fisiológicos (ex.: variabilidade da frequência cardíaca) e avaliações cognitivas, o estudo não emprega, descreve ou conceitualiza Brain–Computer Interfaces, sejam elas invasivas, não invasivas ou híbridas. Os métodos utilizados são clínicos, psicológicos e fisiológicos, não tecnológicos no sentido de BCI.</t>
  </si>
  <si>
    <t>Embora o estudo trate explicitamente de depressão e de déficits cognitivos associados, a validação humana confirma que não há discussão sobre transtornos mentais no contexto de pesquisa com BCIs, nem análise comparativa de quais transtornos recebem maior atenção na literatura BCI. O artigo aborda depressão como fenômeno clínico e psicossocial, não como alvo de sistemas cérebro–computador. Portanto, o “No evidence found” em RQ2 é conceitualmente correto.</t>
  </si>
  <si>
    <t>A validação humana confirma que o artigo não apresenta métricas, protocolos ou métodos para avaliar a eficácia de BCIs no tratamento de transtornos mentais. As medidas utilizadas (escalas clínicas de depressão, testes de desempenho cognitivo e indicadores autonômicos) são instrumentos clínicos e fisiológicos tradicionais, não métricas de desempenho ou eficácia de sistemas BCI. Assim, não há evidência válida para RQ3.</t>
  </si>
  <si>
    <t>Embora o estudo avalie desempenho cognitivo, a validação humana confirma que não há uso de BCIs para aprimoramento cognitivo (memória, atenção ou aprendizagem). O desempenho cognitivo é analisado como variável de desfecho afetada por eventos adversos precoces, e não como alvo de intervenção tecnológica. Portanto, a classificação “No evidence found” em RQ4 é correta.</t>
  </si>
  <si>
    <t>O artigo não discute barreiras técnicas, clínicas ou éticas relacionadas à adoção de BCIs, uma vez que BCIs não fazem parte do escopo do estudo. As limitações abordadas referem-se a aspectos metodológicos, amostragem e interpretação clínica dos achados do eixo coração–cérebro. A validação humana confirma ausência de evidência para RQ5.</t>
  </si>
  <si>
    <t>A validação humana confirma que não há qualquer discussão sobre segurança, privacidade ou integridade de dados neurais associados a sistemas BCI. Os dados analisados são clínicos e fisiológicos, coletados em contexto de pesquisa convencional, sem implicações tecnológicas relacionadas à gestão de dados neurais. Assim, não há evidência para RQ6.</t>
  </si>
  <si>
    <t>O estudo não aborda tendências emergentes em BCIs, nem integração com inteligência artificial, nem neuroestimulação personalizada baseada em sistemas computacionais. Embora o conceito de eixo coração–cérebro dialogue com abordagens sistêmicas da neurociência, não há enquadramento tecnológico ou prospectivo no campo de BCIs. A validação humana confirma “No evidence found” para RQ7.</t>
  </si>
  <si>
    <t>O artigo não apresenta discussões éticas ou filosóficas relacionadas à expansão neurológica, amplificação de capacidades humanas ou impactos sociotécnicos de neurotecnologias. O enfoque é clínico-psicobiológico, centrado em fatores de risco e correlações fisiológicas. Portanto, não há evidência para RQ8.</t>
  </si>
  <si>
    <t>A validação humana confirma que o estudo não identifica lacunas de pesquisa relacionadas ao desenvolvimento ou aplicação de BCIs em saúde mental ou aprimoramento cognitivo. As lacunas mencionadas (quando implícitas) referem-se à compreensão dos mecanismos do eixo coração–cérebro e dos efeitos de adversidades precoces, e não a limitações ou oportunidades no campo de BCIs. Logo, não há evidência para RQ9.</t>
  </si>
  <si>
    <t>Excerpt: “In healthcare, non-invasive EEG-based BCIs are most commonly used due to their safety and lower risks.” — Explanation: In the context of healthcare, specifically, non-invasive BCI systems utilizing Electroencephalography (EEG) are the most frequently used due to their inherent safety and lack of surgical risk.</t>
  </si>
  <si>
    <t>O artigo não descreve, discute ou classifica BCIs (invasivos, não invasivos ou híbridos).
O trecho citado — “In healthcare, non-invasive EEG-based BCIs are most commonly used…” — não pertence ao artigo ES98. Trata-se de texto genérico de revisão sobre BCI, ausente no manuscrito do British Journal of Psychology.</t>
  </si>
  <si>
    <t>Excerpt: “BCIs are also used for people with psychiatric disorders such as attention deficit hyperactivity disorder (ADHD), neurodegenerative diseases, schizophrenia, and depression [2–6]... Furthermore, BCIs enable neurofeedback therapy... [which] has shown promising results in treating conditions such as anxiety, PTSD, and ADHD.” — Explanation: The disorders that have received significant BCI attention in the literature include ADHD, depression, schizophrenia, anxiety, and PTSD, with BCIs being applied for diagnosis, treatment, and neurofeedback therapy.</t>
  </si>
  <si>
    <t>Para a RQ2, não há evidência de discussão sobre transtornos mentais investigados por meio de BCIs. O estudo é conduzido com participantes saudáveis e não aborda depressão, ansiedade, ADHD, esquizofrenia ou outros transtornos no contexto de neurotecnologias ou interfaces cérebro–computador.</t>
  </si>
  <si>
    <t>Excerpt: “For example, researchers at the University of California, San Francisco, have developed a BCI system that can predict whether patients with depression will respond positively to a specific antidepressant medication with 89% accuracy.” — Explanation: A core metric used to measure the effectiveness of BCIs, particularly for predictive or diagnostic applications, is accuracy, demonstrated here in predicting patient response to medication.</t>
  </si>
  <si>
    <t>Há evidência conceitual relacionada a esta RQ. O artigo menciona métricas de desempenho utilizadas em pesquisas com BCIs, como acurácia preditiva, exemplificando aplicações em que sistemas BCI conseguem prever respostas a tratamentos antidepressivos com elevada precisão. Embora essas métricas não façam parte do experimento conduzido no estudo, a referência direta a métodos de avaliação de eficácia de BCIs é suficiente para caracterizar evidência contextual.</t>
  </si>
  <si>
    <t>Excerpt: “Input brain-computer interfaces deliver signals directly to the brain to stimulate neural activity, enabling sensory restoration, cognitive enhancement, or new modes of interaction... Managing mental health conditions - Non-invasive stimulation techniques are effective in treating depression and anxiety. By modulating brain activity, these approaches offer alternative options... Augmenting cognitive function.” — Explanation: BCIs, specifically Input BCIs and non-invasive stimulation techniques, are used to modulate brain activity for the purpose of augmenting cognitive function and potentially cognitive enhancement.</t>
  </si>
  <si>
    <t>Há evidência teórica para esta RQ. O texto discute BCIs de entrada e técnicas de estimulação não invasiva como ferramentas capazes de modular a atividade cerebral, com potencial para aprimoramento cognitivo e regulação emocional. Mesmo que o estudo empírico não utilize BCIs para esse fim, o enquadramento conceitual deixa claro o papel dessas tecnologias na amplificação de funções cognitivas.</t>
  </si>
  <si>
    <t>Excerpt: “Invasive BCIs... Requires complex brain surgery increasing infection risk. Potential for tissue damage and scarring. Limited long-term stability as body rejects foreign object... Non-invasive BCIs... Lower signal quality due to skull interference... Susceptible to external noise (muscle movement, electrical devices).” — Explanation: Main barriers include the clinical risks of invasive surgery (infection, scarring), technical limitations of non-invasive methods (low signal quality, noise susceptibility), and the challenge of long-term stability for invasive devices.</t>
  </si>
  <si>
    <t>Há evidência para esta RQ. O artigo descreve barreiras técnicas e clínicas associadas às BCIs, incluindo riscos cirúrgicos, problemas de estabilidade de longo prazo em sistemas invasivos e limitações de qualidade de sinal e suscetibilidade a ruído em BCIs não invasivas. Esses fatores são apresentados como desafios centrais para a adoção ampla da tecnologia.</t>
  </si>
  <si>
    <t>Excerpt: “The advanced developments of BCI may surface critical security and privacy issues, and hence the technology needs to be well-regulated through universal standards.” — Explanation: The literature acknowledges that BCI advancements may surface critical security and privacy issues, indicating these are ongoing concerns that require the technology to be regulated through universal standards, though specific methods of how current studies address them are not detailed in the excerpt.</t>
  </si>
  <si>
    <t>Há evidência para esta RQ. O texto reconhece explicitamente preocupações relacionadas à segurança e à privacidade de dados neurais, apontando que o avanço das BCIs pode gerar riscos críticos nesses domínios e que há necessidade de regulação e padronização adequadas, mesmo sem detalhamento técnico aprofundado.</t>
  </si>
  <si>
    <t>Excerpt: “Furthermore, the integration of BCI with emerging technologies such as artificial intelligence (AI) and machine learning enhances the precision and adaptability of these interfaces... Closed-loop systems... provide real-time feedback to the brain or body... This dynamic feedback loop is crucial for applications like adaptive neurostimulation.” — Explanation: Emerging trends include the integration of BCIs with AI and machine learning to enhance precision, and the development of closed-loop systems that enable adaptive and personalized neurostimulation.</t>
  </si>
  <si>
    <t>O texto aborda tendências emergentes no campo das BCIs, como a integração com inteligência artificial e aprendizado de máquina, além do desenvolvimento de sistemas em circuito fechado que permitem neuroestimulação adaptativa e personalizada, alinhando-se claramente às direções atuais da área.</t>
  </si>
  <si>
    <t>Excerpt: “The advanced developments of BCI may surface critical security and privacy issues, and hence the technology needs to be well-regulated through universal standards... Enhancement vs treatment defines boundaries for BCI use. Long-term effects unknown consequences of chronic brain-device interface.” — Explanation: The ethical literature addresses the philosophical issue of defining boundaries between BCI use for "enhancement vs. treatment" and also points to the lack of knowledge regarding the long-term effects of chronic brain-device interfaces.</t>
  </si>
  <si>
    <t>Questões éticas e filosóficas associadas às BCIs são discutidas, incluindo a distinção entre uso terapêutico e uso para aprimoramento humano, bem como incertezas relacionadas aos efeitos de longo prazo da interação contínua entre cérebro e dispositivos tecnológicos.</t>
  </si>
  <si>
    <t>Excerpt: “Can the BCI application facilitate translation of human thoughts accurately into a readable text? How can the accuracy of the translated text be measured? Can our imaginations be mapped into real objects, such as pictures and texts printed on a piece of paper? Can events in the dreams be accurately decoded by the BCI system?” — Explanation: Research gaps include the need to improve the accuracy of translating human thoughts into actionable outputs (like text or objects), and the need for inquiry into advanced applications like decoding dreams or imaginations.</t>
  </si>
  <si>
    <t>O artigo aponta lacunas relevantes na pesquisa em BCIs, como as dificuldades em traduzir estados mentais em saídas computacionais precisas, os desafios de mensurar essa acurácia e a necessidade de avanços em aplicações mais complexas, como a decodificação de pensamentos, imaginação e outros estados internos.</t>
  </si>
  <si>
    <t>A classificação “No evidence found” é adequada. O artigo investiga experimentalmente a influência de compostos orgânicos voláteis (VOCs) em baixas concentrações sobre funções cognitivas em um ambiente controlado com ar totalmente renovado. Apesar de avaliar desempenho cognitivo, o estudo não utiliza, descreve ou enquadra qualquer tecnologia como Brain–Computer Interface, nem invasiva, nem não invasiva, nem híbrida. Os métodos empregados são ambientais e comportamentais.</t>
  </si>
  <si>
    <t>A classificação “No evidence found” é correta. O estudo não aborda transtornos mentais como depressão, ansiedade, ADHD ou esquizofrenia, nem discute quais condições recebem maior atenção em pesquisas com BCIs. O foco está em participantes saudáveis e nos efeitos ambientais sobre funções cognitivas básicas, sem relação com saúde mental clínica ou neurotecnologias.</t>
  </si>
  <si>
    <t>A classificação “No evidence found” é apropriada. As métricas utilizadas para avaliar cognição (testes de desempenho cognitivo e tempo de resposta) não têm relação com avaliação de eficácia de BCIs no tratamento de transtornos mentais. Não há qualquer menção a sistemas cérebro–computador ou a métricas típicas desse campo.</t>
  </si>
  <si>
    <t>A classificação “No evidence found” é consistente. Embora o artigo avalie alterações em desempenho cognitivo sob diferentes condições ambientais, não há uso de BCIs para aprimoramento de memória, atenção ou aprendizagem. A cognição é tratada como variável dependente afetada por fatores ambientais, não como alvo de intervenção tecnológica.</t>
  </si>
  <si>
    <t>A classificação “No evidence found” está correta. O artigo não discute barreiras técnicas, clínicas ou éticas associadas à adoção de BCIs, pois tais tecnologias não fazem parte do escopo do estudo. As limitações apresentadas são estritamente experimentais e metodológicas, relacionadas ao desenho do estudo ambiental.</t>
  </si>
  <si>
    <t>A classificação “No evidence found” é adequada. Não há discussão sobre segurança, privacidade ou integridade de dados neurais, uma vez que o estudo não coleta dados neurais nem utiliza sistemas de interface cérebro–computador.</t>
  </si>
  <si>
    <t>A classificação “No evidence found” é correta. O artigo não aborda tendências emergentes em BCIs, nem integração com inteligência artificial, nem neuroestimulação personalizada. O enquadramento permanece no campo da engenharia ambiental e da ergonomia cognitiva.</t>
  </si>
  <si>
    <t>A classificação “No evidence found” é apropriada. O artigo não identifica lacunas de pesquisa relacionadas a BCIs em saúde mental ou aprimoramento cognitivo. As lacunas implícitas dizem respeito à necessidade de mais estudos sobre qualidade do ar interno e cognição, não ao desenvolvimento ou aplicação de interfaces cérebro–computador.</t>
  </si>
  <si>
    <t>Excerpt: “Investigations of biofeedback (BF) and neurofeedback (NF) training for nicotine addiction have been long documented to lead to positive gains in smoking status, behavior and to changes in brain activity.” — Explanation: The article focuses on the application of Neurofeedback (NF) and Biofeedback (BF) training, which are non-invasive BCI/neuroregulation techniques, to treat nicotine addiction, indicating their use in a behavioral health context.</t>
  </si>
  <si>
    <t>A classificação “No evidence found” não é adequada. O artigo investiga explicitamente intervenções de neurofeedback (NF) e biofeedback (BF), que são técnicas não invasivas baseadas em sinais fisiológicos e neurais, frequentemente enquadradas como formas de BCI ou neurotecnologias autorregulatórias. Embora os autores não utilizem o termo “Brain–Computer Interface” de forma explícita, o uso de neurofeedback EEG para modular atividade cerebral em um contexto de saúde comportamental caracteriza, na prática, uma aplicação de BCI não invasiva. Portanto, há evidência relevante para RQ1.</t>
  </si>
  <si>
    <t>Excerpt: “Investigations of biofeedback (BF) and neurofeedback (NF) training for nicotine addiction have been long documented to lead to positive gains in smoking status, behavior and to changes in brain activity.” — Explanation: The specific behavioral health condition addressed extensively in this study, which uses NF (a BCI form), is nicotine addiction (smoking status and behavior).</t>
  </si>
  <si>
    <t>A classificação “No evidence found” não é apropriada. O estudo foca diretamente em um transtorno comportamental específico — dependência de nicotina (tabagismo) — e discute seus efeitos sobre comportamento, ansiedade e plasticidade cerebral por meio de neurofeedback e biofeedback. Ainda que não compare múltiplos transtornos, essa condição recebe atenção clara dentro de um contexto de intervenção baseada em sinais cerebrais, o que configura evidência válida para RQ2.</t>
  </si>
  <si>
    <t>Excerpt: “BF/NF promoted gains in anxiety, self-esteem, and several aspects of cognitive performance... The current manuscript presents and evaluates a multi-visit combined BF and NF training intervention for smoking cessation and focuses on validating learning effects and documenting associated brain plasticity.” — Explanation: Effectiveness is measured by clinical and behavioral metrics such as changes in anxiety, self-esteem, cognitive performance, smoking harm reduction, and documented neural changes like brain plasticity and learning effects (theta/alpha ratio increase).</t>
  </si>
  <si>
    <t>A classificação “No evidence found” não é correta. O artigo descreve claramente métricas e métodos de avaliação da eficácia da intervenção, incluindo mudanças no status de tabagismo, comportamento, ansiedade, autoestima, desempenho cognitivo e indicadores de plasticidade cerebral longitudinal (por exemplo, alterações em razões espectrais EEG como theta/alpha). Esses indicadores funcionam como métricas de avaliação da efetividade de uma intervenção baseada em neurofeedback, sendo relevantes para RQ3.</t>
  </si>
  <si>
    <t>Excerpt: “BF/NF promoted gains in anxiety, self-esteem, and several aspects of cognitive performance.” — Explanation: Biofeedback and Neurofeedback (NF) training are reported to have promoted "gains in... several aspects of cognitive performance," indicating their use for enhancing cognitive abilities.</t>
  </si>
  <si>
    <t>A classificação “No evidence found” não se sustenta. O estudo relata melhorias em aspectos do desempenho cognitivo associadas ao treinamento combinado de biofeedback e neurofeedback. Embora o objetivo principal seja a cessação do tabagismo, há evidência de uso dessas técnicas para modulação e aprimoramento de funções cognitivas e autorregulatórias, o que atende diretamente ao escopo de RQ4.</t>
  </si>
  <si>
    <t>A classificação “No evidence found” é adequada. O artigo não apresenta uma discussão sistemática sobre barreiras técnicas, clínicas ou éticas que limitem a adoção de BCIs ou neurofeedback em contextos terapêuticos. As limitações mencionadas concentram-se no desenho do estudo e no acompanhamento longitudinal, não em obstáculos estruturais da tecnologia.</t>
  </si>
  <si>
    <t>A classificação “No evidence found” é apropriada. Não há discussão específica sobre segurança, privacidade ou integridade de dados neurais no contexto do uso de biofeedback ou neurofeedback. Questões regulatórias e de proteção de dados não são abordadas de forma explícita.</t>
  </si>
  <si>
    <t>A classificação “No evidence found” é adequada. O estudo utiliza EEG para registrar respostas neuroemocionais de idosos diante de estímulos visuais (cores de plantas), mas o EEG é empregado apenas como ferramenta de medição neurofisiológica. Não há descrição, conceitualização ou uso de Brain–Computer Interfaces, nem discussão sobre BCIs invasivas, não invasivas ou híbridas em aplicações de saúde mental.</t>
  </si>
  <si>
    <t>Excerpt: “Among non-pharmacological approaches… biofeedback (BF) and neurofeedback (NF) have been early documented … neurofeedback (NF) in particular, as a type of biofeedback that attempts to modulate display of brain activity…” — Explanation: The article discusses non-invasive EEG-based biofeedback and neurofeedback as the training modalities used in the study, indicating the use of non-invasive BCI techniques.</t>
  </si>
  <si>
    <t>A classificação apresentada não é adequada. O artigo menciona explicitamente biofeedback e neurofeedback baseados em EEG como abordagens não farmacológicas para modular a atividade cerebral. O neurofeedback é descrito como uma forma de biofeedback que utiliza sinais neurais para treinar a autorregulação do cérebro, o que se enquadra conceitualmente em BCIs não invasivas. Portanto, há evidência relacionada a RQ1.</t>
  </si>
  <si>
    <t>Excerpt: “BF/NF promoted gains in anxiety, self-esteem, and several aspects of cognitive performance.” — Explanation: While the study focuses on nicotine addiction and related behavioral/affective outcomes (anxiety, self-esteem), it does not specifically name other mental disorders, suggesting nicotine dependence with affective symptoms received attention.</t>
  </si>
  <si>
    <t>A classificação não é apropriada. O estudo discute bem-estar, ansiedade e desempenho cognitivo ao longo do envelhecimento saudável, abordando domínios diretamente associados à saúde mental. Embora não tenha como foco um transtorno psiquiátrico específico, há discussão clara de estados psicológicos (bem-estar, ansiedade) no contexto de intervenções baseadas em neurofeedback, o que se relaciona à aplicação de BCIs em saúde mental de forma ampla.</t>
  </si>
  <si>
    <t>Excerpt: “Improvements in smoking status were observed as exhaled carbon monoxide levels, Total Oxidative Stress, and Fageström scores decreased… NF learning in theta/alpha ratio increase was achieved across baselines and within sessions.” — Explanation: The article uses biochemical, behavioral, self-report, and electrophysiological metrics including CO levels, oxidative stress, Fagerström dependence scores, and EEG theta/alpha ratio to evaluate effectiveness.</t>
  </si>
  <si>
    <t>A classificação não é adequada. O artigo apresenta métricas para avaliar os efeitos das intervenções, incluindo medidas de desempenho cognitivo, indicadores de bem-estar psicológico e marcadores neurofisiológicos derivados de EEG. Essas medidas funcionam como critérios de avaliação da eficácia do treinamento baseado em neurofeedback, sendo relevantes para RQ3.</t>
  </si>
  <si>
    <t>Excerpt: “BF/NF promoted gains in … several aspects of cognitive performance.” — Explanation: The study reports improvements in cognitive performance following training, but does not describe specific protocols aimed at enhancing memory, attention, or learning beyond the observed cognitive gains.</t>
  </si>
  <si>
    <t>A classificação não é adequada. O estudo relata ganhos em diferentes aspectos do desempenho cognitivo associados ao uso de biofeedback e neurofeedback. Ainda que o objetivo central seja compreender mecanismos neurais de cognição e bem-estar ao longo do envelhecimento, os resultados indicam uso dessas técnicas com impacto positivo sobre funções cognitivas, o que se relaciona a aplicações de aprimoramento cognitivo.</t>
  </si>
  <si>
    <t>A classificação é adequada. O artigo não discute barreiras técnicas, clínicas ou éticas para a adoção de BCIs. As limitações mencionadas concentram-se em aspectos experimentais e interpretativos dos resultados, sem abordar desafios estruturais ou de implementação dessas tecnologias.</t>
  </si>
  <si>
    <t>A classificação está correta. O estudo investiga a associação entre exposição pré-natal a glicocorticoides e desfechos posteriores relacionados ao sistema de estresse, cognição e comportamento em crianças. Não há qualquer menção, descrição ou uso de Brain–Computer Interfaces, sejam invasivas, não invasivas ou híbridas. Os métodos são clínicos, hormonais, comportamentais e neuropsicológicos, sem enquadramento tecnológico em BCI.</t>
  </si>
  <si>
    <t>A classificação está correta. Embora o artigo trate de comportamento, cognição e regulação do estresse em crianças, ele não aborda transtornos mentais no contexto de BCIs, nem discute quais condições psiquiátricas recebem maior atenção na literatura de interfaces cérebro–computador. O foco é no desenvolvimento infantil e em efeitos biológicos de exposição pré-natal, não em aplicações tecnológicas para saúde mental.</t>
  </si>
  <si>
    <t>A classificação está correta. O estudo não apresenta métricas ou protocolos para avaliar a eficácia de BCIs no tratamento de transtornos mentais. As avaliações utilizadas incluem testes cognitivos, medidas comportamentais e indicadores fisiológicos do sistema de estresse, que são instrumentos clínicos e de pesquisa observacional, não métricas de desempenho de sistemas BCI.</t>
  </si>
  <si>
    <t>A classificação está correta. Apesar de analisar cognição e comportamento, o artigo não utiliza nem propõe BCIs para aprimoramento cognitivo, como melhoria de memória, atenção ou aprendizagem por meio de intervenções tecnológicas. A cognição é tratada como desfecho do desenvolvimento, não como alvo de intervenção.</t>
  </si>
  <si>
    <t>A classificação está correta. Não há discussão sobre barreiras técnicas, clínicas ou éticas relacionadas à adoção de BCIs. As limitações do estudo referem-se a aspectos metodológicos, desenho observacional e interpretação dos achados, sem relação com desafios de implementação de neurotecnologias.</t>
  </si>
  <si>
    <t>A classificação está correta. O artigo não aborda questões de segurança, privacidade ou integridade de dados neurais associadas a BCIs. Os dados coletados são clínicos, hormonais e comportamentais, obtidos em contexto de pesquisa médica convencional.</t>
  </si>
  <si>
    <t>A classificação está correta. O estudo não discute tendências emergentes em BCIs, nem integração com inteligência artificial, nem neuroestimulação personalizada. O enfoque é epidemiológico e desenvolvimental, voltado à compreensão dos efeitos de glicocorticoides pré-natais.</t>
  </si>
  <si>
    <t>A classificação está correta. Não há reflexões éticas ou filosóficas sobre expansão neurológica, amplificação de capacidades humanas ou impactos sociotécnicos de tecnologias cérebro–computador. A discussão ética limita-se implicitamente a aspectos clínicos e de pesquisa com populações pediátricas.</t>
  </si>
  <si>
    <t>A classificação está correta. O artigo não identifica lacunas de pesquisa relacionadas ao desenvolvimento, segurança ou eficácia de BCIs em saúde mental ou aprimoramento cognitivo. As lacunas apontadas dizem respeito à compreensão dos mecanismos biológicos e desenvolvimentais do estresse e da cognição infantil, não ao campo de BCIs.</t>
  </si>
  <si>
    <t>Excerpt: “Here we examined how overnight sleep deprivation vs overnight sufficient sleep affects (a) cortical excitability, measured by transcranial magnetic stimulation (TMS), (b) inducibility of long-term potentiation (LTP)- and long-term depression (LTD)-like plasticity via transcranial direct current stimulation (tDCS), and (c) learning, memory and attention.” — Explanation: The study's methodologies include TMS and tDCS (non-invasive brain stimulation techniques related to BCIs/neurostimulation), but the text does not state which types have been most used in the general field of mental health.</t>
  </si>
  <si>
    <t>Excerpt: “Finally, we show that learning and memory formation, behavioral counterparts of plasticity, and working memory and attention, which rely on cortical excitability, are impaired during sleep deprivation.” — Explanation: The study explores cognitive abilities like learning, memory formation, working memory, and attention as measures affected by sleep deprivation, which are the same domains often targeted for enhancement by BCI-related techniques (TMS/tDCS), but the excerpt specifically highlights the impairment by sleep, not BCI use for enhancement.</t>
  </si>
  <si>
    <t>Excerpt: “Besides showing how brain physiology and cognition undergo changes (from neurophysiology to higher-order cognition) under sleep pressure, the findings have implications for variability and optimal application of noninvasive brain stimulation.” — Explanation: The findings on sleep-dependent changes in brain state suggest a clinical barrier related to the variability and optimal application of noninvasive brain stimulation techniques, which are forms of non-invasive BCIs/neurostimulation.</t>
  </si>
  <si>
    <t>Excerpt: "A different way to utilize the SCP signal, called infralow frequency neurofeedback (ILF) was developed in the Anglo-American region. This method utilizes a continuous stream of feedback from frequencies below 0.1 Hz." — Explanation: The article details the clinical application of Infra-Low Frequency (ILF) Neurofeedback, a specific type of non-invasive BCI/neuromodulation technique, which uses EEG signals below 0.1 Hz for therapeutic feedback.</t>
  </si>
  <si>
    <t>Excerpt: "It has shown promise in treating depression (Chen and Lin, 2020), ADHD (Riesco-Matías et al., 2021), autism spectrum disorder (Saleem and Habib, 2024), anxiety, and PTSD (van der Kolk et al., 2016)..." — Explanation: The study reviews the application of Neurofeedback in various mental health conditions, noting its promise in treating a broad range of disorders including depression, ADHD, autism spectrum disorder, anxiety, and PTSD.</t>
  </si>
  <si>
    <t>Excerpt: "Symptom tracking and the Continuous Performance Test (CPT) for assessing errors and reaction times were used to monitor progress before and after neurofeedback therapy." — Explanation: The effectiveness of Neurofeedback is measured using both subjective measures (symptom tracking via questionnaires) and objective performance metrics from the CPT, such as analyzing errors and reaction times.</t>
  </si>
  <si>
    <t>Excerpt: "ILF Neurofeedback improved response times, reduced errors, enhanced discriminative ability, and increased caution..." — Explanation: The study demonstrates that ILF Neurofeedback can enhance cognitive abilities, specifically in attention and inhibitory control, by improving objective metrics like response times and reducing errors on the Continuous Performance Test.</t>
  </si>
  <si>
    <t>Excerpt: "Despite the broad use and applicability of the arousal regulation model, there is a gap between its practical use and academic research." — Explanation: A primary barrier identified is the disconnect between the widespread clinical/practical use of Neurofeedback and the current amount of rigorous, controlled academic research supporting its effectiveness.</t>
  </si>
  <si>
    <t>Excerpt: "Further research with a control group is needed to explore ILF's effects." — Explanation: The study explicitly notes that a critical research gap is the need for more rigorously designed studies, specifically those employing a control group, to definitively validate the clinical effects of ILF Neurofeedback.</t>
  </si>
  <si>
    <t>Excerpt: "This study aimed to investigate cognitive functions and neurophysiological assessments [EEG and Event-Related Potentials (ERPs)] in Bipolar Disorder (BD) patients who were currently euthymic, manic, and depressed." — Explanation: While not discussing BCIs broadly, the study uses neurophysiological methods (EEG/ERPs) to assess Bipolar Disorder (BD), indicating that this condition is subject to research using BCI-related technologies.</t>
  </si>
  <si>
    <t>Excerpt: "The cognitive function of all participants was evaluated using the Wisconsin Card Sorting Test (WCST), Stroop Test, Trail Making Test (TMT), Verbal Fluency Test (VFT), and Digit Span Test... Neurophysiological assessments including EEG and Event-Related Potentials (ERPs) were performed." — Explanation: The evaluation methods include a battery of neurophysiological measures (EEG and ERPs) and neuropsychological tests (WCST, Stroop Test, TMT, VFT, and Digit Span Test) to quantify cognitive and neural features related to the disorder.</t>
  </si>
  <si>
    <t>Excerpt: “We examined the effects of neurofeedback-augmented mindfulness training (NF-AMT) on the insular cortex... Participants were trained to self-regulate the activity of the anterior insular cortex (AIC) subregion using a real-time functional magnetic resonance imaging (rt-fMRI) BCI for neurofeedback.” — Explanation: The study employs Neurofeedback-Augmented Mindfulness Training (NF-AMT), specifically utilizing a real-time functional magnetic resonance imaging (rt-fMRI) BCI to provide feedback for self-regulating brain activity.</t>
  </si>
  <si>
    <t>Excerpt: “Participants were trained to self-regulate the activity of the anterior insular cortex (AIC) subregion... The fMRI data were preprocessed and analyzed to measure region-of-interest (ROI) time series in the AIC.” — Explanation: Effectiveness is evaluated by the physiological metric of the user's ability to self-regulate the activity (magnitude/direction) of the targeted brain region, measured through ROI time series data collected via fMRI.</t>
  </si>
  <si>
    <t>Excerpt: “NF-AMT has been shown to improve emotion regulation, cognitive control, and attention in both clinical and nonclinical samples.” — Explanation: Neurofeedback-Augmented Mindfulness Training is cited as a BCI application used to enhance cognitive abilities, specifically demonstrating improvements in emotion regulation, cognitive control, and attention.</t>
  </si>
  <si>
    <t>Excerpt: “A better understanding of the brain mechanisms targeted by NF-AMT... will aid the development of more personalized and effective treatments for mental disorders.” — Explanation: The primary research gap identified is the need for a better understanding of the specific brain mechanisms targeted by NF-AMT to enable the creation of more effective and personalized treatments.</t>
  </si>
  <si>
    <t>Excerpt: "Background: electroconvulsive therapy (ECT) is the most effective treatment in treatment-resistant depression (TRD), but its response remains partial." — Explanation: The study focuses on treatment-resistant depression (TRD), indicating that this severe mental disorder is a major target for advanced therapeutic neurophysiological techniques, including the use of EEG monitoring.</t>
  </si>
  <si>
    <t>Excerpt: "The objective of the present retrospective study was to determine if clinical response—early (after 5 ECT sessions) or longer-term (after 12 ECT sessions)—was associated with postictal suppression during the first ECT course and/or with postictal suppression frequency during the whole ECT course. Methods... Each of the electroencephalography (EEG) recordings were assessed to determine the presence of postictal suppression." — Explanation: The metrics include the clinical response (improvement in depression symptoms) and the neurophysiological metric of postictal suppression frequency/presence, both assessed using EEG recordings.</t>
  </si>
  <si>
    <t>Excerpt: "In addition, postictal suppression and short-term cognitive performances were not associated." — Explanation: The study's results relate to cognitive function, specifically showing that the neurophysiological marker of postictal suppression was not associated with short-term cognitive performances in the context of ECT, rather than detailing how BCIs are used for enhancement.</t>
  </si>
  <si>
    <t>Excerpt: "Identifying useful indicators to guide decision making for treatment and improve clinical response remains a major issue." — Explanation: A major research issue identified is the need to find and validate useful indicators (like postictal suppression) that can guide decision making for treatment (ECT) and reliably predict or improve clinical outcomes.</t>
  </si>
  <si>
    <t>Excerpt: "We compared daytime sleepiness, cognitive performances, and salivary stress biomarker responses in 11 volunteers (aged 18–36) who underwent 5 days of sleep restriction (SR, 3 h per night, with 30 min of daily nap) under three successive conditions: control (SR-CT), relaxation techniques added to daily nap (SR-RT), and auditory stimulation of sleep slow oscillations (SO) during nighttime sleep (SR-NS)." — Explanation: The study employs auditory stimulation of slow oscillations (SO) during sleep, a technique of closed-loop, non-invasive neuromodulation, which is related to non-invasive BCIs/Neurofeedback.</t>
  </si>
  <si>
    <t>Excerpt: "Test evaluation was performed at baseline (BASE), the fifth day of chronic SR (SR5), and the third and fifth days after sleep recovery (REC3, REC5, respectively). At SR5, less degradation was observed for percentage of commission errors in the executive Go–noGo inhibition task... and for sleepiness score in SR-NS condition compared both to SR-CT and SR-RT." — Explanation: Effectiveness is measured by behavioral and subjective metrics, including objective performance on the Go–noGo inhibition task (specifically the percentage of commission errors) and the subjective sleepiness score.</t>
  </si>
  <si>
    <t>Excerpt: "Adding relaxation techniques to naps may help performance in inhibition response, and adding nocturnal auditory stimulation of SO sleep may benefit daytime sleepiness during sleep restriction with persistent effects during recovery." — Explanation: The stimulation strategy is shown to enhance cognitive function by improving inhibition response and reducing daytime sleepiness, both of which limit cognitive impairments related to attention and performance.</t>
  </si>
  <si>
    <t>Excerpt: "Recent further considerations have emphasized the interest of relaxation techniques for the optimization of nap sleep or auditory stimulation of EEG slow oscillations (SO) during nocturnal slow wave sleep (SWS) using an ambulatory dry-EEG device [15,16]." — Explanation: The use of ambulatory dry-EEG devices for targeted auditory stimulation represents a technical trend toward more portable, real-world, and closed-loop personalization of neurostimulation.</t>
  </si>
  <si>
    <t>Excerpt: "We asked whether optimizing daytime naps or nighttime sleep in young, healthy but sleep-deprived subjects could facilitate recovery favorable to operational capacity. Our objective was to evaluate daytime sleepiness, cognitive performance, and stress biomarkers responses..." — Explanation: The research highlights a gap in understanding how optimizing sleep via techniques like SO auditory stimulation can consistently and reliably facilitate recovery favorable to operational capacity and improve stress biomarkers in sleep-deprived individuals.</t>
  </si>
  <si>
    <t>Excerpt: “Six patients were given EEG-neurofeedback training (EEG-NFT)…” — Explanation: The study uses EEG-neurofeedback, a type of non-invasive Brain-Computer Interface method.</t>
  </si>
  <si>
    <t>Excerpt: “Neurofeedback (NF) is a non-invasive method that uses electroencephalogram (EEG) technology to provide individuals with real-time feedback about their brain activity.” — Explanation: The study employs Neurofeedback (NF), which is explicitly defined as a non-invasive method that relies on EEG technology, illustrating one of the most common BCI types used in mental health applications.</t>
  </si>
  <si>
    <t>Excerpt: “Twenty demographic-matched patients with anxiety were recruited.” — Explanation: The article focuses on anxiety disorders as the mental disorder of interest.</t>
  </si>
  <si>
    <t>Excerpt: “Anxiety disorders (AD) are highly prevalent, resulting in a significant burden on the individual... This study was conducted to examine the effect of EEG-Neurofeedback Training and Prolidase in Anxiety Disorders...” — Explanation: The study is directly focused on the application of Neurofeedback training for the treatment of Anxiety Disorders (AD), indicating its attention in BCI research for mental health.</t>
  </si>
  <si>
    <t>Excerpt: “Beck Anxiety Inventory (BAI) and Beck Depression Inventory (BDI) were used to assess anxiety and comorbid depression, respectively.” — Explanation: The study uses BAI and BDI as outcome metrics to evaluate symptom change.</t>
  </si>
  <si>
    <t>Excerpt: “The effectiveness of NF was assessed using the Generalized Anxiety Disorder Scale (GADS) and Hamilton Anxiety Rating Scale (HARS)... Prolidase, an enzyme associated with collagen metabolism and stress, was also measured at baseline and post-intervention.” — Explanation: Effectiveness is measured using a combination of psychological metrics (GADS and HARS scales to assess anxiety symptoms) and a biochemical marker (Prolidase) measured pre- and post-intervention.</t>
  </si>
  <si>
    <t>Excerpt: “In this study, the sample size was small... and the follow-up period was short... Further studies are needed to evaluate the long-term effectiveness of NF in anxiety disorders.” — Explanation: Critical gaps noted are the need for studies with a larger sample size, a longer follow-up period, and the necessity to evaluate the long-term effectiveness of NF in anxiety disorders.</t>
  </si>
  <si>
    <t>Excerpt: “Changes in cognitive performance and resilience were automatically detected using the Electroencephalography (EEG) data and a machine learning model for binary classification (hemp vs. placebo).” — Explanation: Effectiveness is measured by changes in two key areas (cognitive performance and resilience) which are quantified using EEG data and then analyzed by a ** machine learning model** for automated classification.</t>
  </si>
  <si>
    <t>Excerpt: “Based on the results, the hemp extract demonstrated a positive effect on both cognitive performance and resilience... This system could be used to enhance training protocols for better attention and concentration.” — Explanation: The study suggests that the underlying system (automated detection using EEG/machine learning) could be applied to enhance training protocols aimed at improving cognitive abilities like attention and concentration.</t>
  </si>
  <si>
    <t>Excerpt: “EEG measurements... are known to be particularly susceptible to noise caused by muscle artefacts and head movements.” — Explanation: A technical barrier to using EEG-based systems is their high susceptibility to noise, particularly from physiological sources like muscle artifacts and head movements.</t>
  </si>
  <si>
    <t>Excerpt: “Changes in cognitive performance and resilience were automatically detected using the Electroencephalography (EEG) data and a machine learning model for binary classification (hemp vs. placebo).” — Explanation: The use of a machine learning model for automated analysis of EEG data is a clear trend toward the integration of artificial intelligence to interpret and apply neurophysiological data.</t>
  </si>
  <si>
    <t>Excerpt: “Future studies could look at using other neurophysiological metrics for the same application... The long-term effects of using this system and the long-term cognitive and neurophysiological effects of the hemp extract should be investigated.” — Explanation: Research gaps include the need to test other neurophysiological metrics in this context and to thoroughly investigate the long-term effects of both the assessment system and the administered substance.</t>
  </si>
  <si>
    <t>Excerpt: “This study utilized resting EEG as a measure of cholinergic activity in late-life depression (LLD) and examined the moderating effect of nicotinic acetylcholine receptor (nAChR) agonism on EEG.” — Explanation: The study uses EEG, a BCI-related technology, to investigate a specific mental health condition, late-life depression (LLD).</t>
  </si>
  <si>
    <t>Excerpt: “Specifically, we examined the relationship between resting EEG power (absolute and relative) across the theta, alpha, and beta frequency bands and nAChR agonism.” — Explanation: The evaluation method focuses on resting EEG measurements, using quantitative metrics like absolute and relative power within specific brainwave frequency bands (theta, alpha, and beta) to correlate with pharmacological activity.</t>
  </si>
  <si>
    <t>Excerpt: “Nicotinic acetylcholine receptor (nAChR) agonists have been shown to improve cognitive function in LLD, but the mechanism for this improvement remains unclear.” — Explanation: The study notes that the drug class being investigated (nAChR agonists) is known to improve cognitive function, which is the enhancement goal often pursued by BCIs, although the article does not involve a BCI intervention itself.</t>
  </si>
  <si>
    <t>Excerpt: “The mechanism for this improvement remains unclear... EEG as a translational functional marker of drug activity could serve as a surrogate marker in LLD.” — Explanation: The research gap is identified as the lack of clarity on the underlying mechanism for cognitive improvement and the need to validate EEG as a translational functional marker to serve as a reliable surrogate marker for drug activity.</t>
  </si>
  <si>
    <t>Excerpt: “Here, we aimed to investigate the causal relationship between activity in the left dorsolateral prefrontal cortex (dlPFC) and the "giving-up" process using repetitive transcranial magnetic stimulation (rTMS).” — Explanation: The study utilizes rTMS, a non-invasive brain stimulation technique (a type of neuromodulation related to BCIs) for task-relevant intervention in human behavior.</t>
  </si>
  <si>
    <t>Excerpt: “The effectiveness was measured by analyzing behavioral changes in the 'giving-up' task, including the number of trials completed, effort expenditure, and post-feedback behavior.” — Explanation: Effectiveness is measured by objective behavioral metrics within the task, specifically the number of trials completed, the participant's effort expenditure, and the analysis of their post-feedback behavior.</t>
  </si>
  <si>
    <t>Excerpt: “We examined the causal role of the left dlPFC in the process of effortful action maintenance or "giving-up" behaviour, a key aspect of executive function.” — Explanation: The technology (rTMS) is applied to modulate a key aspect of executive function, effortful action maintenance, which is the opposite of "giving-up" behavior and essential for cognitive traits like persistence, attention, and learning.</t>
  </si>
  <si>
    <t>Excerpt: “The development of task-relevant neuromodulation techniques, like the use of rTMS in this study, allows for the causal investigation of specific neural circuits underlying human decisions and actions.” — Explanation: The focus on task-relevant neuromodulation to causally investigate specific circuits represents a trend toward highly precise and personalized neurostimulation interventions.</t>
  </si>
  <si>
    <t>Excerpt: “Future studies could explore the clinical translation of our findings for disorders associated with low effort or motivation, such as depression.” — Explanation: The research gap lies in the need for clinical translation of these neuromodulation findings to effectively treat mental disorders like depression, which are characterized by low effort or motivation.</t>
  </si>
  <si>
    <t>RQ</t>
  </si>
  <si>
    <t>Total</t>
  </si>
  <si>
    <t>ChatGPT – acertos %</t>
  </si>
  <si>
    <t>Gemini – acertos %</t>
  </si>
  <si>
    <t>ChatGPT – parciais (%)</t>
  </si>
  <si>
    <t>Gemini – parciais (%)</t>
  </si>
  <si>
    <t>ChatGPT – erros %</t>
  </si>
  <si>
    <t>Gemini – erros %</t>
  </si>
  <si>
    <t>Concordância</t>
  </si>
  <si>
    <t xml:space="preserve">Table 1: List of selected studies.
</t>
  </si>
  <si>
    <t>PLANILHAS DAS RESPOSTAS - PREENCHER ESSE!!!</t>
  </si>
  <si>
    <t xml:space="preserve">NAO RESPONDER ESSAS </t>
  </si>
  <si>
    <t>ID</t>
  </si>
  <si>
    <t>Ano</t>
  </si>
  <si>
    <t>Base</t>
  </si>
  <si>
    <t>Tipo</t>
  </si>
  <si>
    <t>Title</t>
  </si>
  <si>
    <t>Authors</t>
  </si>
  <si>
    <t>Country</t>
  </si>
  <si>
    <t>Citation</t>
  </si>
  <si>
    <t>Content</t>
  </si>
  <si>
    <t>Citations</t>
  </si>
  <si>
    <t>RQ ID</t>
  </si>
  <si>
    <t>Type</t>
  </si>
  <si>
    <t>China and Netherlands</t>
  </si>
  <si>
    <t>(Xin Zhao et al, 2020)</t>
  </si>
  <si>
    <t>ES01, ES</t>
  </si>
  <si>
    <t>Invasive</t>
  </si>
  <si>
    <t>S2, S3, S4, S5, S6, S7, S8, S10, S11, S12, S13, S14, S16, S17,S19, S20, S21, S22, s27, s28, s29, s30, s31, s32, s34, s36, s37, s38, s39, s40, s41, s42, s43, s44, s45, s46, s47, s48, s49</t>
  </si>
  <si>
    <t>S2</t>
  </si>
  <si>
    <t>(Sanjeev Kumar et al, 2020)</t>
  </si>
  <si>
    <t>Non-invasive</t>
  </si>
  <si>
    <t>S2, S3, S4, S5, S6, S7, S8, S10, S11, S12, S13, S14, S16, S17,S19, S20, S21, S22, s27, s28, s29, s30, s31, s32, s34, s36, s37, s38, s39, s40, s41, s42, s43, s44, s45, s46, s47, s48, s49, s50, s51,s53, s54, s55, s56, s57, s58, s59, s 61, s62, s63, s64, s65, s66, s67, s68, s69, s70, s71, s72, s74</t>
  </si>
  <si>
    <t>(Kexin Zhang et al, 2025)</t>
  </si>
  <si>
    <t>(Enriquez-Geppert S et al, 2024)</t>
  </si>
  <si>
    <t>Mental Disorders</t>
  </si>
  <si>
    <t>(Zemla K et al, 2023)</t>
  </si>
  <si>
    <t>Anxiety</t>
  </si>
  <si>
    <t>S1, S5, S13, S14, S19, S20, S21, S22, S27, S29, S30, S31, S38. S40, S41, S46, S48</t>
  </si>
  <si>
    <t>S1, S4, S5, S6, S7, S11, S12, S13, S14, S15, S16, S17, S19, S20, S21, S22, S27, S29, S30, S31, S34, S36, S37, S38, S39, S40, S41, S42, S44, S46, S47, S48.</t>
  </si>
  <si>
    <t>S6</t>
  </si>
  <si>
    <t>Czech Republic</t>
  </si>
  <si>
    <t>(Chan WL et al, 2025)</t>
  </si>
  <si>
    <t>Depression</t>
  </si>
  <si>
    <t>S6, S11, S12, S13, S14, S15, S16, S19, S20, S21, 29, S30, S44, S48, s72</t>
  </si>
  <si>
    <t>(Jaiswal, Satish et al, 2024)</t>
  </si>
  <si>
    <t>ADHD</t>
  </si>
  <si>
    <t>S13, s27, S36, 39, S47</t>
  </si>
  <si>
    <t>(Horváth D et al, 2023)</t>
  </si>
  <si>
    <t xml:space="preserve">Unspecified disorder
</t>
  </si>
  <si>
    <t>S4, S7, S17, S34, S42,  s50, s51,s53, s54, s55, s56, s57, s58, s59, s 61, s62, s63, s64, s65, s66, s68, s69, s70, s71, s74</t>
  </si>
  <si>
    <t xml:space="preserve">Schizophrenia
</t>
  </si>
  <si>
    <t>s67</t>
  </si>
  <si>
    <t>(Krylova M et al, 2025)</t>
  </si>
  <si>
    <t>&lt;&lt;What research gaps still need to be explored for BCIs to become an effective and safe tool in mental healthcare and cognitive enhancement?&gt;&gt;</t>
  </si>
  <si>
    <t>Autism</t>
  </si>
  <si>
    <t>s37</t>
  </si>
  <si>
    <t>S3, S4, S5, S6, S7, S8, S10, S11, S12, S13, S14, S15, S16, S17, S18, S19, S20, S21, S22, S28, S31, S32, S34, S36, S37, S38, S39, S40, S41, S42, S43, S45, S46, S47, S48.</t>
  </si>
  <si>
    <t>(Guleken, Zozan et al, 2020)</t>
  </si>
  <si>
    <t>(Tsuchiyagaito, Aki et al, 2021)</t>
  </si>
  <si>
    <t>Metrics and Evaluation Methods</t>
  </si>
  <si>
    <t>(Faller, Josef et al, 2022)</t>
  </si>
  <si>
    <t>Corrigir os codigos dos artigos!!!!!!</t>
  </si>
  <si>
    <t xml:space="preserve">Latency and accuracy
</t>
  </si>
  <si>
    <t>S8, S14, S18, S19, S31, S31, S36, S43, S45, S47, S48</t>
  </si>
  <si>
    <t>Israel and Canada</t>
  </si>
  <si>
    <t>(Whitehead, Jocelyne C et al, 2022)</t>
  </si>
  <si>
    <t xml:space="preserve">cognitive training/tasks
</t>
  </si>
  <si>
    <t>S3, S5, S10, S13, S14, S15, S16, S17, S18, S20, S22, s37, S38, S40, S41, S42, S46</t>
  </si>
  <si>
    <t>S2, S4, S5, S7, S8, S10, S13, S14, S17, S18, S19, S20, S21, S22, S27, S28, S31, S34, S36, S37, S39, S43, S45, S47, S48.</t>
  </si>
  <si>
    <t>(Pinto, Janaina V et al, 2022)</t>
  </si>
  <si>
    <t>EEG</t>
  </si>
  <si>
    <t>S3, S4, S5, S6, S7, S8, S10, S11, S12, S13, S14, S15, S16, S17, S18, S19, S20, S21, S22, S31, S32, S36, S43, S45, S47, S48, s50, s51,s53, s54, s55, s56, s57, s58, s59, s 61, s62, s63, s64, s65, s66, s67, s68, s69, s70, s71, s72, s74</t>
  </si>
  <si>
    <t>(Tynan, Mara et al, 2023)</t>
  </si>
  <si>
    <t xml:space="preserve">Behavioral tests
</t>
  </si>
  <si>
    <t>S3, S5, S6, S7, S11, S12, S13, S14, S15, S16, S17, S19, S20, S22, S28. S34, S36, S39, S37</t>
  </si>
  <si>
    <t>(Li, Jiaxin et al, 2025)</t>
  </si>
  <si>
    <t>(Yang, Li et al, 2024)</t>
  </si>
  <si>
    <t>Enhance Cognitive Abilities</t>
  </si>
  <si>
    <t>Germany and Czech Republic</t>
  </si>
  <si>
    <t>(Hebel, T. et al, 2022)</t>
  </si>
  <si>
    <t>Memory</t>
  </si>
  <si>
    <t>S2, S4, S8, S10, S14, S18, S27</t>
  </si>
  <si>
    <t>China and Hong Kong</t>
  </si>
  <si>
    <t>(Couto, Tania A. et al, 2024)</t>
  </si>
  <si>
    <t>attention</t>
  </si>
  <si>
    <t>S4, S5, S7, S10, S13, S18, S20, S21, S22, S28, S34, S36,S39</t>
  </si>
  <si>
    <t>(Ibarra-Zarate, David I. et al, 2022)</t>
  </si>
  <si>
    <t>apprenticeship</t>
  </si>
  <si>
    <t>S4, S13, S17, S20, S21, S22, S37, s50, s51, s52, s53</t>
  </si>
  <si>
    <t>(Rajendran, V.G. et al, 2022)</t>
  </si>
  <si>
    <t xml:space="preserve">Wave amplitude
</t>
  </si>
  <si>
    <t>(Conroy, Carmen et al, 2024)</t>
  </si>
  <si>
    <t>S23</t>
  </si>
  <si>
    <t>(Logan, Nicole E. et al, 2024)</t>
  </si>
  <si>
    <t>The Main Technical, Clinical, and Ethical Barriers</t>
  </si>
  <si>
    <t>S24</t>
  </si>
  <si>
    <t>(Cuntai Guan et al, 2020)</t>
  </si>
  <si>
    <t>Technical</t>
  </si>
  <si>
    <t>S6, S10, S11, S12, S13, S14, S16, S17, S18, S19, S20, S21, S22</t>
  </si>
  <si>
    <t>S25</t>
  </si>
  <si>
    <t>(Mengxuan Hu et al, 2024)</t>
  </si>
  <si>
    <t>Clinical</t>
  </si>
  <si>
    <t>S4, S6, S7, S8, S10, S11, S12, S13, S15, S16, S17, S18, S19, S20, S21, S22, 128</t>
  </si>
  <si>
    <t>S4, S6, S7, S8, S10, S11, S12, S13, S14, S15, S16, S17, S18, S19, S20, S21, S22.</t>
  </si>
  <si>
    <t>S26</t>
  </si>
  <si>
    <t>(Adesh Pawar et al, 2025)</t>
  </si>
  <si>
    <t>Ethical</t>
  </si>
  <si>
    <t>S4, S14</t>
  </si>
  <si>
    <t>S27</t>
  </si>
  <si>
    <t>(S. Negi et al, 2021)</t>
  </si>
  <si>
    <t>S28</t>
  </si>
  <si>
    <t>(K. Sravani et al, 2025)</t>
  </si>
  <si>
    <t>Studies Address</t>
  </si>
  <si>
    <t>S29</t>
  </si>
  <si>
    <t>(T. L. Shuler and D. A. Ostrowski, 2025)</t>
  </si>
  <si>
    <t>Data Security</t>
  </si>
  <si>
    <t>S7, S13, S14, S16, S17, S18, S19, S20, S22</t>
  </si>
  <si>
    <t>S30</t>
  </si>
  <si>
    <t>(L. Tao et al, 2024)</t>
  </si>
  <si>
    <t>Data Privacy</t>
  </si>
  <si>
    <t>S7, S13, S14, S16, S17, S18, S19, S20, S21, S22,</t>
  </si>
  <si>
    <t>S7, S13, S14, S16, S17, S18, S19, S20, S21, S22.</t>
  </si>
  <si>
    <t>S31</t>
  </si>
  <si>
    <t>(H. Huang et al, 2025)</t>
  </si>
  <si>
    <t xml:space="preserve">Data Integrity
</t>
  </si>
  <si>
    <t>S14, S16, S17, S18, S19, S21, S22</t>
  </si>
  <si>
    <t>S32</t>
  </si>
  <si>
    <t>(G. Peng and W. Y. Leong, 2024)</t>
  </si>
  <si>
    <t>S33</t>
  </si>
  <si>
    <t>(T. V. Quang Thinh et al, 2021)</t>
  </si>
  <si>
    <t>The Emerging Trends</t>
  </si>
  <si>
    <t>S34</t>
  </si>
  <si>
    <t>(T. A. Suhail et al, 2024)</t>
  </si>
  <si>
    <t>IA(LLM)</t>
  </si>
  <si>
    <t>S5, S14, S16, S28, S49, S44, S41, S40</t>
  </si>
  <si>
    <t>S4, S5, S8, S11, S12, S14, S16, S17, S18, S19, S20, S21, S22</t>
  </si>
  <si>
    <t>S35</t>
  </si>
  <si>
    <t>Indonesia and Malaysia</t>
  </si>
  <si>
    <t>(N. A. Nadirah Nik Rashidi et al, 2023)</t>
  </si>
  <si>
    <t>TMS</t>
  </si>
  <si>
    <t>S36</t>
  </si>
  <si>
    <t>(Y. Badr et al, 2025)</t>
  </si>
  <si>
    <t>S4, S11, S12, S14, S17, S18, S19, S21, S22, S28, S30, S44</t>
  </si>
  <si>
    <t>S37</t>
  </si>
  <si>
    <t>(P. -J. Lin et al, 2024)</t>
  </si>
  <si>
    <t>BCI</t>
  </si>
  <si>
    <t>S8, S20, S49, S41</t>
  </si>
  <si>
    <t>S38</t>
  </si>
  <si>
    <t>(K. Vergara et al, 2024)</t>
  </si>
  <si>
    <t>S39</t>
  </si>
  <si>
    <t>(A. Sam et al, 2023)</t>
  </si>
  <si>
    <t>The Ethical and Philosophical Aspects</t>
  </si>
  <si>
    <t>S40</t>
  </si>
  <si>
    <t>(T. L. Bangaru Adigalar et al, 2025)</t>
  </si>
  <si>
    <t>Ethical Aspects</t>
  </si>
  <si>
    <t>s4</t>
  </si>
  <si>
    <t>S41</t>
  </si>
  <si>
    <t>(J. A. Ramírez Castillo and J. M. Chau, 2021)</t>
  </si>
  <si>
    <t>Philosophical Aspects</t>
  </si>
  <si>
    <t>Não cita</t>
  </si>
  <si>
    <t>s1, s2, s3, s5, s6, s7, s8, s9, s10, s11, s12, s13, s14, s15, s16, s17, s18, s19, s20, s21, s22, s23, s24, s25, s26, s27, s28, s29, s30, s31, s32, s33, s34, s35, s36, s37, s38, s39, s40, s41, s42, s43, s44, s45, s46, s47, s48, s50, s51, s52, s53, s54, s55, s56, s57, s58, s59, s60, s61, s62, s63, s64, s65, s66, s67, s68, s69, s70, s71, s72, s73, s74, s75, s76, s77, s78, s79, s80, s81, s82, s83, s84, s85, s86, s87, s88, s89, s90, s91, s92, s93, s94, s95, s96, s97, s98, s99, s100, s101, s102, s103, s104, s105, s106, s107, s108, s109, s110, s111, s112, s113, s114</t>
  </si>
  <si>
    <t>S42</t>
  </si>
  <si>
    <t>(V. Khemchandani et al, 2023)</t>
  </si>
  <si>
    <t>neurological expansion</t>
  </si>
  <si>
    <t>S49</t>
  </si>
  <si>
    <t>S43</t>
  </si>
  <si>
    <t>(A. Parvez and A. Khan, 2023)</t>
  </si>
  <si>
    <t>S44</t>
  </si>
  <si>
    <t>(V. -T. Nguyen et al, 2023)</t>
  </si>
  <si>
    <t>S45</t>
  </si>
  <si>
    <t>(R. Janapati et al, 2023)</t>
  </si>
  <si>
    <t>Research Gaps</t>
  </si>
  <si>
    <t>S46</t>
  </si>
  <si>
    <t>(C. Lee et al, 2024)</t>
  </si>
  <si>
    <t>Need for further studies</t>
  </si>
  <si>
    <t>S3, S4, S5, S7, S8, S10, S12, S13, S17, S18, S19, S20, S21, S22, S41, S37, S39, S41, S44, S45, S48</t>
  </si>
  <si>
    <t>S3, S4, S5, S6, S7, S8, S10, S12, S13, S14, S15, S16, S17, S18, S19, S20, S21, S22.</t>
  </si>
  <si>
    <t>S47</t>
  </si>
  <si>
    <t>(K. Sharma et al, 2024)</t>
  </si>
  <si>
    <t>Development/integration (AI, BCI, EEG)</t>
  </si>
  <si>
    <t>S6, S7, S13, S14, S16, S18, S21, S22, S28, S42, S42</t>
  </si>
  <si>
    <t>S48</t>
  </si>
  <si>
    <t>(K. N et al, 2024)</t>
  </si>
  <si>
    <t>Clinical trials</t>
  </si>
  <si>
    <t>S6, S10, S14, S15, S16, S17, S19, S20, S21, S22</t>
  </si>
  <si>
    <t>(M. M. Mom et al, 2023)</t>
  </si>
  <si>
    <t>Accessibility and variability</t>
  </si>
  <si>
    <t>S14, S16, S17, S21, S22, S28, S30, S31, S32, S38, S40</t>
  </si>
  <si>
    <t>S50</t>
  </si>
  <si>
    <t>(J. Lu et al, 2024)</t>
  </si>
  <si>
    <t>Regulatory issues</t>
  </si>
  <si>
    <t>S51</t>
  </si>
  <si>
    <t>(S. Singh et al, 2022)</t>
  </si>
  <si>
    <t>S52</t>
  </si>
  <si>
    <t>(F. A. Alskafi et al, 2023)</t>
  </si>
  <si>
    <t>S53</t>
  </si>
  <si>
    <t>(M. Murtazina et al, 2021)</t>
  </si>
  <si>
    <t>S54</t>
  </si>
  <si>
    <t>(M. S. Murtazina et al, 2022)</t>
  </si>
  <si>
    <t>S55</t>
  </si>
  <si>
    <t>(Faiza et al, 2024)</t>
  </si>
  <si>
    <t>S56</t>
  </si>
  <si>
    <t>(R. Katmah et al, 2024)</t>
  </si>
  <si>
    <t>S57</t>
  </si>
  <si>
    <t>(M. S. Siam Dip, 2024)</t>
  </si>
  <si>
    <t>S58</t>
  </si>
  <si>
    <t>(D. Sethia et al, 2022)</t>
  </si>
  <si>
    <t>S59</t>
  </si>
  <si>
    <t>(S. N. Torres-Rodríguez et al, 2025)</t>
  </si>
  <si>
    <t>S60</t>
  </si>
  <si>
    <t>(R. Zhang et al, 2025)</t>
  </si>
  <si>
    <t>S61</t>
  </si>
  <si>
    <t>(N. Saini and R. Agarwal, 2024)</t>
  </si>
  <si>
    <t>S62</t>
  </si>
  <si>
    <t>(R. G. Krishnan et al, 2025)</t>
  </si>
  <si>
    <t>S63</t>
  </si>
  <si>
    <t>(K. E et al, 2024)</t>
  </si>
  <si>
    <t>S64</t>
  </si>
  <si>
    <t>(A. D. D. Ortega et al, 2025)</t>
  </si>
  <si>
    <t>S65</t>
  </si>
  <si>
    <t>(M. Brar et al, 2025)</t>
  </si>
  <si>
    <t>S66</t>
  </si>
  <si>
    <t>(Y. Ouyang et al, 2024)</t>
  </si>
  <si>
    <t>S67</t>
  </si>
  <si>
    <t>(X. Jin et al, 2025)</t>
  </si>
  <si>
    <t>S68</t>
  </si>
  <si>
    <t>(Nidhi et al, 2024)</t>
  </si>
  <si>
    <t>S69</t>
  </si>
  <si>
    <t>(J. Liu et al, 2023)</t>
  </si>
  <si>
    <t>S70</t>
  </si>
  <si>
    <t>(O. Almanza-Conejo et al, 2024)</t>
  </si>
  <si>
    <t>S71</t>
  </si>
  <si>
    <t>(S. Yang et al, 2023)</t>
  </si>
  <si>
    <t>S72</t>
  </si>
  <si>
    <t>(Y. P. Tsang et al, 2025)</t>
  </si>
  <si>
    <t>S73</t>
  </si>
  <si>
    <t>(G. -H. Shin et al, 2025)</t>
  </si>
  <si>
    <t>S74</t>
  </si>
  <si>
    <t>(W. Park et al, 2025)</t>
  </si>
  <si>
    <t>S75</t>
  </si>
  <si>
    <t>(S. Tukaiev et al, 2023)</t>
  </si>
  <si>
    <t>S76</t>
  </si>
  <si>
    <t>(Sophie Krämer et al, 2025)</t>
  </si>
  <si>
    <t>S77</t>
  </si>
  <si>
    <t>(Xinyu Hu et al, 2023)</t>
  </si>
  <si>
    <t>S78</t>
  </si>
  <si>
    <t>(Tal Krasovsky et al, 2024)</t>
  </si>
  <si>
    <t>S79</t>
  </si>
  <si>
    <t>(Kim, S., 2025)</t>
  </si>
  <si>
    <t>S80</t>
  </si>
  <si>
    <t>(Binarti, F. et al, 2025)</t>
  </si>
  <si>
    <t>S81</t>
  </si>
  <si>
    <t>(Alagöz, I. et al, 2025)</t>
  </si>
  <si>
    <t>S82</t>
  </si>
  <si>
    <t>(Diotaiuti, P. et al, 2024)</t>
  </si>
  <si>
    <t>S83</t>
  </si>
  <si>
    <t>(Astuti, R.D. et al, 2024)</t>
  </si>
  <si>
    <t>S84</t>
  </si>
  <si>
    <t>(Zentner, S. et al, 2024)</t>
  </si>
  <si>
    <t>S85</t>
  </si>
  <si>
    <t>(Rashmi, R. and Shantala, D.S., 2024)</t>
  </si>
  <si>
    <t>S86</t>
  </si>
  <si>
    <t>(Kaneko, N. et al, 2024)</t>
  </si>
  <si>
    <t>S87</t>
  </si>
  <si>
    <t>(Adachi, M. et al, 2024)</t>
  </si>
  <si>
    <t>S88</t>
  </si>
  <si>
    <t>(Balconi, M. and Rovelli, K., 2024)</t>
  </si>
  <si>
    <t>S89</t>
  </si>
  <si>
    <t>(Mou, S. et al, 2024)</t>
  </si>
  <si>
    <t>S90</t>
  </si>
  <si>
    <t>(Weerasinghe, M.M.A. et al, 2023)</t>
  </si>
  <si>
    <t>S91</t>
  </si>
  <si>
    <t>(Koncz, S. et al, 2023)</t>
  </si>
  <si>
    <t>S92</t>
  </si>
  <si>
    <t>(Xia, Y. et al, 2023)</t>
  </si>
  <si>
    <t>S93</t>
  </si>
  <si>
    <t>(Aguerre, N.V. et al, 2023)</t>
  </si>
  <si>
    <t>S94</t>
  </si>
  <si>
    <t>(Wang, Z. et al, 2023)</t>
  </si>
  <si>
    <t>S95</t>
  </si>
  <si>
    <t>(Pandria, N. et al, 2023)</t>
  </si>
  <si>
    <t>S96</t>
  </si>
  <si>
    <t>(Du, J. et al, 2022)</t>
  </si>
  <si>
    <t>S97</t>
  </si>
  <si>
    <t>(Grennan, G. et al, 2022)</t>
  </si>
  <si>
    <t>S98</t>
  </si>
  <si>
    <t>(Rakers, F. et al, 2022)</t>
  </si>
  <si>
    <t>S99</t>
  </si>
  <si>
    <t>(Salehinejad, M.A. et al, 2022)</t>
  </si>
  <si>
    <t>S100</t>
  </si>
  <si>
    <t>(Fleischman, M.J., 2022)</t>
  </si>
  <si>
    <t>S101</t>
  </si>
  <si>
    <t>(Koca, E.K. et al, 2022)</t>
  </si>
  <si>
    <t>S102</t>
  </si>
  <si>
    <t>(Yu, X. et al, 2022)</t>
  </si>
  <si>
    <t>S103</t>
  </si>
  <si>
    <t>(Moulier, V. et al, 2022)</t>
  </si>
  <si>
    <t>S104</t>
  </si>
  <si>
    <t>(Gomez-Mérino, D. et al, 2022)</t>
  </si>
  <si>
    <t>S105</t>
  </si>
  <si>
    <t>(Meena, P. et al, 2022)</t>
  </si>
  <si>
    <t>S106</t>
  </si>
  <si>
    <t>(Amico, F. et al, 2022)</t>
  </si>
  <si>
    <t>S107</t>
  </si>
  <si>
    <t>(C. Conley, A.C. et al, 2021)</t>
  </si>
  <si>
    <t>S108</t>
  </si>
  <si>
    <t>(Miyauchi, E. and Kawasaki, M., 2021)</t>
  </si>
  <si>
    <t>S109</t>
  </si>
  <si>
    <t>(Muscat, S.-A. et al, 2021)</t>
  </si>
  <si>
    <t>S110</t>
  </si>
  <si>
    <t>(Izzetoǧlu, M. et al, 2020)</t>
  </si>
  <si>
    <t>S111</t>
  </si>
  <si>
    <t>(Marlats, F. et al, 2020)</t>
  </si>
  <si>
    <t>S112</t>
  </si>
  <si>
    <t>(Dimpfel, W. et al, 2020)</t>
  </si>
  <si>
    <t>S113</t>
  </si>
  <si>
    <t>(Fedotchev, A.I. et al, 2020)</t>
  </si>
  <si>
    <t>S114</t>
  </si>
  <si>
    <t>(Höller, Y. et al, 2020)</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</si>
</sst>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color theme="1"/>
      <name val="Arial"/>
      <scheme val="minor"/>
    </font>
    <font>
      <color theme="1"/>
      <name val="Arial"/>
      <scheme val="minor"/>
    </font>
    <font>
      <color rgb="FFFF0000"/>
      <name val="Arial"/>
      <scheme val="minor"/>
    </font>
    <font>
      <color theme="1"/>
      <name val="Arial"/>
    </font>
    <font>
      <u/>
      <color rgb="FF1155CC"/>
      <name val="Arial"/>
    </font>
    <font>
      <i/>
      <color rgb="FFFF0000"/>
      <name val="Arial"/>
      <scheme val="minor"/>
    </font>
    <font>
      <u/>
      <color rgb="FF0000FF"/>
      <name val="Arial"/>
    </font>
    <font>
      <u/>
      <color rgb="FF1155CC"/>
      <name val="Arial"/>
    </font>
    <font>
      <color rgb="FF000000"/>
      <name val="Arial"/>
      <scheme val="minor"/>
    </font>
    <font>
      <b/>
      <color rgb="FF000000"/>
      <name val="Arial"/>
      <scheme val="minor"/>
    </font>
    <font>
      <u/>
      <color rgb="FF0000FF"/>
      <name val="Arial"/>
    </font>
    <font>
      <color rgb="FF000000"/>
      <name val="Arial"/>
    </font>
    <font>
      <color rgb="FF1F1F1F"/>
      <name val="Arial"/>
      <scheme val="minor"/>
    </font>
    <font>
      <color rgb="FF1F1F1F"/>
      <name val="&quot;Google Sans Text&quot;"/>
    </font>
    <font>
      <u/>
      <color rgb="FF0000FF"/>
      <name val="Arial"/>
    </font>
    <font>
      <i/>
      <color theme="1"/>
      <name val="Arial"/>
      <scheme val="minor"/>
    </font>
    <font>
      <u/>
      <color rgb="FF1155CC"/>
      <name val="Arial"/>
    </font>
    <font>
      <sz val="9.0"/>
      <color rgb="FF505050"/>
      <name val="Arial"/>
    </font>
    <font>
      <sz val="12.0"/>
      <color rgb="FF2E2E2E"/>
      <name val="Elsevier-sans"/>
    </font>
    <font>
      <sz val="10.0"/>
      <color rgb="FF2E2E2E"/>
      <name val="Elsevier-sans"/>
    </font>
    <font>
      <sz val="10.0"/>
      <color rgb="FF505050"/>
      <name val="Arial"/>
    </font>
    <font>
      <b/>
      <color theme="1"/>
      <name val="Arial"/>
    </font>
    <font/>
    <font>
      <sz val="16.0"/>
      <color rgb="FFFF0000"/>
      <name val="Arial"/>
      <scheme val="minor"/>
    </font>
    <font>
      <b/>
      <color rgb="FF000000"/>
      <name val="Arial"/>
    </font>
    <font>
      <b/>
      <color rgb="FFFF0000"/>
      <name val="Arial"/>
    </font>
    <font>
      <color rgb="FFFF0000"/>
      <name val="Arial"/>
    </font>
    <font>
      <b/>
      <sz val="14.0"/>
      <color theme="1"/>
      <name val="Arial"/>
    </font>
    <font>
      <sz val="10.0"/>
      <color rgb="FF1F1F1F"/>
      <name val="Inherit"/>
    </font>
  </fonts>
  <fills count="6">
    <fill>
      <patternFill patternType="none"/>
    </fill>
    <fill>
      <patternFill patternType="lightGray"/>
    </fill>
    <fill>
      <patternFill patternType="solid">
        <fgColor rgb="FFCFE2F3"/>
        <bgColor rgb="FFCFE2F3"/>
      </patternFill>
    </fill>
    <fill>
      <patternFill patternType="solid">
        <fgColor rgb="FFFF0000"/>
        <bgColor rgb="FFFF0000"/>
      </patternFill>
    </fill>
    <fill>
      <patternFill patternType="solid">
        <fgColor rgb="FFFFFFFF"/>
        <bgColor rgb="FFFFFFFF"/>
      </patternFill>
    </fill>
    <fill>
      <patternFill patternType="solid">
        <fgColor rgb="FFB7E1CD"/>
        <bgColor rgb="FFB7E1CD"/>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top style="thin">
        <color rgb="FF000000"/>
      </top>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readingOrder="0" shrinkToFit="0" vertical="center" wrapText="0"/>
    </xf>
    <xf borderId="0" fillId="2" fontId="2" numFmtId="0" xfId="0" applyAlignment="1" applyFont="1">
      <alignment readingOrder="0" shrinkToFit="0" wrapText="1"/>
    </xf>
    <xf borderId="1" fillId="2" fontId="1" numFmtId="0" xfId="0" applyAlignment="1" applyBorder="1" applyFont="1">
      <alignment readingOrder="0" shrinkToFit="0" wrapText="1"/>
    </xf>
    <xf borderId="1" fillId="2" fontId="1" numFmtId="0" xfId="0" applyAlignment="1" applyBorder="1" applyFont="1">
      <alignment readingOrder="0" shrinkToFit="0" wrapText="0"/>
    </xf>
    <xf borderId="1" fillId="2" fontId="1" numFmtId="0" xfId="0" applyAlignment="1" applyBorder="1" applyFont="1">
      <alignment horizontal="left" readingOrder="0" shrinkToFit="0" wrapText="0"/>
    </xf>
    <xf borderId="0" fillId="0" fontId="3" numFmtId="0" xfId="0" applyAlignment="1" applyFont="1">
      <alignment readingOrder="0"/>
    </xf>
    <xf borderId="0" fillId="0" fontId="3" numFmtId="0" xfId="0" applyAlignment="1" applyFont="1">
      <alignment readingOrder="0" shrinkToFit="0" wrapText="0"/>
    </xf>
    <xf borderId="0" fillId="0" fontId="4" numFmtId="0" xfId="0" applyAlignment="1" applyFont="1">
      <alignment shrinkToFit="0" vertical="top" wrapText="0"/>
    </xf>
    <xf borderId="0" fillId="0" fontId="5" numFmtId="0" xfId="0" applyAlignment="1" applyFont="1">
      <alignment shrinkToFit="0" vertical="top" wrapText="0"/>
    </xf>
    <xf borderId="0" fillId="0" fontId="4" numFmtId="0" xfId="0" applyAlignment="1" applyFont="1">
      <alignment horizontal="left" shrinkToFit="0" vertical="top" wrapText="0"/>
    </xf>
    <xf borderId="0" fillId="0" fontId="2" numFmtId="0" xfId="0" applyAlignment="1" applyFont="1">
      <alignment shrinkToFit="0" wrapText="0"/>
    </xf>
    <xf borderId="0" fillId="0" fontId="4" numFmtId="0" xfId="0" applyAlignment="1" applyFont="1">
      <alignment readingOrder="0" shrinkToFit="0" vertical="top" wrapText="0"/>
    </xf>
    <xf borderId="0" fillId="0" fontId="2" numFmtId="0" xfId="0" applyAlignment="1" applyFont="1">
      <alignment readingOrder="0"/>
    </xf>
    <xf borderId="0" fillId="0" fontId="6" numFmtId="0" xfId="0" applyAlignment="1" applyFont="1">
      <alignment readingOrder="0" shrinkToFit="0" wrapText="0"/>
    </xf>
    <xf borderId="0" fillId="0" fontId="2" numFmtId="0" xfId="0" applyFont="1"/>
    <xf borderId="0" fillId="0" fontId="2" numFmtId="0" xfId="0" applyAlignment="1" applyFont="1">
      <alignment readingOrder="0" shrinkToFit="0" wrapText="0"/>
    </xf>
    <xf borderId="0" fillId="0" fontId="4" numFmtId="0" xfId="0" applyAlignment="1" applyFont="1">
      <alignment shrinkToFit="0" vertical="bottom" wrapText="0"/>
    </xf>
    <xf borderId="0" fillId="0" fontId="7" numFmtId="0" xfId="0" applyAlignment="1" applyFont="1">
      <alignment readingOrder="0" vertical="bottom"/>
    </xf>
    <xf borderId="0" fillId="0" fontId="4" numFmtId="0" xfId="0" applyAlignment="1" applyFont="1">
      <alignment horizontal="left" vertical="bottom"/>
    </xf>
    <xf borderId="0" fillId="0" fontId="4" numFmtId="0" xfId="0" applyAlignment="1" applyFont="1">
      <alignment vertical="bottom"/>
    </xf>
    <xf quotePrefix="1" borderId="0" fillId="0" fontId="4" numFmtId="0" xfId="0" applyAlignment="1" applyFont="1">
      <alignment horizontal="left" shrinkToFit="0" vertical="top" wrapText="0"/>
    </xf>
    <xf borderId="0" fillId="0" fontId="8" numFmtId="0" xfId="0" applyAlignment="1" applyFont="1">
      <alignment vertical="bottom"/>
    </xf>
    <xf quotePrefix="1" borderId="0" fillId="0" fontId="4" numFmtId="0" xfId="0" applyAlignment="1" applyFont="1">
      <alignment horizontal="left" vertical="bottom"/>
    </xf>
    <xf borderId="0" fillId="0" fontId="2" numFmtId="0" xfId="0" applyAlignment="1" applyFont="1">
      <alignment horizontal="left" shrinkToFit="0" wrapText="0"/>
    </xf>
    <xf borderId="0" fillId="2" fontId="9" numFmtId="0" xfId="0" applyAlignment="1" applyFont="1">
      <alignment readingOrder="0" shrinkToFit="0" wrapText="1"/>
    </xf>
    <xf borderId="1" fillId="2" fontId="10" numFmtId="0" xfId="0" applyAlignment="1" applyBorder="1" applyFont="1">
      <alignment readingOrder="0" shrinkToFit="0" wrapText="1"/>
    </xf>
    <xf borderId="0" fillId="0" fontId="9" numFmtId="0" xfId="0" applyAlignment="1" applyFont="1">
      <alignment readingOrder="0" shrinkToFit="0" wrapText="0"/>
    </xf>
    <xf borderId="0" fillId="0" fontId="2" numFmtId="0" xfId="0" applyAlignment="1" applyFont="1">
      <alignment readingOrder="0" shrinkToFit="0" wrapText="1"/>
    </xf>
    <xf borderId="0" fillId="0" fontId="9"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vertical="bottom"/>
    </xf>
    <xf borderId="0" fillId="0" fontId="11" numFmtId="0" xfId="0" applyAlignment="1" applyFont="1">
      <alignment readingOrder="0" shrinkToFit="0" vertical="top" wrapText="0"/>
    </xf>
    <xf borderId="0" fillId="0" fontId="12" numFmtId="0" xfId="0" applyAlignment="1" applyFont="1">
      <alignment shrinkToFit="0" vertical="bottom" wrapText="1"/>
    </xf>
    <xf borderId="0" fillId="0" fontId="13" numFmtId="0" xfId="0" applyAlignment="1" applyFont="1">
      <alignment readingOrder="0" shrinkToFit="0" vertical="bottom" wrapText="1"/>
    </xf>
    <xf borderId="0" fillId="0" fontId="12" numFmtId="0" xfId="0" applyAlignment="1" applyFont="1">
      <alignment shrinkToFit="0" vertical="bottom" wrapText="1"/>
    </xf>
    <xf borderId="0" fillId="0" fontId="13" numFmtId="0" xfId="0" applyAlignment="1" applyFont="1">
      <alignment shrinkToFit="0" vertical="bottom" wrapText="1"/>
    </xf>
    <xf borderId="0" fillId="0" fontId="9" numFmtId="0" xfId="0" applyAlignment="1" applyFont="1">
      <alignment readingOrder="0"/>
    </xf>
    <xf borderId="0" fillId="0" fontId="14" numFmtId="0" xfId="0" applyAlignment="1" applyFont="1">
      <alignment readingOrder="0"/>
    </xf>
    <xf borderId="0" fillId="0" fontId="4" numFmtId="0" xfId="0" applyAlignment="1" applyFont="1">
      <alignment readingOrder="0" vertical="bottom"/>
    </xf>
    <xf borderId="0" fillId="0" fontId="2" numFmtId="0" xfId="0" applyAlignment="1" applyFont="1">
      <alignment readingOrder="0" shrinkToFit="0" wrapText="0"/>
    </xf>
    <xf borderId="0" fillId="3" fontId="1" numFmtId="0" xfId="0" applyAlignment="1" applyFill="1" applyFont="1">
      <alignment readingOrder="0" shrinkToFit="0" wrapText="1"/>
    </xf>
    <xf borderId="0" fillId="0" fontId="4" numFmtId="0" xfId="0" applyAlignment="1" applyFont="1">
      <alignment readingOrder="0" shrinkToFit="0" vertical="bottom" wrapText="0"/>
    </xf>
    <xf borderId="0" fillId="0" fontId="15" numFmtId="0" xfId="0" applyAlignment="1" applyFont="1">
      <alignment readingOrder="0" shrinkToFit="0" vertical="bottom" wrapText="0"/>
    </xf>
    <xf borderId="0" fillId="3" fontId="2" numFmtId="0" xfId="0" applyAlignment="1" applyFont="1">
      <alignment readingOrder="0" shrinkToFit="0" wrapText="1"/>
    </xf>
    <xf borderId="0" fillId="0" fontId="9" numFmtId="0" xfId="0" applyAlignment="1" applyFont="1">
      <alignment shrinkToFit="0" wrapText="1"/>
    </xf>
    <xf borderId="0" fillId="0" fontId="16" numFmtId="0" xfId="0" applyAlignment="1" applyFont="1">
      <alignment readingOrder="0" shrinkToFit="0" wrapText="1"/>
    </xf>
    <xf borderId="0" fillId="0" fontId="17" numFmtId="0" xfId="0" applyAlignment="1" applyFont="1">
      <alignment shrinkToFit="0" vertical="bottom" wrapText="0"/>
    </xf>
    <xf borderId="0" fillId="4" fontId="18" numFmtId="0" xfId="0" applyAlignment="1" applyFill="1" applyFont="1">
      <alignment readingOrder="0"/>
    </xf>
    <xf borderId="0" fillId="4" fontId="19" numFmtId="0" xfId="0" applyFont="1"/>
    <xf borderId="0" fillId="4" fontId="20" numFmtId="0" xfId="0" applyAlignment="1" applyFont="1">
      <alignment readingOrder="0"/>
    </xf>
    <xf borderId="0" fillId="4" fontId="21" numFmtId="0" xfId="0" applyAlignment="1" applyFont="1">
      <alignment readingOrder="0"/>
    </xf>
    <xf borderId="1" fillId="5" fontId="22" numFmtId="0" xfId="0" applyAlignment="1" applyBorder="1" applyFill="1" applyFont="1">
      <alignment readingOrder="0" shrinkToFit="0" vertical="bottom" wrapText="1"/>
    </xf>
    <xf borderId="1" fillId="0" fontId="12" numFmtId="0" xfId="0" applyAlignment="1" applyBorder="1" applyFont="1">
      <alignment readingOrder="0" shrinkToFit="0" vertical="bottom" wrapText="1"/>
    </xf>
    <xf borderId="0" fillId="4" fontId="22" numFmtId="0" xfId="0" applyAlignment="1" applyFont="1">
      <alignment readingOrder="0" shrinkToFit="0" vertical="bottom" wrapText="1"/>
    </xf>
    <xf borderId="1" fillId="4" fontId="4" numFmtId="0" xfId="0" applyAlignment="1" applyBorder="1" applyFont="1">
      <alignment readingOrder="0" shrinkToFit="0" vertical="bottom" wrapText="1"/>
    </xf>
    <xf borderId="1" fillId="0" fontId="2" numFmtId="0" xfId="0" applyAlignment="1" applyBorder="1" applyFont="1">
      <alignment readingOrder="0" shrinkToFit="0" wrapText="1"/>
    </xf>
    <xf borderId="1" fillId="0" fontId="9" numFmtId="0" xfId="0" applyAlignment="1" applyBorder="1" applyFont="1">
      <alignment readingOrder="0" shrinkToFit="0" wrapText="1"/>
    </xf>
    <xf borderId="0" fillId="2" fontId="4" numFmtId="0" xfId="0" applyAlignment="1" applyFont="1">
      <alignment vertical="bottom"/>
    </xf>
    <xf borderId="0" fillId="0" fontId="2" numFmtId="0" xfId="0" applyAlignment="1" applyFont="1">
      <alignment readingOrder="0"/>
    </xf>
    <xf borderId="0" fillId="5" fontId="1" numFmtId="0" xfId="0" applyAlignment="1" applyFont="1">
      <alignment readingOrder="0"/>
    </xf>
    <xf borderId="0" fillId="0" fontId="22" numFmtId="0" xfId="0" applyAlignment="1" applyFont="1">
      <alignment readingOrder="0" shrinkToFit="0" vertical="bottom" wrapText="1"/>
    </xf>
    <xf borderId="2" fillId="0" fontId="22" numFmtId="0" xfId="0" applyAlignment="1" applyBorder="1" applyFont="1">
      <alignment horizontal="center" readingOrder="0" shrinkToFit="0" vertical="bottom" wrapText="1"/>
    </xf>
    <xf borderId="3" fillId="0" fontId="23" numFmtId="0" xfId="0" applyBorder="1" applyFont="1"/>
    <xf borderId="4" fillId="0" fontId="23" numFmtId="0" xfId="0" applyBorder="1" applyFont="1"/>
    <xf borderId="0" fillId="0" fontId="1" numFmtId="0" xfId="0" applyAlignment="1" applyFont="1">
      <alignment readingOrder="0"/>
    </xf>
    <xf borderId="0" fillId="0" fontId="24" numFmtId="0" xfId="0" applyAlignment="1" applyFont="1">
      <alignment readingOrder="0"/>
    </xf>
    <xf borderId="0" fillId="0" fontId="3" numFmtId="0" xfId="0" applyFont="1"/>
    <xf borderId="0" fillId="0" fontId="4" numFmtId="0" xfId="0" applyAlignment="1" applyFont="1">
      <alignment readingOrder="0" shrinkToFit="0" vertical="top" wrapText="1"/>
    </xf>
    <xf borderId="1" fillId="0" fontId="22" numFmtId="0" xfId="0" applyAlignment="1" applyBorder="1" applyFont="1">
      <alignment shrinkToFit="0" vertical="bottom" wrapText="0"/>
    </xf>
    <xf borderId="1" fillId="0" fontId="22" numFmtId="0" xfId="0" applyAlignment="1" applyBorder="1" applyFont="1">
      <alignment horizontal="left" readingOrder="0" shrinkToFit="0" vertical="bottom" wrapText="0"/>
    </xf>
    <xf borderId="1" fillId="0" fontId="22" numFmtId="0" xfId="0" applyAlignment="1" applyBorder="1" applyFont="1">
      <alignment readingOrder="0" shrinkToFit="0" vertical="bottom" wrapText="0"/>
    </xf>
    <xf borderId="1" fillId="0" fontId="22" numFmtId="49" xfId="0" applyAlignment="1" applyBorder="1" applyFont="1" applyNumberFormat="1">
      <alignment readingOrder="0" shrinkToFit="0" vertical="bottom" wrapText="0"/>
    </xf>
    <xf borderId="1" fillId="0" fontId="22" numFmtId="0" xfId="0" applyAlignment="1" applyBorder="1" applyFont="1">
      <alignment readingOrder="0" shrinkToFit="0" vertical="top" wrapText="0"/>
    </xf>
    <xf borderId="1" fillId="0" fontId="22" numFmtId="0" xfId="0" applyAlignment="1" applyBorder="1" applyFont="1">
      <alignment shrinkToFit="0" vertical="top" wrapText="0"/>
    </xf>
    <xf borderId="1" fillId="0" fontId="4" numFmtId="0" xfId="0" applyAlignment="1" applyBorder="1" applyFont="1">
      <alignment readingOrder="0" vertical="bottom"/>
    </xf>
    <xf borderId="1" fillId="0" fontId="25" numFmtId="0" xfId="0" applyAlignment="1" applyBorder="1" applyFont="1">
      <alignment horizontal="right" readingOrder="0" shrinkToFit="0" wrapText="1"/>
    </xf>
    <xf borderId="1" fillId="0" fontId="26" numFmtId="0" xfId="0" applyAlignment="1" applyBorder="1" applyFont="1">
      <alignment horizontal="right" readingOrder="0" shrinkToFit="0" wrapText="1"/>
    </xf>
    <xf borderId="1" fillId="0" fontId="4" numFmtId="0" xfId="0" applyAlignment="1" applyBorder="1" applyFont="1">
      <alignment shrinkToFit="0" vertical="top" wrapText="0"/>
    </xf>
    <xf borderId="1" fillId="0" fontId="4" numFmtId="0" xfId="0" applyAlignment="1" applyBorder="1" applyFont="1">
      <alignment horizontal="left" shrinkToFit="0" vertical="top" wrapText="0"/>
    </xf>
    <xf borderId="1" fillId="0" fontId="4" numFmtId="49" xfId="0" applyAlignment="1" applyBorder="1" applyFont="1" applyNumberFormat="1">
      <alignment shrinkToFit="0" vertical="bottom" wrapText="0"/>
    </xf>
    <xf borderId="1" fillId="0" fontId="4" numFmtId="0" xfId="0" applyAlignment="1" applyBorder="1" applyFont="1">
      <alignment readingOrder="0" shrinkToFit="0" vertical="bottom" wrapText="1"/>
    </xf>
    <xf borderId="1" fillId="0" fontId="4" numFmtId="0" xfId="0" applyAlignment="1" applyBorder="1" applyFont="1">
      <alignment shrinkToFit="0" vertical="bottom" wrapText="1"/>
    </xf>
    <xf borderId="1" fillId="0" fontId="4" numFmtId="0" xfId="0" applyAlignment="1" applyBorder="1" applyFont="1">
      <alignment vertical="bottom"/>
    </xf>
    <xf borderId="5" fillId="0" fontId="12" numFmtId="0" xfId="0" applyAlignment="1" applyBorder="1" applyFont="1">
      <alignment horizontal="right" readingOrder="0" shrinkToFit="0" wrapText="1"/>
    </xf>
    <xf borderId="1" fillId="0" fontId="12" numFmtId="0" xfId="0" applyAlignment="1" applyBorder="1" applyFont="1">
      <alignment horizontal="right" readingOrder="0" shrinkToFit="0" wrapText="1"/>
    </xf>
    <xf borderId="1" fillId="0" fontId="2" numFmtId="0" xfId="0" applyAlignment="1" applyBorder="1" applyFont="1">
      <alignment horizontal="left" shrinkToFit="0" vertical="bottom" wrapText="1"/>
    </xf>
    <xf borderId="5" fillId="0" fontId="26" numFmtId="0" xfId="0" applyAlignment="1" applyBorder="1" applyFont="1">
      <alignment horizontal="right" readingOrder="0" shrinkToFit="0" vertical="center" wrapText="1"/>
    </xf>
    <xf borderId="5" fillId="0" fontId="27" numFmtId="0" xfId="0" applyAlignment="1" applyBorder="1" applyFont="1">
      <alignment horizontal="right" readingOrder="0" shrinkToFit="0" wrapText="1"/>
    </xf>
    <xf borderId="5" fillId="0" fontId="25" numFmtId="0" xfId="0" applyAlignment="1" applyBorder="1" applyFont="1">
      <alignment horizontal="right" readingOrder="0" shrinkToFit="0" vertical="center" wrapText="1"/>
    </xf>
    <xf borderId="6" fillId="0" fontId="23" numFmtId="0" xfId="0" applyBorder="1" applyFont="1"/>
    <xf borderId="0" fillId="0" fontId="27" numFmtId="0" xfId="0" applyAlignment="1" applyFont="1">
      <alignment vertical="bottom"/>
    </xf>
    <xf borderId="5" fillId="0" fontId="27" numFmtId="0" xfId="0" applyAlignment="1" applyBorder="1" applyFont="1">
      <alignment horizontal="right" readingOrder="0" shrinkToFit="0" vertical="center" wrapText="1"/>
    </xf>
    <xf borderId="7" fillId="0" fontId="23" numFmtId="0" xfId="0" applyBorder="1" applyFont="1"/>
    <xf borderId="6" fillId="0" fontId="27" numFmtId="0" xfId="0" applyAlignment="1" applyBorder="1" applyFont="1">
      <alignment horizontal="right" readingOrder="0" shrinkToFit="0" vertical="center" wrapText="1"/>
    </xf>
    <xf borderId="1" fillId="0" fontId="4" numFmtId="0" xfId="0" applyAlignment="1" applyBorder="1" applyFont="1">
      <alignment readingOrder="0" shrinkToFit="0" vertical="top" wrapText="0"/>
    </xf>
    <xf borderId="1" fillId="0" fontId="4" numFmtId="0" xfId="0" applyAlignment="1" applyBorder="1" applyFont="1">
      <alignment shrinkToFit="0" vertical="bottom" wrapText="1"/>
    </xf>
    <xf borderId="1" fillId="0" fontId="4" numFmtId="0" xfId="0" applyAlignment="1" applyBorder="1" applyFont="1">
      <alignment horizontal="right" readingOrder="0" shrinkToFit="0" vertical="bottom" wrapText="1"/>
    </xf>
    <xf borderId="1" fillId="0" fontId="22" numFmtId="0" xfId="0" applyAlignment="1" applyBorder="1" applyFont="1">
      <alignment readingOrder="0" shrinkToFit="0" vertical="bottom" wrapText="1"/>
    </xf>
    <xf borderId="1" fillId="0" fontId="26" numFmtId="0" xfId="0" applyAlignment="1" applyBorder="1" applyFont="1">
      <alignment horizontal="right" readingOrder="0" shrinkToFit="0" vertical="center" wrapText="1"/>
    </xf>
    <xf borderId="1" fillId="0" fontId="25" numFmtId="0" xfId="0" applyAlignment="1" applyBorder="1" applyFont="1">
      <alignment horizontal="right" readingOrder="0" shrinkToFit="0" vertical="center" wrapText="1"/>
    </xf>
    <xf borderId="1" fillId="0" fontId="4" numFmtId="0" xfId="0" applyAlignment="1" applyBorder="1" applyFont="1">
      <alignment horizontal="left" vertical="bottom"/>
    </xf>
    <xf borderId="1" fillId="0" fontId="4" numFmtId="0" xfId="0" applyAlignment="1" applyBorder="1" applyFont="1">
      <alignment shrinkToFit="0" vertical="bottom" wrapText="0"/>
    </xf>
    <xf borderId="1" fillId="0" fontId="25" numFmtId="0" xfId="0" applyAlignment="1" applyBorder="1" applyFont="1">
      <alignment horizontal="left" readingOrder="0" shrinkToFit="0" wrapText="1"/>
    </xf>
    <xf borderId="0" fillId="0" fontId="4" numFmtId="0" xfId="0" applyAlignment="1" applyFont="1">
      <alignment vertical="top"/>
    </xf>
    <xf borderId="0" fillId="0" fontId="28" numFmtId="0" xfId="0" applyAlignment="1" applyFont="1">
      <alignment vertical="bottom"/>
    </xf>
    <xf borderId="5" fillId="0" fontId="12" numFmtId="0" xfId="0" applyAlignment="1" applyBorder="1" applyFont="1">
      <alignment horizontal="left" readingOrder="0" shrinkToFit="0" wrapText="1"/>
    </xf>
    <xf borderId="1" fillId="0" fontId="12" numFmtId="0" xfId="0" applyAlignment="1" applyBorder="1" applyFont="1">
      <alignment horizontal="left" readingOrder="0" shrinkToFit="0" wrapText="1"/>
    </xf>
    <xf borderId="1" fillId="0" fontId="4" numFmtId="0" xfId="0" applyAlignment="1" applyBorder="1" applyFont="1">
      <alignment shrinkToFit="0" vertical="top" wrapText="0"/>
    </xf>
    <xf borderId="1" fillId="0" fontId="4" numFmtId="0" xfId="0" applyAlignment="1" applyBorder="1" applyFont="1">
      <alignment horizontal="left" vertical="bottom"/>
    </xf>
    <xf borderId="1" fillId="0" fontId="4" numFmtId="0" xfId="0" applyAlignment="1" applyBorder="1" applyFont="1">
      <alignment vertical="bottom"/>
    </xf>
    <xf borderId="2" fillId="0" fontId="25" numFmtId="0" xfId="0" applyAlignment="1" applyBorder="1" applyFont="1">
      <alignment horizontal="left" readingOrder="0" shrinkToFit="0" wrapText="1"/>
    </xf>
    <xf borderId="2" fillId="0" fontId="12" numFmtId="0" xfId="0" applyAlignment="1" applyBorder="1" applyFont="1">
      <alignment horizontal="left" readingOrder="0" shrinkToFit="0" wrapText="1"/>
    </xf>
    <xf borderId="0" fillId="0" fontId="4" numFmtId="0" xfId="0" applyAlignment="1" applyFont="1">
      <alignment shrinkToFit="0" vertical="top" wrapText="1"/>
    </xf>
    <xf borderId="1" fillId="0" fontId="4" numFmtId="0" xfId="0" applyAlignment="1" applyBorder="1" applyFont="1">
      <alignment horizontal="left" shrinkToFit="0" vertical="top" wrapText="0"/>
    </xf>
    <xf borderId="8" fillId="0" fontId="3" numFmtId="0" xfId="0" applyAlignment="1" applyBorder="1" applyFont="1">
      <alignment readingOrder="0" shrinkToFit="0" vertical="center" wrapText="1"/>
    </xf>
    <xf borderId="9" fillId="0" fontId="23" numFmtId="0" xfId="0" applyBorder="1" applyFont="1"/>
    <xf borderId="1" fillId="0" fontId="2" numFmtId="0" xfId="0" applyAlignment="1" applyBorder="1" applyFont="1">
      <alignment horizontal="left" shrinkToFit="0" vertical="bottom" wrapText="1"/>
    </xf>
    <xf borderId="1" fillId="0" fontId="2" numFmtId="0" xfId="0" applyAlignment="1" applyBorder="1" applyFont="1">
      <alignment horizontal="left" readingOrder="0" shrinkToFit="0" vertical="bottom" wrapText="1"/>
    </xf>
    <xf borderId="1" fillId="0" fontId="4" numFmtId="0" xfId="0" applyAlignment="1" applyBorder="1" applyFont="1">
      <alignment horizontal="left" readingOrder="0" vertical="bottom"/>
    </xf>
    <xf borderId="1" fillId="0" fontId="29" numFmtId="0" xfId="0" applyAlignment="1" applyBorder="1" applyFont="1">
      <alignment horizontal="left" readingOrder="0" shrinkToFit="0" wrapText="1"/>
    </xf>
    <xf borderId="1" fillId="0" fontId="2" numFmtId="0" xfId="0" applyAlignment="1" applyBorder="1" applyFont="1">
      <alignment horizontal="left" shrinkToFit="0" wrapText="1"/>
    </xf>
    <xf quotePrefix="1" borderId="1" fillId="0" fontId="4" numFmtId="0" xfId="0" applyAlignment="1" applyBorder="1" applyFont="1">
      <alignment horizontal="left" shrinkToFit="0" vertical="top" wrapText="0"/>
    </xf>
    <xf quotePrefix="1" borderId="1" fillId="0" fontId="4" numFmtId="0" xfId="0" applyAlignment="1" applyBorder="1" applyFont="1">
      <alignment horizontal="left" vertical="bottom"/>
    </xf>
    <xf borderId="5" fillId="0" fontId="4" numFmtId="0" xfId="0" applyAlignment="1" applyBorder="1" applyFont="1">
      <alignment shrinkToFit="0" vertical="top" wrapText="0"/>
    </xf>
    <xf quotePrefix="1" borderId="5" fillId="0" fontId="4" numFmtId="0" xfId="0" applyAlignment="1" applyBorder="1" applyFont="1">
      <alignment horizontal="left" shrinkToFit="0" vertical="top" wrapText="0"/>
    </xf>
    <xf borderId="5" fillId="0" fontId="4" numFmtId="0" xfId="0" applyAlignment="1" applyBorder="1" applyFont="1">
      <alignment shrinkToFit="0" vertical="top" wrapText="0"/>
    </xf>
    <xf borderId="5" fillId="0" fontId="4" numFmtId="0" xfId="0" applyAlignment="1" applyBorder="1" applyFont="1">
      <alignment shrinkToFit="0" vertical="bottom" wrapText="1"/>
    </xf>
    <xf borderId="5" fillId="0" fontId="4" numFmtId="0" xfId="0" applyAlignment="1" applyBorder="1" applyFont="1">
      <alignment shrinkToFit="0" vertical="bottom" wrapText="1"/>
    </xf>
    <xf borderId="10" fillId="0" fontId="4" numFmtId="0" xfId="0" applyAlignment="1" applyBorder="1" applyFont="1">
      <alignment readingOrder="0" shrinkToFit="0" vertical="top" wrapText="0"/>
    </xf>
    <xf borderId="10" fillId="0" fontId="4" numFmtId="0" xfId="0" applyAlignment="1" applyBorder="1" applyFont="1">
      <alignment horizontal="left" shrinkToFit="0" vertical="top" wrapText="0"/>
    </xf>
    <xf borderId="10" fillId="0" fontId="4" numFmtId="0" xfId="0" applyAlignment="1" applyBorder="1" applyFont="1">
      <alignment vertical="bottom"/>
    </xf>
    <xf borderId="1" fillId="0" fontId="4" numFmtId="49" xfId="0" applyAlignment="1" applyBorder="1" applyFont="1" applyNumberFormat="1">
      <alignment vertical="bottom"/>
    </xf>
    <xf borderId="10" fillId="0" fontId="4" numFmtId="0" xfId="0" applyAlignment="1" applyBorder="1" applyFont="1">
      <alignment shrinkToFit="0" vertical="top" wrapText="0"/>
    </xf>
    <xf borderId="10" fillId="0" fontId="4" numFmtId="0" xfId="0" applyAlignment="1" applyBorder="1" applyFont="1">
      <alignment shrinkToFit="0" vertical="bottom" wrapText="1"/>
    </xf>
    <xf borderId="10" fillId="0" fontId="4" numFmtId="0" xfId="0" applyAlignment="1" applyBorder="1" applyFont="1">
      <alignment shrinkToFit="0" vertical="bottom" wrapText="1"/>
    </xf>
    <xf borderId="0" fillId="0" fontId="4" numFmtId="0" xfId="0" applyAlignment="1" applyFont="1">
      <alignment horizontal="left" shrinkToFit="0" vertical="top" wrapText="0"/>
    </xf>
    <xf borderId="0" fillId="0" fontId="4" numFmtId="0" xfId="0" applyAlignment="1" applyFont="1">
      <alignment shrinkToFit="0" vertical="bottom"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6" fillId="0" fontId="4" numFmtId="0" xfId="0" applyAlignment="1" applyBorder="1" applyFont="1">
      <alignment vertical="bottom"/>
    </xf>
    <xf borderId="0" fillId="0" fontId="9" numFmtId="0" xfId="0" applyFont="1"/>
  </cellXfs>
  <cellStyles count="1">
    <cellStyle xfId="0" name="Normal" builtinId="0"/>
  </cellStyles>
  <dxfs count="6">
    <dxf>
      <font/>
      <fill>
        <patternFill patternType="solid">
          <fgColor rgb="FFB7E1CD"/>
          <bgColor rgb="FFB7E1CD"/>
        </patternFill>
      </fill>
      <border/>
    </dxf>
    <dxf>
      <font/>
      <fill>
        <patternFill patternType="solid">
          <fgColor rgb="FFCFE2F3"/>
          <bgColor rgb="FFCFE2F3"/>
        </patternFill>
      </fill>
      <border/>
    </dxf>
    <dxf>
      <font/>
      <fill>
        <patternFill patternType="solid">
          <fgColor rgb="FFFFF2CC"/>
          <bgColor rgb="FFFFF2CC"/>
        </patternFill>
      </fill>
      <border/>
    </dxf>
    <dxf>
      <font/>
      <fill>
        <patternFill patternType="solid">
          <fgColor rgb="FF00FF00"/>
          <bgColor rgb="FF00FF00"/>
        </patternFill>
      </fill>
      <border/>
    </dxf>
    <dxf>
      <font/>
      <fill>
        <patternFill patternType="solid">
          <fgColor rgb="FFB6D7A8"/>
          <bgColor rgb="FFB6D7A8"/>
        </patternFill>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RQ1</a:t>
            </a:r>
          </a:p>
        </c:rich>
      </c:tx>
      <c:overlay val="0"/>
    </c:title>
    <c:plotArea>
      <c:layout/>
      <c:barChart>
        <c:barDir val="col"/>
        <c:ser>
          <c:idx val="0"/>
          <c:order val="0"/>
          <c:tx>
            <c:strRef>
              <c:f>'Planilhas pro artigo'!$T$2</c:f>
            </c:strRef>
          </c:tx>
          <c:spPr>
            <a:solidFill>
              <a:schemeClr val="accent1"/>
            </a:solidFill>
            <a:ln cmpd="sng">
              <a:solidFill>
                <a:srgbClr val="000000"/>
              </a:solidFill>
            </a:ln>
          </c:spPr>
          <c:cat>
            <c:strRef>
              <c:f>'Planilhas pro artigo'!$R$3:$R$4</c:f>
            </c:strRef>
          </c:cat>
          <c:val>
            <c:numRef>
              <c:f>'Planilhas pro artigo'!$T$3:$T$4</c:f>
              <c:numCache/>
            </c:numRef>
          </c:val>
        </c:ser>
        <c:axId val="2107300567"/>
        <c:axId val="612480938"/>
      </c:barChart>
      <c:catAx>
        <c:axId val="21073005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Type</a:t>
                </a:r>
              </a:p>
            </c:rich>
          </c:tx>
          <c:overlay val="0"/>
        </c:title>
        <c:numFmt formatCode="General" sourceLinked="1"/>
        <c:majorTickMark val="none"/>
        <c:minorTickMark val="none"/>
        <c:spPr/>
        <c:txPr>
          <a:bodyPr/>
          <a:lstStyle/>
          <a:p>
            <a:pPr lvl="0">
              <a:defRPr b="0">
                <a:solidFill>
                  <a:srgbClr val="000000"/>
                </a:solidFill>
                <a:latin typeface="+mn-lt"/>
              </a:defRPr>
            </a:pPr>
          </a:p>
        </c:txPr>
        <c:crossAx val="612480938"/>
      </c:catAx>
      <c:valAx>
        <c:axId val="612480938"/>
        <c:scaling>
          <c:orientation val="minMax"/>
          <c:max val="11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730056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RQ2</a:t>
            </a:r>
          </a:p>
        </c:rich>
      </c:tx>
      <c:overlay val="0"/>
    </c:title>
    <c:plotArea>
      <c:layout/>
      <c:barChart>
        <c:barDir val="col"/>
        <c:ser>
          <c:idx val="0"/>
          <c:order val="0"/>
          <c:tx>
            <c:strRef>
              <c:f>'Planilhas pro artigo'!$T$6</c:f>
            </c:strRef>
          </c:tx>
          <c:spPr>
            <a:solidFill>
              <a:schemeClr val="accent1"/>
            </a:solidFill>
            <a:ln cmpd="sng">
              <a:solidFill>
                <a:srgbClr val="000000"/>
              </a:solidFill>
            </a:ln>
          </c:spPr>
          <c:cat>
            <c:strRef>
              <c:f>'Planilhas pro artigo'!$R$7:$R$12</c:f>
            </c:strRef>
          </c:cat>
          <c:val>
            <c:numRef>
              <c:f>'Planilhas pro artigo'!$T$7:$T$12</c:f>
              <c:numCache/>
            </c:numRef>
          </c:val>
        </c:ser>
        <c:axId val="334626689"/>
        <c:axId val="1093989516"/>
      </c:barChart>
      <c:catAx>
        <c:axId val="3346266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Mental Disorders</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093989516"/>
      </c:catAx>
      <c:valAx>
        <c:axId val="10939895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0.00%" sourceLinked="0"/>
        <c:majorTickMark val="none"/>
        <c:minorTickMark val="none"/>
        <c:tickLblPos val="nextTo"/>
        <c:spPr>
          <a:ln/>
        </c:spPr>
        <c:txPr>
          <a:bodyPr/>
          <a:lstStyle/>
          <a:p>
            <a:pPr lvl="0">
              <a:defRPr b="0" sz="1600">
                <a:solidFill>
                  <a:srgbClr val="000000"/>
                </a:solidFill>
                <a:latin typeface="+mn-lt"/>
              </a:defRPr>
            </a:pPr>
          </a:p>
        </c:txPr>
        <c:crossAx val="334626689"/>
      </c:valAx>
    </c:plotArea>
    <c:legend>
      <c:legendPos val="r"/>
      <c:overlay val="0"/>
      <c:txPr>
        <a:bodyPr/>
        <a:lstStyle/>
        <a:p>
          <a:pPr lvl="0">
            <a:defRPr b="0" sz="18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RQ3</a:t>
            </a:r>
          </a:p>
        </c:rich>
      </c:tx>
      <c:layout>
        <c:manualLayout>
          <c:xMode val="edge"/>
          <c:yMode val="edge"/>
          <c:x val="0.03258333333333333"/>
          <c:y val="0.05"/>
        </c:manualLayout>
      </c:layout>
      <c:overlay val="0"/>
    </c:title>
    <c:plotArea>
      <c:layout/>
      <c:barChart>
        <c:barDir val="bar"/>
        <c:grouping val="stacked"/>
        <c:ser>
          <c:idx val="0"/>
          <c:order val="0"/>
          <c:tx>
            <c:strRef>
              <c:f>'Planilhas pro artigo'!$T$14</c:f>
            </c:strRef>
          </c:tx>
          <c:spPr>
            <a:solidFill>
              <a:schemeClr val="accent1"/>
            </a:solidFill>
            <a:ln cmpd="sng">
              <a:solidFill>
                <a:srgbClr val="000000"/>
              </a:solidFill>
            </a:ln>
          </c:spPr>
          <c:cat>
            <c:strRef>
              <c:f>'Planilhas pro artigo'!$R$15:$R$18</c:f>
            </c:strRef>
          </c:cat>
          <c:val>
            <c:numRef>
              <c:f>'Planilhas pro artigo'!$T$15:$T$18</c:f>
              <c:numCache/>
            </c:numRef>
          </c:val>
        </c:ser>
        <c:overlap val="100"/>
        <c:axId val="1086406518"/>
        <c:axId val="1543681738"/>
      </c:barChart>
      <c:catAx>
        <c:axId val="108640651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Metrics and Evaluation Methods</a:t>
                </a:r>
              </a:p>
            </c:rich>
          </c:tx>
          <c:overlay val="0"/>
        </c:title>
        <c:numFmt formatCode="General" sourceLinked="1"/>
        <c:majorTickMark val="none"/>
        <c:minorTickMark val="none"/>
        <c:spPr/>
        <c:txPr>
          <a:bodyPr/>
          <a:lstStyle/>
          <a:p>
            <a:pPr lvl="0">
              <a:defRPr b="0">
                <a:solidFill>
                  <a:srgbClr val="000000"/>
                </a:solidFill>
                <a:latin typeface="+mn-lt"/>
              </a:defRPr>
            </a:pPr>
          </a:p>
        </c:txPr>
        <c:crossAx val="1543681738"/>
      </c:catAx>
      <c:valAx>
        <c:axId val="154368173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6406518"/>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RQ4</a:t>
            </a:r>
          </a:p>
        </c:rich>
      </c:tx>
      <c:overlay val="0"/>
    </c:title>
    <c:plotArea>
      <c:layout/>
      <c:barChart>
        <c:barDir val="col"/>
        <c:ser>
          <c:idx val="0"/>
          <c:order val="0"/>
          <c:tx>
            <c:strRef>
              <c:f>'Planilhas pro artigo'!$T$20</c:f>
            </c:strRef>
          </c:tx>
          <c:spPr>
            <a:solidFill>
              <a:schemeClr val="accent1"/>
            </a:solidFill>
            <a:ln cmpd="sng">
              <a:solidFill>
                <a:srgbClr val="000000"/>
              </a:solidFill>
            </a:ln>
          </c:spPr>
          <c:cat>
            <c:strRef>
              <c:f>'Planilhas pro artigo'!$R$21:$R$24</c:f>
            </c:strRef>
          </c:cat>
          <c:val>
            <c:numRef>
              <c:f>'Planilhas pro artigo'!$T$21:$T$24</c:f>
              <c:numCache/>
            </c:numRef>
          </c:val>
        </c:ser>
        <c:axId val="1889859896"/>
        <c:axId val="1464375162"/>
      </c:barChart>
      <c:catAx>
        <c:axId val="18898598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Enhance Cognitive Abilities</a:t>
                </a:r>
              </a:p>
            </c:rich>
          </c:tx>
          <c:overlay val="0"/>
        </c:title>
        <c:numFmt formatCode="General" sourceLinked="1"/>
        <c:majorTickMark val="none"/>
        <c:minorTickMark val="none"/>
        <c:spPr/>
        <c:txPr>
          <a:bodyPr/>
          <a:lstStyle/>
          <a:p>
            <a:pPr lvl="0">
              <a:defRPr b="0">
                <a:solidFill>
                  <a:srgbClr val="000000"/>
                </a:solidFill>
                <a:latin typeface="+mn-lt"/>
              </a:defRPr>
            </a:pPr>
          </a:p>
        </c:txPr>
        <c:crossAx val="1464375162"/>
      </c:catAx>
      <c:valAx>
        <c:axId val="14643751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985989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RQ5</a:t>
            </a:r>
          </a:p>
        </c:rich>
      </c:tx>
      <c:layout>
        <c:manualLayout>
          <c:xMode val="edge"/>
          <c:yMode val="edge"/>
          <c:x val="0.03091666666666667"/>
          <c:y val="0.044609164420485174"/>
        </c:manualLayout>
      </c:layout>
      <c:overlay val="0"/>
    </c:title>
    <c:plotArea>
      <c:layout/>
      <c:barChart>
        <c:barDir val="col"/>
        <c:ser>
          <c:idx val="0"/>
          <c:order val="0"/>
          <c:tx>
            <c:strRef>
              <c:f>'Planilhas pro artigo'!$T$26</c:f>
            </c:strRef>
          </c:tx>
          <c:spPr>
            <a:solidFill>
              <a:schemeClr val="accent1"/>
            </a:solidFill>
            <a:ln cmpd="sng">
              <a:solidFill>
                <a:srgbClr val="000000"/>
              </a:solidFill>
            </a:ln>
          </c:spPr>
          <c:cat>
            <c:strRef>
              <c:f>'Planilhas pro artigo'!$R$27:$R$29</c:f>
            </c:strRef>
          </c:cat>
          <c:val>
            <c:numRef>
              <c:f>'Planilhas pro artigo'!$T$27:$T$29</c:f>
              <c:numCache/>
            </c:numRef>
          </c:val>
        </c:ser>
        <c:axId val="1923944153"/>
        <c:axId val="240238077"/>
      </c:barChart>
      <c:catAx>
        <c:axId val="19239441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The Main Technical, Clinical, and Ethical Barriers</a:t>
                </a:r>
              </a:p>
            </c:rich>
          </c:tx>
          <c:overlay val="0"/>
        </c:title>
        <c:numFmt formatCode="General" sourceLinked="1"/>
        <c:majorTickMark val="none"/>
        <c:minorTickMark val="none"/>
        <c:spPr/>
        <c:txPr>
          <a:bodyPr/>
          <a:lstStyle/>
          <a:p>
            <a:pPr lvl="0">
              <a:defRPr b="0">
                <a:solidFill>
                  <a:srgbClr val="000000"/>
                </a:solidFill>
                <a:latin typeface="+mn-lt"/>
              </a:defRPr>
            </a:pPr>
          </a:p>
        </c:txPr>
        <c:crossAx val="240238077"/>
      </c:catAx>
      <c:valAx>
        <c:axId val="2402380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3944153"/>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RQ6</a:t>
            </a:r>
          </a:p>
        </c:rich>
      </c:tx>
      <c:layout>
        <c:manualLayout>
          <c:xMode val="edge"/>
          <c:yMode val="edge"/>
          <c:x val="0.03091666666666667"/>
          <c:y val="0.044609164420485174"/>
        </c:manualLayout>
      </c:layout>
      <c:overlay val="0"/>
    </c:title>
    <c:plotArea>
      <c:layout/>
      <c:barChart>
        <c:barDir val="col"/>
        <c:ser>
          <c:idx val="0"/>
          <c:order val="0"/>
          <c:tx>
            <c:strRef>
              <c:f>'Planilhas pro artigo'!$T$31</c:f>
            </c:strRef>
          </c:tx>
          <c:spPr>
            <a:solidFill>
              <a:schemeClr val="accent1"/>
            </a:solidFill>
            <a:ln cmpd="sng">
              <a:solidFill>
                <a:srgbClr val="000000"/>
              </a:solidFill>
            </a:ln>
          </c:spPr>
          <c:cat>
            <c:strRef>
              <c:f>'Planilhas pro artigo'!$R$32:$R$34</c:f>
            </c:strRef>
          </c:cat>
          <c:val>
            <c:numRef>
              <c:f>'Planilhas pro artigo'!$T$32:$T$34</c:f>
              <c:numCache/>
            </c:numRef>
          </c:val>
        </c:ser>
        <c:axId val="490849038"/>
        <c:axId val="304409877"/>
      </c:barChart>
      <c:catAx>
        <c:axId val="4908490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Studies Address</a:t>
                </a:r>
              </a:p>
            </c:rich>
          </c:tx>
          <c:overlay val="0"/>
        </c:title>
        <c:numFmt formatCode="General" sourceLinked="1"/>
        <c:majorTickMark val="none"/>
        <c:minorTickMark val="none"/>
        <c:spPr/>
        <c:txPr>
          <a:bodyPr/>
          <a:lstStyle/>
          <a:p>
            <a:pPr lvl="0">
              <a:defRPr b="0">
                <a:solidFill>
                  <a:srgbClr val="000000"/>
                </a:solidFill>
                <a:latin typeface="+mn-lt"/>
              </a:defRPr>
            </a:pPr>
          </a:p>
        </c:txPr>
        <c:crossAx val="304409877"/>
      </c:catAx>
      <c:valAx>
        <c:axId val="3044098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0849038"/>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RQ7</a:t>
            </a:r>
          </a:p>
        </c:rich>
      </c:tx>
      <c:overlay val="0"/>
    </c:title>
    <c:plotArea>
      <c:layout/>
      <c:barChart>
        <c:barDir val="col"/>
        <c:ser>
          <c:idx val="0"/>
          <c:order val="0"/>
          <c:tx>
            <c:strRef>
              <c:f>'Planilhas pro artigo'!$T$36</c:f>
            </c:strRef>
          </c:tx>
          <c:spPr>
            <a:solidFill>
              <a:schemeClr val="accent1"/>
            </a:solidFill>
            <a:ln cmpd="sng">
              <a:solidFill>
                <a:srgbClr val="000000"/>
              </a:solidFill>
            </a:ln>
          </c:spPr>
          <c:cat>
            <c:strRef>
              <c:f>'Planilhas pro artigo'!$R$37:$R$40</c:f>
            </c:strRef>
          </c:cat>
          <c:val>
            <c:numRef>
              <c:f>'Planilhas pro artigo'!$T$37:$T$40</c:f>
              <c:numCache/>
            </c:numRef>
          </c:val>
        </c:ser>
        <c:axId val="1800027880"/>
        <c:axId val="1708471165"/>
      </c:barChart>
      <c:catAx>
        <c:axId val="18000278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The Emerging Trends</a:t>
                </a:r>
              </a:p>
            </c:rich>
          </c:tx>
          <c:overlay val="0"/>
        </c:title>
        <c:numFmt formatCode="General" sourceLinked="1"/>
        <c:majorTickMark val="none"/>
        <c:minorTickMark val="none"/>
        <c:spPr/>
        <c:txPr>
          <a:bodyPr/>
          <a:lstStyle/>
          <a:p>
            <a:pPr lvl="0">
              <a:defRPr b="0">
                <a:solidFill>
                  <a:srgbClr val="000000"/>
                </a:solidFill>
                <a:latin typeface="+mn-lt"/>
              </a:defRPr>
            </a:pPr>
          </a:p>
        </c:txPr>
        <c:crossAx val="1708471165"/>
      </c:catAx>
      <c:valAx>
        <c:axId val="17084711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0002788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RQ9</a:t>
            </a:r>
          </a:p>
        </c:rich>
      </c:tx>
      <c:overlay val="0"/>
    </c:title>
    <c:plotArea>
      <c:layout/>
      <c:barChart>
        <c:barDir val="col"/>
        <c:ser>
          <c:idx val="0"/>
          <c:order val="0"/>
          <c:tx>
            <c:strRef>
              <c:f>'Planilhas pro artigo'!$T$49</c:f>
            </c:strRef>
          </c:tx>
          <c:spPr>
            <a:solidFill>
              <a:schemeClr val="accent1"/>
            </a:solidFill>
            <a:ln cmpd="sng">
              <a:solidFill>
                <a:srgbClr val="000000"/>
              </a:solidFill>
            </a:ln>
          </c:spPr>
          <c:cat>
            <c:strRef>
              <c:f>'Planilhas pro artigo'!$R$50:$R$54</c:f>
            </c:strRef>
          </c:cat>
          <c:val>
            <c:numRef>
              <c:f>'Planilhas pro artigo'!$T$50:$T$54</c:f>
              <c:numCache/>
            </c:numRef>
          </c:val>
        </c:ser>
        <c:axId val="997922029"/>
        <c:axId val="1747369469"/>
      </c:barChart>
      <c:catAx>
        <c:axId val="9979220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Research Gaps</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747369469"/>
      </c:catAx>
      <c:valAx>
        <c:axId val="17473694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0.00%" sourceLinked="0"/>
        <c:majorTickMark val="none"/>
        <c:minorTickMark val="none"/>
        <c:tickLblPos val="nextTo"/>
        <c:spPr>
          <a:ln/>
        </c:spPr>
        <c:txPr>
          <a:bodyPr/>
          <a:lstStyle/>
          <a:p>
            <a:pPr lvl="0">
              <a:defRPr b="0" sz="1600">
                <a:solidFill>
                  <a:srgbClr val="000000"/>
                </a:solidFill>
                <a:latin typeface="+mn-lt"/>
              </a:defRPr>
            </a:pPr>
          </a:p>
        </c:txPr>
        <c:crossAx val="997922029"/>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RQ8</a:t>
            </a:r>
          </a:p>
        </c:rich>
      </c:tx>
      <c:overlay val="0"/>
    </c:title>
    <c:plotArea>
      <c:layout/>
      <c:barChart>
        <c:barDir val="col"/>
        <c:ser>
          <c:idx val="0"/>
          <c:order val="0"/>
          <c:tx>
            <c:strRef>
              <c:f>'Planilhas pro artigo'!$T$42</c:f>
            </c:strRef>
          </c:tx>
          <c:spPr>
            <a:solidFill>
              <a:schemeClr val="accent1"/>
            </a:solidFill>
            <a:ln cmpd="sng">
              <a:solidFill>
                <a:srgbClr val="000000"/>
              </a:solidFill>
            </a:ln>
          </c:spPr>
          <c:cat>
            <c:strRef>
              <c:f>'Planilhas pro artigo'!$R$43:$R$46</c:f>
            </c:strRef>
          </c:cat>
          <c:val>
            <c:numRef>
              <c:f>'Planilhas pro artigo'!$T$43:$T$46</c:f>
              <c:numCache/>
            </c:numRef>
          </c:val>
        </c:ser>
        <c:axId val="1258494145"/>
        <c:axId val="784963969"/>
      </c:barChart>
      <c:catAx>
        <c:axId val="12584941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The Ethical and Philosophical Aspects</a:t>
                </a:r>
              </a:p>
            </c:rich>
          </c:tx>
          <c:overlay val="0"/>
        </c:title>
        <c:numFmt formatCode="General" sourceLinked="1"/>
        <c:majorTickMark val="none"/>
        <c:minorTickMark val="none"/>
        <c:spPr/>
        <c:txPr>
          <a:bodyPr/>
          <a:lstStyle/>
          <a:p>
            <a:pPr lvl="0">
              <a:defRPr b="0">
                <a:solidFill>
                  <a:srgbClr val="000000"/>
                </a:solidFill>
                <a:latin typeface="+mn-lt"/>
              </a:defRPr>
            </a:pPr>
          </a:p>
        </c:txPr>
        <c:crossAx val="784963969"/>
      </c:catAx>
      <c:valAx>
        <c:axId val="7849639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258494145"/>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Concordância entre as LMMs</a:t>
            </a:r>
          </a:p>
        </c:rich>
      </c:tx>
      <c:overlay val="0"/>
    </c:title>
    <c:plotArea>
      <c:layout/>
      <c:barChart>
        <c:barDir val="col"/>
        <c:ser>
          <c:idx val="0"/>
          <c:order val="0"/>
          <c:tx>
            <c:strRef>
              <c:f>'Métricas e Desempenho'!$I$1</c:f>
            </c:strRef>
          </c:tx>
          <c:spPr>
            <a:solidFill>
              <a:schemeClr val="accent1"/>
            </a:solidFill>
            <a:ln cmpd="sng">
              <a:solidFill>
                <a:srgbClr val="000000"/>
              </a:solidFill>
            </a:ln>
          </c:spPr>
          <c:cat>
            <c:strRef>
              <c:f>'Métricas e Desempenho'!$A$2:$A$10</c:f>
            </c:strRef>
          </c:cat>
          <c:val>
            <c:numRef>
              <c:f>'Métricas e Desempenho'!$I$2:$I$10</c:f>
              <c:numCache/>
            </c:numRef>
          </c:val>
        </c:ser>
        <c:axId val="302175759"/>
        <c:axId val="629946682"/>
      </c:barChart>
      <c:catAx>
        <c:axId val="3021757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29946682"/>
      </c:catAx>
      <c:valAx>
        <c:axId val="6299466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302175759"/>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Erros do ChatGPT e do Gemini por Questão de Pesquisa</a:t>
            </a:r>
          </a:p>
        </c:rich>
      </c:tx>
      <c:overlay val="0"/>
    </c:title>
    <c:plotArea>
      <c:layout/>
      <c:barChart>
        <c:barDir val="col"/>
        <c:ser>
          <c:idx val="0"/>
          <c:order val="0"/>
          <c:tx>
            <c:strRef>
              <c:f>'Métricas e Desempenho'!$G$1</c:f>
            </c:strRef>
          </c:tx>
          <c:spPr>
            <a:solidFill>
              <a:schemeClr val="accent1"/>
            </a:solidFill>
            <a:ln cmpd="sng">
              <a:solidFill>
                <a:srgbClr val="000000"/>
              </a:solidFill>
            </a:ln>
          </c:spPr>
          <c:cat>
            <c:strRef>
              <c:f>'Métricas e Desempenho'!$A$2:$A$10</c:f>
            </c:strRef>
          </c:cat>
          <c:val>
            <c:numRef>
              <c:f>'Métricas e Desempenho'!$G$2:$G$10</c:f>
              <c:numCache/>
            </c:numRef>
          </c:val>
        </c:ser>
        <c:ser>
          <c:idx val="1"/>
          <c:order val="1"/>
          <c:tx>
            <c:strRef>
              <c:f>'Métricas e Desempenho'!$H$1</c:f>
            </c:strRef>
          </c:tx>
          <c:spPr>
            <a:solidFill>
              <a:schemeClr val="accent2"/>
            </a:solidFill>
            <a:ln cmpd="sng">
              <a:solidFill>
                <a:srgbClr val="000000"/>
              </a:solidFill>
            </a:ln>
          </c:spPr>
          <c:cat>
            <c:strRef>
              <c:f>'Métricas e Desempenho'!$A$2:$A$10</c:f>
            </c:strRef>
          </c:cat>
          <c:val>
            <c:numRef>
              <c:f>'Métricas e Desempenho'!$H$2:$H$10</c:f>
              <c:numCache/>
            </c:numRef>
          </c:val>
        </c:ser>
        <c:axId val="972665052"/>
        <c:axId val="1393088879"/>
      </c:barChart>
      <c:catAx>
        <c:axId val="9726650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93088879"/>
      </c:catAx>
      <c:valAx>
        <c:axId val="13930888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97266505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Acertos do ChatGPT e do Gemini por Questão de Pesquisa</a:t>
            </a:r>
          </a:p>
        </c:rich>
      </c:tx>
      <c:overlay val="0"/>
    </c:title>
    <c:plotArea>
      <c:layout/>
      <c:barChart>
        <c:barDir val="col"/>
        <c:ser>
          <c:idx val="0"/>
          <c:order val="0"/>
          <c:tx>
            <c:strRef>
              <c:f>'Métricas e Desempenho'!$C$1</c:f>
            </c:strRef>
          </c:tx>
          <c:spPr>
            <a:solidFill>
              <a:schemeClr val="accent1"/>
            </a:solidFill>
            <a:ln cmpd="sng">
              <a:solidFill>
                <a:srgbClr val="000000"/>
              </a:solidFill>
            </a:ln>
          </c:spPr>
          <c:cat>
            <c:strRef>
              <c:f>'Métricas e Desempenho'!$A$2:$A$10</c:f>
            </c:strRef>
          </c:cat>
          <c:val>
            <c:numRef>
              <c:f>'Métricas e Desempenho'!$C$2:$C$10</c:f>
              <c:numCache/>
            </c:numRef>
          </c:val>
        </c:ser>
        <c:ser>
          <c:idx val="1"/>
          <c:order val="1"/>
          <c:tx>
            <c:strRef>
              <c:f>'Métricas e Desempenho'!$D$1</c:f>
            </c:strRef>
          </c:tx>
          <c:spPr>
            <a:solidFill>
              <a:schemeClr val="accent2"/>
            </a:solidFill>
            <a:ln cmpd="sng">
              <a:solidFill>
                <a:srgbClr val="000000"/>
              </a:solidFill>
            </a:ln>
          </c:spPr>
          <c:cat>
            <c:strRef>
              <c:f>'Métricas e Desempenho'!$A$2:$A$10</c:f>
            </c:strRef>
          </c:cat>
          <c:val>
            <c:numRef>
              <c:f>'Métricas e Desempenho'!$D$2:$D$10</c:f>
              <c:numCache/>
            </c:numRef>
          </c:val>
        </c:ser>
        <c:axId val="1378262415"/>
        <c:axId val="1205449998"/>
      </c:barChart>
      <c:catAx>
        <c:axId val="13782624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05449998"/>
      </c:catAx>
      <c:valAx>
        <c:axId val="12054499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378262415"/>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Acertos do ChatGPT e do Gemini por Questão de Pesquisa</a:t>
            </a:r>
          </a:p>
        </c:rich>
      </c:tx>
      <c:overlay val="0"/>
    </c:title>
    <c:plotArea>
      <c:layout/>
      <c:barChart>
        <c:barDir val="col"/>
        <c:ser>
          <c:idx val="0"/>
          <c:order val="0"/>
          <c:tx>
            <c:strRef>
              <c:f>'Métricas e Desempenho'!$C$1</c:f>
            </c:strRef>
          </c:tx>
          <c:spPr>
            <a:solidFill>
              <a:schemeClr val="accent1"/>
            </a:solidFill>
            <a:ln cmpd="sng">
              <a:solidFill>
                <a:srgbClr val="000000"/>
              </a:solidFill>
            </a:ln>
          </c:spPr>
          <c:cat>
            <c:strRef>
              <c:f>'Métricas e Desempenho'!$A$2:$A$10</c:f>
            </c:strRef>
          </c:cat>
          <c:val>
            <c:numRef>
              <c:f>'Métricas e Desempenho'!$C$2:$C$10</c:f>
              <c:numCache/>
            </c:numRef>
          </c:val>
        </c:ser>
        <c:ser>
          <c:idx val="1"/>
          <c:order val="1"/>
          <c:tx>
            <c:strRef>
              <c:f>'Métricas e Desempenho'!$D$1</c:f>
            </c:strRef>
          </c:tx>
          <c:spPr>
            <a:solidFill>
              <a:schemeClr val="accent2"/>
            </a:solidFill>
            <a:ln cmpd="sng">
              <a:solidFill>
                <a:srgbClr val="000000"/>
              </a:solidFill>
            </a:ln>
          </c:spPr>
          <c:cat>
            <c:strRef>
              <c:f>'Métricas e Desempenho'!$A$2:$A$10</c:f>
            </c:strRef>
          </c:cat>
          <c:val>
            <c:numRef>
              <c:f>'Métricas e Desempenho'!$D$2:$D$10</c:f>
              <c:numCache/>
            </c:numRef>
          </c:val>
        </c:ser>
        <c:axId val="1559202627"/>
        <c:axId val="451775271"/>
      </c:barChart>
      <c:catAx>
        <c:axId val="15592026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51775271"/>
      </c:catAx>
      <c:valAx>
        <c:axId val="4517752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559202627"/>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image" Target="../media/Chart11.png"/><Relationship Id="rId3" Type="http://schemas.openxmlformats.org/officeDocument/2006/relationships/image" Target="../media/Chart12.png"/><Relationship Id="rId4" Type="http://schemas.openxmlformats.org/officeDocument/2006/relationships/chart" Target="../charts/chart10.xml"/><Relationship Id="rId5" Type="http://schemas.openxmlformats.org/officeDocument/2006/relationships/chart" Target="../charts/chart11.xml"/><Relationship Id="rId6" Type="http://schemas.openxmlformats.org/officeDocument/2006/relationships/chart" Target="../charts/chart12.xml"/><Relationship Id="rId7"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962025</xdr:colOff>
      <xdr:row>0</xdr:row>
      <xdr:rowOff>333375</xdr:rowOff>
    </xdr:from>
    <xdr:ext cx="4991100" cy="30861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25</xdr:col>
      <xdr:colOff>19050</xdr:colOff>
      <xdr:row>5</xdr:row>
      <xdr:rowOff>323850</xdr:rowOff>
    </xdr:from>
    <xdr:ext cx="7943850" cy="491490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24</xdr:col>
      <xdr:colOff>800100</xdr:colOff>
      <xdr:row>13</xdr:row>
      <xdr:rowOff>495300</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24</xdr:col>
      <xdr:colOff>904875</xdr:colOff>
      <xdr:row>17</xdr:row>
      <xdr:rowOff>581025</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24</xdr:col>
      <xdr:colOff>904875</xdr:colOff>
      <xdr:row>25</xdr:row>
      <xdr:rowOff>285750</xdr:rowOff>
    </xdr:from>
    <xdr:ext cx="5715000" cy="3533775"/>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25</xdr:col>
      <xdr:colOff>161925</xdr:colOff>
      <xdr:row>32</xdr:row>
      <xdr:rowOff>314325</xdr:rowOff>
    </xdr:from>
    <xdr:ext cx="5715000" cy="3533775"/>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27</xdr:col>
      <xdr:colOff>542925</xdr:colOff>
      <xdr:row>41</xdr:row>
      <xdr:rowOff>209550</xdr:rowOff>
    </xdr:from>
    <xdr:ext cx="5715000" cy="3533775"/>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27</xdr:col>
      <xdr:colOff>266700</xdr:colOff>
      <xdr:row>56</xdr:row>
      <xdr:rowOff>295275</xdr:rowOff>
    </xdr:from>
    <xdr:ext cx="6467475" cy="4010025"/>
    <xdr:graphicFrame>
      <xdr:nvGraphicFramePr>
        <xdr:cNvPr id="8"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12</xdr:col>
      <xdr:colOff>142875</xdr:colOff>
      <xdr:row>44</xdr:row>
      <xdr:rowOff>485775</xdr:rowOff>
    </xdr:from>
    <xdr:ext cx="5715000" cy="3533775"/>
    <xdr:graphicFrame>
      <xdr:nvGraphicFramePr>
        <xdr:cNvPr id="9"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228600</xdr:colOff>
      <xdr:row>1</xdr:row>
      <xdr:rowOff>104775</xdr:rowOff>
    </xdr:from>
    <xdr:ext cx="5686425" cy="3533775"/>
    <xdr:pic>
      <xdr:nvPicPr>
        <xdr:cNvPr id="827062666" name="Chart1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276225</xdr:colOff>
      <xdr:row>1</xdr:row>
      <xdr:rowOff>104775</xdr:rowOff>
    </xdr:from>
    <xdr:ext cx="5686425" cy="3533775"/>
    <xdr:pic>
      <xdr:nvPicPr>
        <xdr:cNvPr id="549785281" name="Chart11"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152400</xdr:colOff>
      <xdr:row>19</xdr:row>
      <xdr:rowOff>190500</xdr:rowOff>
    </xdr:from>
    <xdr:ext cx="7800975" cy="6724650"/>
    <xdr:pic>
      <xdr:nvPicPr>
        <xdr:cNvPr id="645503352" name="Chart12"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257175</xdr:colOff>
      <xdr:row>56</xdr:row>
      <xdr:rowOff>95250</xdr:rowOff>
    </xdr:from>
    <xdr:ext cx="5553075" cy="3533775"/>
    <xdr:graphicFrame>
      <xdr:nvGraphicFramePr>
        <xdr:cNvPr id="13" name="Chart 13"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257175</xdr:colOff>
      <xdr:row>19</xdr:row>
      <xdr:rowOff>190500</xdr:rowOff>
    </xdr:from>
    <xdr:ext cx="5553075" cy="3533775"/>
    <xdr:graphicFrame>
      <xdr:nvGraphicFramePr>
        <xdr:cNvPr id="14" name="Chart 14"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257175</xdr:colOff>
      <xdr:row>1</xdr:row>
      <xdr:rowOff>95250</xdr:rowOff>
    </xdr:from>
    <xdr:ext cx="5553075" cy="3533775"/>
    <xdr:graphicFrame>
      <xdr:nvGraphicFramePr>
        <xdr:cNvPr id="15" name="Chart 15"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247650</xdr:colOff>
      <xdr:row>38</xdr:row>
      <xdr:rowOff>38100</xdr:rowOff>
    </xdr:from>
    <xdr:ext cx="5562600" cy="3533775"/>
    <xdr:graphicFrame>
      <xdr:nvGraphicFramePr>
        <xdr:cNvPr id="16" name="Chart 16" title="Gráfico"/>
        <xdr:cNvGraphicFramePr/>
      </xdr:nvGraphicFramePr>
      <xdr:xfrm>
        <a:off x="0" y="0"/>
        <a:ext cx="0" cy="0"/>
      </xdr:xfrm>
      <a:graphic>
        <a:graphicData uri="http://schemas.openxmlformats.org/drawingml/2006/chart">
          <c:chart r:id="rId7"/>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stamp/stamp.jsp?arnumber=9630214" TargetMode="External"/><Relationship Id="rId42" Type="http://schemas.openxmlformats.org/officeDocument/2006/relationships/hyperlink" Target="https://ieeexplore.ieee.org/stamp/stamp.jsp?arnumber=10590200" TargetMode="External"/><Relationship Id="rId41" Type="http://schemas.openxmlformats.org/officeDocument/2006/relationships/hyperlink" Target="https://ieeexplore.ieee.org/stamp/stamp.jsp?arnumber=10127358" TargetMode="External"/><Relationship Id="rId44" Type="http://schemas.openxmlformats.org/officeDocument/2006/relationships/hyperlink" Target="https://ieeexplore.ieee.org/stamp/stamp.jsp?arnumber=10440945" TargetMode="External"/><Relationship Id="rId43" Type="http://schemas.openxmlformats.org/officeDocument/2006/relationships/hyperlink" Target="https://ieeexplore.ieee.org/stamp/stamp.jsp?arnumber=10208067" TargetMode="External"/><Relationship Id="rId46" Type="http://schemas.openxmlformats.org/officeDocument/2006/relationships/hyperlink" Target="https://ieeexplore.ieee.org/stamp/stamp.jsp?arnumber=10467267" TargetMode="External"/><Relationship Id="rId45" Type="http://schemas.openxmlformats.org/officeDocument/2006/relationships/hyperlink" Target="https://ieeexplore.ieee.org/stamp/stamp.jsp?arnumber=10480523" TargetMode="External"/><Relationship Id="rId107" Type="http://schemas.openxmlformats.org/officeDocument/2006/relationships/hyperlink" Target="https://www.scopus.com/inward/record.uri?eid=2-s2.0-85119300772&amp;doi=10.1038%2Fs41598-021-01645-0&amp;partnerID=40&amp;md5=f077981bd0889b858118269dd190bcf9" TargetMode="External"/><Relationship Id="rId106" Type="http://schemas.openxmlformats.org/officeDocument/2006/relationships/hyperlink" Target="https://www.scopus.com/inward/record.uri?eid=2-s2.0-85122338799&amp;doi=10.3389%2Ffpsyt.2021.721874&amp;partnerID=40&amp;md5=0b61983ac06d7771950ddc7db78b97dd" TargetMode="External"/><Relationship Id="rId105" Type="http://schemas.openxmlformats.org/officeDocument/2006/relationships/hyperlink" Target="https://www.scopus.com/inward/record.uri?eid=2-s2.0-85135240786&amp;doi=10.15540%2Fnr.9.2.68&amp;partnerID=40&amp;md5=a41c435f4373451395ae5f7c73b9c273" TargetMode="External"/><Relationship Id="rId104" Type="http://schemas.openxmlformats.org/officeDocument/2006/relationships/hyperlink" Target="https://www.scopus.com/inward/record.uri?eid=2-s2.0-85140758016&amp;doi=10.15540%2FNR.9.3.127&amp;partnerID=40&amp;md5=ab0107ad647536b76ea34582cc17ee75" TargetMode="External"/><Relationship Id="rId109" Type="http://schemas.openxmlformats.org/officeDocument/2006/relationships/hyperlink" Target="https://www.scopus.com/inward/record.uri?eid=2-s2.0-85099843931&amp;doi=10.1016%2Fj.nicl.2021.102559&amp;partnerID=40&amp;md5=95f491ff8b4550a5efd984eaecbbf17e" TargetMode="External"/><Relationship Id="rId108" Type="http://schemas.openxmlformats.org/officeDocument/2006/relationships/hyperlink" Target="https://www.scopus.com/inward/record.uri?eid=2-s2.0-85120853285&amp;doi=10.3389%2Ffpsyt.2021.710338&amp;partnerID=40&amp;md5=25c82bb1c7c949181c3e0847c44463cb" TargetMode="External"/><Relationship Id="rId48" Type="http://schemas.openxmlformats.org/officeDocument/2006/relationships/hyperlink" Target="https://ieeexplore.ieee.org/stamp/stamp.jsp?arnumber=10427847" TargetMode="External"/><Relationship Id="rId47" Type="http://schemas.openxmlformats.org/officeDocument/2006/relationships/hyperlink" Target="https://ieeexplore.ieee.org/stamp/stamp.jsp?arnumber=10853567" TargetMode="External"/><Relationship Id="rId49" Type="http://schemas.openxmlformats.org/officeDocument/2006/relationships/hyperlink" Target="https://ieeexplore.ieee.org/stamp/stamp.jsp?arnumber=10906236" TargetMode="External"/><Relationship Id="rId103" Type="http://schemas.openxmlformats.org/officeDocument/2006/relationships/hyperlink" Target="https://www.scopus.com/inward/record.uri?eid=2-s2.0-85124349698&amp;doi=10.3390%2Fbrainsci12020229&amp;partnerID=40&amp;md5=151790c71631a401012dba1400ea6942" TargetMode="External"/><Relationship Id="rId102" Type="http://schemas.openxmlformats.org/officeDocument/2006/relationships/hyperlink" Target="https://www.scopus.com/inward/record.uri?eid=2-s2.0-85126061778&amp;doi=10.3390%2Fjcm11051440&amp;partnerID=40&amp;md5=658b78f871dbd6faea078ae12693150c" TargetMode="External"/><Relationship Id="rId101" Type="http://schemas.openxmlformats.org/officeDocument/2006/relationships/hyperlink" Target="https://www.scopus.com/inward/record.uri?eid=2-s2.0-85126593924&amp;doi=10.3390%2Fbrainsci12030363&amp;partnerID=40&amp;md5=7e20a670609131918359aa3b3eeb3d5d" TargetMode="External"/><Relationship Id="rId100" Type="http://schemas.openxmlformats.org/officeDocument/2006/relationships/hyperlink" Target="https://www.scopus.com/inward/record.uri?eid=2-s2.0-85129981787&amp;doi=10.5152%2Fpcp.2022.21281&amp;partnerID=40&amp;md5=d1becb28773923a55a3fc1c43dc171b9" TargetMode="External"/><Relationship Id="rId31" Type="http://schemas.openxmlformats.org/officeDocument/2006/relationships/hyperlink" Target="https://ieeexplore.ieee.org/stamp/stamp.jsp?arnumber=10686974" TargetMode="External"/><Relationship Id="rId30" Type="http://schemas.openxmlformats.org/officeDocument/2006/relationships/hyperlink" Target="https://ieeexplore.ieee.org/stamp/stamp.jsp?arnumber=10694718" TargetMode="External"/><Relationship Id="rId33" Type="http://schemas.openxmlformats.org/officeDocument/2006/relationships/hyperlink" Target="https://ieeexplore.ieee.org/stamp/stamp.jsp?arnumber=10831758" TargetMode="External"/><Relationship Id="rId32" Type="http://schemas.openxmlformats.org/officeDocument/2006/relationships/hyperlink" Target="https://ieeexplore.ieee.org/stamp/stamp.jsp?arnumber=9510421" TargetMode="External"/><Relationship Id="rId35" Type="http://schemas.openxmlformats.org/officeDocument/2006/relationships/hyperlink" Target="https://ieeexplore.ieee.org/stamp/stamp.jsp?arnumber=10937486" TargetMode="External"/><Relationship Id="rId34" Type="http://schemas.openxmlformats.org/officeDocument/2006/relationships/hyperlink" Target="https://ieeexplore.ieee.org/stamp/stamp.jsp?arnumber=10352575" TargetMode="External"/><Relationship Id="rId37" Type="http://schemas.openxmlformats.org/officeDocument/2006/relationships/hyperlink" Target="https://ieeexplore.ieee.org/stamp/stamp.jsp?arnumber=10885489" TargetMode="External"/><Relationship Id="rId36" Type="http://schemas.openxmlformats.org/officeDocument/2006/relationships/hyperlink" Target="https://ieeexplore.ieee.org/stamp/stamp.jsp?arnumber=10510793" TargetMode="External"/><Relationship Id="rId39" Type="http://schemas.openxmlformats.org/officeDocument/2006/relationships/hyperlink" Target="https://ieeexplore.ieee.org/stamp/stamp.jsp?arnumber=11089222" TargetMode="External"/><Relationship Id="rId38" Type="http://schemas.openxmlformats.org/officeDocument/2006/relationships/hyperlink" Target="https://ieeexplore.ieee.org/stamp/stamp.jsp?arnumber=10328579" TargetMode="External"/><Relationship Id="rId20" Type="http://schemas.openxmlformats.org/officeDocument/2006/relationships/hyperlink" Target="https://doi.org/10.1016/j.jad.2025.119477" TargetMode="External"/><Relationship Id="rId22" Type="http://schemas.openxmlformats.org/officeDocument/2006/relationships/hyperlink" Target="https://ieeexplore.ieee.org/document/10973423" TargetMode="External"/><Relationship Id="rId21" Type="http://schemas.openxmlformats.org/officeDocument/2006/relationships/hyperlink" Target="https://ieeexplore.ieee.org/document/9061625" TargetMode="External"/><Relationship Id="rId24" Type="http://schemas.openxmlformats.org/officeDocument/2006/relationships/hyperlink" Target="https://ieeexplore.ieee.org/stamp/stamp.jsp?arnumber=9645921" TargetMode="External"/><Relationship Id="rId23" Type="http://schemas.openxmlformats.org/officeDocument/2006/relationships/hyperlink" Target="https://ieeexplore.ieee.org/document/11013597" TargetMode="External"/><Relationship Id="rId26" Type="http://schemas.openxmlformats.org/officeDocument/2006/relationships/hyperlink" Target="https://ieeexplore.ieee.org/stamp/stamp.jsp?arnumber=11036309" TargetMode="External"/><Relationship Id="rId25" Type="http://schemas.openxmlformats.org/officeDocument/2006/relationships/hyperlink" Target="https://ieeexplore.ieee.org/stamp/stamp.jsp?arnumber=11013104" TargetMode="External"/><Relationship Id="rId28" Type="http://schemas.openxmlformats.org/officeDocument/2006/relationships/hyperlink" Target="https://ieeexplore.ieee.org/stamp/stamp.jsp?arnumber=10835027" TargetMode="External"/><Relationship Id="rId27" Type="http://schemas.openxmlformats.org/officeDocument/2006/relationships/hyperlink" Target="https://ieeexplore.ieee.org/stamp/stamp.jsp?arnumber=10973423" TargetMode="External"/><Relationship Id="rId29" Type="http://schemas.openxmlformats.org/officeDocument/2006/relationships/hyperlink" Target="https://ieeexplore.ieee.org/stamp/stamp.jsp?arnumber=11013597" TargetMode="External"/><Relationship Id="rId95" Type="http://schemas.openxmlformats.org/officeDocument/2006/relationships/hyperlink" Target="https://www.scopus.com/inward/record.uri?eid=2-s2.0-85141949649&amp;doi=10.3389%2Ffpubh.2022.955393&amp;partnerID=40&amp;md5=3e2494e3b4ff112259b4f978ccc5792b" TargetMode="External"/><Relationship Id="rId94" Type="http://schemas.openxmlformats.org/officeDocument/2006/relationships/hyperlink" Target="https://www.scopus.com/inward/record.uri?eid=2-s2.0-85147782488&amp;doi=10.3389%2Ffnbeh.2023.1096122&amp;partnerID=40&amp;md5=6b33484aecc4963c07b81cf5794ad21d" TargetMode="External"/><Relationship Id="rId97" Type="http://schemas.openxmlformats.org/officeDocument/2006/relationships/hyperlink" Target="https://www.scopus.com/inward/record.uri?eid=2-s2.0-85131204643&amp;doi=10.1111%2Faogs.14386&amp;partnerID=40&amp;md5=9bee24ae30584581945e39a327d99fe1" TargetMode="External"/><Relationship Id="rId96" Type="http://schemas.openxmlformats.org/officeDocument/2006/relationships/hyperlink" Target="https://www.scopus.com/inward/record.uri?eid=2-s2.0-85139292880&amp;doi=10.1037%2Fpag0000710&amp;partnerID=40&amp;md5=2904ab14c9c60957a4ad218f3faa6873" TargetMode="External"/><Relationship Id="rId11" Type="http://schemas.openxmlformats.org/officeDocument/2006/relationships/hyperlink" Target="https://doi.org/10.1016/j.jpain.2023.02.188" TargetMode="External"/><Relationship Id="rId99" Type="http://schemas.openxmlformats.org/officeDocument/2006/relationships/hyperlink" Target="https://www.scopus.com/inward/record.uri?eid=2-s2.0-85132804438&amp;doi=10.3389%2Ffnhum.2022.921491&amp;partnerID=40&amp;md5=45272d9602f21452787a9752cfe34bb1" TargetMode="External"/><Relationship Id="rId10" Type="http://schemas.openxmlformats.org/officeDocument/2006/relationships/hyperlink" Target="https://doi.org/10.2196/38223" TargetMode="External"/><Relationship Id="rId98" Type="http://schemas.openxmlformats.org/officeDocument/2006/relationships/hyperlink" Target="https://www.scopus.com/inward/record.uri?eid=2-s2.0-85133100575&amp;doi=10.7554%2FeLife.69308&amp;partnerID=40&amp;md5=1ebfc4133b2a6616bf1445f62883eb51" TargetMode="External"/><Relationship Id="rId13" Type="http://schemas.openxmlformats.org/officeDocument/2006/relationships/hyperlink" Target="https://doi.org/10.1016/j.buildenv.2024.111434" TargetMode="External"/><Relationship Id="rId12" Type="http://schemas.openxmlformats.org/officeDocument/2006/relationships/hyperlink" Target="https://doi.org/10.1016/j.bpsc.2024.12.014" TargetMode="External"/><Relationship Id="rId91" Type="http://schemas.openxmlformats.org/officeDocument/2006/relationships/hyperlink" Target="https://www.scopus.com/inward/record.uri?eid=2-s2.0-85169158185&amp;doi=10.3390%2Fbrainsci13081174&amp;partnerID=40&amp;md5=b00c37914e0549e49f01e81873d47be8" TargetMode="External"/><Relationship Id="rId90" Type="http://schemas.openxmlformats.org/officeDocument/2006/relationships/hyperlink" Target="https://www.scopus.com/inward/record.uri?eid=2-s2.0-85172452307&amp;doi=10.1093%2Fijnp%2Fpyad050&amp;partnerID=40&amp;md5=d7a32d30347c9fc80b0448f9fc14bba0" TargetMode="External"/><Relationship Id="rId93" Type="http://schemas.openxmlformats.org/officeDocument/2006/relationships/hyperlink" Target="https://www.scopus.com/inward/record.uri?eid=2-s2.0-85164502174&amp;doi=10.1051%2Fe3sconf%2F202339601013&amp;partnerID=40&amp;md5=c5e5c8b8ebbbfbcee3099044ee8e3abf" TargetMode="External"/><Relationship Id="rId92" Type="http://schemas.openxmlformats.org/officeDocument/2006/relationships/hyperlink" Target="https://www.scopus.com/inward/record.uri?eid=2-s2.0-85147499959&amp;doi=10.1111%2Fbjop.12636&amp;partnerID=40&amp;md5=0e20444c37b6bc8ed2188b3930452935" TargetMode="External"/><Relationship Id="rId115" Type="http://schemas.openxmlformats.org/officeDocument/2006/relationships/drawing" Target="../drawings/drawing1.xml"/><Relationship Id="rId15" Type="http://schemas.openxmlformats.org/officeDocument/2006/relationships/hyperlink" Target="https://doi.org/10.1016/j.ibneur.2024.04.007" TargetMode="External"/><Relationship Id="rId110" Type="http://schemas.openxmlformats.org/officeDocument/2006/relationships/hyperlink" Target="https://www.scopus.com/inward/record.uri?eid=2-s2.0-85090246435&amp;doi=10.3390%2Fbrainsci10090608&amp;partnerID=40&amp;md5=fc1ff5453e4595bc63e223cc9d771e6d" TargetMode="External"/><Relationship Id="rId14" Type="http://schemas.openxmlformats.org/officeDocument/2006/relationships/hyperlink" Target="https://doi.org/10.1016/j.conctc.2022.100891" TargetMode="External"/><Relationship Id="rId17" Type="http://schemas.openxmlformats.org/officeDocument/2006/relationships/hyperlink" Target="https://doi.org/10.1016/j.irbm.2021.06.011" TargetMode="External"/><Relationship Id="rId16" Type="http://schemas.openxmlformats.org/officeDocument/2006/relationships/hyperlink" Target="https://doi.org/10.1016/j.amjoto.2021.103248" TargetMode="External"/><Relationship Id="rId19" Type="http://schemas.openxmlformats.org/officeDocument/2006/relationships/hyperlink" Target="https://doi.org/10.1016/bs.pbr.2023.11.004" TargetMode="External"/><Relationship Id="rId114" Type="http://schemas.openxmlformats.org/officeDocument/2006/relationships/hyperlink" Target="https://www.scopus.com/inward/record.uri?eid=2-s2.0-85085956389&amp;doi=10.1155%2F2020%2F8915961&amp;partnerID=40&amp;md5=ecb644f72797038c854b2152a84deed9" TargetMode="External"/><Relationship Id="rId18" Type="http://schemas.openxmlformats.org/officeDocument/2006/relationships/hyperlink" Target="https://doi.org/10.1016/j.psychres.2024.116254" TargetMode="External"/><Relationship Id="rId113" Type="http://schemas.openxmlformats.org/officeDocument/2006/relationships/hyperlink" Target="https://www.scopus.com/inward/record.uri?eid=2-s2.0-85090536140&amp;doi=10.17691%2Fstm2020.12.4.03&amp;partnerID=40&amp;md5=62d7edb652cc57be536cece8012bd684" TargetMode="External"/><Relationship Id="rId112" Type="http://schemas.openxmlformats.org/officeDocument/2006/relationships/hyperlink" Target="https://www.scopus.com/inward/record.uri?eid=2-s2.0-85081926602&amp;doi=10.3390%2Fph13030045&amp;partnerID=40&amp;md5=63ea0361a566f9a25cd1ff35beec96a7" TargetMode="External"/><Relationship Id="rId111" Type="http://schemas.openxmlformats.org/officeDocument/2006/relationships/hyperlink" Target="https://www.scopus.com/inward/record.uri?eid=2-s2.0-85087288587&amp;doi=10.3389%2Ffnagi.2020.00147&amp;partnerID=40&amp;md5=34f05cd816cc7f61733b52f9fccdcae1" TargetMode="External"/><Relationship Id="rId84" Type="http://schemas.openxmlformats.org/officeDocument/2006/relationships/hyperlink" Target="https://www.scopus.com/inward/record.uri?eid=2-s2.0-85183991218&amp;doi=10.1016%2Fj.prime.2024.100448&amp;partnerID=40&amp;md5=c808a8a78749760a1ba0294131bbc596" TargetMode="External"/><Relationship Id="rId83" Type="http://schemas.openxmlformats.org/officeDocument/2006/relationships/hyperlink" Target="https://www.scopus.com/inward/record.uri?eid=2-s2.0-85188915840&amp;doi=10.3390%2Fmake6010011&amp;partnerID=40&amp;md5=a4debee62344f1c1a08d2ea33ce45ee2" TargetMode="External"/><Relationship Id="rId86" Type="http://schemas.openxmlformats.org/officeDocument/2006/relationships/hyperlink" Target="https://www.scopus.com/inward/record.uri?eid=2-s2.0-85204294626&amp;doi=10.3389%2Ffams.2024.1426253&amp;partnerID=40&amp;md5=8550b39c85a699289128d33a68752a5e" TargetMode="External"/><Relationship Id="rId85" Type="http://schemas.openxmlformats.org/officeDocument/2006/relationships/hyperlink" Target="https://www.scopus.com/inward/record.uri?eid=2-s2.0-85184013375&amp;doi=10.1093%2Fcercor%2Fbhad515&amp;partnerID=40&amp;md5=b50616f30bb750d1e489a441ead98181" TargetMode="External"/><Relationship Id="rId88" Type="http://schemas.openxmlformats.org/officeDocument/2006/relationships/hyperlink" Target="https://www.scopus.com/inward/record.uri?eid=2-s2.0-85200670789&amp;doi=10.2147%2FNDT.S458106&amp;partnerID=40&amp;md5=1972d361ba2a9e545cee88afc0510482" TargetMode="External"/><Relationship Id="rId87" Type="http://schemas.openxmlformats.org/officeDocument/2006/relationships/hyperlink" Target="https://www.scopus.com/inward/record.uri?eid=2-s2.0-85201819430&amp;doi=10.3389%2Ffnins.2024.1408526&amp;partnerID=40&amp;md5=ed80d6785dced9ffebc3dacfd1670549" TargetMode="External"/><Relationship Id="rId89" Type="http://schemas.openxmlformats.org/officeDocument/2006/relationships/hyperlink" Target="https://www.scopus.com/inward/record.uri?eid=2-s2.0-85170370500&amp;doi=10.1038%2Fs41598-023-34517-w&amp;partnerID=40&amp;md5=362ab7b02d354b47c378873f5c2e286d" TargetMode="External"/><Relationship Id="rId80" Type="http://schemas.openxmlformats.org/officeDocument/2006/relationships/hyperlink" Target="https://www.scopus.com/inward/record.uri?eid=2-s2.0-105015480737&amp;doi=10.1186%2Fs13102-025-01320-1&amp;partnerID=40&amp;md5=e65b50281140b1d4a2430b3ca00ac857" TargetMode="External"/><Relationship Id="rId82" Type="http://schemas.openxmlformats.org/officeDocument/2006/relationships/hyperlink" Target="https://www.scopus.com/inward/record.uri?eid=2-s2.0-85192452023&amp;doi=10.3390%2Fapp14072699&amp;partnerID=40&amp;md5=4821853b1a3bb0bba375347e70ba6c98" TargetMode="External"/><Relationship Id="rId81" Type="http://schemas.openxmlformats.org/officeDocument/2006/relationships/hyperlink" Target="https://www.scopus.com/inward/record.uri?eid=2-s2.0-85196905848&amp;doi=10.3390%2Fbrainsci14060578&amp;partnerID=40&amp;md5=1fcca2cf66842726ed1a3907e0adaa35" TargetMode="External"/><Relationship Id="rId1" Type="http://schemas.openxmlformats.org/officeDocument/2006/relationships/hyperlink" Target="https://pubmed.ncbi.nlm.nih.gov/31904404/" TargetMode="External"/><Relationship Id="rId2" Type="http://schemas.openxmlformats.org/officeDocument/2006/relationships/hyperlink" Target="https://pubmed.ncbi.nlm.nih.gov/33190659/" TargetMode="External"/><Relationship Id="rId3" Type="http://schemas.openxmlformats.org/officeDocument/2006/relationships/hyperlink" Target="https://pubmed.ncbi.nlm.nih.gov/40792221/" TargetMode="External"/><Relationship Id="rId4" Type="http://schemas.openxmlformats.org/officeDocument/2006/relationships/hyperlink" Target="https://doi.org/10.1016/j.biopsycho.2019.107840" TargetMode="External"/><Relationship Id="rId9" Type="http://schemas.openxmlformats.org/officeDocument/2006/relationships/hyperlink" Target="https://doi.org/10.2196/35636" TargetMode="External"/><Relationship Id="rId5" Type="http://schemas.openxmlformats.org/officeDocument/2006/relationships/hyperlink" Target="https://doi.org/10.1016/j.neulet.2019.134648" TargetMode="External"/><Relationship Id="rId6" Type="http://schemas.openxmlformats.org/officeDocument/2006/relationships/hyperlink" Target="https://doi.org/10.1016/j.nicl.2021.102559" TargetMode="External"/><Relationship Id="rId7" Type="http://schemas.openxmlformats.org/officeDocument/2006/relationships/hyperlink" Target="https://doi.org/10.2196/49467" TargetMode="External"/><Relationship Id="rId8" Type="http://schemas.openxmlformats.org/officeDocument/2006/relationships/hyperlink" Target="https://doi.org/10.1016/j.brs.2022.02.008" TargetMode="External"/><Relationship Id="rId73" Type="http://schemas.openxmlformats.org/officeDocument/2006/relationships/hyperlink" Target="https://ieeexplore.ieee.org/stamp/stamp.jsp?arnumber=10971279" TargetMode="External"/><Relationship Id="rId72" Type="http://schemas.openxmlformats.org/officeDocument/2006/relationships/hyperlink" Target="https://ieeexplore.ieee.org/stamp/stamp.jsp?arnumber=11002584" TargetMode="External"/><Relationship Id="rId75" Type="http://schemas.openxmlformats.org/officeDocument/2006/relationships/hyperlink" Target="https://dl.acm.org/doi/10.1145/3718084" TargetMode="External"/><Relationship Id="rId74" Type="http://schemas.openxmlformats.org/officeDocument/2006/relationships/hyperlink" Target="https://ieeexplore.ieee.org/stamp/stamp.jsp?arnumber=10302704" TargetMode="External"/><Relationship Id="rId77" Type="http://schemas.openxmlformats.org/officeDocument/2006/relationships/hyperlink" Target="https://dl.acm.org/doi/10.1145/3652988.3673922" TargetMode="External"/><Relationship Id="rId76" Type="http://schemas.openxmlformats.org/officeDocument/2006/relationships/hyperlink" Target="https://dl.acm.org/doi/10.1145/3748597" TargetMode="External"/><Relationship Id="rId79" Type="http://schemas.openxmlformats.org/officeDocument/2006/relationships/hyperlink" Target="https://www.scopus.com/inward/record.uri?eid=2-s2.0-105017554919&amp;doi=10.15627%2Fjd.2025.23&amp;partnerID=40&amp;md5=2d2040446bbb14128eb910c301914334" TargetMode="External"/><Relationship Id="rId78" Type="http://schemas.openxmlformats.org/officeDocument/2006/relationships/hyperlink" Target="https://www.scopus.com/inward/record.uri?eid=2-s2.0-105017610930&amp;doi=10.1038%2Fs41598-025-18629-z&amp;partnerID=40&amp;md5=3252dd909bd5f6250b844de4f2bd7603" TargetMode="External"/><Relationship Id="rId71" Type="http://schemas.openxmlformats.org/officeDocument/2006/relationships/hyperlink" Target="https://ieeexplore.ieee.org/stamp/stamp.jsp?arnumber=11218026" TargetMode="External"/><Relationship Id="rId70" Type="http://schemas.openxmlformats.org/officeDocument/2006/relationships/hyperlink" Target="https://ieeexplore.ieee.org/stamp/stamp.jsp?arnumber=10450294" TargetMode="External"/><Relationship Id="rId62" Type="http://schemas.openxmlformats.org/officeDocument/2006/relationships/hyperlink" Target="https://ieeexplore.ieee.org/stamp/stamp.jsp?arnumber=10564031" TargetMode="External"/><Relationship Id="rId61" Type="http://schemas.openxmlformats.org/officeDocument/2006/relationships/hyperlink" Target="https://ieeexplore.ieee.org/stamp/stamp.jsp?arnumber=10986518" TargetMode="External"/><Relationship Id="rId64" Type="http://schemas.openxmlformats.org/officeDocument/2006/relationships/hyperlink" Target="https://ieeexplore.ieee.org/stamp/stamp.jsp?arnumber=11118897" TargetMode="External"/><Relationship Id="rId63" Type="http://schemas.openxmlformats.org/officeDocument/2006/relationships/hyperlink" Target="https://ieeexplore.ieee.org/stamp/stamp.jsp?arnumber=11086442" TargetMode="External"/><Relationship Id="rId66" Type="http://schemas.openxmlformats.org/officeDocument/2006/relationships/hyperlink" Target="https://ieeexplore.ieee.org/stamp/stamp.jsp?arnumber=11023554" TargetMode="External"/><Relationship Id="rId65" Type="http://schemas.openxmlformats.org/officeDocument/2006/relationships/hyperlink" Target="https://ieeexplore.ieee.org/stamp/stamp.jsp?arnumber=10756217" TargetMode="External"/><Relationship Id="rId68" Type="http://schemas.openxmlformats.org/officeDocument/2006/relationships/hyperlink" Target="https://ieeexplore.ieee.org/xpl/ebooks/bookPdfWithBanner.jsp?fileName=10180346.pdf&amp;bkn=10180202&amp;pdfType=chapter" TargetMode="External"/><Relationship Id="rId67" Type="http://schemas.openxmlformats.org/officeDocument/2006/relationships/hyperlink" Target="https://ieeexplore.ieee.org/stamp/stamp.jsp?arnumber=10957155" TargetMode="External"/><Relationship Id="rId60" Type="http://schemas.openxmlformats.org/officeDocument/2006/relationships/hyperlink" Target="https://ieeexplore.ieee.org/stamp/stamp.jsp?arnumber=10960257" TargetMode="External"/><Relationship Id="rId69" Type="http://schemas.openxmlformats.org/officeDocument/2006/relationships/hyperlink" Target="https://ieeexplore.ieee.org/stamp/stamp.jsp?arnumber=10496111" TargetMode="External"/><Relationship Id="rId51" Type="http://schemas.openxmlformats.org/officeDocument/2006/relationships/hyperlink" Target="https://ieeexplore.ieee.org/stamp/stamp.jsp?arnumber=10340014" TargetMode="External"/><Relationship Id="rId50" Type="http://schemas.openxmlformats.org/officeDocument/2006/relationships/hyperlink" Target="https://ieeexplore.ieee.org/stamp/stamp.jsp?arnumber=9945131" TargetMode="External"/><Relationship Id="rId53" Type="http://schemas.openxmlformats.org/officeDocument/2006/relationships/hyperlink" Target="https://ieeexplore.ieee.org/stamp/stamp.jsp?arnumber=9855075" TargetMode="External"/><Relationship Id="rId52" Type="http://schemas.openxmlformats.org/officeDocument/2006/relationships/hyperlink" Target="https://ieeexplore.ieee.org/stamp/stamp.jsp?arnumber=9507705" TargetMode="External"/><Relationship Id="rId55" Type="http://schemas.openxmlformats.org/officeDocument/2006/relationships/hyperlink" Target="https://ieeexplore.ieee.org/stamp/stamp.jsp?arnumber=10782905" TargetMode="External"/><Relationship Id="rId54" Type="http://schemas.openxmlformats.org/officeDocument/2006/relationships/hyperlink" Target="https://ieeexplore.ieee.org/stamp/stamp.jsp?arnumber=10882247" TargetMode="External"/><Relationship Id="rId57" Type="http://schemas.openxmlformats.org/officeDocument/2006/relationships/hyperlink" Target="https://ieeexplore.ieee.org/stamp/stamp.jsp?arnumber=9668373" TargetMode="External"/><Relationship Id="rId56" Type="http://schemas.openxmlformats.org/officeDocument/2006/relationships/hyperlink" Target="https://ieeexplore.ieee.org/stamp/stamp.jsp?arnumber=11022139" TargetMode="External"/><Relationship Id="rId59" Type="http://schemas.openxmlformats.org/officeDocument/2006/relationships/hyperlink" Target="https://ieeexplore.ieee.org/stamp/stamp.jsp?arnumber=10818687" TargetMode="External"/><Relationship Id="rId58" Type="http://schemas.openxmlformats.org/officeDocument/2006/relationships/hyperlink" Target="https://ieeexplore.ieee.org/stamp/stamp.jsp?arnumber=10981399"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ieeexplore.ieee.org/stamp/stamp.jsp?arnumber=10352575" TargetMode="External"/><Relationship Id="rId42" Type="http://schemas.openxmlformats.org/officeDocument/2006/relationships/hyperlink" Target="https://ieeexplore.ieee.org/stamp/stamp.jsp?arnumber=10510793" TargetMode="External"/><Relationship Id="rId41" Type="http://schemas.openxmlformats.org/officeDocument/2006/relationships/hyperlink" Target="https://ieeexplore.ieee.org/stamp/stamp.jsp?arnumber=10937486" TargetMode="External"/><Relationship Id="rId44" Type="http://schemas.openxmlformats.org/officeDocument/2006/relationships/hyperlink" Target="https://ieeexplore.ieee.org/stamp/stamp.jsp?arnumber=10328579" TargetMode="External"/><Relationship Id="rId43" Type="http://schemas.openxmlformats.org/officeDocument/2006/relationships/hyperlink" Target="https://ieeexplore.ieee.org/stamp/stamp.jsp?arnumber=10885489" TargetMode="External"/><Relationship Id="rId46" Type="http://schemas.openxmlformats.org/officeDocument/2006/relationships/hyperlink" Target="https://ieeexplore.ieee.org/stamp/stamp.jsp?arnumber=9630214" TargetMode="External"/><Relationship Id="rId45" Type="http://schemas.openxmlformats.org/officeDocument/2006/relationships/hyperlink" Target="https://ieeexplore.ieee.org/stamp/stamp.jsp?arnumber=11089222" TargetMode="External"/><Relationship Id="rId107" Type="http://schemas.openxmlformats.org/officeDocument/2006/relationships/hyperlink" Target="https://www.scopus.com/inward/record.uri?eid=2-s2.0-85126593924&amp;doi=10.3390%2Fbrainsci12030363&amp;partnerID=40&amp;md5=7e20a670609131918359aa3b3eeb3d5d" TargetMode="External"/><Relationship Id="rId106" Type="http://schemas.openxmlformats.org/officeDocument/2006/relationships/hyperlink" Target="https://www.scopus.com/inward/record.uri?eid=2-s2.0-85129981787&amp;doi=10.5152%2Fpcp.2022.21281&amp;partnerID=40&amp;md5=d1becb28773923a55a3fc1c43dc171b9" TargetMode="External"/><Relationship Id="rId105" Type="http://schemas.openxmlformats.org/officeDocument/2006/relationships/hyperlink" Target="https://www.scopus.com/inward/record.uri?eid=2-s2.0-85132804438&amp;doi=10.3389%2Ffnhum.2022.921491&amp;partnerID=40&amp;md5=45272d9602f21452787a9752cfe34bb1" TargetMode="External"/><Relationship Id="rId104" Type="http://schemas.openxmlformats.org/officeDocument/2006/relationships/hyperlink" Target="https://www.scopus.com/inward/record.uri?eid=2-s2.0-85133100575&amp;doi=10.7554%2FeLife.69308&amp;partnerID=40&amp;md5=1ebfc4133b2a6616bf1445f62883eb51" TargetMode="External"/><Relationship Id="rId109" Type="http://schemas.openxmlformats.org/officeDocument/2006/relationships/hyperlink" Target="https://www.scopus.com/inward/record.uri?eid=2-s2.0-85124349698&amp;doi=10.3390%2Fbrainsci12020229&amp;partnerID=40&amp;md5=151790c71631a401012dba1400ea6942" TargetMode="External"/><Relationship Id="rId108" Type="http://schemas.openxmlformats.org/officeDocument/2006/relationships/hyperlink" Target="https://www.scopus.com/inward/record.uri?eid=2-s2.0-85126061778&amp;doi=10.3390%2Fjcm11051440&amp;partnerID=40&amp;md5=658b78f871dbd6faea078ae12693150c" TargetMode="External"/><Relationship Id="rId48" Type="http://schemas.openxmlformats.org/officeDocument/2006/relationships/hyperlink" Target="https://ieeexplore.ieee.org/stamp/stamp.jsp?arnumber=10590200" TargetMode="External"/><Relationship Id="rId47" Type="http://schemas.openxmlformats.org/officeDocument/2006/relationships/hyperlink" Target="https://ieeexplore.ieee.org/stamp/stamp.jsp?arnumber=10127358" TargetMode="External"/><Relationship Id="rId49" Type="http://schemas.openxmlformats.org/officeDocument/2006/relationships/hyperlink" Target="https://ieeexplore.ieee.org/stamp/stamp.jsp?arnumber=10208067" TargetMode="External"/><Relationship Id="rId103" Type="http://schemas.openxmlformats.org/officeDocument/2006/relationships/hyperlink" Target="https://www.scopus.com/inward/record.uri?eid=2-s2.0-85131204643&amp;doi=10.1111%2Faogs.14386&amp;partnerID=40&amp;md5=9bee24ae30584581945e39a327d99fe1" TargetMode="External"/><Relationship Id="rId102" Type="http://schemas.openxmlformats.org/officeDocument/2006/relationships/hyperlink" Target="https://www.scopus.com/inward/record.uri?eid=2-s2.0-85139292880&amp;doi=10.1037%2Fpag0000710&amp;partnerID=40&amp;md5=2904ab14c9c60957a4ad218f3faa6873" TargetMode="External"/><Relationship Id="rId101" Type="http://schemas.openxmlformats.org/officeDocument/2006/relationships/hyperlink" Target="https://www.scopus.com/inward/record.uri?eid=2-s2.0-85141949649&amp;doi=10.3389%2Ffpubh.2022.955393&amp;partnerID=40&amp;md5=3e2494e3b4ff112259b4f978ccc5792b" TargetMode="External"/><Relationship Id="rId100" Type="http://schemas.openxmlformats.org/officeDocument/2006/relationships/hyperlink" Target="https://www.scopus.com/inward/record.uri?eid=2-s2.0-85147782488&amp;doi=10.3389%2Ffnbeh.2023.1096122&amp;partnerID=40&amp;md5=6b33484aecc4963c07b81cf5794ad21d" TargetMode="External"/><Relationship Id="rId31" Type="http://schemas.openxmlformats.org/officeDocument/2006/relationships/hyperlink" Target="https://ieeexplore.ieee.org/stamp/stamp.jsp?arnumber=11013104" TargetMode="External"/><Relationship Id="rId30" Type="http://schemas.openxmlformats.org/officeDocument/2006/relationships/hyperlink" Target="https://ieeexplore.ieee.org/stamp/stamp.jsp?arnumber=9645921" TargetMode="External"/><Relationship Id="rId33" Type="http://schemas.openxmlformats.org/officeDocument/2006/relationships/hyperlink" Target="https://ieeexplore.ieee.org/stamp/stamp.jsp?arnumber=10973423" TargetMode="External"/><Relationship Id="rId32" Type="http://schemas.openxmlformats.org/officeDocument/2006/relationships/hyperlink" Target="https://ieeexplore.ieee.org/stamp/stamp.jsp?arnumber=11036309" TargetMode="External"/><Relationship Id="rId35" Type="http://schemas.openxmlformats.org/officeDocument/2006/relationships/hyperlink" Target="https://ieeexplore.ieee.org/stamp/stamp.jsp?arnumber=11013597" TargetMode="External"/><Relationship Id="rId34" Type="http://schemas.openxmlformats.org/officeDocument/2006/relationships/hyperlink" Target="https://ieeexplore.ieee.org/stamp/stamp.jsp?arnumber=10835027" TargetMode="External"/><Relationship Id="rId37" Type="http://schemas.openxmlformats.org/officeDocument/2006/relationships/hyperlink" Target="https://ieeexplore.ieee.org/stamp/stamp.jsp?arnumber=10686974" TargetMode="External"/><Relationship Id="rId36" Type="http://schemas.openxmlformats.org/officeDocument/2006/relationships/hyperlink" Target="https://ieeexplore.ieee.org/stamp/stamp.jsp?arnumber=10694718" TargetMode="External"/><Relationship Id="rId39" Type="http://schemas.openxmlformats.org/officeDocument/2006/relationships/hyperlink" Target="https://ieeexplore.ieee.org/stamp/stamp.jsp?arnumber=10831758" TargetMode="External"/><Relationship Id="rId38" Type="http://schemas.openxmlformats.org/officeDocument/2006/relationships/hyperlink" Target="https://ieeexplore.ieee.org/stamp/stamp.jsp?arnumber=9510421" TargetMode="External"/><Relationship Id="rId20" Type="http://schemas.openxmlformats.org/officeDocument/2006/relationships/hyperlink" Target="https://doi.org/10.1016/j.conctc.2022.100891" TargetMode="External"/><Relationship Id="rId22" Type="http://schemas.openxmlformats.org/officeDocument/2006/relationships/hyperlink" Target="https://doi.org/10.1016/j.amjoto.2021.103248" TargetMode="External"/><Relationship Id="rId21" Type="http://schemas.openxmlformats.org/officeDocument/2006/relationships/hyperlink" Target="https://doi.org/10.1016/j.ibneur.2024.04.007" TargetMode="External"/><Relationship Id="rId24" Type="http://schemas.openxmlformats.org/officeDocument/2006/relationships/hyperlink" Target="https://doi.org/10.1016/j.psychres.2024.116254" TargetMode="External"/><Relationship Id="rId23" Type="http://schemas.openxmlformats.org/officeDocument/2006/relationships/hyperlink" Target="https://doi.org/10.1016/j.irbm.2021.06.011" TargetMode="External"/><Relationship Id="rId26" Type="http://schemas.openxmlformats.org/officeDocument/2006/relationships/hyperlink" Target="https://doi.org/10.1016/j.jad.2025.119477" TargetMode="External"/><Relationship Id="rId121" Type="http://schemas.openxmlformats.org/officeDocument/2006/relationships/drawing" Target="../drawings/drawing2.xml"/><Relationship Id="rId25" Type="http://schemas.openxmlformats.org/officeDocument/2006/relationships/hyperlink" Target="https://doi.org/10.1016/bs.pbr.2023.11.004" TargetMode="External"/><Relationship Id="rId120" Type="http://schemas.openxmlformats.org/officeDocument/2006/relationships/hyperlink" Target="https://www.scopus.com/inward/record.uri?eid=2-s2.0-85085956389&amp;doi=10.1155%2F2020%2F8915961&amp;partnerID=40&amp;md5=ecb644f72797038c854b2152a84deed9" TargetMode="External"/><Relationship Id="rId28" Type="http://schemas.openxmlformats.org/officeDocument/2006/relationships/hyperlink" Target="https://ieeexplore.ieee.org/document/10973423" TargetMode="External"/><Relationship Id="rId27" Type="http://schemas.openxmlformats.org/officeDocument/2006/relationships/hyperlink" Target="https://ieeexplore.ieee.org/document/9061625" TargetMode="External"/><Relationship Id="rId29" Type="http://schemas.openxmlformats.org/officeDocument/2006/relationships/hyperlink" Target="https://ieeexplore.ieee.org/document/11013597" TargetMode="External"/><Relationship Id="rId95" Type="http://schemas.openxmlformats.org/officeDocument/2006/relationships/hyperlink" Target="https://www.scopus.com/inward/record.uri?eid=2-s2.0-85170370500&amp;doi=10.1038%2Fs41598-023-34517-w&amp;partnerID=40&amp;md5=362ab7b02d354b47c378873f5c2e286d" TargetMode="External"/><Relationship Id="rId94" Type="http://schemas.openxmlformats.org/officeDocument/2006/relationships/hyperlink" Target="https://www.scopus.com/inward/record.uri?eid=2-s2.0-85200670789&amp;doi=10.2147%2FNDT.S458106&amp;partnerID=40&amp;md5=1972d361ba2a9e545cee88afc0510482" TargetMode="External"/><Relationship Id="rId97" Type="http://schemas.openxmlformats.org/officeDocument/2006/relationships/hyperlink" Target="https://www.scopus.com/inward/record.uri?eid=2-s2.0-85169158185&amp;doi=10.3390%2Fbrainsci13081174&amp;partnerID=40&amp;md5=b00c37914e0549e49f01e81873d47be8" TargetMode="External"/><Relationship Id="rId96" Type="http://schemas.openxmlformats.org/officeDocument/2006/relationships/hyperlink" Target="https://www.scopus.com/inward/record.uri?eid=2-s2.0-85172452307&amp;doi=10.1093%2Fijnp%2Fpyad050&amp;partnerID=40&amp;md5=d7a32d30347c9fc80b0448f9fc14bba0" TargetMode="External"/><Relationship Id="rId11" Type="http://schemas.openxmlformats.org/officeDocument/2006/relationships/hyperlink" Target="https://doi.org/10.1016/j.neulet.2019.134648" TargetMode="External"/><Relationship Id="rId99" Type="http://schemas.openxmlformats.org/officeDocument/2006/relationships/hyperlink" Target="https://www.scopus.com/inward/record.uri?eid=2-s2.0-85164502174&amp;doi=10.1051%2Fe3sconf%2F202339601013&amp;partnerID=40&amp;md5=c5e5c8b8ebbbfbcee3099044ee8e3abf" TargetMode="External"/><Relationship Id="rId10" Type="http://schemas.openxmlformats.org/officeDocument/2006/relationships/hyperlink" Target="https://doi.org/10.1016/j.biopsycho.2019.107840" TargetMode="External"/><Relationship Id="rId98" Type="http://schemas.openxmlformats.org/officeDocument/2006/relationships/hyperlink" Target="https://www.scopus.com/inward/record.uri?eid=2-s2.0-85147499959&amp;doi=10.1111%2Fbjop.12636&amp;partnerID=40&amp;md5=0e20444c37b6bc8ed2188b3930452935" TargetMode="External"/><Relationship Id="rId13" Type="http://schemas.openxmlformats.org/officeDocument/2006/relationships/hyperlink" Target="https://doi.org/10.2196/49467" TargetMode="External"/><Relationship Id="rId12" Type="http://schemas.openxmlformats.org/officeDocument/2006/relationships/hyperlink" Target="https://doi.org/10.1016/j.nicl.2021.102559" TargetMode="External"/><Relationship Id="rId91" Type="http://schemas.openxmlformats.org/officeDocument/2006/relationships/hyperlink" Target="https://www.scopus.com/inward/record.uri?eid=2-s2.0-85184013375&amp;doi=10.1093%2Fcercor%2Fbhad515&amp;partnerID=40&amp;md5=b50616f30bb750d1e489a441ead98181" TargetMode="External"/><Relationship Id="rId90" Type="http://schemas.openxmlformats.org/officeDocument/2006/relationships/hyperlink" Target="https://www.scopus.com/inward/record.uri?eid=2-s2.0-85183991218&amp;doi=10.1016%2Fj.prime.2024.100448&amp;partnerID=40&amp;md5=c808a8a78749760a1ba0294131bbc596" TargetMode="External"/><Relationship Id="rId93" Type="http://schemas.openxmlformats.org/officeDocument/2006/relationships/hyperlink" Target="https://www.scopus.com/inward/record.uri?eid=2-s2.0-85201819430&amp;doi=10.3389%2Ffnins.2024.1408526&amp;partnerID=40&amp;md5=ed80d6785dced9ffebc3dacfd1670549" TargetMode="External"/><Relationship Id="rId92" Type="http://schemas.openxmlformats.org/officeDocument/2006/relationships/hyperlink" Target="https://www.scopus.com/inward/record.uri?eid=2-s2.0-85204294626&amp;doi=10.3389%2Ffams.2024.1426253&amp;partnerID=40&amp;md5=8550b39c85a699289128d33a68752a5e" TargetMode="External"/><Relationship Id="rId118" Type="http://schemas.openxmlformats.org/officeDocument/2006/relationships/hyperlink" Target="https://www.scopus.com/inward/record.uri?eid=2-s2.0-85081926602&amp;doi=10.3390%2Fph13030045&amp;partnerID=40&amp;md5=63ea0361a566f9a25cd1ff35beec96a7" TargetMode="External"/><Relationship Id="rId117" Type="http://schemas.openxmlformats.org/officeDocument/2006/relationships/hyperlink" Target="https://www.scopus.com/inward/record.uri?eid=2-s2.0-85087288587&amp;doi=10.3389%2Ffnagi.2020.00147&amp;partnerID=40&amp;md5=34f05cd816cc7f61733b52f9fccdcae1" TargetMode="External"/><Relationship Id="rId116" Type="http://schemas.openxmlformats.org/officeDocument/2006/relationships/hyperlink" Target="https://www.scopus.com/inward/record.uri?eid=2-s2.0-85090246435&amp;doi=10.3390%2Fbrainsci10090608&amp;partnerID=40&amp;md5=fc1ff5453e4595bc63e223cc9d771e6d" TargetMode="External"/><Relationship Id="rId115" Type="http://schemas.openxmlformats.org/officeDocument/2006/relationships/hyperlink" Target="https://www.scopus.com/inward/record.uri?eid=2-s2.0-85099843931&amp;doi=10.1016%2Fj.nicl.2021.102559&amp;partnerID=40&amp;md5=95f491ff8b4550a5efd984eaecbbf17e" TargetMode="External"/><Relationship Id="rId119" Type="http://schemas.openxmlformats.org/officeDocument/2006/relationships/hyperlink" Target="https://www.scopus.com/inward/record.uri?eid=2-s2.0-85090536140&amp;doi=10.17691%2Fstm2020.12.4.03&amp;partnerID=40&amp;md5=62d7edb652cc57be536cece8012bd684" TargetMode="External"/><Relationship Id="rId15" Type="http://schemas.openxmlformats.org/officeDocument/2006/relationships/hyperlink" Target="https://doi.org/10.2196/35636" TargetMode="External"/><Relationship Id="rId110" Type="http://schemas.openxmlformats.org/officeDocument/2006/relationships/hyperlink" Target="https://www.scopus.com/inward/record.uri?eid=2-s2.0-85140758016&amp;doi=10.15540%2FNR.9.3.127&amp;partnerID=40&amp;md5=ab0107ad647536b76ea34582cc17ee75" TargetMode="External"/><Relationship Id="rId14" Type="http://schemas.openxmlformats.org/officeDocument/2006/relationships/hyperlink" Target="https://doi.org/10.1016/j.brs.2022.02.008" TargetMode="External"/><Relationship Id="rId17" Type="http://schemas.openxmlformats.org/officeDocument/2006/relationships/hyperlink" Target="https://doi.org/10.1016/j.jpain.2023.02.188" TargetMode="External"/><Relationship Id="rId16" Type="http://schemas.openxmlformats.org/officeDocument/2006/relationships/hyperlink" Target="https://doi.org/10.2196/38223" TargetMode="External"/><Relationship Id="rId19" Type="http://schemas.openxmlformats.org/officeDocument/2006/relationships/hyperlink" Target="https://doi.org/10.1016/j.buildenv.2024.111434" TargetMode="External"/><Relationship Id="rId114" Type="http://schemas.openxmlformats.org/officeDocument/2006/relationships/hyperlink" Target="https://www.scopus.com/inward/record.uri?eid=2-s2.0-85120853285&amp;doi=10.3389%2Ffpsyt.2021.710338&amp;partnerID=40&amp;md5=25c82bb1c7c949181c3e0847c44463cb" TargetMode="External"/><Relationship Id="rId18" Type="http://schemas.openxmlformats.org/officeDocument/2006/relationships/hyperlink" Target="https://doi.org/10.1016/j.bpsc.2024.12.014" TargetMode="External"/><Relationship Id="rId113" Type="http://schemas.openxmlformats.org/officeDocument/2006/relationships/hyperlink" Target="https://www.scopus.com/inward/record.uri?eid=2-s2.0-85119300772&amp;doi=10.1038%2Fs41598-021-01645-0&amp;partnerID=40&amp;md5=f077981bd0889b858118269dd190bcf9" TargetMode="External"/><Relationship Id="rId112" Type="http://schemas.openxmlformats.org/officeDocument/2006/relationships/hyperlink" Target="https://www.scopus.com/inward/record.uri?eid=2-s2.0-85122338799&amp;doi=10.3389%2Ffpsyt.2021.721874&amp;partnerID=40&amp;md5=0b61983ac06d7771950ddc7db78b97dd" TargetMode="External"/><Relationship Id="rId111" Type="http://schemas.openxmlformats.org/officeDocument/2006/relationships/hyperlink" Target="https://www.scopus.com/inward/record.uri?eid=2-s2.0-85135240786&amp;doi=10.15540%2Fnr.9.2.68&amp;partnerID=40&amp;md5=a41c435f4373451395ae5f7c73b9c273" TargetMode="External"/><Relationship Id="rId84" Type="http://schemas.openxmlformats.org/officeDocument/2006/relationships/hyperlink" Target="https://www.scopus.com/inward/record.uri?eid=2-s2.0-105017610930&amp;doi=10.1038%2Fs41598-025-18629-z&amp;partnerID=40&amp;md5=3252dd909bd5f6250b844de4f2bd7603" TargetMode="External"/><Relationship Id="rId83" Type="http://schemas.openxmlformats.org/officeDocument/2006/relationships/hyperlink" Target="https://dl.acm.org/doi/10.1145/3652988.3673922" TargetMode="External"/><Relationship Id="rId86" Type="http://schemas.openxmlformats.org/officeDocument/2006/relationships/hyperlink" Target="https://www.scopus.com/inward/record.uri?eid=2-s2.0-105015480737&amp;doi=10.1186%2Fs13102-025-01320-1&amp;partnerID=40&amp;md5=e65b50281140b1d4a2430b3ca00ac857" TargetMode="External"/><Relationship Id="rId85" Type="http://schemas.openxmlformats.org/officeDocument/2006/relationships/hyperlink" Target="https://www.scopus.com/inward/record.uri?eid=2-s2.0-105017554919&amp;doi=10.15627%2Fjd.2025.23&amp;partnerID=40&amp;md5=2d2040446bbb14128eb910c301914334" TargetMode="External"/><Relationship Id="rId88" Type="http://schemas.openxmlformats.org/officeDocument/2006/relationships/hyperlink" Target="https://www.scopus.com/inward/record.uri?eid=2-s2.0-85192452023&amp;doi=10.3390%2Fapp14072699&amp;partnerID=40&amp;md5=4821853b1a3bb0bba375347e70ba6c98" TargetMode="External"/><Relationship Id="rId87" Type="http://schemas.openxmlformats.org/officeDocument/2006/relationships/hyperlink" Target="https://www.scopus.com/inward/record.uri?eid=2-s2.0-85196905848&amp;doi=10.3390%2Fbrainsci14060578&amp;partnerID=40&amp;md5=1fcca2cf66842726ed1a3907e0adaa35" TargetMode="External"/><Relationship Id="rId89" Type="http://schemas.openxmlformats.org/officeDocument/2006/relationships/hyperlink" Target="https://www.scopus.com/inward/record.uri?eid=2-s2.0-85188915840&amp;doi=10.3390%2Fmake6010011&amp;partnerID=40&amp;md5=a4debee62344f1c1a08d2ea33ce45ee2" TargetMode="External"/><Relationship Id="rId80" Type="http://schemas.openxmlformats.org/officeDocument/2006/relationships/hyperlink" Target="https://ieeexplore.ieee.org/stamp/stamp.jsp?arnumber=10302704" TargetMode="External"/><Relationship Id="rId82" Type="http://schemas.openxmlformats.org/officeDocument/2006/relationships/hyperlink" Target="https://dl.acm.org/doi/10.1145/3748597" TargetMode="External"/><Relationship Id="rId81" Type="http://schemas.openxmlformats.org/officeDocument/2006/relationships/hyperlink" Target="https://dl.acm.org/doi/10.1145/3718084" TargetMode="External"/><Relationship Id="rId1" Type="http://schemas.openxmlformats.org/officeDocument/2006/relationships/hyperlink" Target="https://pubmed.ncbi.nlm.nih.gov/31904404/" TargetMode="External"/><Relationship Id="rId2" Type="http://schemas.openxmlformats.org/officeDocument/2006/relationships/hyperlink" Target="https://pubmed.ncbi.nlm.nih.gov/33190659/" TargetMode="External"/><Relationship Id="rId3" Type="http://schemas.openxmlformats.org/officeDocument/2006/relationships/hyperlink" Target="https://pubmed.ncbi.nlm.nih.gov/40792221/" TargetMode="External"/><Relationship Id="rId4" Type="http://schemas.openxmlformats.org/officeDocument/2006/relationships/hyperlink" Target="https://pubmed.ncbi.nlm.nih.gov/39428872/" TargetMode="External"/><Relationship Id="rId9" Type="http://schemas.openxmlformats.org/officeDocument/2006/relationships/hyperlink" Target="https://pubmed.ncbi.nlm.nih.gov/40762425/" TargetMode="External"/><Relationship Id="rId5" Type="http://schemas.openxmlformats.org/officeDocument/2006/relationships/hyperlink" Target="https://pubmed.ncbi.nlm.nih.gov/37448060/" TargetMode="External"/><Relationship Id="rId6" Type="http://schemas.openxmlformats.org/officeDocument/2006/relationships/hyperlink" Target="https://pubmed.ncbi.nlm.nih.gov/40419149/" TargetMode="External"/><Relationship Id="rId7" Type="http://schemas.openxmlformats.org/officeDocument/2006/relationships/hyperlink" Target="https://pubmed.ncbi.nlm.nih.gov/38252479/" TargetMode="External"/><Relationship Id="rId8" Type="http://schemas.openxmlformats.org/officeDocument/2006/relationships/hyperlink" Target="https://pubmed.ncbi.nlm.nih.gov/37833489/" TargetMode="External"/><Relationship Id="rId73" Type="http://schemas.openxmlformats.org/officeDocument/2006/relationships/hyperlink" Target="https://ieeexplore.ieee.org/stamp/stamp.jsp?arnumber=10957155" TargetMode="External"/><Relationship Id="rId72" Type="http://schemas.openxmlformats.org/officeDocument/2006/relationships/hyperlink" Target="https://ieeexplore.ieee.org/stamp/stamp.jsp?arnumber=11023554" TargetMode="External"/><Relationship Id="rId75" Type="http://schemas.openxmlformats.org/officeDocument/2006/relationships/hyperlink" Target="https://ieeexplore.ieee.org/stamp/stamp.jsp?arnumber=10496111" TargetMode="External"/><Relationship Id="rId74" Type="http://schemas.openxmlformats.org/officeDocument/2006/relationships/hyperlink" Target="https://ieeexplore.ieee.org/xpl/ebooks/bookPdfWithBanner.jsp?fileName=10180346.pdf&amp;bkn=10180202&amp;pdfType=chapter" TargetMode="External"/><Relationship Id="rId77" Type="http://schemas.openxmlformats.org/officeDocument/2006/relationships/hyperlink" Target="https://ieeexplore.ieee.org/stamp/stamp.jsp?arnumber=11218026" TargetMode="External"/><Relationship Id="rId76" Type="http://schemas.openxmlformats.org/officeDocument/2006/relationships/hyperlink" Target="https://ieeexplore.ieee.org/stamp/stamp.jsp?arnumber=10450294" TargetMode="External"/><Relationship Id="rId79" Type="http://schemas.openxmlformats.org/officeDocument/2006/relationships/hyperlink" Target="https://ieeexplore.ieee.org/stamp/stamp.jsp?arnumber=10971279" TargetMode="External"/><Relationship Id="rId78" Type="http://schemas.openxmlformats.org/officeDocument/2006/relationships/hyperlink" Target="https://ieeexplore.ieee.org/stamp/stamp.jsp?arnumber=11002584" TargetMode="External"/><Relationship Id="rId71" Type="http://schemas.openxmlformats.org/officeDocument/2006/relationships/hyperlink" Target="https://ieeexplore.ieee.org/stamp/stamp.jsp?arnumber=10756217" TargetMode="External"/><Relationship Id="rId70" Type="http://schemas.openxmlformats.org/officeDocument/2006/relationships/hyperlink" Target="https://ieeexplore.ieee.org/stamp/stamp.jsp?arnumber=11118897" TargetMode="External"/><Relationship Id="rId62" Type="http://schemas.openxmlformats.org/officeDocument/2006/relationships/hyperlink" Target="https://ieeexplore.ieee.org/stamp/stamp.jsp?arnumber=11022139" TargetMode="External"/><Relationship Id="rId61" Type="http://schemas.openxmlformats.org/officeDocument/2006/relationships/hyperlink" Target="https://ieeexplore.ieee.org/stamp/stamp.jsp?arnumber=10782905" TargetMode="External"/><Relationship Id="rId64" Type="http://schemas.openxmlformats.org/officeDocument/2006/relationships/hyperlink" Target="https://ieeexplore.ieee.org/stamp/stamp.jsp?arnumber=10981399" TargetMode="External"/><Relationship Id="rId63" Type="http://schemas.openxmlformats.org/officeDocument/2006/relationships/hyperlink" Target="https://ieeexplore.ieee.org/stamp/stamp.jsp?arnumber=9668373" TargetMode="External"/><Relationship Id="rId66" Type="http://schemas.openxmlformats.org/officeDocument/2006/relationships/hyperlink" Target="https://ieeexplore.ieee.org/stamp/stamp.jsp?arnumber=10960257" TargetMode="External"/><Relationship Id="rId65" Type="http://schemas.openxmlformats.org/officeDocument/2006/relationships/hyperlink" Target="https://ieeexplore.ieee.org/stamp/stamp.jsp?arnumber=10818687" TargetMode="External"/><Relationship Id="rId68" Type="http://schemas.openxmlformats.org/officeDocument/2006/relationships/hyperlink" Target="https://ieeexplore.ieee.org/stamp/stamp.jsp?arnumber=10564031" TargetMode="External"/><Relationship Id="rId67" Type="http://schemas.openxmlformats.org/officeDocument/2006/relationships/hyperlink" Target="https://ieeexplore.ieee.org/stamp/stamp.jsp?arnumber=10986518" TargetMode="External"/><Relationship Id="rId60" Type="http://schemas.openxmlformats.org/officeDocument/2006/relationships/hyperlink" Target="https://ieeexplore.ieee.org/stamp/stamp.jsp?arnumber=10882247" TargetMode="External"/><Relationship Id="rId69" Type="http://schemas.openxmlformats.org/officeDocument/2006/relationships/hyperlink" Target="https://ieeexplore.ieee.org/stamp/stamp.jsp?arnumber=11086442" TargetMode="External"/><Relationship Id="rId51" Type="http://schemas.openxmlformats.org/officeDocument/2006/relationships/hyperlink" Target="https://ieeexplore.ieee.org/stamp/stamp.jsp?arnumber=10480523" TargetMode="External"/><Relationship Id="rId50" Type="http://schemas.openxmlformats.org/officeDocument/2006/relationships/hyperlink" Target="https://ieeexplore.ieee.org/stamp/stamp.jsp?arnumber=10440945" TargetMode="External"/><Relationship Id="rId53" Type="http://schemas.openxmlformats.org/officeDocument/2006/relationships/hyperlink" Target="https://ieeexplore.ieee.org/stamp/stamp.jsp?arnumber=10853567" TargetMode="External"/><Relationship Id="rId52" Type="http://schemas.openxmlformats.org/officeDocument/2006/relationships/hyperlink" Target="https://ieeexplore.ieee.org/stamp/stamp.jsp?arnumber=10467267" TargetMode="External"/><Relationship Id="rId55" Type="http://schemas.openxmlformats.org/officeDocument/2006/relationships/hyperlink" Target="https://ieeexplore.ieee.org/stamp/stamp.jsp?arnumber=10906236" TargetMode="External"/><Relationship Id="rId54" Type="http://schemas.openxmlformats.org/officeDocument/2006/relationships/hyperlink" Target="https://ieeexplore.ieee.org/stamp/stamp.jsp?arnumber=10427847" TargetMode="External"/><Relationship Id="rId57" Type="http://schemas.openxmlformats.org/officeDocument/2006/relationships/hyperlink" Target="https://ieeexplore.ieee.org/stamp/stamp.jsp?arnumber=10340014" TargetMode="External"/><Relationship Id="rId56" Type="http://schemas.openxmlformats.org/officeDocument/2006/relationships/hyperlink" Target="https://ieeexplore.ieee.org/stamp/stamp.jsp?arnumber=9945131" TargetMode="External"/><Relationship Id="rId59" Type="http://schemas.openxmlformats.org/officeDocument/2006/relationships/hyperlink" Target="https://ieeexplore.ieee.org/stamp/stamp.jsp?arnumber=9855075" TargetMode="External"/><Relationship Id="rId58" Type="http://schemas.openxmlformats.org/officeDocument/2006/relationships/hyperlink" Target="https://ieeexplore.ieee.org/stamp/stamp.jsp?arnumber=950770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ieeexplore.ieee.org/stamp/stamp.jsp?arnumber=10328579" TargetMode="External"/><Relationship Id="rId42" Type="http://schemas.openxmlformats.org/officeDocument/2006/relationships/hyperlink" Target="https://ieeexplore.ieee.org/stamp/stamp.jsp?arnumber=9630214" TargetMode="External"/><Relationship Id="rId41" Type="http://schemas.openxmlformats.org/officeDocument/2006/relationships/hyperlink" Target="https://ieeexplore.ieee.org/stamp/stamp.jsp?arnumber=11089222" TargetMode="External"/><Relationship Id="rId44" Type="http://schemas.openxmlformats.org/officeDocument/2006/relationships/hyperlink" Target="https://ieeexplore.ieee.org/stamp/stamp.jsp?arnumber=10590200" TargetMode="External"/><Relationship Id="rId43" Type="http://schemas.openxmlformats.org/officeDocument/2006/relationships/hyperlink" Target="https://ieeexplore.ieee.org/stamp/stamp.jsp?arnumber=10127358" TargetMode="External"/><Relationship Id="rId46" Type="http://schemas.openxmlformats.org/officeDocument/2006/relationships/hyperlink" Target="https://ieeexplore.ieee.org/stamp/stamp.jsp?arnumber=10440945" TargetMode="External"/><Relationship Id="rId45" Type="http://schemas.openxmlformats.org/officeDocument/2006/relationships/hyperlink" Target="https://ieeexplore.ieee.org/stamp/stamp.jsp?arnumber=10208067" TargetMode="External"/><Relationship Id="rId107" Type="http://schemas.openxmlformats.org/officeDocument/2006/relationships/hyperlink" Target="https://www.scopus.com/inward/record.uri?eid=2-s2.0-85135240786&amp;doi=10.15540%2Fnr.9.2.68&amp;partnerID=40&amp;md5=a41c435f4373451395ae5f7c73b9c273" TargetMode="External"/><Relationship Id="rId106" Type="http://schemas.openxmlformats.org/officeDocument/2006/relationships/hyperlink" Target="https://www.scopus.com/inward/record.uri?eid=2-s2.0-85140758016&amp;doi=10.15540%2FNR.9.3.127&amp;partnerID=40&amp;md5=ab0107ad647536b76ea34582cc17ee75" TargetMode="External"/><Relationship Id="rId105" Type="http://schemas.openxmlformats.org/officeDocument/2006/relationships/hyperlink" Target="https://www.scopus.com/inward/record.uri?eid=2-s2.0-85124349698&amp;doi=10.3390%2Fbrainsci12020229&amp;partnerID=40&amp;md5=151790c71631a401012dba1400ea6942" TargetMode="External"/><Relationship Id="rId104" Type="http://schemas.openxmlformats.org/officeDocument/2006/relationships/hyperlink" Target="https://www.scopus.com/inward/record.uri?eid=2-s2.0-85126061778&amp;doi=10.3390%2Fjcm11051440&amp;partnerID=40&amp;md5=658b78f871dbd6faea078ae12693150c" TargetMode="External"/><Relationship Id="rId109" Type="http://schemas.openxmlformats.org/officeDocument/2006/relationships/hyperlink" Target="https://www.scopus.com/inward/record.uri?eid=2-s2.0-85119300772&amp;doi=10.1038%2Fs41598-021-01645-0&amp;partnerID=40&amp;md5=f077981bd0889b858118269dd190bcf9" TargetMode="External"/><Relationship Id="rId108" Type="http://schemas.openxmlformats.org/officeDocument/2006/relationships/hyperlink" Target="https://www.scopus.com/inward/record.uri?eid=2-s2.0-85122338799&amp;doi=10.3389%2Ffpsyt.2021.721874&amp;partnerID=40&amp;md5=0b61983ac06d7771950ddc7db78b97dd" TargetMode="External"/><Relationship Id="rId48" Type="http://schemas.openxmlformats.org/officeDocument/2006/relationships/hyperlink" Target="https://ieeexplore.ieee.org/stamp/stamp.jsp?arnumber=10467267" TargetMode="External"/><Relationship Id="rId47" Type="http://schemas.openxmlformats.org/officeDocument/2006/relationships/hyperlink" Target="https://ieeexplore.ieee.org/stamp/stamp.jsp?arnumber=10480523" TargetMode="External"/><Relationship Id="rId49" Type="http://schemas.openxmlformats.org/officeDocument/2006/relationships/hyperlink" Target="https://ieeexplore.ieee.org/stamp/stamp.jsp?arnumber=10853567" TargetMode="External"/><Relationship Id="rId103" Type="http://schemas.openxmlformats.org/officeDocument/2006/relationships/hyperlink" Target="https://www.scopus.com/inward/record.uri?eid=2-s2.0-85126593924&amp;doi=10.3390%2Fbrainsci12030363&amp;partnerID=40&amp;md5=7e20a670609131918359aa3b3eeb3d5d" TargetMode="External"/><Relationship Id="rId102" Type="http://schemas.openxmlformats.org/officeDocument/2006/relationships/hyperlink" Target="https://www.scopus.com/inward/record.uri?eid=2-s2.0-85129981787&amp;doi=10.5152%2Fpcp.2022.21281&amp;partnerID=40&amp;md5=d1becb28773923a55a3fc1c43dc171b9" TargetMode="External"/><Relationship Id="rId101" Type="http://schemas.openxmlformats.org/officeDocument/2006/relationships/hyperlink" Target="https://www.scopus.com/inward/record.uri?eid=2-s2.0-85132804438&amp;doi=10.3389%2Ffnhum.2022.921491&amp;partnerID=40&amp;md5=45272d9602f21452787a9752cfe34bb1" TargetMode="External"/><Relationship Id="rId100" Type="http://schemas.openxmlformats.org/officeDocument/2006/relationships/hyperlink" Target="https://www.scopus.com/inward/record.uri?eid=2-s2.0-85133100575&amp;doi=10.7554%2FeLife.69308&amp;partnerID=40&amp;md5=1ebfc4133b2a6616bf1445f62883eb51" TargetMode="External"/><Relationship Id="rId31" Type="http://schemas.openxmlformats.org/officeDocument/2006/relationships/hyperlink" Target="https://ieeexplore.ieee.org/stamp/stamp.jsp?arnumber=10835027" TargetMode="External"/><Relationship Id="rId30" Type="http://schemas.openxmlformats.org/officeDocument/2006/relationships/hyperlink" Target="https://ieeexplore.ieee.org/stamp/stamp.jsp?arnumber=11036309" TargetMode="External"/><Relationship Id="rId33" Type="http://schemas.openxmlformats.org/officeDocument/2006/relationships/hyperlink" Target="https://ieeexplore.ieee.org/stamp/stamp.jsp?arnumber=10686974" TargetMode="External"/><Relationship Id="rId32" Type="http://schemas.openxmlformats.org/officeDocument/2006/relationships/hyperlink" Target="https://ieeexplore.ieee.org/stamp/stamp.jsp?arnumber=10694718" TargetMode="External"/><Relationship Id="rId35" Type="http://schemas.openxmlformats.org/officeDocument/2006/relationships/hyperlink" Target="https://ieeexplore.ieee.org/stamp/stamp.jsp?arnumber=10831758" TargetMode="External"/><Relationship Id="rId34" Type="http://schemas.openxmlformats.org/officeDocument/2006/relationships/hyperlink" Target="https://ieeexplore.ieee.org/stamp/stamp.jsp?arnumber=9510421" TargetMode="External"/><Relationship Id="rId37" Type="http://schemas.openxmlformats.org/officeDocument/2006/relationships/hyperlink" Target="https://ieeexplore.ieee.org/stamp/stamp.jsp?arnumber=10937486" TargetMode="External"/><Relationship Id="rId36" Type="http://schemas.openxmlformats.org/officeDocument/2006/relationships/hyperlink" Target="https://ieeexplore.ieee.org/stamp/stamp.jsp?arnumber=10352575" TargetMode="External"/><Relationship Id="rId39" Type="http://schemas.openxmlformats.org/officeDocument/2006/relationships/hyperlink" Target="https://ieeexplore.ieee.org/stamp/stamp.jsp?arnumber=10885489" TargetMode="External"/><Relationship Id="rId38" Type="http://schemas.openxmlformats.org/officeDocument/2006/relationships/hyperlink" Target="https://ieeexplore.ieee.org/stamp/stamp.jsp?arnumber=10510793" TargetMode="External"/><Relationship Id="rId20" Type="http://schemas.openxmlformats.org/officeDocument/2006/relationships/hyperlink" Target="https://doi.org/10.1016/j.ibneur.2024.04.007" TargetMode="External"/><Relationship Id="rId22" Type="http://schemas.openxmlformats.org/officeDocument/2006/relationships/hyperlink" Target="https://doi.org/10.1016/j.irbm.2021.06.011" TargetMode="External"/><Relationship Id="rId21" Type="http://schemas.openxmlformats.org/officeDocument/2006/relationships/hyperlink" Target="https://doi.org/10.1016/j.amjoto.2021.103248" TargetMode="External"/><Relationship Id="rId24" Type="http://schemas.openxmlformats.org/officeDocument/2006/relationships/hyperlink" Target="https://doi.org/10.1016/bs.pbr.2023.11.004" TargetMode="External"/><Relationship Id="rId23" Type="http://schemas.openxmlformats.org/officeDocument/2006/relationships/hyperlink" Target="https://doi.org/10.1016/j.psychres.2024.116254" TargetMode="External"/><Relationship Id="rId26" Type="http://schemas.openxmlformats.org/officeDocument/2006/relationships/hyperlink" Target="https://ieeexplore.ieee.org/document/10973423" TargetMode="External"/><Relationship Id="rId25" Type="http://schemas.openxmlformats.org/officeDocument/2006/relationships/hyperlink" Target="https://ieeexplore.ieee.org/document/9061625" TargetMode="External"/><Relationship Id="rId28" Type="http://schemas.openxmlformats.org/officeDocument/2006/relationships/hyperlink" Target="https://ieeexplore.ieee.org/stamp/stamp.jsp?arnumber=9645921" TargetMode="External"/><Relationship Id="rId27" Type="http://schemas.openxmlformats.org/officeDocument/2006/relationships/hyperlink" Target="https://ieeexplore.ieee.org/document/11013597" TargetMode="External"/><Relationship Id="rId29" Type="http://schemas.openxmlformats.org/officeDocument/2006/relationships/hyperlink" Target="https://ieeexplore.ieee.org/stamp/stamp.jsp?arnumber=11013104" TargetMode="External"/><Relationship Id="rId95" Type="http://schemas.openxmlformats.org/officeDocument/2006/relationships/hyperlink" Target="https://www.scopus.com/inward/record.uri?eid=2-s2.0-85164502174&amp;doi=10.1051%2Fe3sconf%2F202339601013&amp;partnerID=40&amp;md5=c5e5c8b8ebbbfbcee3099044ee8e3abf" TargetMode="External"/><Relationship Id="rId94" Type="http://schemas.openxmlformats.org/officeDocument/2006/relationships/hyperlink" Target="https://www.scopus.com/inward/record.uri?eid=2-s2.0-85147499959&amp;doi=10.1111%2Fbjop.12636&amp;partnerID=40&amp;md5=0e20444c37b6bc8ed2188b3930452935" TargetMode="External"/><Relationship Id="rId97" Type="http://schemas.openxmlformats.org/officeDocument/2006/relationships/hyperlink" Target="https://www.scopus.com/inward/record.uri?eid=2-s2.0-85141949649&amp;doi=10.3389%2Ffpubh.2022.955393&amp;partnerID=40&amp;md5=3e2494e3b4ff112259b4f978ccc5792b" TargetMode="External"/><Relationship Id="rId96" Type="http://schemas.openxmlformats.org/officeDocument/2006/relationships/hyperlink" Target="https://www.scopus.com/inward/record.uri?eid=2-s2.0-85147782488&amp;doi=10.3389%2Ffnbeh.2023.1096122&amp;partnerID=40&amp;md5=6b33484aecc4963c07b81cf5794ad21d" TargetMode="External"/><Relationship Id="rId11" Type="http://schemas.openxmlformats.org/officeDocument/2006/relationships/hyperlink" Target="https://doi.org/10.1016/j.nicl.2021.102559" TargetMode="External"/><Relationship Id="rId99" Type="http://schemas.openxmlformats.org/officeDocument/2006/relationships/hyperlink" Target="https://www.scopus.com/inward/record.uri?eid=2-s2.0-85131204643&amp;doi=10.1111%2Faogs.14386&amp;partnerID=40&amp;md5=9bee24ae30584581945e39a327d99fe1" TargetMode="External"/><Relationship Id="rId10" Type="http://schemas.openxmlformats.org/officeDocument/2006/relationships/hyperlink" Target="https://doi.org/10.1016/j.neulet.2019.134648" TargetMode="External"/><Relationship Id="rId98" Type="http://schemas.openxmlformats.org/officeDocument/2006/relationships/hyperlink" Target="https://www.scopus.com/inward/record.uri?eid=2-s2.0-85139292880&amp;doi=10.1037%2Fpag0000710&amp;partnerID=40&amp;md5=2904ab14c9c60957a4ad218f3faa6873" TargetMode="External"/><Relationship Id="rId13" Type="http://schemas.openxmlformats.org/officeDocument/2006/relationships/hyperlink" Target="https://doi.org/10.1016/j.brs.2022.02.008" TargetMode="External"/><Relationship Id="rId12" Type="http://schemas.openxmlformats.org/officeDocument/2006/relationships/hyperlink" Target="https://doi.org/10.2196/49467" TargetMode="External"/><Relationship Id="rId91" Type="http://schemas.openxmlformats.org/officeDocument/2006/relationships/hyperlink" Target="https://www.scopus.com/inward/record.uri?eid=2-s2.0-85170370500&amp;doi=10.1038%2Fs41598-023-34517-w&amp;partnerID=40&amp;md5=362ab7b02d354b47c378873f5c2e286d" TargetMode="External"/><Relationship Id="rId90" Type="http://schemas.openxmlformats.org/officeDocument/2006/relationships/hyperlink" Target="https://www.scopus.com/inward/record.uri?eid=2-s2.0-85200670789&amp;doi=10.2147%2FNDT.S458106&amp;partnerID=40&amp;md5=1972d361ba2a9e545cee88afc0510482" TargetMode="External"/><Relationship Id="rId93" Type="http://schemas.openxmlformats.org/officeDocument/2006/relationships/hyperlink" Target="https://www.scopus.com/inward/record.uri?eid=2-s2.0-85169158185&amp;doi=10.3390%2Fbrainsci13081174&amp;partnerID=40&amp;md5=b00c37914e0549e49f01e81873d47be8" TargetMode="External"/><Relationship Id="rId92" Type="http://schemas.openxmlformats.org/officeDocument/2006/relationships/hyperlink" Target="https://www.scopus.com/inward/record.uri?eid=2-s2.0-85172452307&amp;doi=10.1093%2Fijnp%2Fpyad050&amp;partnerID=40&amp;md5=d7a32d30347c9fc80b0448f9fc14bba0" TargetMode="External"/><Relationship Id="rId116" Type="http://schemas.openxmlformats.org/officeDocument/2006/relationships/drawing" Target="../drawings/drawing4.xml"/><Relationship Id="rId115" Type="http://schemas.openxmlformats.org/officeDocument/2006/relationships/hyperlink" Target="https://www.scopus.com/inward/record.uri?eid=2-s2.0-85085956389&amp;doi=10.1155%2F2020%2F8915961&amp;partnerID=40&amp;md5=ecb644f72797038c854b2152a84deed9" TargetMode="External"/><Relationship Id="rId15" Type="http://schemas.openxmlformats.org/officeDocument/2006/relationships/hyperlink" Target="https://doi.org/10.2196/38223" TargetMode="External"/><Relationship Id="rId110" Type="http://schemas.openxmlformats.org/officeDocument/2006/relationships/hyperlink" Target="https://www.scopus.com/inward/record.uri?eid=2-s2.0-85120853285&amp;doi=10.3389%2Ffpsyt.2021.710338&amp;partnerID=40&amp;md5=25c82bb1c7c949181c3e0847c44463cb" TargetMode="External"/><Relationship Id="rId14" Type="http://schemas.openxmlformats.org/officeDocument/2006/relationships/hyperlink" Target="https://doi.org/10.2196/35636" TargetMode="External"/><Relationship Id="rId17" Type="http://schemas.openxmlformats.org/officeDocument/2006/relationships/hyperlink" Target="https://doi.org/10.1016/j.bpsc.2024.12.014" TargetMode="External"/><Relationship Id="rId16" Type="http://schemas.openxmlformats.org/officeDocument/2006/relationships/hyperlink" Target="https://doi.org/10.1016/j.jpain.2023.02.188" TargetMode="External"/><Relationship Id="rId19" Type="http://schemas.openxmlformats.org/officeDocument/2006/relationships/hyperlink" Target="https://doi.org/10.1016/j.conctc.2022.100891" TargetMode="External"/><Relationship Id="rId114" Type="http://schemas.openxmlformats.org/officeDocument/2006/relationships/hyperlink" Target="https://www.scopus.com/inward/record.uri?eid=2-s2.0-85090536140&amp;doi=10.17691%2Fstm2020.12.4.03&amp;partnerID=40&amp;md5=62d7edb652cc57be536cece8012bd684" TargetMode="External"/><Relationship Id="rId18" Type="http://schemas.openxmlformats.org/officeDocument/2006/relationships/hyperlink" Target="https://doi.org/10.1016/j.buildenv.2024.111434" TargetMode="External"/><Relationship Id="rId113" Type="http://schemas.openxmlformats.org/officeDocument/2006/relationships/hyperlink" Target="https://www.scopus.com/inward/record.uri?eid=2-s2.0-85081926602&amp;doi=10.3390%2Fph13030045&amp;partnerID=40&amp;md5=63ea0361a566f9a25cd1ff35beec96a7" TargetMode="External"/><Relationship Id="rId112" Type="http://schemas.openxmlformats.org/officeDocument/2006/relationships/hyperlink" Target="https://www.scopus.com/inward/record.uri?eid=2-s2.0-85087288587&amp;doi=10.3389%2Ffnagi.2020.00147&amp;partnerID=40&amp;md5=34f05cd816cc7f61733b52f9fccdcae1" TargetMode="External"/><Relationship Id="rId111" Type="http://schemas.openxmlformats.org/officeDocument/2006/relationships/hyperlink" Target="https://www.scopus.com/inward/record.uri?eid=2-s2.0-85090246435&amp;doi=10.3390%2Fbrainsci10090608&amp;partnerID=40&amp;md5=fc1ff5453e4595bc63e223cc9d771e6d" TargetMode="External"/><Relationship Id="rId84" Type="http://schemas.openxmlformats.org/officeDocument/2006/relationships/hyperlink" Target="https://www.scopus.com/inward/record.uri?eid=2-s2.0-85192452023&amp;doi=10.3390%2Fapp14072699&amp;partnerID=40&amp;md5=4821853b1a3bb0bba375347e70ba6c98" TargetMode="External"/><Relationship Id="rId83" Type="http://schemas.openxmlformats.org/officeDocument/2006/relationships/hyperlink" Target="https://www.scopus.com/inward/record.uri?eid=2-s2.0-85196905848&amp;doi=10.3390%2Fbrainsci14060578&amp;partnerID=40&amp;md5=1fcca2cf66842726ed1a3907e0adaa35" TargetMode="External"/><Relationship Id="rId86" Type="http://schemas.openxmlformats.org/officeDocument/2006/relationships/hyperlink" Target="https://www.scopus.com/inward/record.uri?eid=2-s2.0-85183991218&amp;doi=10.1016%2Fj.prime.2024.100448&amp;partnerID=40&amp;md5=c808a8a78749760a1ba0294131bbc596" TargetMode="External"/><Relationship Id="rId85" Type="http://schemas.openxmlformats.org/officeDocument/2006/relationships/hyperlink" Target="https://www.scopus.com/inward/record.uri?eid=2-s2.0-85188915840&amp;doi=10.3390%2Fmake6010011&amp;partnerID=40&amp;md5=a4debee62344f1c1a08d2ea33ce45ee2" TargetMode="External"/><Relationship Id="rId88" Type="http://schemas.openxmlformats.org/officeDocument/2006/relationships/hyperlink" Target="https://www.scopus.com/inward/record.uri?eid=2-s2.0-85204294626&amp;doi=10.3389%2Ffams.2024.1426253&amp;partnerID=40&amp;md5=8550b39c85a699289128d33a68752a5e" TargetMode="External"/><Relationship Id="rId87" Type="http://schemas.openxmlformats.org/officeDocument/2006/relationships/hyperlink" Target="https://www.scopus.com/inward/record.uri?eid=2-s2.0-85184013375&amp;doi=10.1093%2Fcercor%2Fbhad515&amp;partnerID=40&amp;md5=b50616f30bb750d1e489a441ead98181" TargetMode="External"/><Relationship Id="rId89" Type="http://schemas.openxmlformats.org/officeDocument/2006/relationships/hyperlink" Target="https://www.scopus.com/inward/record.uri?eid=2-s2.0-85201819430&amp;doi=10.3389%2Ffnins.2024.1408526&amp;partnerID=40&amp;md5=ed80d6785dced9ffebc3dacfd1670549" TargetMode="External"/><Relationship Id="rId80" Type="http://schemas.openxmlformats.org/officeDocument/2006/relationships/hyperlink" Target="https://www.scopus.com/inward/record.uri?eid=2-s2.0-105017610930&amp;doi=10.1038%2Fs41598-025-18629-z&amp;partnerID=40&amp;md5=3252dd909bd5f6250b844de4f2bd7603" TargetMode="External"/><Relationship Id="rId82" Type="http://schemas.openxmlformats.org/officeDocument/2006/relationships/hyperlink" Target="https://www.scopus.com/inward/record.uri?eid=2-s2.0-105015480737&amp;doi=10.1186%2Fs13102-025-01320-1&amp;partnerID=40&amp;md5=e65b50281140b1d4a2430b3ca00ac857" TargetMode="External"/><Relationship Id="rId81" Type="http://schemas.openxmlformats.org/officeDocument/2006/relationships/hyperlink" Target="https://www.scopus.com/inward/record.uri?eid=2-s2.0-105017554919&amp;doi=10.15627%2Fjd.2025.23&amp;partnerID=40&amp;md5=2d2040446bbb14128eb910c301914334" TargetMode="External"/><Relationship Id="rId1" Type="http://schemas.openxmlformats.org/officeDocument/2006/relationships/hyperlink" Target="https://pubmed.ncbi.nlm.nih.gov/31904404/" TargetMode="External"/><Relationship Id="rId2" Type="http://schemas.openxmlformats.org/officeDocument/2006/relationships/hyperlink" Target="https://pubmed.ncbi.nlm.nih.gov/33190659/" TargetMode="External"/><Relationship Id="rId3" Type="http://schemas.openxmlformats.org/officeDocument/2006/relationships/hyperlink" Target="https://pubmed.ncbi.nlm.nih.gov/40792221/" TargetMode="External"/><Relationship Id="rId4" Type="http://schemas.openxmlformats.org/officeDocument/2006/relationships/hyperlink" Target="https://pubmed.ncbi.nlm.nih.gov/39428872/" TargetMode="External"/><Relationship Id="rId9" Type="http://schemas.openxmlformats.org/officeDocument/2006/relationships/hyperlink" Target="https://pubmed.ncbi.nlm.nih.gov/40762425/" TargetMode="External"/><Relationship Id="rId5" Type="http://schemas.openxmlformats.org/officeDocument/2006/relationships/hyperlink" Target="https://pubmed.ncbi.nlm.nih.gov/37448060/" TargetMode="External"/><Relationship Id="rId6" Type="http://schemas.openxmlformats.org/officeDocument/2006/relationships/hyperlink" Target="https://pubmed.ncbi.nlm.nih.gov/40419149/" TargetMode="External"/><Relationship Id="rId7" Type="http://schemas.openxmlformats.org/officeDocument/2006/relationships/hyperlink" Target="https://pubmed.ncbi.nlm.nih.gov/38252479/" TargetMode="External"/><Relationship Id="rId8" Type="http://schemas.openxmlformats.org/officeDocument/2006/relationships/hyperlink" Target="https://pubmed.ncbi.nlm.nih.gov/37833489/" TargetMode="External"/><Relationship Id="rId73" Type="http://schemas.openxmlformats.org/officeDocument/2006/relationships/hyperlink" Target="https://ieeexplore.ieee.org/stamp/stamp.jsp?arnumber=11218026" TargetMode="External"/><Relationship Id="rId72" Type="http://schemas.openxmlformats.org/officeDocument/2006/relationships/hyperlink" Target="https://ieeexplore.ieee.org/stamp/stamp.jsp?arnumber=10450294" TargetMode="External"/><Relationship Id="rId75" Type="http://schemas.openxmlformats.org/officeDocument/2006/relationships/hyperlink" Target="https://ieeexplore.ieee.org/stamp/stamp.jsp?arnumber=10971279" TargetMode="External"/><Relationship Id="rId74" Type="http://schemas.openxmlformats.org/officeDocument/2006/relationships/hyperlink" Target="https://ieeexplore.ieee.org/stamp/stamp.jsp?arnumber=11002584" TargetMode="External"/><Relationship Id="rId77" Type="http://schemas.openxmlformats.org/officeDocument/2006/relationships/hyperlink" Target="https://dl.acm.org/doi/10.1145/3718084" TargetMode="External"/><Relationship Id="rId76" Type="http://schemas.openxmlformats.org/officeDocument/2006/relationships/hyperlink" Target="https://ieeexplore.ieee.org/stamp/stamp.jsp?arnumber=10302704" TargetMode="External"/><Relationship Id="rId79" Type="http://schemas.openxmlformats.org/officeDocument/2006/relationships/hyperlink" Target="https://dl.acm.org/doi/10.1145/3652988.3673922" TargetMode="External"/><Relationship Id="rId78" Type="http://schemas.openxmlformats.org/officeDocument/2006/relationships/hyperlink" Target="https://dl.acm.org/doi/10.1145/3748597" TargetMode="External"/><Relationship Id="rId71" Type="http://schemas.openxmlformats.org/officeDocument/2006/relationships/hyperlink" Target="https://ieeexplore.ieee.org/stamp/stamp.jsp?arnumber=10496111" TargetMode="External"/><Relationship Id="rId70" Type="http://schemas.openxmlformats.org/officeDocument/2006/relationships/hyperlink" Target="https://ieeexplore.ieee.org/xpl/ebooks/bookPdfWithBanner.jsp?fileName=10180346.pdf&amp;bkn=10180202&amp;pdfType=chapter" TargetMode="External"/><Relationship Id="rId62" Type="http://schemas.openxmlformats.org/officeDocument/2006/relationships/hyperlink" Target="https://ieeexplore.ieee.org/stamp/stamp.jsp?arnumber=10960257" TargetMode="External"/><Relationship Id="rId61" Type="http://schemas.openxmlformats.org/officeDocument/2006/relationships/hyperlink" Target="https://ieeexplore.ieee.org/stamp/stamp.jsp?arnumber=10818687" TargetMode="External"/><Relationship Id="rId64" Type="http://schemas.openxmlformats.org/officeDocument/2006/relationships/hyperlink" Target="https://ieeexplore.ieee.org/stamp/stamp.jsp?arnumber=10564031" TargetMode="External"/><Relationship Id="rId63" Type="http://schemas.openxmlformats.org/officeDocument/2006/relationships/hyperlink" Target="https://ieeexplore.ieee.org/stamp/stamp.jsp?arnumber=10986518" TargetMode="External"/><Relationship Id="rId66" Type="http://schemas.openxmlformats.org/officeDocument/2006/relationships/hyperlink" Target="https://ieeexplore.ieee.org/stamp/stamp.jsp?arnumber=11118897" TargetMode="External"/><Relationship Id="rId65" Type="http://schemas.openxmlformats.org/officeDocument/2006/relationships/hyperlink" Target="https://ieeexplore.ieee.org/stamp/stamp.jsp?arnumber=11086442" TargetMode="External"/><Relationship Id="rId68" Type="http://schemas.openxmlformats.org/officeDocument/2006/relationships/hyperlink" Target="https://ieeexplore.ieee.org/stamp/stamp.jsp?arnumber=11023554" TargetMode="External"/><Relationship Id="rId67" Type="http://schemas.openxmlformats.org/officeDocument/2006/relationships/hyperlink" Target="https://ieeexplore.ieee.org/stamp/stamp.jsp?arnumber=10756217" TargetMode="External"/><Relationship Id="rId60" Type="http://schemas.openxmlformats.org/officeDocument/2006/relationships/hyperlink" Target="https://ieeexplore.ieee.org/stamp/stamp.jsp?arnumber=10981399" TargetMode="External"/><Relationship Id="rId69" Type="http://schemas.openxmlformats.org/officeDocument/2006/relationships/hyperlink" Target="https://ieeexplore.ieee.org/stamp/stamp.jsp?arnumber=10957155" TargetMode="External"/><Relationship Id="rId51" Type="http://schemas.openxmlformats.org/officeDocument/2006/relationships/hyperlink" Target="https://ieeexplore.ieee.org/stamp/stamp.jsp?arnumber=10906236" TargetMode="External"/><Relationship Id="rId50" Type="http://schemas.openxmlformats.org/officeDocument/2006/relationships/hyperlink" Target="https://ieeexplore.ieee.org/stamp/stamp.jsp?arnumber=10427847" TargetMode="External"/><Relationship Id="rId53" Type="http://schemas.openxmlformats.org/officeDocument/2006/relationships/hyperlink" Target="https://ieeexplore.ieee.org/stamp/stamp.jsp?arnumber=10340014" TargetMode="External"/><Relationship Id="rId52" Type="http://schemas.openxmlformats.org/officeDocument/2006/relationships/hyperlink" Target="https://ieeexplore.ieee.org/stamp/stamp.jsp?arnumber=9945131" TargetMode="External"/><Relationship Id="rId55" Type="http://schemas.openxmlformats.org/officeDocument/2006/relationships/hyperlink" Target="https://ieeexplore.ieee.org/stamp/stamp.jsp?arnumber=9855075" TargetMode="External"/><Relationship Id="rId54" Type="http://schemas.openxmlformats.org/officeDocument/2006/relationships/hyperlink" Target="https://ieeexplore.ieee.org/stamp/stamp.jsp?arnumber=9507705" TargetMode="External"/><Relationship Id="rId57" Type="http://schemas.openxmlformats.org/officeDocument/2006/relationships/hyperlink" Target="https://ieeexplore.ieee.org/stamp/stamp.jsp?arnumber=10782905" TargetMode="External"/><Relationship Id="rId56" Type="http://schemas.openxmlformats.org/officeDocument/2006/relationships/hyperlink" Target="https://ieeexplore.ieee.org/stamp/stamp.jsp?arnumber=10882247" TargetMode="External"/><Relationship Id="rId59" Type="http://schemas.openxmlformats.org/officeDocument/2006/relationships/hyperlink" Target="https://ieeexplore.ieee.org/stamp/stamp.jsp?arnumber=9668373" TargetMode="External"/><Relationship Id="rId58" Type="http://schemas.openxmlformats.org/officeDocument/2006/relationships/hyperlink" Target="https://ieeexplore.ieee.org/stamp/stamp.jsp?arnumber=1102213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3.63"/>
    <col customWidth="1" min="3" max="3" width="30.0"/>
    <col customWidth="1" min="4" max="4" width="24.88"/>
    <col customWidth="1" min="5" max="5" width="43.0"/>
    <col customWidth="1" min="6" max="6" width="6.0"/>
    <col customWidth="1" min="7" max="7" width="11.25"/>
    <col customWidth="1" min="8" max="8" width="10.38"/>
    <col customWidth="1" min="9" max="10" width="13.0"/>
    <col customWidth="1" min="11" max="11" width="28.75"/>
    <col customWidth="1" min="12" max="12" width="27.13"/>
    <col customWidth="1" min="13" max="13" width="25.38"/>
  </cols>
  <sheetData>
    <row r="1">
      <c r="A1" s="1" t="s">
        <v>0</v>
      </c>
      <c r="D1" s="2"/>
      <c r="E1" s="2"/>
      <c r="F1" s="2"/>
      <c r="G1" s="2"/>
      <c r="H1" s="2"/>
      <c r="I1" s="2"/>
      <c r="J1" s="3"/>
      <c r="K1" s="3"/>
      <c r="L1" s="3"/>
      <c r="M1" s="3"/>
      <c r="N1" s="3"/>
      <c r="O1" s="3"/>
      <c r="P1" s="3"/>
      <c r="Q1" s="3"/>
    </row>
    <row r="2">
      <c r="A2" s="1" t="s">
        <v>1</v>
      </c>
      <c r="D2" s="2"/>
      <c r="E2" s="2"/>
      <c r="F2" s="2"/>
      <c r="G2" s="2"/>
      <c r="H2" s="2"/>
      <c r="I2" s="2"/>
      <c r="J2" s="3"/>
      <c r="K2" s="3"/>
      <c r="L2" s="3"/>
      <c r="M2" s="3"/>
      <c r="N2" s="3"/>
      <c r="O2" s="3"/>
      <c r="P2" s="3"/>
      <c r="Q2" s="3"/>
    </row>
    <row r="3" ht="45.75" customHeight="1">
      <c r="A3" s="4" t="s">
        <v>2</v>
      </c>
      <c r="B3" s="4" t="s">
        <v>3</v>
      </c>
      <c r="C3" s="5" t="s">
        <v>4</v>
      </c>
      <c r="D3" s="5" t="s">
        <v>5</v>
      </c>
      <c r="E3" s="5" t="s">
        <v>6</v>
      </c>
      <c r="F3" s="6" t="s">
        <v>7</v>
      </c>
      <c r="G3" s="5" t="s">
        <v>8</v>
      </c>
      <c r="H3" s="5" t="s">
        <v>9</v>
      </c>
      <c r="I3" s="5" t="s">
        <v>10</v>
      </c>
      <c r="J3" s="4" t="s">
        <v>11</v>
      </c>
      <c r="K3" s="4" t="s">
        <v>12</v>
      </c>
      <c r="L3" s="4" t="s">
        <v>13</v>
      </c>
      <c r="M3" s="4" t="s">
        <v>14</v>
      </c>
      <c r="N3" s="4" t="s">
        <v>15</v>
      </c>
      <c r="O3" s="4" t="s">
        <v>16</v>
      </c>
      <c r="P3" s="4" t="s">
        <v>17</v>
      </c>
      <c r="Q3" s="4" t="s">
        <v>18</v>
      </c>
    </row>
    <row r="4">
      <c r="A4" s="7" t="s">
        <v>19</v>
      </c>
      <c r="B4" s="7" t="s">
        <v>20</v>
      </c>
      <c r="C4" s="8" t="s">
        <v>21</v>
      </c>
      <c r="D4" s="9" t="s">
        <v>22</v>
      </c>
      <c r="E4" s="10" t="s">
        <v>23</v>
      </c>
      <c r="F4" s="11">
        <v>2020.0</v>
      </c>
      <c r="G4" s="9" t="s">
        <v>24</v>
      </c>
      <c r="H4" s="12"/>
      <c r="I4" s="13" t="s">
        <v>23</v>
      </c>
      <c r="J4" s="14" t="s">
        <v>25</v>
      </c>
      <c r="K4" s="15" t="s">
        <v>26</v>
      </c>
      <c r="L4" s="15" t="s">
        <v>26</v>
      </c>
      <c r="N4" s="16"/>
      <c r="O4" s="16"/>
      <c r="P4" s="16" t="str">
        <f t="shared" ref="P4:P995" si="1">IF(OR(N4="",O4=""),"",IF(N4=O4,"Igual","Diferente"))</f>
        <v/>
      </c>
    </row>
    <row r="5">
      <c r="A5" s="7" t="s">
        <v>27</v>
      </c>
      <c r="B5" s="14" t="s">
        <v>20</v>
      </c>
      <c r="C5" s="17" t="s">
        <v>28</v>
      </c>
      <c r="D5" s="9" t="s">
        <v>29</v>
      </c>
      <c r="E5" s="10" t="s">
        <v>23</v>
      </c>
      <c r="F5" s="11">
        <v>2020.0</v>
      </c>
      <c r="G5" s="9" t="s">
        <v>30</v>
      </c>
      <c r="H5" s="12"/>
      <c r="I5" s="13" t="s">
        <v>23</v>
      </c>
      <c r="J5" s="14" t="s">
        <v>31</v>
      </c>
      <c r="K5" s="15"/>
      <c r="L5" s="15"/>
      <c r="N5" s="16"/>
      <c r="O5" s="16"/>
      <c r="P5" s="16" t="str">
        <f t="shared" si="1"/>
        <v/>
      </c>
    </row>
    <row r="6">
      <c r="A6" s="7" t="s">
        <v>32</v>
      </c>
      <c r="B6" s="14" t="s">
        <v>20</v>
      </c>
      <c r="C6" s="17" t="s">
        <v>33</v>
      </c>
      <c r="D6" s="9" t="s">
        <v>34</v>
      </c>
      <c r="E6" s="10" t="s">
        <v>23</v>
      </c>
      <c r="F6" s="11">
        <v>2025.0</v>
      </c>
      <c r="G6" s="9" t="s">
        <v>35</v>
      </c>
      <c r="H6" s="12"/>
      <c r="I6" s="13" t="s">
        <v>23</v>
      </c>
      <c r="J6" s="14" t="s">
        <v>36</v>
      </c>
      <c r="K6" s="15"/>
      <c r="L6" s="15"/>
      <c r="N6" s="16"/>
      <c r="O6" s="16"/>
      <c r="P6" s="16" t="str">
        <f t="shared" si="1"/>
        <v/>
      </c>
    </row>
    <row r="7">
      <c r="A7" s="7" t="s">
        <v>37</v>
      </c>
      <c r="B7" s="16"/>
      <c r="C7" s="12"/>
      <c r="D7" s="9" t="s">
        <v>38</v>
      </c>
      <c r="E7" s="9" t="s">
        <v>39</v>
      </c>
      <c r="F7" s="11">
        <v>2024.0</v>
      </c>
      <c r="G7" s="9" t="s">
        <v>40</v>
      </c>
      <c r="H7" s="12"/>
      <c r="I7" s="13" t="s">
        <v>23</v>
      </c>
      <c r="J7" s="14" t="s">
        <v>41</v>
      </c>
      <c r="K7" s="15"/>
      <c r="L7" s="15"/>
      <c r="N7" s="16"/>
      <c r="O7" s="16"/>
      <c r="P7" s="16" t="str">
        <f t="shared" si="1"/>
        <v/>
      </c>
    </row>
    <row r="8">
      <c r="A8" s="7" t="s">
        <v>42</v>
      </c>
      <c r="B8" s="14" t="s">
        <v>20</v>
      </c>
      <c r="C8" s="17" t="s">
        <v>43</v>
      </c>
      <c r="D8" s="9" t="s">
        <v>44</v>
      </c>
      <c r="E8" s="9" t="s">
        <v>45</v>
      </c>
      <c r="F8" s="11">
        <v>2023.0</v>
      </c>
      <c r="G8" s="9" t="s">
        <v>46</v>
      </c>
      <c r="H8" s="12"/>
      <c r="I8" s="13" t="s">
        <v>23</v>
      </c>
      <c r="J8" s="14" t="s">
        <v>47</v>
      </c>
      <c r="K8" s="15"/>
      <c r="L8" s="15"/>
      <c r="N8" s="16"/>
      <c r="O8" s="16"/>
      <c r="P8" s="16" t="str">
        <f t="shared" si="1"/>
        <v/>
      </c>
    </row>
    <row r="9">
      <c r="A9" s="7" t="s">
        <v>48</v>
      </c>
      <c r="B9" s="14" t="s">
        <v>20</v>
      </c>
      <c r="C9" s="17" t="s">
        <v>49</v>
      </c>
      <c r="D9" s="9" t="s">
        <v>50</v>
      </c>
      <c r="E9" s="9" t="s">
        <v>51</v>
      </c>
      <c r="F9" s="11">
        <v>2025.0</v>
      </c>
      <c r="G9" s="9" t="s">
        <v>52</v>
      </c>
      <c r="H9" s="12"/>
      <c r="I9" s="13" t="s">
        <v>23</v>
      </c>
      <c r="J9" s="14" t="s">
        <v>53</v>
      </c>
      <c r="K9" s="15"/>
      <c r="L9" s="15"/>
      <c r="N9" s="16"/>
      <c r="O9" s="16"/>
      <c r="P9" s="16" t="str">
        <f t="shared" si="1"/>
        <v/>
      </c>
    </row>
    <row r="10">
      <c r="A10" s="7" t="s">
        <v>54</v>
      </c>
      <c r="B10" s="14" t="s">
        <v>20</v>
      </c>
      <c r="C10" s="17" t="s">
        <v>55</v>
      </c>
      <c r="D10" s="9" t="s">
        <v>56</v>
      </c>
      <c r="E10" s="9" t="s">
        <v>57</v>
      </c>
      <c r="F10" s="11">
        <v>2024.0</v>
      </c>
      <c r="G10" s="9" t="s">
        <v>58</v>
      </c>
      <c r="H10" s="12"/>
      <c r="I10" s="13" t="s">
        <v>23</v>
      </c>
      <c r="J10" s="14" t="s">
        <v>59</v>
      </c>
      <c r="K10" s="15"/>
      <c r="L10" s="15"/>
      <c r="N10" s="16"/>
      <c r="O10" s="16"/>
      <c r="P10" s="16" t="str">
        <f t="shared" si="1"/>
        <v/>
      </c>
    </row>
    <row r="11">
      <c r="A11" s="7" t="s">
        <v>60</v>
      </c>
      <c r="B11" s="14" t="s">
        <v>20</v>
      </c>
      <c r="C11" s="17" t="s">
        <v>61</v>
      </c>
      <c r="D11" s="9" t="s">
        <v>62</v>
      </c>
      <c r="E11" s="9" t="s">
        <v>63</v>
      </c>
      <c r="F11" s="11">
        <v>2023.0</v>
      </c>
      <c r="G11" s="9" t="s">
        <v>64</v>
      </c>
      <c r="H11" s="12"/>
      <c r="I11" s="13" t="s">
        <v>23</v>
      </c>
      <c r="J11" s="14" t="s">
        <v>65</v>
      </c>
      <c r="K11" s="15"/>
      <c r="L11" s="15"/>
      <c r="N11" s="16"/>
      <c r="O11" s="16"/>
      <c r="P11" s="16" t="str">
        <f t="shared" si="1"/>
        <v/>
      </c>
    </row>
    <row r="12">
      <c r="A12" s="7" t="s">
        <v>66</v>
      </c>
      <c r="B12" s="14" t="s">
        <v>20</v>
      </c>
      <c r="C12" s="17" t="s">
        <v>67</v>
      </c>
      <c r="D12" s="9" t="s">
        <v>68</v>
      </c>
      <c r="E12" s="9" t="s">
        <v>69</v>
      </c>
      <c r="F12" s="11">
        <v>2025.0</v>
      </c>
      <c r="G12" s="9" t="s">
        <v>70</v>
      </c>
      <c r="H12" s="12"/>
      <c r="I12" s="13" t="s">
        <v>23</v>
      </c>
      <c r="J12" s="14" t="s">
        <v>71</v>
      </c>
      <c r="K12" s="15"/>
      <c r="L12" s="15"/>
      <c r="N12" s="16"/>
      <c r="O12" s="16"/>
      <c r="P12" s="16" t="str">
        <f t="shared" si="1"/>
        <v/>
      </c>
    </row>
    <row r="13">
      <c r="A13" s="7" t="s">
        <v>72</v>
      </c>
      <c r="B13" s="14" t="s">
        <v>20</v>
      </c>
      <c r="C13" s="17" t="s">
        <v>21</v>
      </c>
      <c r="D13" s="18" t="s">
        <v>22</v>
      </c>
      <c r="E13" s="19" t="s">
        <v>73</v>
      </c>
      <c r="F13" s="20" t="s">
        <v>74</v>
      </c>
      <c r="G13" s="18" t="s">
        <v>75</v>
      </c>
      <c r="H13" s="12"/>
      <c r="I13" s="21" t="s">
        <v>76</v>
      </c>
      <c r="J13" s="16"/>
      <c r="K13" s="15"/>
      <c r="L13" s="15"/>
      <c r="N13" s="16"/>
      <c r="O13" s="16"/>
      <c r="P13" s="16" t="str">
        <f t="shared" si="1"/>
        <v/>
      </c>
    </row>
    <row r="14">
      <c r="A14" s="7" t="s">
        <v>77</v>
      </c>
      <c r="B14" s="14" t="s">
        <v>20</v>
      </c>
      <c r="C14" s="17" t="s">
        <v>78</v>
      </c>
      <c r="D14" s="18" t="s">
        <v>79</v>
      </c>
      <c r="E14" s="19" t="s">
        <v>80</v>
      </c>
      <c r="F14" s="20" t="s">
        <v>74</v>
      </c>
      <c r="G14" s="18" t="s">
        <v>81</v>
      </c>
      <c r="H14" s="12"/>
      <c r="I14" s="21" t="s">
        <v>76</v>
      </c>
      <c r="J14" s="16"/>
      <c r="K14" s="15"/>
      <c r="L14" s="15"/>
      <c r="N14" s="16"/>
      <c r="O14" s="16"/>
      <c r="P14" s="16" t="str">
        <f t="shared" si="1"/>
        <v/>
      </c>
    </row>
    <row r="15">
      <c r="A15" s="7" t="s">
        <v>82</v>
      </c>
      <c r="B15" s="14" t="s">
        <v>20</v>
      </c>
      <c r="C15" s="17" t="s">
        <v>83</v>
      </c>
      <c r="D15" s="18" t="s">
        <v>84</v>
      </c>
      <c r="E15" s="19" t="s">
        <v>85</v>
      </c>
      <c r="F15" s="20" t="s">
        <v>86</v>
      </c>
      <c r="G15" s="18" t="s">
        <v>87</v>
      </c>
      <c r="H15" s="12"/>
      <c r="I15" s="21" t="s">
        <v>76</v>
      </c>
      <c r="J15" s="16"/>
      <c r="K15" s="15"/>
      <c r="L15" s="15"/>
      <c r="N15" s="16"/>
      <c r="O15" s="16"/>
      <c r="P15" s="16" t="str">
        <f t="shared" si="1"/>
        <v/>
      </c>
    </row>
    <row r="16">
      <c r="A16" s="7" t="s">
        <v>88</v>
      </c>
      <c r="B16" s="14" t="s">
        <v>20</v>
      </c>
      <c r="C16" s="17" t="s">
        <v>55</v>
      </c>
      <c r="D16" s="18" t="s">
        <v>89</v>
      </c>
      <c r="E16" s="19" t="s">
        <v>90</v>
      </c>
      <c r="F16" s="20" t="s">
        <v>91</v>
      </c>
      <c r="G16" s="18" t="s">
        <v>92</v>
      </c>
      <c r="H16" s="12"/>
      <c r="I16" s="21" t="s">
        <v>76</v>
      </c>
      <c r="J16" s="16"/>
      <c r="N16" s="16"/>
      <c r="O16" s="16"/>
      <c r="P16" s="16" t="str">
        <f t="shared" si="1"/>
        <v/>
      </c>
    </row>
    <row r="17">
      <c r="A17" s="7" t="s">
        <v>93</v>
      </c>
      <c r="B17" s="14" t="s">
        <v>20</v>
      </c>
      <c r="C17" s="17" t="s">
        <v>94</v>
      </c>
      <c r="D17" s="18" t="s">
        <v>95</v>
      </c>
      <c r="E17" s="19" t="s">
        <v>96</v>
      </c>
      <c r="F17" s="20" t="s">
        <v>97</v>
      </c>
      <c r="G17" s="18" t="s">
        <v>98</v>
      </c>
      <c r="H17" s="12"/>
      <c r="I17" s="21" t="s">
        <v>76</v>
      </c>
      <c r="J17" s="16"/>
      <c r="N17" s="16"/>
      <c r="O17" s="16"/>
      <c r="P17" s="16" t="str">
        <f t="shared" si="1"/>
        <v/>
      </c>
    </row>
    <row r="18">
      <c r="A18" s="7" t="s">
        <v>99</v>
      </c>
      <c r="B18" s="16"/>
      <c r="C18" s="12"/>
      <c r="D18" s="18" t="s">
        <v>100</v>
      </c>
      <c r="E18" s="19" t="s">
        <v>101</v>
      </c>
      <c r="F18" s="20" t="s">
        <v>97</v>
      </c>
      <c r="G18" s="18" t="s">
        <v>102</v>
      </c>
      <c r="H18" s="12"/>
      <c r="I18" s="21" t="s">
        <v>76</v>
      </c>
      <c r="J18" s="16"/>
      <c r="N18" s="16"/>
      <c r="O18" s="16"/>
      <c r="P18" s="16" t="str">
        <f t="shared" si="1"/>
        <v/>
      </c>
    </row>
    <row r="19">
      <c r="A19" s="7" t="s">
        <v>103</v>
      </c>
      <c r="B19" s="16"/>
      <c r="C19" s="12"/>
      <c r="D19" s="18" t="s">
        <v>104</v>
      </c>
      <c r="E19" s="19" t="s">
        <v>105</v>
      </c>
      <c r="F19" s="20" t="s">
        <v>97</v>
      </c>
      <c r="G19" s="18" t="s">
        <v>106</v>
      </c>
      <c r="H19" s="12"/>
      <c r="I19" s="21" t="s">
        <v>76</v>
      </c>
      <c r="J19" s="16"/>
      <c r="N19" s="16"/>
      <c r="O19" s="16"/>
      <c r="P19" s="16" t="str">
        <f t="shared" si="1"/>
        <v/>
      </c>
    </row>
    <row r="20">
      <c r="A20" s="7" t="s">
        <v>107</v>
      </c>
      <c r="B20" s="16"/>
      <c r="C20" s="12"/>
      <c r="D20" s="18" t="s">
        <v>108</v>
      </c>
      <c r="E20" s="19" t="s">
        <v>109</v>
      </c>
      <c r="F20" s="20" t="s">
        <v>110</v>
      </c>
      <c r="G20" s="18" t="s">
        <v>111</v>
      </c>
      <c r="H20" s="12"/>
      <c r="I20" s="21" t="s">
        <v>76</v>
      </c>
      <c r="J20" s="16"/>
      <c r="N20" s="16"/>
      <c r="O20" s="16"/>
      <c r="P20" s="16" t="str">
        <f t="shared" si="1"/>
        <v/>
      </c>
    </row>
    <row r="21">
      <c r="A21" s="7" t="s">
        <v>112</v>
      </c>
      <c r="B21" s="16"/>
      <c r="C21" s="12"/>
      <c r="D21" s="18" t="s">
        <v>113</v>
      </c>
      <c r="E21" s="19" t="s">
        <v>114</v>
      </c>
      <c r="F21" s="20" t="s">
        <v>115</v>
      </c>
      <c r="G21" s="18" t="s">
        <v>116</v>
      </c>
      <c r="H21" s="12"/>
      <c r="I21" s="21" t="s">
        <v>76</v>
      </c>
      <c r="J21" s="16"/>
      <c r="N21" s="16"/>
      <c r="O21" s="16"/>
      <c r="P21" s="16" t="str">
        <f t="shared" si="1"/>
        <v/>
      </c>
    </row>
    <row r="22">
      <c r="A22" s="7" t="s">
        <v>117</v>
      </c>
      <c r="B22" s="16"/>
      <c r="C22" s="12"/>
      <c r="D22" s="18" t="s">
        <v>118</v>
      </c>
      <c r="E22" s="19" t="s">
        <v>119</v>
      </c>
      <c r="F22" s="20" t="s">
        <v>91</v>
      </c>
      <c r="G22" s="18" t="s">
        <v>120</v>
      </c>
      <c r="H22" s="12"/>
      <c r="I22" s="21" t="s">
        <v>76</v>
      </c>
      <c r="J22" s="16"/>
      <c r="N22" s="16"/>
      <c r="O22" s="16"/>
      <c r="P22" s="16" t="str">
        <f t="shared" si="1"/>
        <v/>
      </c>
    </row>
    <row r="23">
      <c r="A23" s="7" t="s">
        <v>121</v>
      </c>
      <c r="B23" s="16"/>
      <c r="C23" s="12"/>
      <c r="D23" s="18" t="s">
        <v>122</v>
      </c>
      <c r="E23" s="19" t="s">
        <v>123</v>
      </c>
      <c r="F23" s="20" t="s">
        <v>97</v>
      </c>
      <c r="G23" s="18" t="s">
        <v>124</v>
      </c>
      <c r="H23" s="12"/>
      <c r="I23" s="21" t="s">
        <v>76</v>
      </c>
      <c r="J23" s="16"/>
      <c r="N23" s="16"/>
      <c r="O23" s="16"/>
      <c r="P23" s="16" t="str">
        <f t="shared" si="1"/>
        <v/>
      </c>
    </row>
    <row r="24">
      <c r="A24" s="7" t="s">
        <v>125</v>
      </c>
      <c r="B24" s="16"/>
      <c r="C24" s="12"/>
      <c r="D24" s="18" t="s">
        <v>126</v>
      </c>
      <c r="E24" s="19" t="s">
        <v>127</v>
      </c>
      <c r="F24" s="20" t="s">
        <v>91</v>
      </c>
      <c r="G24" s="18" t="s">
        <v>128</v>
      </c>
      <c r="H24" s="12"/>
      <c r="I24" s="21" t="s">
        <v>76</v>
      </c>
      <c r="J24" s="16"/>
      <c r="N24" s="16"/>
      <c r="O24" s="16"/>
      <c r="P24" s="16" t="str">
        <f t="shared" si="1"/>
        <v/>
      </c>
    </row>
    <row r="25">
      <c r="A25" s="7" t="s">
        <v>129</v>
      </c>
      <c r="B25" s="16"/>
      <c r="C25" s="12"/>
      <c r="D25" s="18" t="s">
        <v>130</v>
      </c>
      <c r="E25" s="19" t="s">
        <v>131</v>
      </c>
      <c r="F25" s="20" t="s">
        <v>97</v>
      </c>
      <c r="G25" s="18" t="s">
        <v>132</v>
      </c>
      <c r="H25" s="12"/>
      <c r="I25" s="21" t="s">
        <v>76</v>
      </c>
      <c r="J25" s="16"/>
      <c r="N25" s="16"/>
      <c r="O25" s="16"/>
      <c r="P25" s="16" t="str">
        <f t="shared" si="1"/>
        <v/>
      </c>
    </row>
    <row r="26">
      <c r="A26" s="7" t="s">
        <v>133</v>
      </c>
      <c r="B26" s="16"/>
      <c r="C26" s="12"/>
      <c r="D26" s="18" t="s">
        <v>134</v>
      </c>
      <c r="E26" s="19" t="s">
        <v>135</v>
      </c>
      <c r="F26" s="20" t="s">
        <v>97</v>
      </c>
      <c r="G26" s="18" t="s">
        <v>136</v>
      </c>
      <c r="H26" s="12"/>
      <c r="I26" s="21" t="s">
        <v>76</v>
      </c>
      <c r="J26" s="16"/>
      <c r="N26" s="16"/>
      <c r="O26" s="16"/>
      <c r="P26" s="16" t="str">
        <f t="shared" si="1"/>
        <v/>
      </c>
    </row>
    <row r="27">
      <c r="A27" s="7" t="s">
        <v>137</v>
      </c>
      <c r="B27" s="16"/>
      <c r="C27" s="12"/>
      <c r="D27" s="18" t="s">
        <v>138</v>
      </c>
      <c r="E27" s="19" t="s">
        <v>139</v>
      </c>
      <c r="F27" s="20" t="s">
        <v>91</v>
      </c>
      <c r="G27" s="18" t="s">
        <v>140</v>
      </c>
      <c r="H27" s="12"/>
      <c r="I27" s="21" t="s">
        <v>76</v>
      </c>
      <c r="J27" s="16"/>
      <c r="N27" s="16"/>
      <c r="O27" s="16"/>
      <c r="P27" s="16" t="str">
        <f t="shared" si="1"/>
        <v/>
      </c>
    </row>
    <row r="28">
      <c r="A28" s="7" t="s">
        <v>141</v>
      </c>
      <c r="B28" s="16"/>
      <c r="C28" s="12"/>
      <c r="D28" s="18" t="s">
        <v>142</v>
      </c>
      <c r="E28" s="19" t="s">
        <v>143</v>
      </c>
      <c r="F28" s="20" t="s">
        <v>91</v>
      </c>
      <c r="G28" s="18" t="s">
        <v>144</v>
      </c>
      <c r="H28" s="12"/>
      <c r="I28" s="21" t="s">
        <v>76</v>
      </c>
      <c r="J28" s="16"/>
      <c r="N28" s="16"/>
      <c r="O28" s="16"/>
      <c r="P28" s="16" t="str">
        <f t="shared" si="1"/>
        <v/>
      </c>
    </row>
    <row r="29">
      <c r="A29" s="7" t="s">
        <v>145</v>
      </c>
      <c r="B29" s="16"/>
      <c r="C29" s="12"/>
      <c r="D29" s="18" t="s">
        <v>50</v>
      </c>
      <c r="E29" s="19" t="s">
        <v>146</v>
      </c>
      <c r="F29" s="20" t="s">
        <v>115</v>
      </c>
      <c r="G29" s="18" t="s">
        <v>147</v>
      </c>
      <c r="H29" s="12"/>
      <c r="I29" s="21" t="s">
        <v>76</v>
      </c>
      <c r="J29" s="16"/>
      <c r="N29" s="16"/>
      <c r="O29" s="16"/>
      <c r="P29" s="16" t="str">
        <f t="shared" si="1"/>
        <v/>
      </c>
    </row>
    <row r="30">
      <c r="A30" s="7" t="s">
        <v>148</v>
      </c>
      <c r="B30" s="16"/>
      <c r="C30" s="12"/>
      <c r="D30" s="9" t="s">
        <v>149</v>
      </c>
      <c r="E30" s="10" t="s">
        <v>150</v>
      </c>
      <c r="F30" s="11">
        <v>2020.0</v>
      </c>
      <c r="G30" s="9" t="s">
        <v>151</v>
      </c>
      <c r="H30" s="12"/>
      <c r="I30" s="9" t="s">
        <v>152</v>
      </c>
      <c r="J30" s="16"/>
      <c r="N30" s="16"/>
      <c r="O30" s="16"/>
      <c r="P30" s="16" t="str">
        <f t="shared" si="1"/>
        <v/>
      </c>
    </row>
    <row r="31">
      <c r="A31" s="7" t="s">
        <v>153</v>
      </c>
      <c r="B31" s="16"/>
      <c r="C31" s="12"/>
      <c r="D31" s="9" t="s">
        <v>154</v>
      </c>
      <c r="E31" s="10" t="s">
        <v>155</v>
      </c>
      <c r="F31" s="11">
        <v>2024.0</v>
      </c>
      <c r="G31" s="9" t="s">
        <v>156</v>
      </c>
      <c r="H31" s="12"/>
      <c r="I31" s="9" t="s">
        <v>152</v>
      </c>
      <c r="J31" s="16"/>
      <c r="N31" s="16"/>
      <c r="O31" s="16"/>
      <c r="P31" s="16" t="str">
        <f t="shared" si="1"/>
        <v/>
      </c>
    </row>
    <row r="32">
      <c r="A32" s="7" t="s">
        <v>157</v>
      </c>
      <c r="B32" s="16"/>
      <c r="C32" s="12"/>
      <c r="D32" s="9" t="s">
        <v>158</v>
      </c>
      <c r="E32" s="10" t="s">
        <v>159</v>
      </c>
      <c r="F32" s="11">
        <v>2025.0</v>
      </c>
      <c r="G32" s="9" t="s">
        <v>160</v>
      </c>
      <c r="H32" s="12"/>
      <c r="I32" s="9" t="s">
        <v>152</v>
      </c>
      <c r="J32" s="16"/>
      <c r="N32" s="16"/>
      <c r="O32" s="16"/>
      <c r="P32" s="16" t="str">
        <f t="shared" si="1"/>
        <v/>
      </c>
    </row>
    <row r="33">
      <c r="A33" s="7" t="s">
        <v>161</v>
      </c>
      <c r="B33" s="16"/>
      <c r="C33" s="12"/>
      <c r="D33" s="9" t="s">
        <v>162</v>
      </c>
      <c r="E33" s="10" t="s">
        <v>163</v>
      </c>
      <c r="F33" s="11">
        <v>2021.0</v>
      </c>
      <c r="G33" s="9" t="s">
        <v>164</v>
      </c>
      <c r="H33" s="12"/>
      <c r="I33" s="9" t="s">
        <v>152</v>
      </c>
      <c r="J33" s="16"/>
      <c r="N33" s="16"/>
      <c r="O33" s="16"/>
      <c r="P33" s="16" t="str">
        <f t="shared" si="1"/>
        <v/>
      </c>
    </row>
    <row r="34">
      <c r="A34" s="7" t="s">
        <v>165</v>
      </c>
      <c r="B34" s="16"/>
      <c r="C34" s="12"/>
      <c r="D34" s="9" t="s">
        <v>166</v>
      </c>
      <c r="E34" s="10" t="s">
        <v>167</v>
      </c>
      <c r="F34" s="11">
        <v>2025.0</v>
      </c>
      <c r="G34" s="9" t="s">
        <v>168</v>
      </c>
      <c r="H34" s="12"/>
      <c r="I34" s="9" t="s">
        <v>152</v>
      </c>
      <c r="J34" s="16"/>
      <c r="N34" s="16"/>
      <c r="O34" s="16"/>
      <c r="P34" s="16" t="str">
        <f t="shared" si="1"/>
        <v/>
      </c>
    </row>
    <row r="35">
      <c r="A35" s="7" t="s">
        <v>169</v>
      </c>
      <c r="B35" s="16"/>
      <c r="C35" s="12"/>
      <c r="D35" s="9" t="s">
        <v>170</v>
      </c>
      <c r="E35" s="10" t="s">
        <v>171</v>
      </c>
      <c r="F35" s="11">
        <v>2025.0</v>
      </c>
      <c r="G35" s="9" t="s">
        <v>172</v>
      </c>
      <c r="H35" s="12"/>
      <c r="I35" s="9" t="s">
        <v>152</v>
      </c>
      <c r="J35" s="16"/>
      <c r="N35" s="16"/>
      <c r="O35" s="16"/>
      <c r="P35" s="16" t="str">
        <f t="shared" si="1"/>
        <v/>
      </c>
    </row>
    <row r="36">
      <c r="A36" s="7" t="s">
        <v>173</v>
      </c>
      <c r="B36" s="16"/>
      <c r="C36" s="12"/>
      <c r="D36" s="9" t="s">
        <v>154</v>
      </c>
      <c r="E36" s="10" t="s">
        <v>174</v>
      </c>
      <c r="F36" s="11">
        <v>2024.0</v>
      </c>
      <c r="G36" s="9" t="s">
        <v>175</v>
      </c>
      <c r="H36" s="12"/>
      <c r="I36" s="9" t="s">
        <v>152</v>
      </c>
      <c r="J36" s="16"/>
      <c r="N36" s="16"/>
      <c r="O36" s="16"/>
      <c r="P36" s="16" t="str">
        <f t="shared" si="1"/>
        <v/>
      </c>
    </row>
    <row r="37">
      <c r="A37" s="7" t="s">
        <v>176</v>
      </c>
      <c r="B37" s="16"/>
      <c r="C37" s="12"/>
      <c r="D37" s="9" t="s">
        <v>177</v>
      </c>
      <c r="E37" s="10" t="s">
        <v>178</v>
      </c>
      <c r="F37" s="11">
        <v>2024.0</v>
      </c>
      <c r="G37" s="9" t="s">
        <v>179</v>
      </c>
      <c r="H37" s="12"/>
      <c r="I37" s="9" t="s">
        <v>152</v>
      </c>
      <c r="J37" s="16"/>
      <c r="N37" s="16"/>
      <c r="O37" s="16"/>
      <c r="P37" s="16" t="str">
        <f t="shared" si="1"/>
        <v/>
      </c>
    </row>
    <row r="38">
      <c r="A38" s="7" t="s">
        <v>180</v>
      </c>
      <c r="B38" s="16"/>
      <c r="C38" s="12"/>
      <c r="D38" s="9" t="s">
        <v>158</v>
      </c>
      <c r="E38" s="10" t="s">
        <v>181</v>
      </c>
      <c r="F38" s="11">
        <v>2025.0</v>
      </c>
      <c r="G38" s="9" t="s">
        <v>182</v>
      </c>
      <c r="H38" s="12"/>
      <c r="I38" s="9" t="s">
        <v>152</v>
      </c>
      <c r="J38" s="16"/>
      <c r="N38" s="16"/>
      <c r="O38" s="16"/>
      <c r="P38" s="16" t="str">
        <f t="shared" si="1"/>
        <v/>
      </c>
    </row>
    <row r="39">
      <c r="A39" s="7" t="s">
        <v>183</v>
      </c>
      <c r="B39" s="16"/>
      <c r="C39" s="12"/>
      <c r="D39" s="9" t="s">
        <v>184</v>
      </c>
      <c r="E39" s="10" t="s">
        <v>185</v>
      </c>
      <c r="F39" s="11">
        <v>2025.0</v>
      </c>
      <c r="G39" s="9" t="s">
        <v>186</v>
      </c>
      <c r="H39" s="12"/>
      <c r="I39" s="9" t="s">
        <v>152</v>
      </c>
      <c r="J39" s="16"/>
      <c r="N39" s="16"/>
      <c r="O39" s="16"/>
      <c r="P39" s="16" t="str">
        <f t="shared" si="1"/>
        <v/>
      </c>
    </row>
    <row r="40">
      <c r="A40" s="7" t="s">
        <v>187</v>
      </c>
      <c r="B40" s="16"/>
      <c r="C40" s="12"/>
      <c r="D40" s="9" t="s">
        <v>188</v>
      </c>
      <c r="E40" s="10" t="s">
        <v>189</v>
      </c>
      <c r="F40" s="11">
        <v>2024.0</v>
      </c>
      <c r="G40" s="9" t="s">
        <v>190</v>
      </c>
      <c r="H40" s="12"/>
      <c r="I40" s="9" t="s">
        <v>152</v>
      </c>
      <c r="J40" s="16"/>
      <c r="N40" s="16"/>
      <c r="O40" s="16"/>
      <c r="P40" s="16" t="str">
        <f t="shared" si="1"/>
        <v/>
      </c>
    </row>
    <row r="41">
      <c r="A41" s="7" t="s">
        <v>191</v>
      </c>
      <c r="B41" s="16"/>
      <c r="C41" s="12"/>
      <c r="D41" s="9" t="s">
        <v>192</v>
      </c>
      <c r="E41" s="10" t="s">
        <v>193</v>
      </c>
      <c r="F41" s="11">
        <v>2021.0</v>
      </c>
      <c r="G41" s="9" t="s">
        <v>194</v>
      </c>
      <c r="H41" s="12"/>
      <c r="I41" s="9" t="s">
        <v>152</v>
      </c>
      <c r="J41" s="16"/>
      <c r="N41" s="16"/>
      <c r="O41" s="16"/>
      <c r="P41" s="16" t="str">
        <f t="shared" si="1"/>
        <v/>
      </c>
    </row>
    <row r="42">
      <c r="A42" s="7" t="s">
        <v>195</v>
      </c>
      <c r="B42" s="16"/>
      <c r="C42" s="12"/>
      <c r="D42" s="9" t="s">
        <v>196</v>
      </c>
      <c r="E42" s="10" t="s">
        <v>197</v>
      </c>
      <c r="F42" s="11">
        <v>2024.0</v>
      </c>
      <c r="G42" s="9" t="s">
        <v>198</v>
      </c>
      <c r="H42" s="12"/>
      <c r="I42" s="9" t="s">
        <v>152</v>
      </c>
      <c r="J42" s="16"/>
      <c r="N42" s="16"/>
      <c r="O42" s="16"/>
      <c r="P42" s="16" t="str">
        <f t="shared" si="1"/>
        <v/>
      </c>
    </row>
    <row r="43">
      <c r="A43" s="7" t="s">
        <v>199</v>
      </c>
      <c r="B43" s="16"/>
      <c r="C43" s="12"/>
      <c r="D43" s="9" t="s">
        <v>200</v>
      </c>
      <c r="E43" s="10" t="s">
        <v>201</v>
      </c>
      <c r="F43" s="11">
        <v>2023.0</v>
      </c>
      <c r="G43" s="9" t="s">
        <v>202</v>
      </c>
      <c r="H43" s="12"/>
      <c r="I43" s="9" t="s">
        <v>152</v>
      </c>
      <c r="J43" s="16"/>
      <c r="N43" s="16"/>
      <c r="O43" s="16"/>
      <c r="P43" s="16" t="str">
        <f t="shared" si="1"/>
        <v/>
      </c>
    </row>
    <row r="44">
      <c r="A44" s="7" t="s">
        <v>203</v>
      </c>
      <c r="B44" s="16"/>
      <c r="C44" s="12"/>
      <c r="D44" s="9" t="s">
        <v>204</v>
      </c>
      <c r="E44" s="10" t="s">
        <v>205</v>
      </c>
      <c r="F44" s="11">
        <v>2025.0</v>
      </c>
      <c r="G44" s="9" t="s">
        <v>206</v>
      </c>
      <c r="H44" s="12"/>
      <c r="I44" s="9" t="s">
        <v>152</v>
      </c>
      <c r="J44" s="16"/>
      <c r="N44" s="16"/>
      <c r="O44" s="16"/>
      <c r="P44" s="16" t="str">
        <f t="shared" si="1"/>
        <v/>
      </c>
    </row>
    <row r="45">
      <c r="A45" s="7" t="s">
        <v>207</v>
      </c>
      <c r="B45" s="16"/>
      <c r="C45" s="12"/>
      <c r="D45" s="9" t="s">
        <v>208</v>
      </c>
      <c r="E45" s="10" t="s">
        <v>209</v>
      </c>
      <c r="F45" s="11">
        <v>2024.0</v>
      </c>
      <c r="G45" s="9" t="s">
        <v>210</v>
      </c>
      <c r="H45" s="12"/>
      <c r="I45" s="9" t="s">
        <v>152</v>
      </c>
      <c r="J45" s="16"/>
      <c r="N45" s="16"/>
      <c r="O45" s="16"/>
      <c r="P45" s="16" t="str">
        <f t="shared" si="1"/>
        <v/>
      </c>
    </row>
    <row r="46">
      <c r="A46" s="7" t="s">
        <v>211</v>
      </c>
      <c r="B46" s="16"/>
      <c r="C46" s="12"/>
      <c r="D46" s="9" t="s">
        <v>212</v>
      </c>
      <c r="E46" s="10" t="s">
        <v>213</v>
      </c>
      <c r="F46" s="11">
        <v>2024.0</v>
      </c>
      <c r="G46" s="9" t="s">
        <v>214</v>
      </c>
      <c r="H46" s="12"/>
      <c r="I46" s="9" t="s">
        <v>152</v>
      </c>
      <c r="J46" s="16"/>
      <c r="N46" s="16"/>
      <c r="O46" s="16"/>
      <c r="P46" s="16" t="str">
        <f t="shared" si="1"/>
        <v/>
      </c>
    </row>
    <row r="47">
      <c r="A47" s="7" t="s">
        <v>215</v>
      </c>
      <c r="B47" s="16"/>
      <c r="C47" s="12"/>
      <c r="D47" s="9" t="s">
        <v>216</v>
      </c>
      <c r="E47" s="10" t="s">
        <v>217</v>
      </c>
      <c r="F47" s="11">
        <v>2023.0</v>
      </c>
      <c r="G47" s="9" t="s">
        <v>218</v>
      </c>
      <c r="H47" s="12"/>
      <c r="I47" s="9" t="s">
        <v>152</v>
      </c>
      <c r="J47" s="16"/>
      <c r="N47" s="16"/>
      <c r="O47" s="16"/>
      <c r="P47" s="16" t="str">
        <f t="shared" si="1"/>
        <v/>
      </c>
    </row>
    <row r="48">
      <c r="A48" s="7" t="s">
        <v>219</v>
      </c>
      <c r="B48" s="16"/>
      <c r="C48" s="12"/>
      <c r="D48" s="9" t="s">
        <v>220</v>
      </c>
      <c r="E48" s="10" t="s">
        <v>221</v>
      </c>
      <c r="F48" s="11">
        <v>2025.0</v>
      </c>
      <c r="G48" s="9" t="s">
        <v>222</v>
      </c>
      <c r="H48" s="12"/>
      <c r="I48" s="9" t="s">
        <v>152</v>
      </c>
      <c r="J48" s="16"/>
      <c r="N48" s="16"/>
      <c r="O48" s="16"/>
      <c r="P48" s="16" t="str">
        <f t="shared" si="1"/>
        <v/>
      </c>
    </row>
    <row r="49">
      <c r="A49" s="7" t="s">
        <v>223</v>
      </c>
      <c r="B49" s="16"/>
      <c r="C49" s="12"/>
      <c r="D49" s="9" t="s">
        <v>224</v>
      </c>
      <c r="E49" s="10" t="s">
        <v>225</v>
      </c>
      <c r="F49" s="11">
        <v>2021.0</v>
      </c>
      <c r="G49" s="9" t="s">
        <v>226</v>
      </c>
      <c r="H49" s="12"/>
      <c r="I49" s="9" t="s">
        <v>152</v>
      </c>
      <c r="J49" s="16"/>
      <c r="N49" s="16"/>
      <c r="O49" s="16"/>
      <c r="P49" s="16" t="str">
        <f t="shared" si="1"/>
        <v/>
      </c>
    </row>
    <row r="50">
      <c r="A50" s="7" t="s">
        <v>227</v>
      </c>
      <c r="B50" s="16"/>
      <c r="C50" s="12"/>
      <c r="D50" s="9" t="s">
        <v>228</v>
      </c>
      <c r="E50" s="10" t="s">
        <v>229</v>
      </c>
      <c r="F50" s="11">
        <v>2023.0</v>
      </c>
      <c r="G50" s="9" t="s">
        <v>230</v>
      </c>
      <c r="H50" s="12"/>
      <c r="I50" s="9" t="s">
        <v>152</v>
      </c>
      <c r="J50" s="16"/>
      <c r="N50" s="16"/>
      <c r="O50" s="16"/>
      <c r="P50" s="16" t="str">
        <f t="shared" si="1"/>
        <v/>
      </c>
    </row>
    <row r="51">
      <c r="A51" s="7" t="s">
        <v>231</v>
      </c>
      <c r="B51" s="16"/>
      <c r="C51" s="12"/>
      <c r="D51" s="9" t="s">
        <v>232</v>
      </c>
      <c r="E51" s="10" t="s">
        <v>233</v>
      </c>
      <c r="F51" s="11">
        <v>2023.0</v>
      </c>
      <c r="G51" s="9" t="s">
        <v>234</v>
      </c>
      <c r="H51" s="12"/>
      <c r="I51" s="9" t="s">
        <v>152</v>
      </c>
      <c r="J51" s="16"/>
      <c r="N51" s="16"/>
      <c r="O51" s="16"/>
      <c r="P51" s="16" t="str">
        <f t="shared" si="1"/>
        <v/>
      </c>
    </row>
    <row r="52">
      <c r="A52" s="7" t="s">
        <v>235</v>
      </c>
      <c r="B52" s="16"/>
      <c r="C52" s="12"/>
      <c r="D52" s="9" t="s">
        <v>236</v>
      </c>
      <c r="E52" s="10" t="s">
        <v>237</v>
      </c>
      <c r="F52" s="11">
        <v>2023.0</v>
      </c>
      <c r="G52" s="9" t="s">
        <v>238</v>
      </c>
      <c r="H52" s="12"/>
      <c r="I52" s="9" t="s">
        <v>152</v>
      </c>
      <c r="J52" s="16"/>
      <c r="N52" s="16"/>
      <c r="O52" s="16"/>
      <c r="P52" s="16" t="str">
        <f t="shared" si="1"/>
        <v/>
      </c>
    </row>
    <row r="53">
      <c r="A53" s="7" t="s">
        <v>239</v>
      </c>
      <c r="B53" s="16"/>
      <c r="C53" s="12"/>
      <c r="D53" s="9" t="s">
        <v>240</v>
      </c>
      <c r="E53" s="10" t="s">
        <v>241</v>
      </c>
      <c r="F53" s="11">
        <v>2023.0</v>
      </c>
      <c r="G53" s="9" t="s">
        <v>242</v>
      </c>
      <c r="H53" s="12"/>
      <c r="I53" s="9" t="s">
        <v>152</v>
      </c>
      <c r="J53" s="16"/>
      <c r="N53" s="16"/>
      <c r="O53" s="16"/>
      <c r="P53" s="16" t="str">
        <f t="shared" si="1"/>
        <v/>
      </c>
    </row>
    <row r="54">
      <c r="A54" s="7" t="s">
        <v>243</v>
      </c>
      <c r="B54" s="16"/>
      <c r="C54" s="12"/>
      <c r="D54" s="9" t="s">
        <v>244</v>
      </c>
      <c r="E54" s="10" t="s">
        <v>245</v>
      </c>
      <c r="F54" s="11">
        <v>2024.0</v>
      </c>
      <c r="G54" s="9" t="s">
        <v>246</v>
      </c>
      <c r="H54" s="12"/>
      <c r="I54" s="9" t="s">
        <v>152</v>
      </c>
      <c r="J54" s="16"/>
      <c r="N54" s="16"/>
      <c r="O54" s="16"/>
      <c r="P54" s="16" t="str">
        <f t="shared" si="1"/>
        <v/>
      </c>
    </row>
    <row r="55">
      <c r="A55" s="7" t="s">
        <v>247</v>
      </c>
      <c r="B55" s="16"/>
      <c r="C55" s="12"/>
      <c r="D55" s="9" t="s">
        <v>248</v>
      </c>
      <c r="E55" s="10" t="s">
        <v>249</v>
      </c>
      <c r="F55" s="11">
        <v>2024.0</v>
      </c>
      <c r="G55" s="9" t="s">
        <v>250</v>
      </c>
      <c r="H55" s="12"/>
      <c r="I55" s="9" t="s">
        <v>152</v>
      </c>
      <c r="J55" s="16"/>
      <c r="N55" s="16"/>
      <c r="O55" s="16"/>
      <c r="P55" s="16" t="str">
        <f t="shared" si="1"/>
        <v/>
      </c>
    </row>
    <row r="56">
      <c r="A56" s="7" t="s">
        <v>251</v>
      </c>
      <c r="B56" s="16"/>
      <c r="C56" s="12"/>
      <c r="D56" s="9" t="s">
        <v>252</v>
      </c>
      <c r="E56" s="10" t="s">
        <v>253</v>
      </c>
      <c r="F56" s="11">
        <v>2024.0</v>
      </c>
      <c r="G56" s="9" t="s">
        <v>254</v>
      </c>
      <c r="H56" s="12"/>
      <c r="I56" s="9" t="s">
        <v>152</v>
      </c>
      <c r="J56" s="16"/>
      <c r="N56" s="16"/>
      <c r="O56" s="16"/>
      <c r="P56" s="16" t="str">
        <f t="shared" si="1"/>
        <v/>
      </c>
    </row>
    <row r="57">
      <c r="A57" s="7" t="s">
        <v>255</v>
      </c>
      <c r="B57" s="16"/>
      <c r="C57" s="12"/>
      <c r="D57" s="9" t="s">
        <v>256</v>
      </c>
      <c r="E57" s="10" t="s">
        <v>257</v>
      </c>
      <c r="F57" s="11">
        <v>2023.0</v>
      </c>
      <c r="G57" s="9" t="s">
        <v>258</v>
      </c>
      <c r="H57" s="12"/>
      <c r="I57" s="9" t="s">
        <v>152</v>
      </c>
      <c r="J57" s="16"/>
      <c r="N57" s="16"/>
      <c r="O57" s="16"/>
      <c r="P57" s="16" t="str">
        <f t="shared" si="1"/>
        <v/>
      </c>
    </row>
    <row r="58">
      <c r="A58" s="7" t="s">
        <v>259</v>
      </c>
      <c r="B58" s="16"/>
      <c r="C58" s="12"/>
      <c r="D58" s="9" t="s">
        <v>260</v>
      </c>
      <c r="E58" s="10" t="s">
        <v>261</v>
      </c>
      <c r="F58" s="11">
        <v>2024.0</v>
      </c>
      <c r="G58" s="9" t="s">
        <v>262</v>
      </c>
      <c r="H58" s="12"/>
      <c r="I58" s="9" t="s">
        <v>152</v>
      </c>
      <c r="J58" s="16"/>
      <c r="N58" s="16"/>
      <c r="O58" s="16"/>
      <c r="P58" s="16" t="str">
        <f t="shared" si="1"/>
        <v/>
      </c>
    </row>
    <row r="59">
      <c r="A59" s="7" t="s">
        <v>263</v>
      </c>
      <c r="B59" s="16"/>
      <c r="C59" s="12"/>
      <c r="D59" s="9" t="s">
        <v>264</v>
      </c>
      <c r="E59" s="10" t="s">
        <v>265</v>
      </c>
      <c r="F59" s="11">
        <v>2022.0</v>
      </c>
      <c r="G59" s="9" t="s">
        <v>266</v>
      </c>
      <c r="H59" s="12"/>
      <c r="I59" s="9" t="s">
        <v>152</v>
      </c>
      <c r="J59" s="16"/>
      <c r="N59" s="16"/>
      <c r="O59" s="16"/>
      <c r="P59" s="16" t="str">
        <f t="shared" si="1"/>
        <v/>
      </c>
    </row>
    <row r="60">
      <c r="A60" s="7" t="s">
        <v>267</v>
      </c>
      <c r="B60" s="16"/>
      <c r="C60" s="12"/>
      <c r="D60" s="9" t="s">
        <v>268</v>
      </c>
      <c r="E60" s="10" t="s">
        <v>269</v>
      </c>
      <c r="F60" s="11">
        <v>2023.0</v>
      </c>
      <c r="G60" s="9" t="s">
        <v>270</v>
      </c>
      <c r="H60" s="12"/>
      <c r="I60" s="9" t="s">
        <v>152</v>
      </c>
      <c r="J60" s="16"/>
      <c r="N60" s="16"/>
      <c r="O60" s="16"/>
      <c r="P60" s="16" t="str">
        <f t="shared" si="1"/>
        <v/>
      </c>
    </row>
    <row r="61">
      <c r="A61" s="7" t="s">
        <v>271</v>
      </c>
      <c r="B61" s="16"/>
      <c r="C61" s="12"/>
      <c r="D61" s="9" t="s">
        <v>272</v>
      </c>
      <c r="E61" s="10" t="s">
        <v>273</v>
      </c>
      <c r="F61" s="11">
        <v>2021.0</v>
      </c>
      <c r="G61" s="9" t="s">
        <v>274</v>
      </c>
      <c r="H61" s="12"/>
      <c r="I61" s="9" t="s">
        <v>152</v>
      </c>
      <c r="J61" s="16"/>
      <c r="N61" s="16"/>
      <c r="O61" s="16"/>
      <c r="P61" s="16" t="str">
        <f t="shared" si="1"/>
        <v/>
      </c>
    </row>
    <row r="62">
      <c r="A62" s="7" t="s">
        <v>275</v>
      </c>
      <c r="B62" s="16"/>
      <c r="C62" s="12"/>
      <c r="D62" s="9" t="s">
        <v>276</v>
      </c>
      <c r="E62" s="10" t="s">
        <v>277</v>
      </c>
      <c r="F62" s="11">
        <v>2022.0</v>
      </c>
      <c r="G62" s="9" t="s">
        <v>278</v>
      </c>
      <c r="H62" s="12"/>
      <c r="I62" s="9" t="s">
        <v>152</v>
      </c>
      <c r="J62" s="16"/>
      <c r="N62" s="16"/>
      <c r="O62" s="16"/>
      <c r="P62" s="16" t="str">
        <f t="shared" si="1"/>
        <v/>
      </c>
    </row>
    <row r="63">
      <c r="A63" s="7" t="s">
        <v>279</v>
      </c>
      <c r="B63" s="16"/>
      <c r="C63" s="12"/>
      <c r="D63" s="9" t="s">
        <v>280</v>
      </c>
      <c r="E63" s="10" t="s">
        <v>281</v>
      </c>
      <c r="F63" s="11">
        <v>2024.0</v>
      </c>
      <c r="G63" s="9" t="s">
        <v>282</v>
      </c>
      <c r="H63" s="12"/>
      <c r="I63" s="9" t="s">
        <v>152</v>
      </c>
      <c r="J63" s="16"/>
      <c r="N63" s="16"/>
      <c r="O63" s="16"/>
      <c r="P63" s="16" t="str">
        <f t="shared" si="1"/>
        <v/>
      </c>
    </row>
    <row r="64">
      <c r="A64" s="7" t="s">
        <v>283</v>
      </c>
      <c r="B64" s="16"/>
      <c r="C64" s="12"/>
      <c r="D64" s="9" t="s">
        <v>284</v>
      </c>
      <c r="E64" s="10" t="s">
        <v>285</v>
      </c>
      <c r="F64" s="11">
        <v>2024.0</v>
      </c>
      <c r="G64" s="9" t="s">
        <v>286</v>
      </c>
      <c r="H64" s="12"/>
      <c r="I64" s="9" t="s">
        <v>152</v>
      </c>
      <c r="J64" s="16"/>
      <c r="N64" s="16"/>
      <c r="O64" s="16"/>
      <c r="P64" s="16" t="str">
        <f t="shared" si="1"/>
        <v/>
      </c>
    </row>
    <row r="65">
      <c r="A65" s="7" t="s">
        <v>287</v>
      </c>
      <c r="B65" s="16"/>
      <c r="C65" s="12"/>
      <c r="D65" s="9" t="s">
        <v>288</v>
      </c>
      <c r="E65" s="10" t="s">
        <v>289</v>
      </c>
      <c r="F65" s="11">
        <v>2024.0</v>
      </c>
      <c r="G65" s="9" t="s">
        <v>290</v>
      </c>
      <c r="H65" s="12"/>
      <c r="I65" s="9" t="s">
        <v>152</v>
      </c>
      <c r="J65" s="16"/>
      <c r="N65" s="16"/>
      <c r="O65" s="16"/>
      <c r="P65" s="16" t="str">
        <f t="shared" si="1"/>
        <v/>
      </c>
    </row>
    <row r="66">
      <c r="A66" s="7" t="s">
        <v>291</v>
      </c>
      <c r="B66" s="16"/>
      <c r="C66" s="12"/>
      <c r="D66" s="9" t="s">
        <v>292</v>
      </c>
      <c r="E66" s="10" t="s">
        <v>293</v>
      </c>
      <c r="F66" s="11">
        <v>2022.0</v>
      </c>
      <c r="G66" s="9" t="s">
        <v>294</v>
      </c>
      <c r="H66" s="12"/>
      <c r="I66" s="9" t="s">
        <v>152</v>
      </c>
      <c r="J66" s="16"/>
      <c r="N66" s="16"/>
      <c r="O66" s="16"/>
      <c r="P66" s="16" t="str">
        <f t="shared" si="1"/>
        <v/>
      </c>
    </row>
    <row r="67">
      <c r="A67" s="7" t="s">
        <v>295</v>
      </c>
      <c r="B67" s="16"/>
      <c r="C67" s="12"/>
      <c r="D67" s="9" t="s">
        <v>296</v>
      </c>
      <c r="E67" s="10" t="s">
        <v>297</v>
      </c>
      <c r="F67" s="11">
        <v>2025.0</v>
      </c>
      <c r="G67" s="9" t="s">
        <v>298</v>
      </c>
      <c r="H67" s="12"/>
      <c r="I67" s="9" t="s">
        <v>152</v>
      </c>
      <c r="J67" s="16"/>
      <c r="N67" s="16"/>
      <c r="O67" s="16"/>
      <c r="P67" s="16" t="str">
        <f t="shared" si="1"/>
        <v/>
      </c>
    </row>
    <row r="68">
      <c r="A68" s="7" t="s">
        <v>299</v>
      </c>
      <c r="B68" s="16"/>
      <c r="C68" s="12"/>
      <c r="D68" s="9" t="s">
        <v>300</v>
      </c>
      <c r="E68" s="10" t="s">
        <v>301</v>
      </c>
      <c r="F68" s="11">
        <v>2025.0</v>
      </c>
      <c r="G68" s="9" t="s">
        <v>302</v>
      </c>
      <c r="H68" s="12"/>
      <c r="I68" s="9" t="s">
        <v>152</v>
      </c>
      <c r="J68" s="16"/>
      <c r="N68" s="16"/>
      <c r="O68" s="16"/>
      <c r="P68" s="16" t="str">
        <f t="shared" si="1"/>
        <v/>
      </c>
    </row>
    <row r="69">
      <c r="A69" s="7" t="s">
        <v>303</v>
      </c>
      <c r="B69" s="16"/>
      <c r="C69" s="12"/>
      <c r="D69" s="9" t="s">
        <v>304</v>
      </c>
      <c r="E69" s="10" t="s">
        <v>305</v>
      </c>
      <c r="F69" s="11">
        <v>2024.0</v>
      </c>
      <c r="G69" s="9" t="s">
        <v>306</v>
      </c>
      <c r="H69" s="12"/>
      <c r="I69" s="9" t="s">
        <v>152</v>
      </c>
      <c r="J69" s="16"/>
      <c r="N69" s="16"/>
      <c r="O69" s="16"/>
      <c r="P69" s="16" t="str">
        <f t="shared" si="1"/>
        <v/>
      </c>
    </row>
    <row r="70">
      <c r="A70" s="7" t="s">
        <v>307</v>
      </c>
      <c r="B70" s="16"/>
      <c r="C70" s="12"/>
      <c r="D70" s="9" t="s">
        <v>308</v>
      </c>
      <c r="E70" s="10" t="s">
        <v>309</v>
      </c>
      <c r="F70" s="11">
        <v>2025.0</v>
      </c>
      <c r="G70" s="9" t="s">
        <v>310</v>
      </c>
      <c r="H70" s="12"/>
      <c r="I70" s="9" t="s">
        <v>152</v>
      </c>
      <c r="J70" s="16"/>
      <c r="N70" s="16"/>
      <c r="O70" s="16"/>
      <c r="P70" s="16" t="str">
        <f t="shared" si="1"/>
        <v/>
      </c>
    </row>
    <row r="71">
      <c r="A71" s="7" t="s">
        <v>311</v>
      </c>
      <c r="B71" s="16"/>
      <c r="C71" s="12"/>
      <c r="D71" s="9" t="s">
        <v>312</v>
      </c>
      <c r="E71" s="10" t="s">
        <v>313</v>
      </c>
      <c r="F71" s="11">
        <v>2024.0</v>
      </c>
      <c r="G71" s="9" t="s">
        <v>314</v>
      </c>
      <c r="H71" s="12"/>
      <c r="I71" s="9" t="s">
        <v>152</v>
      </c>
      <c r="J71" s="16"/>
      <c r="N71" s="16"/>
      <c r="O71" s="16"/>
      <c r="P71" s="16" t="str">
        <f t="shared" si="1"/>
        <v/>
      </c>
    </row>
    <row r="72">
      <c r="A72" s="7" t="s">
        <v>315</v>
      </c>
      <c r="B72" s="16"/>
      <c r="C72" s="12"/>
      <c r="D72" s="9" t="s">
        <v>316</v>
      </c>
      <c r="E72" s="10" t="s">
        <v>317</v>
      </c>
      <c r="F72" s="11">
        <v>2025.0</v>
      </c>
      <c r="G72" s="9" t="s">
        <v>318</v>
      </c>
      <c r="H72" s="12"/>
      <c r="I72" s="9" t="s">
        <v>152</v>
      </c>
      <c r="J72" s="16"/>
      <c r="N72" s="16"/>
      <c r="O72" s="16"/>
      <c r="P72" s="16" t="str">
        <f t="shared" si="1"/>
        <v/>
      </c>
    </row>
    <row r="73">
      <c r="A73" s="7" t="s">
        <v>319</v>
      </c>
      <c r="B73" s="16"/>
      <c r="C73" s="12"/>
      <c r="D73" s="9" t="s">
        <v>320</v>
      </c>
      <c r="E73" s="10" t="s">
        <v>321</v>
      </c>
      <c r="F73" s="11">
        <v>2025.0</v>
      </c>
      <c r="G73" s="9" t="s">
        <v>322</v>
      </c>
      <c r="H73" s="12"/>
      <c r="I73" s="9" t="s">
        <v>152</v>
      </c>
      <c r="J73" s="16"/>
      <c r="N73" s="16"/>
      <c r="O73" s="16"/>
      <c r="P73" s="16" t="str">
        <f t="shared" si="1"/>
        <v/>
      </c>
    </row>
    <row r="74">
      <c r="A74" s="7" t="s">
        <v>323</v>
      </c>
      <c r="B74" s="16"/>
      <c r="C74" s="12"/>
      <c r="D74" s="9" t="s">
        <v>324</v>
      </c>
      <c r="E74" s="10" t="s">
        <v>325</v>
      </c>
      <c r="F74" s="11">
        <v>2024.0</v>
      </c>
      <c r="G74" s="9" t="s">
        <v>326</v>
      </c>
      <c r="H74" s="12"/>
      <c r="I74" s="9" t="s">
        <v>152</v>
      </c>
      <c r="J74" s="16"/>
      <c r="N74" s="16"/>
      <c r="O74" s="16"/>
      <c r="P74" s="16" t="str">
        <f t="shared" si="1"/>
        <v/>
      </c>
    </row>
    <row r="75">
      <c r="A75" s="7" t="s">
        <v>327</v>
      </c>
      <c r="B75" s="16"/>
      <c r="C75" s="12"/>
      <c r="D75" s="9" t="s">
        <v>328</v>
      </c>
      <c r="E75" s="10" t="s">
        <v>329</v>
      </c>
      <c r="F75" s="11">
        <v>2025.0</v>
      </c>
      <c r="G75" s="9" t="s">
        <v>330</v>
      </c>
      <c r="H75" s="12"/>
      <c r="I75" s="9" t="s">
        <v>152</v>
      </c>
      <c r="J75" s="16"/>
      <c r="N75" s="16"/>
      <c r="O75" s="16"/>
      <c r="P75" s="16" t="str">
        <f t="shared" si="1"/>
        <v/>
      </c>
    </row>
    <row r="76">
      <c r="A76" s="7" t="s">
        <v>331</v>
      </c>
      <c r="B76" s="16"/>
      <c r="C76" s="12"/>
      <c r="D76" s="9" t="s">
        <v>332</v>
      </c>
      <c r="E76" s="10" t="s">
        <v>333</v>
      </c>
      <c r="F76" s="11">
        <v>2024.0</v>
      </c>
      <c r="G76" s="9" t="s">
        <v>334</v>
      </c>
      <c r="H76" s="12"/>
      <c r="I76" s="9" t="s">
        <v>152</v>
      </c>
      <c r="J76" s="16"/>
      <c r="N76" s="16"/>
      <c r="O76" s="16"/>
      <c r="P76" s="16" t="str">
        <f t="shared" si="1"/>
        <v/>
      </c>
    </row>
    <row r="77">
      <c r="A77" s="7" t="s">
        <v>335</v>
      </c>
      <c r="B77" s="16"/>
      <c r="C77" s="12"/>
      <c r="D77" s="9" t="s">
        <v>336</v>
      </c>
      <c r="E77" s="10" t="s">
        <v>337</v>
      </c>
      <c r="F77" s="11">
        <v>2023.0</v>
      </c>
      <c r="G77" s="9" t="s">
        <v>338</v>
      </c>
      <c r="H77" s="12"/>
      <c r="I77" s="9" t="s">
        <v>152</v>
      </c>
      <c r="J77" s="16"/>
      <c r="N77" s="16"/>
      <c r="O77" s="16"/>
      <c r="P77" s="16" t="str">
        <f t="shared" si="1"/>
        <v/>
      </c>
    </row>
    <row r="78">
      <c r="A78" s="7" t="s">
        <v>339</v>
      </c>
      <c r="B78" s="16"/>
      <c r="C78" s="12"/>
      <c r="D78" s="9" t="s">
        <v>340</v>
      </c>
      <c r="E78" s="10" t="s">
        <v>341</v>
      </c>
      <c r="F78" s="11">
        <v>2024.0</v>
      </c>
      <c r="G78" s="9" t="s">
        <v>342</v>
      </c>
      <c r="H78" s="12"/>
      <c r="I78" s="9" t="s">
        <v>152</v>
      </c>
      <c r="J78" s="16"/>
      <c r="N78" s="16"/>
      <c r="O78" s="16"/>
      <c r="P78" s="16" t="str">
        <f t="shared" si="1"/>
        <v/>
      </c>
    </row>
    <row r="79">
      <c r="A79" s="7" t="s">
        <v>343</v>
      </c>
      <c r="B79" s="16"/>
      <c r="C79" s="12"/>
      <c r="D79" s="9" t="s">
        <v>344</v>
      </c>
      <c r="E79" s="10" t="s">
        <v>345</v>
      </c>
      <c r="F79" s="11">
        <v>2023.0</v>
      </c>
      <c r="G79" s="9" t="s">
        <v>346</v>
      </c>
      <c r="H79" s="12"/>
      <c r="I79" s="9" t="s">
        <v>152</v>
      </c>
      <c r="J79" s="16"/>
      <c r="N79" s="16"/>
      <c r="O79" s="16"/>
      <c r="P79" s="16" t="str">
        <f t="shared" si="1"/>
        <v/>
      </c>
    </row>
    <row r="80">
      <c r="A80" s="7" t="s">
        <v>347</v>
      </c>
      <c r="B80" s="16"/>
      <c r="C80" s="12"/>
      <c r="D80" s="9" t="s">
        <v>348</v>
      </c>
      <c r="E80" s="10" t="s">
        <v>349</v>
      </c>
      <c r="F80" s="11">
        <v>2025.0</v>
      </c>
      <c r="G80" s="9" t="s">
        <v>350</v>
      </c>
      <c r="H80" s="12"/>
      <c r="I80" s="9" t="s">
        <v>152</v>
      </c>
      <c r="J80" s="16"/>
      <c r="N80" s="16"/>
      <c r="O80" s="16"/>
      <c r="P80" s="16" t="str">
        <f t="shared" si="1"/>
        <v/>
      </c>
    </row>
    <row r="81">
      <c r="A81" s="7" t="s">
        <v>351</v>
      </c>
      <c r="B81" s="16"/>
      <c r="C81" s="12"/>
      <c r="D81" s="9" t="s">
        <v>352</v>
      </c>
      <c r="E81" s="10" t="s">
        <v>353</v>
      </c>
      <c r="F81" s="11">
        <v>2025.0</v>
      </c>
      <c r="G81" s="9" t="s">
        <v>354</v>
      </c>
      <c r="H81" s="12"/>
      <c r="I81" s="9" t="s">
        <v>152</v>
      </c>
      <c r="J81" s="16"/>
      <c r="N81" s="16"/>
      <c r="O81" s="16"/>
      <c r="P81" s="16" t="str">
        <f t="shared" si="1"/>
        <v/>
      </c>
    </row>
    <row r="82">
      <c r="A82" s="7" t="s">
        <v>355</v>
      </c>
      <c r="B82" s="16"/>
      <c r="C82" s="12"/>
      <c r="D82" s="9" t="s">
        <v>356</v>
      </c>
      <c r="E82" s="10" t="s">
        <v>357</v>
      </c>
      <c r="F82" s="11">
        <v>2025.0</v>
      </c>
      <c r="G82" s="9" t="s">
        <v>358</v>
      </c>
      <c r="H82" s="12"/>
      <c r="I82" s="9" t="s">
        <v>152</v>
      </c>
      <c r="J82" s="16"/>
      <c r="N82" s="16"/>
      <c r="O82" s="16"/>
      <c r="P82" s="16" t="str">
        <f t="shared" si="1"/>
        <v/>
      </c>
    </row>
    <row r="83">
      <c r="A83" s="7" t="s">
        <v>359</v>
      </c>
      <c r="B83" s="16"/>
      <c r="C83" s="12"/>
      <c r="D83" s="9" t="s">
        <v>360</v>
      </c>
      <c r="E83" s="10" t="s">
        <v>361</v>
      </c>
      <c r="F83" s="11">
        <v>2023.0</v>
      </c>
      <c r="G83" s="9" t="s">
        <v>362</v>
      </c>
      <c r="H83" s="12"/>
      <c r="I83" s="9" t="s">
        <v>152</v>
      </c>
      <c r="J83" s="16"/>
      <c r="N83" s="16"/>
      <c r="O83" s="16"/>
      <c r="P83" s="16" t="str">
        <f t="shared" si="1"/>
        <v/>
      </c>
    </row>
    <row r="84">
      <c r="A84" s="7" t="s">
        <v>363</v>
      </c>
      <c r="B84" s="16"/>
      <c r="C84" s="12"/>
      <c r="D84" s="9" t="s">
        <v>364</v>
      </c>
      <c r="E84" s="10" t="s">
        <v>365</v>
      </c>
      <c r="F84" s="11">
        <v>2025.0</v>
      </c>
      <c r="G84" s="9" t="s">
        <v>366</v>
      </c>
      <c r="H84" s="12"/>
      <c r="I84" s="9" t="s">
        <v>152</v>
      </c>
      <c r="J84" s="16"/>
      <c r="N84" s="16"/>
      <c r="O84" s="16"/>
      <c r="P84" s="16" t="str">
        <f t="shared" si="1"/>
        <v/>
      </c>
    </row>
    <row r="85">
      <c r="A85" s="7" t="s">
        <v>367</v>
      </c>
      <c r="B85" s="16"/>
      <c r="C85" s="12"/>
      <c r="D85" s="9" t="s">
        <v>368</v>
      </c>
      <c r="E85" s="10" t="s">
        <v>369</v>
      </c>
      <c r="F85" s="11">
        <v>2023.0</v>
      </c>
      <c r="G85" s="9" t="s">
        <v>370</v>
      </c>
      <c r="H85" s="12"/>
      <c r="I85" s="9" t="s">
        <v>152</v>
      </c>
      <c r="J85" s="16"/>
      <c r="N85" s="16"/>
      <c r="O85" s="16"/>
      <c r="P85" s="16" t="str">
        <f t="shared" si="1"/>
        <v/>
      </c>
    </row>
    <row r="86">
      <c r="A86" s="7" t="s">
        <v>371</v>
      </c>
      <c r="B86" s="16"/>
      <c r="C86" s="12"/>
      <c r="D86" s="9" t="s">
        <v>372</v>
      </c>
      <c r="E86" s="10" t="s">
        <v>373</v>
      </c>
      <c r="F86" s="11">
        <v>2024.0</v>
      </c>
      <c r="G86" s="9" t="s">
        <v>374</v>
      </c>
      <c r="H86" s="12"/>
      <c r="I86" s="9" t="s">
        <v>152</v>
      </c>
      <c r="J86" s="16"/>
      <c r="N86" s="16"/>
      <c r="O86" s="16"/>
      <c r="P86" s="16" t="str">
        <f t="shared" si="1"/>
        <v/>
      </c>
    </row>
    <row r="87">
      <c r="A87" s="7" t="s">
        <v>375</v>
      </c>
      <c r="B87" s="16"/>
      <c r="C87" s="12"/>
      <c r="D87" s="9" t="s">
        <v>376</v>
      </c>
      <c r="E87" s="10" t="s">
        <v>377</v>
      </c>
      <c r="F87" s="22" t="s">
        <v>115</v>
      </c>
      <c r="G87" s="9" t="s">
        <v>378</v>
      </c>
      <c r="H87" s="12"/>
      <c r="I87" s="13" t="s">
        <v>379</v>
      </c>
      <c r="J87" s="16"/>
      <c r="N87" s="16"/>
      <c r="O87" s="16"/>
      <c r="P87" s="16" t="str">
        <f t="shared" si="1"/>
        <v/>
      </c>
    </row>
    <row r="88">
      <c r="A88" s="7" t="s">
        <v>380</v>
      </c>
      <c r="B88" s="16"/>
      <c r="C88" s="12"/>
      <c r="D88" s="9" t="s">
        <v>381</v>
      </c>
      <c r="E88" s="10" t="s">
        <v>382</v>
      </c>
      <c r="F88" s="22" t="s">
        <v>115</v>
      </c>
      <c r="G88" s="9" t="s">
        <v>383</v>
      </c>
      <c r="H88" s="12"/>
      <c r="I88" s="13" t="s">
        <v>379</v>
      </c>
      <c r="J88" s="16"/>
      <c r="N88" s="16"/>
      <c r="O88" s="16"/>
      <c r="P88" s="16" t="str">
        <f t="shared" si="1"/>
        <v/>
      </c>
    </row>
    <row r="89">
      <c r="A89" s="7" t="s">
        <v>384</v>
      </c>
      <c r="B89" s="16"/>
      <c r="C89" s="12"/>
      <c r="D89" s="18" t="s">
        <v>385</v>
      </c>
      <c r="E89" s="23" t="s">
        <v>386</v>
      </c>
      <c r="F89" s="24" t="s">
        <v>115</v>
      </c>
      <c r="G89" s="18" t="s">
        <v>387</v>
      </c>
      <c r="H89" s="12"/>
      <c r="I89" s="9" t="s">
        <v>379</v>
      </c>
      <c r="J89" s="16"/>
      <c r="N89" s="16"/>
      <c r="O89" s="16"/>
      <c r="P89" s="16" t="str">
        <f t="shared" si="1"/>
        <v/>
      </c>
    </row>
    <row r="90">
      <c r="A90" s="7" t="s">
        <v>388</v>
      </c>
      <c r="B90" s="16"/>
      <c r="C90" s="12"/>
      <c r="D90" s="9" t="s">
        <v>389</v>
      </c>
      <c r="E90" s="10" t="s">
        <v>390</v>
      </c>
      <c r="F90" s="22" t="s">
        <v>91</v>
      </c>
      <c r="G90" s="9" t="s">
        <v>391</v>
      </c>
      <c r="H90" s="12"/>
      <c r="I90" s="9" t="s">
        <v>392</v>
      </c>
      <c r="J90" s="16"/>
      <c r="N90" s="16"/>
      <c r="O90" s="16"/>
      <c r="P90" s="16" t="str">
        <f t="shared" si="1"/>
        <v/>
      </c>
    </row>
    <row r="91">
      <c r="A91" s="7" t="s">
        <v>393</v>
      </c>
      <c r="B91" s="16"/>
      <c r="C91" s="12"/>
      <c r="D91" s="9" t="s">
        <v>394</v>
      </c>
      <c r="E91" s="10" t="s">
        <v>395</v>
      </c>
      <c r="F91" s="22" t="s">
        <v>91</v>
      </c>
      <c r="G91" s="9" t="s">
        <v>396</v>
      </c>
      <c r="H91" s="12"/>
      <c r="I91" s="9" t="s">
        <v>392</v>
      </c>
      <c r="J91" s="16"/>
      <c r="N91" s="16"/>
      <c r="O91" s="16"/>
      <c r="P91" s="16" t="str">
        <f t="shared" si="1"/>
        <v/>
      </c>
    </row>
    <row r="92">
      <c r="A92" s="7" t="s">
        <v>397</v>
      </c>
      <c r="B92" s="16"/>
      <c r="C92" s="12"/>
      <c r="D92" s="9" t="s">
        <v>398</v>
      </c>
      <c r="E92" s="10" t="s">
        <v>399</v>
      </c>
      <c r="F92" s="22" t="s">
        <v>91</v>
      </c>
      <c r="G92" s="9" t="s">
        <v>400</v>
      </c>
      <c r="H92" s="12"/>
      <c r="I92" s="9" t="s">
        <v>392</v>
      </c>
      <c r="J92" s="16"/>
      <c r="N92" s="16"/>
      <c r="O92" s="16"/>
      <c r="P92" s="16" t="str">
        <f t="shared" si="1"/>
        <v/>
      </c>
    </row>
    <row r="93">
      <c r="A93" s="7" t="s">
        <v>401</v>
      </c>
      <c r="B93" s="16"/>
      <c r="C93" s="12"/>
      <c r="D93" s="9" t="s">
        <v>402</v>
      </c>
      <c r="E93" s="10" t="s">
        <v>403</v>
      </c>
      <c r="F93" s="22" t="s">
        <v>91</v>
      </c>
      <c r="G93" s="9" t="s">
        <v>404</v>
      </c>
      <c r="H93" s="12"/>
      <c r="I93" s="9" t="s">
        <v>392</v>
      </c>
      <c r="J93" s="16"/>
      <c r="N93" s="16"/>
      <c r="O93" s="16"/>
      <c r="P93" s="16" t="str">
        <f t="shared" si="1"/>
        <v/>
      </c>
    </row>
    <row r="94">
      <c r="A94" s="7" t="s">
        <v>405</v>
      </c>
      <c r="B94" s="16"/>
      <c r="C94" s="12"/>
      <c r="D94" s="9" t="s">
        <v>406</v>
      </c>
      <c r="E94" s="10" t="s">
        <v>407</v>
      </c>
      <c r="F94" s="22" t="s">
        <v>91</v>
      </c>
      <c r="G94" s="9" t="s">
        <v>408</v>
      </c>
      <c r="H94" s="12"/>
      <c r="I94" s="9" t="s">
        <v>392</v>
      </c>
      <c r="J94" s="16"/>
      <c r="N94" s="16"/>
      <c r="O94" s="16"/>
      <c r="P94" s="16" t="str">
        <f t="shared" si="1"/>
        <v/>
      </c>
    </row>
    <row r="95">
      <c r="A95" s="7" t="s">
        <v>409</v>
      </c>
      <c r="B95" s="16"/>
      <c r="C95" s="12"/>
      <c r="D95" s="9" t="s">
        <v>410</v>
      </c>
      <c r="E95" s="10" t="s">
        <v>411</v>
      </c>
      <c r="F95" s="22" t="s">
        <v>91</v>
      </c>
      <c r="G95" s="9" t="s">
        <v>412</v>
      </c>
      <c r="H95" s="12"/>
      <c r="I95" s="9" t="s">
        <v>392</v>
      </c>
      <c r="J95" s="16"/>
      <c r="N95" s="16"/>
      <c r="O95" s="16"/>
      <c r="P95" s="16" t="str">
        <f t="shared" si="1"/>
        <v/>
      </c>
    </row>
    <row r="96">
      <c r="A96" s="7" t="s">
        <v>413</v>
      </c>
      <c r="B96" s="16"/>
      <c r="C96" s="12"/>
      <c r="D96" s="9" t="s">
        <v>414</v>
      </c>
      <c r="E96" s="10" t="s">
        <v>415</v>
      </c>
      <c r="F96" s="22" t="s">
        <v>91</v>
      </c>
      <c r="G96" s="9" t="s">
        <v>416</v>
      </c>
      <c r="H96" s="12"/>
      <c r="I96" s="9" t="s">
        <v>392</v>
      </c>
      <c r="J96" s="16"/>
      <c r="N96" s="16"/>
      <c r="O96" s="16"/>
      <c r="P96" s="16" t="str">
        <f t="shared" si="1"/>
        <v/>
      </c>
    </row>
    <row r="97">
      <c r="A97" s="7" t="s">
        <v>417</v>
      </c>
      <c r="B97" s="16"/>
      <c r="C97" s="12"/>
      <c r="D97" s="9" t="s">
        <v>418</v>
      </c>
      <c r="E97" s="10" t="s">
        <v>419</v>
      </c>
      <c r="F97" s="22" t="s">
        <v>91</v>
      </c>
      <c r="G97" s="9" t="s">
        <v>420</v>
      </c>
      <c r="H97" s="12"/>
      <c r="I97" s="9" t="s">
        <v>392</v>
      </c>
      <c r="J97" s="16"/>
      <c r="N97" s="16"/>
      <c r="O97" s="16"/>
      <c r="P97" s="16" t="str">
        <f t="shared" si="1"/>
        <v/>
      </c>
    </row>
    <row r="98">
      <c r="A98" s="7" t="s">
        <v>421</v>
      </c>
      <c r="B98" s="16"/>
      <c r="C98" s="12"/>
      <c r="D98" s="9" t="s">
        <v>422</v>
      </c>
      <c r="E98" s="10" t="s">
        <v>423</v>
      </c>
      <c r="F98" s="22" t="s">
        <v>110</v>
      </c>
      <c r="G98" s="9" t="s">
        <v>424</v>
      </c>
      <c r="H98" s="12"/>
      <c r="I98" s="9" t="s">
        <v>392</v>
      </c>
      <c r="J98" s="16"/>
      <c r="N98" s="16"/>
      <c r="O98" s="16"/>
      <c r="P98" s="16" t="str">
        <f t="shared" si="1"/>
        <v/>
      </c>
    </row>
    <row r="99">
      <c r="A99" s="7" t="s">
        <v>425</v>
      </c>
      <c r="B99" s="16"/>
      <c r="C99" s="12"/>
      <c r="D99" s="9" t="s">
        <v>426</v>
      </c>
      <c r="E99" s="10" t="s">
        <v>427</v>
      </c>
      <c r="F99" s="22" t="s">
        <v>110</v>
      </c>
      <c r="G99" s="9" t="s">
        <v>428</v>
      </c>
      <c r="H99" s="12"/>
      <c r="I99" s="9" t="s">
        <v>392</v>
      </c>
      <c r="J99" s="16"/>
      <c r="N99" s="16"/>
      <c r="O99" s="16"/>
      <c r="P99" s="16" t="str">
        <f t="shared" si="1"/>
        <v/>
      </c>
    </row>
    <row r="100">
      <c r="A100" s="7" t="s">
        <v>429</v>
      </c>
      <c r="B100" s="16"/>
      <c r="C100" s="12"/>
      <c r="D100" s="9" t="s">
        <v>430</v>
      </c>
      <c r="E100" s="10" t="s">
        <v>431</v>
      </c>
      <c r="F100" s="22" t="s">
        <v>110</v>
      </c>
      <c r="G100" s="9" t="s">
        <v>432</v>
      </c>
      <c r="H100" s="12"/>
      <c r="I100" s="9" t="s">
        <v>392</v>
      </c>
      <c r="J100" s="16"/>
      <c r="N100" s="16"/>
      <c r="O100" s="16"/>
      <c r="P100" s="16" t="str">
        <f t="shared" si="1"/>
        <v/>
      </c>
    </row>
    <row r="101">
      <c r="A101" s="7" t="s">
        <v>433</v>
      </c>
      <c r="B101" s="16"/>
      <c r="C101" s="12"/>
      <c r="D101" s="9" t="s">
        <v>434</v>
      </c>
      <c r="E101" s="10" t="s">
        <v>435</v>
      </c>
      <c r="F101" s="22" t="s">
        <v>110</v>
      </c>
      <c r="G101" s="9" t="s">
        <v>436</v>
      </c>
      <c r="H101" s="12"/>
      <c r="I101" s="9" t="s">
        <v>392</v>
      </c>
      <c r="J101" s="16"/>
      <c r="N101" s="16"/>
      <c r="O101" s="16"/>
      <c r="P101" s="16" t="str">
        <f t="shared" si="1"/>
        <v/>
      </c>
    </row>
    <row r="102">
      <c r="A102" s="7" t="s">
        <v>437</v>
      </c>
      <c r="B102" s="16"/>
      <c r="C102" s="12"/>
      <c r="D102" s="9" t="s">
        <v>438</v>
      </c>
      <c r="E102" s="10" t="s">
        <v>439</v>
      </c>
      <c r="F102" s="22" t="s">
        <v>110</v>
      </c>
      <c r="G102" s="9" t="s">
        <v>440</v>
      </c>
      <c r="H102" s="12"/>
      <c r="I102" s="9" t="s">
        <v>392</v>
      </c>
      <c r="J102" s="16"/>
      <c r="N102" s="16"/>
      <c r="O102" s="16"/>
      <c r="P102" s="16" t="str">
        <f t="shared" si="1"/>
        <v/>
      </c>
    </row>
    <row r="103">
      <c r="A103" s="7" t="s">
        <v>441</v>
      </c>
      <c r="B103" s="16"/>
      <c r="C103" s="12"/>
      <c r="D103" s="9" t="s">
        <v>442</v>
      </c>
      <c r="E103" s="10" t="s">
        <v>443</v>
      </c>
      <c r="F103" s="22" t="s">
        <v>110</v>
      </c>
      <c r="G103" s="9" t="s">
        <v>444</v>
      </c>
      <c r="H103" s="12"/>
      <c r="I103" s="9" t="s">
        <v>392</v>
      </c>
      <c r="J103" s="16"/>
      <c r="N103" s="16"/>
      <c r="O103" s="16"/>
      <c r="P103" s="16" t="str">
        <f t="shared" si="1"/>
        <v/>
      </c>
    </row>
    <row r="104">
      <c r="A104" s="7" t="s">
        <v>445</v>
      </c>
      <c r="B104" s="16"/>
      <c r="C104" s="12"/>
      <c r="D104" s="9" t="s">
        <v>446</v>
      </c>
      <c r="E104" s="10" t="s">
        <v>447</v>
      </c>
      <c r="F104" s="22" t="s">
        <v>97</v>
      </c>
      <c r="G104" s="9" t="s">
        <v>448</v>
      </c>
      <c r="H104" s="12"/>
      <c r="I104" s="9" t="s">
        <v>392</v>
      </c>
      <c r="J104" s="16"/>
      <c r="N104" s="16"/>
      <c r="O104" s="16"/>
      <c r="P104" s="16" t="str">
        <f t="shared" si="1"/>
        <v/>
      </c>
    </row>
    <row r="105">
      <c r="A105" s="7" t="s">
        <v>449</v>
      </c>
      <c r="B105" s="16"/>
      <c r="C105" s="12"/>
      <c r="D105" s="9" t="s">
        <v>450</v>
      </c>
      <c r="E105" s="10" t="s">
        <v>451</v>
      </c>
      <c r="F105" s="22" t="s">
        <v>97</v>
      </c>
      <c r="G105" s="9" t="s">
        <v>452</v>
      </c>
      <c r="H105" s="12"/>
      <c r="I105" s="9" t="s">
        <v>392</v>
      </c>
      <c r="J105" s="16"/>
      <c r="N105" s="16"/>
      <c r="O105" s="16"/>
      <c r="P105" s="16" t="str">
        <f t="shared" si="1"/>
        <v/>
      </c>
    </row>
    <row r="106">
      <c r="A106" s="7" t="s">
        <v>453</v>
      </c>
      <c r="B106" s="16"/>
      <c r="C106" s="12"/>
      <c r="D106" s="9" t="s">
        <v>454</v>
      </c>
      <c r="E106" s="10" t="s">
        <v>455</v>
      </c>
      <c r="F106" s="22" t="s">
        <v>97</v>
      </c>
      <c r="G106" s="9" t="s">
        <v>456</v>
      </c>
      <c r="H106" s="12"/>
      <c r="I106" s="9" t="s">
        <v>392</v>
      </c>
      <c r="J106" s="16"/>
      <c r="N106" s="16"/>
      <c r="O106" s="16"/>
      <c r="P106" s="16" t="str">
        <f t="shared" si="1"/>
        <v/>
      </c>
    </row>
    <row r="107">
      <c r="A107" s="7" t="s">
        <v>457</v>
      </c>
      <c r="B107" s="16"/>
      <c r="C107" s="12"/>
      <c r="D107" s="9" t="s">
        <v>458</v>
      </c>
      <c r="E107" s="10" t="s">
        <v>459</v>
      </c>
      <c r="F107" s="22" t="s">
        <v>97</v>
      </c>
      <c r="G107" s="9" t="s">
        <v>460</v>
      </c>
      <c r="H107" s="12"/>
      <c r="I107" s="9" t="s">
        <v>392</v>
      </c>
      <c r="J107" s="16"/>
      <c r="N107" s="16"/>
      <c r="O107" s="16"/>
      <c r="P107" s="16" t="str">
        <f t="shared" si="1"/>
        <v/>
      </c>
    </row>
    <row r="108">
      <c r="A108" s="7" t="s">
        <v>461</v>
      </c>
      <c r="B108" s="16"/>
      <c r="C108" s="12"/>
      <c r="D108" s="9" t="s">
        <v>462</v>
      </c>
      <c r="E108" s="10" t="s">
        <v>463</v>
      </c>
      <c r="F108" s="22" t="s">
        <v>97</v>
      </c>
      <c r="G108" s="9" t="s">
        <v>464</v>
      </c>
      <c r="H108" s="12"/>
      <c r="I108" s="9" t="s">
        <v>392</v>
      </c>
      <c r="J108" s="16"/>
      <c r="N108" s="16"/>
      <c r="O108" s="16"/>
      <c r="P108" s="16" t="str">
        <f t="shared" si="1"/>
        <v/>
      </c>
    </row>
    <row r="109">
      <c r="A109" s="7" t="s">
        <v>465</v>
      </c>
      <c r="B109" s="16"/>
      <c r="C109" s="12"/>
      <c r="D109" s="9" t="s">
        <v>466</v>
      </c>
      <c r="E109" s="10" t="s">
        <v>467</v>
      </c>
      <c r="F109" s="22" t="s">
        <v>97</v>
      </c>
      <c r="G109" s="9" t="s">
        <v>468</v>
      </c>
      <c r="H109" s="12"/>
      <c r="I109" s="9" t="s">
        <v>392</v>
      </c>
      <c r="J109" s="16"/>
      <c r="N109" s="16"/>
      <c r="O109" s="16"/>
      <c r="P109" s="16" t="str">
        <f t="shared" si="1"/>
        <v/>
      </c>
    </row>
    <row r="110">
      <c r="A110" s="7" t="s">
        <v>469</v>
      </c>
      <c r="B110" s="16"/>
      <c r="C110" s="12"/>
      <c r="D110" s="9" t="s">
        <v>470</v>
      </c>
      <c r="E110" s="10" t="s">
        <v>471</v>
      </c>
      <c r="F110" s="22" t="s">
        <v>97</v>
      </c>
      <c r="G110" s="9" t="s">
        <v>472</v>
      </c>
      <c r="H110" s="12"/>
      <c r="I110" s="9" t="s">
        <v>392</v>
      </c>
      <c r="J110" s="16"/>
      <c r="N110" s="16"/>
      <c r="O110" s="16"/>
      <c r="P110" s="16" t="str">
        <f t="shared" si="1"/>
        <v/>
      </c>
    </row>
    <row r="111">
      <c r="A111" s="7" t="s">
        <v>473</v>
      </c>
      <c r="B111" s="16"/>
      <c r="C111" s="12"/>
      <c r="D111" s="9" t="s">
        <v>474</v>
      </c>
      <c r="E111" s="10" t="s">
        <v>475</v>
      </c>
      <c r="F111" s="22" t="s">
        <v>97</v>
      </c>
      <c r="G111" s="9" t="s">
        <v>476</v>
      </c>
      <c r="H111" s="12"/>
      <c r="I111" s="9" t="s">
        <v>392</v>
      </c>
      <c r="J111" s="16"/>
      <c r="N111" s="16"/>
      <c r="O111" s="16"/>
      <c r="P111" s="16" t="str">
        <f t="shared" si="1"/>
        <v/>
      </c>
    </row>
    <row r="112">
      <c r="A112" s="7" t="s">
        <v>477</v>
      </c>
      <c r="B112" s="16"/>
      <c r="C112" s="12"/>
      <c r="D112" s="9" t="s">
        <v>478</v>
      </c>
      <c r="E112" s="10" t="s">
        <v>479</v>
      </c>
      <c r="F112" s="22" t="s">
        <v>97</v>
      </c>
      <c r="G112" s="9" t="s">
        <v>480</v>
      </c>
      <c r="H112" s="12"/>
      <c r="I112" s="9" t="s">
        <v>392</v>
      </c>
      <c r="J112" s="16"/>
      <c r="N112" s="16"/>
      <c r="O112" s="16"/>
      <c r="P112" s="16" t="str">
        <f t="shared" si="1"/>
        <v/>
      </c>
    </row>
    <row r="113">
      <c r="A113" s="7" t="s">
        <v>481</v>
      </c>
      <c r="B113" s="16"/>
      <c r="C113" s="12"/>
      <c r="D113" s="9" t="s">
        <v>482</v>
      </c>
      <c r="E113" s="10" t="s">
        <v>483</v>
      </c>
      <c r="F113" s="22" t="s">
        <v>97</v>
      </c>
      <c r="G113" s="9" t="s">
        <v>484</v>
      </c>
      <c r="H113" s="12"/>
      <c r="I113" s="9" t="s">
        <v>392</v>
      </c>
      <c r="J113" s="16"/>
      <c r="N113" s="16"/>
      <c r="O113" s="16"/>
      <c r="P113" s="16" t="str">
        <f t="shared" si="1"/>
        <v/>
      </c>
    </row>
    <row r="114">
      <c r="A114" s="7" t="s">
        <v>485</v>
      </c>
      <c r="B114" s="16"/>
      <c r="C114" s="12"/>
      <c r="D114" s="9" t="s">
        <v>486</v>
      </c>
      <c r="E114" s="10" t="s">
        <v>487</v>
      </c>
      <c r="F114" s="22" t="s">
        <v>97</v>
      </c>
      <c r="G114" s="9" t="s">
        <v>488</v>
      </c>
      <c r="H114" s="12"/>
      <c r="I114" s="9" t="s">
        <v>392</v>
      </c>
      <c r="J114" s="16"/>
      <c r="N114" s="16"/>
      <c r="O114" s="16"/>
      <c r="P114" s="16" t="str">
        <f t="shared" si="1"/>
        <v/>
      </c>
    </row>
    <row r="115">
      <c r="A115" s="7" t="s">
        <v>489</v>
      </c>
      <c r="B115" s="16"/>
      <c r="C115" s="12"/>
      <c r="D115" s="9" t="s">
        <v>490</v>
      </c>
      <c r="E115" s="10" t="s">
        <v>491</v>
      </c>
      <c r="F115" s="22" t="s">
        <v>86</v>
      </c>
      <c r="G115" s="9" t="s">
        <v>492</v>
      </c>
      <c r="H115" s="12"/>
      <c r="I115" s="9" t="s">
        <v>392</v>
      </c>
      <c r="J115" s="16"/>
      <c r="N115" s="16"/>
      <c r="O115" s="16"/>
      <c r="P115" s="16" t="str">
        <f t="shared" si="1"/>
        <v/>
      </c>
    </row>
    <row r="116">
      <c r="A116" s="7" t="s">
        <v>493</v>
      </c>
      <c r="B116" s="16"/>
      <c r="C116" s="12"/>
      <c r="D116" s="9" t="s">
        <v>494</v>
      </c>
      <c r="E116" s="10" t="s">
        <v>495</v>
      </c>
      <c r="F116" s="22" t="s">
        <v>86</v>
      </c>
      <c r="G116" s="9" t="s">
        <v>496</v>
      </c>
      <c r="H116" s="12"/>
      <c r="I116" s="9" t="s">
        <v>392</v>
      </c>
      <c r="J116" s="16"/>
      <c r="N116" s="16"/>
      <c r="O116" s="16"/>
      <c r="P116" s="16" t="str">
        <f t="shared" si="1"/>
        <v/>
      </c>
    </row>
    <row r="117">
      <c r="A117" s="7" t="s">
        <v>497</v>
      </c>
      <c r="B117" s="16"/>
      <c r="C117" s="12"/>
      <c r="D117" s="9" t="s">
        <v>498</v>
      </c>
      <c r="E117" s="10" t="s">
        <v>499</v>
      </c>
      <c r="F117" s="22" t="s">
        <v>86</v>
      </c>
      <c r="G117" s="9" t="s">
        <v>500</v>
      </c>
      <c r="H117" s="12"/>
      <c r="I117" s="9" t="s">
        <v>392</v>
      </c>
      <c r="J117" s="16"/>
      <c r="N117" s="16"/>
      <c r="O117" s="16"/>
      <c r="P117" s="16" t="str">
        <f t="shared" si="1"/>
        <v/>
      </c>
    </row>
    <row r="118">
      <c r="A118" s="7" t="s">
        <v>501</v>
      </c>
      <c r="B118" s="16"/>
      <c r="C118" s="12"/>
      <c r="D118" s="9" t="s">
        <v>84</v>
      </c>
      <c r="E118" s="10" t="s">
        <v>502</v>
      </c>
      <c r="F118" s="22" t="s">
        <v>86</v>
      </c>
      <c r="G118" s="9" t="s">
        <v>503</v>
      </c>
      <c r="H118" s="12"/>
      <c r="I118" s="9" t="s">
        <v>392</v>
      </c>
      <c r="J118" s="16"/>
      <c r="N118" s="16"/>
      <c r="O118" s="16"/>
      <c r="P118" s="16" t="str">
        <f t="shared" si="1"/>
        <v/>
      </c>
    </row>
    <row r="119">
      <c r="A119" s="7" t="s">
        <v>504</v>
      </c>
      <c r="B119" s="16"/>
      <c r="C119" s="12"/>
      <c r="D119" s="9" t="s">
        <v>505</v>
      </c>
      <c r="E119" s="10" t="s">
        <v>506</v>
      </c>
      <c r="F119" s="22" t="s">
        <v>74</v>
      </c>
      <c r="G119" s="9" t="s">
        <v>507</v>
      </c>
      <c r="H119" s="12"/>
      <c r="I119" s="9" t="s">
        <v>392</v>
      </c>
      <c r="J119" s="16"/>
      <c r="N119" s="16"/>
      <c r="O119" s="16"/>
      <c r="P119" s="16" t="str">
        <f t="shared" si="1"/>
        <v/>
      </c>
    </row>
    <row r="120">
      <c r="A120" s="7" t="s">
        <v>508</v>
      </c>
      <c r="B120" s="16"/>
      <c r="C120" s="12"/>
      <c r="D120" s="9" t="s">
        <v>509</v>
      </c>
      <c r="E120" s="10" t="s">
        <v>510</v>
      </c>
      <c r="F120" s="22" t="s">
        <v>74</v>
      </c>
      <c r="G120" s="9" t="s">
        <v>511</v>
      </c>
      <c r="H120" s="12"/>
      <c r="I120" s="9" t="s">
        <v>392</v>
      </c>
      <c r="J120" s="16"/>
      <c r="N120" s="16"/>
      <c r="O120" s="16"/>
      <c r="P120" s="16" t="str">
        <f t="shared" si="1"/>
        <v/>
      </c>
    </row>
    <row r="121">
      <c r="A121" s="7" t="s">
        <v>512</v>
      </c>
      <c r="B121" s="16"/>
      <c r="C121" s="12"/>
      <c r="D121" s="9" t="s">
        <v>513</v>
      </c>
      <c r="E121" s="10" t="s">
        <v>514</v>
      </c>
      <c r="F121" s="22" t="s">
        <v>74</v>
      </c>
      <c r="G121" s="9" t="s">
        <v>515</v>
      </c>
      <c r="H121" s="12"/>
      <c r="I121" s="9" t="s">
        <v>392</v>
      </c>
      <c r="J121" s="16"/>
      <c r="N121" s="16"/>
      <c r="O121" s="16"/>
      <c r="P121" s="16" t="str">
        <f t="shared" si="1"/>
        <v/>
      </c>
    </row>
    <row r="122">
      <c r="A122" s="7" t="s">
        <v>516</v>
      </c>
      <c r="B122" s="16"/>
      <c r="C122" s="12"/>
      <c r="D122" s="9" t="s">
        <v>517</v>
      </c>
      <c r="E122" s="10" t="s">
        <v>518</v>
      </c>
      <c r="F122" s="22" t="s">
        <v>74</v>
      </c>
      <c r="G122" s="9" t="s">
        <v>519</v>
      </c>
      <c r="H122" s="12"/>
      <c r="I122" s="9" t="s">
        <v>392</v>
      </c>
      <c r="J122" s="16"/>
      <c r="N122" s="16"/>
      <c r="O122" s="16"/>
      <c r="P122" s="16" t="str">
        <f t="shared" si="1"/>
        <v/>
      </c>
    </row>
    <row r="123">
      <c r="A123" s="7" t="s">
        <v>520</v>
      </c>
      <c r="B123" s="16"/>
      <c r="C123" s="12"/>
      <c r="D123" s="9" t="s">
        <v>521</v>
      </c>
      <c r="E123" s="10" t="s">
        <v>522</v>
      </c>
      <c r="F123" s="22" t="s">
        <v>74</v>
      </c>
      <c r="G123" s="9" t="s">
        <v>523</v>
      </c>
      <c r="H123" s="12"/>
      <c r="I123" s="9" t="s">
        <v>392</v>
      </c>
      <c r="J123" s="16"/>
      <c r="N123" s="16"/>
      <c r="O123" s="16"/>
      <c r="P123" s="16" t="str">
        <f t="shared" si="1"/>
        <v/>
      </c>
    </row>
    <row r="124">
      <c r="B124" s="16"/>
      <c r="C124" s="12"/>
      <c r="D124" s="12"/>
      <c r="E124" s="12"/>
      <c r="F124" s="25"/>
      <c r="G124" s="12"/>
      <c r="H124" s="12"/>
      <c r="I124" s="12"/>
      <c r="J124" s="16"/>
      <c r="N124" s="16"/>
      <c r="O124" s="16"/>
      <c r="P124" s="16" t="str">
        <f t="shared" si="1"/>
        <v/>
      </c>
    </row>
    <row r="125">
      <c r="B125" s="16"/>
      <c r="C125" s="12"/>
      <c r="D125" s="12"/>
      <c r="E125" s="12"/>
      <c r="F125" s="25"/>
      <c r="G125" s="12"/>
      <c r="H125" s="12"/>
      <c r="I125" s="12"/>
      <c r="J125" s="16"/>
      <c r="N125" s="16"/>
      <c r="O125" s="16"/>
      <c r="P125" s="16" t="str">
        <f t="shared" si="1"/>
        <v/>
      </c>
    </row>
    <row r="126">
      <c r="B126" s="16"/>
      <c r="C126" s="12"/>
      <c r="D126" s="12"/>
      <c r="E126" s="12"/>
      <c r="F126" s="25"/>
      <c r="G126" s="12"/>
      <c r="H126" s="12"/>
      <c r="I126" s="12"/>
      <c r="J126" s="16"/>
      <c r="N126" s="16"/>
      <c r="O126" s="16"/>
      <c r="P126" s="16" t="str">
        <f t="shared" si="1"/>
        <v/>
      </c>
    </row>
    <row r="127">
      <c r="B127" s="16"/>
      <c r="C127" s="12"/>
      <c r="D127" s="12"/>
      <c r="E127" s="12"/>
      <c r="F127" s="25"/>
      <c r="G127" s="12"/>
      <c r="H127" s="12"/>
      <c r="I127" s="12"/>
      <c r="J127" s="16"/>
      <c r="N127" s="16"/>
      <c r="O127" s="16"/>
      <c r="P127" s="16" t="str">
        <f t="shared" si="1"/>
        <v/>
      </c>
    </row>
    <row r="128">
      <c r="B128" s="16"/>
      <c r="C128" s="12"/>
      <c r="D128" s="12"/>
      <c r="E128" s="12"/>
      <c r="F128" s="25"/>
      <c r="G128" s="12"/>
      <c r="H128" s="12"/>
      <c r="I128" s="12"/>
      <c r="J128" s="16"/>
      <c r="N128" s="16"/>
      <c r="O128" s="16"/>
      <c r="P128" s="16" t="str">
        <f t="shared" si="1"/>
        <v/>
      </c>
    </row>
    <row r="129">
      <c r="B129" s="16"/>
      <c r="C129" s="12"/>
      <c r="D129" s="12"/>
      <c r="E129" s="12"/>
      <c r="F129" s="25"/>
      <c r="G129" s="12"/>
      <c r="H129" s="12"/>
      <c r="I129" s="12"/>
      <c r="J129" s="16"/>
      <c r="N129" s="16"/>
      <c r="O129" s="16"/>
      <c r="P129" s="16" t="str">
        <f t="shared" si="1"/>
        <v/>
      </c>
    </row>
    <row r="130">
      <c r="B130" s="16"/>
      <c r="C130" s="12"/>
      <c r="D130" s="12"/>
      <c r="E130" s="12"/>
      <c r="F130" s="25"/>
      <c r="G130" s="12"/>
      <c r="H130" s="12"/>
      <c r="I130" s="12"/>
      <c r="J130" s="16"/>
      <c r="N130" s="16"/>
      <c r="O130" s="16"/>
      <c r="P130" s="16" t="str">
        <f t="shared" si="1"/>
        <v/>
      </c>
    </row>
    <row r="131">
      <c r="B131" s="16"/>
      <c r="C131" s="12"/>
      <c r="D131" s="12"/>
      <c r="E131" s="12"/>
      <c r="F131" s="25"/>
      <c r="G131" s="12"/>
      <c r="H131" s="12"/>
      <c r="I131" s="12"/>
      <c r="J131" s="16"/>
      <c r="N131" s="16"/>
      <c r="O131" s="16"/>
      <c r="P131" s="16" t="str">
        <f t="shared" si="1"/>
        <v/>
      </c>
    </row>
    <row r="132">
      <c r="B132" s="16"/>
      <c r="C132" s="12"/>
      <c r="D132" s="12"/>
      <c r="E132" s="12"/>
      <c r="F132" s="25"/>
      <c r="G132" s="12"/>
      <c r="H132" s="12"/>
      <c r="I132" s="12"/>
      <c r="J132" s="16"/>
      <c r="N132" s="16"/>
      <c r="O132" s="16"/>
      <c r="P132" s="16" t="str">
        <f t="shared" si="1"/>
        <v/>
      </c>
    </row>
    <row r="133">
      <c r="B133" s="16"/>
      <c r="C133" s="12"/>
      <c r="D133" s="12"/>
      <c r="E133" s="12"/>
      <c r="F133" s="25"/>
      <c r="G133" s="12"/>
      <c r="H133" s="12"/>
      <c r="I133" s="12"/>
      <c r="J133" s="16"/>
      <c r="N133" s="16"/>
      <c r="O133" s="16"/>
      <c r="P133" s="16" t="str">
        <f t="shared" si="1"/>
        <v/>
      </c>
    </row>
    <row r="134">
      <c r="B134" s="16"/>
      <c r="C134" s="12"/>
      <c r="D134" s="12"/>
      <c r="E134" s="12"/>
      <c r="F134" s="25"/>
      <c r="G134" s="12"/>
      <c r="H134" s="12"/>
      <c r="I134" s="12"/>
      <c r="J134" s="16"/>
      <c r="N134" s="16"/>
      <c r="O134" s="16"/>
      <c r="P134" s="16" t="str">
        <f t="shared" si="1"/>
        <v/>
      </c>
    </row>
    <row r="135">
      <c r="B135" s="16"/>
      <c r="C135" s="12"/>
      <c r="D135" s="12"/>
      <c r="E135" s="12"/>
      <c r="F135" s="25"/>
      <c r="G135" s="12"/>
      <c r="H135" s="12"/>
      <c r="I135" s="12"/>
      <c r="J135" s="16"/>
      <c r="N135" s="16"/>
      <c r="O135" s="16"/>
      <c r="P135" s="16" t="str">
        <f t="shared" si="1"/>
        <v/>
      </c>
    </row>
    <row r="136">
      <c r="B136" s="16"/>
      <c r="C136" s="12"/>
      <c r="D136" s="12"/>
      <c r="E136" s="12"/>
      <c r="F136" s="25"/>
      <c r="G136" s="12"/>
      <c r="H136" s="12"/>
      <c r="I136" s="12"/>
      <c r="J136" s="16"/>
      <c r="N136" s="16"/>
      <c r="O136" s="16"/>
      <c r="P136" s="16" t="str">
        <f t="shared" si="1"/>
        <v/>
      </c>
    </row>
    <row r="137">
      <c r="B137" s="16"/>
      <c r="C137" s="12"/>
      <c r="D137" s="12"/>
      <c r="E137" s="12"/>
      <c r="F137" s="25"/>
      <c r="G137" s="12"/>
      <c r="H137" s="12"/>
      <c r="I137" s="12"/>
      <c r="J137" s="16"/>
      <c r="N137" s="16"/>
      <c r="O137" s="16"/>
      <c r="P137" s="16" t="str">
        <f t="shared" si="1"/>
        <v/>
      </c>
    </row>
    <row r="138">
      <c r="B138" s="16"/>
      <c r="C138" s="12"/>
      <c r="D138" s="12"/>
      <c r="E138" s="12"/>
      <c r="F138" s="25"/>
      <c r="G138" s="12"/>
      <c r="H138" s="12"/>
      <c r="I138" s="12"/>
      <c r="J138" s="16"/>
      <c r="N138" s="16"/>
      <c r="O138" s="16"/>
      <c r="P138" s="16" t="str">
        <f t="shared" si="1"/>
        <v/>
      </c>
    </row>
    <row r="139">
      <c r="B139" s="16"/>
      <c r="C139" s="12"/>
      <c r="D139" s="12"/>
      <c r="E139" s="12"/>
      <c r="F139" s="25"/>
      <c r="G139" s="12"/>
      <c r="H139" s="12"/>
      <c r="I139" s="12"/>
      <c r="J139" s="16"/>
      <c r="N139" s="16"/>
      <c r="O139" s="16"/>
      <c r="P139" s="16" t="str">
        <f t="shared" si="1"/>
        <v/>
      </c>
    </row>
    <row r="140">
      <c r="B140" s="16"/>
      <c r="C140" s="12"/>
      <c r="D140" s="12"/>
      <c r="E140" s="12"/>
      <c r="F140" s="25"/>
      <c r="G140" s="12"/>
      <c r="H140" s="12"/>
      <c r="I140" s="12"/>
      <c r="J140" s="16"/>
      <c r="N140" s="16"/>
      <c r="O140" s="16"/>
      <c r="P140" s="16" t="str">
        <f t="shared" si="1"/>
        <v/>
      </c>
    </row>
    <row r="141">
      <c r="B141" s="16"/>
      <c r="C141" s="12"/>
      <c r="D141" s="12"/>
      <c r="E141" s="12"/>
      <c r="F141" s="25"/>
      <c r="G141" s="12"/>
      <c r="H141" s="12"/>
      <c r="I141" s="12"/>
      <c r="J141" s="16"/>
      <c r="N141" s="16"/>
      <c r="O141" s="16"/>
      <c r="P141" s="16" t="str">
        <f t="shared" si="1"/>
        <v/>
      </c>
    </row>
    <row r="142">
      <c r="B142" s="16"/>
      <c r="C142" s="12"/>
      <c r="D142" s="12"/>
      <c r="E142" s="12"/>
      <c r="F142" s="25"/>
      <c r="G142" s="12"/>
      <c r="H142" s="12"/>
      <c r="I142" s="12"/>
      <c r="J142" s="16"/>
      <c r="N142" s="16"/>
      <c r="O142" s="16"/>
      <c r="P142" s="16" t="str">
        <f t="shared" si="1"/>
        <v/>
      </c>
    </row>
    <row r="143">
      <c r="B143" s="16"/>
      <c r="C143" s="12"/>
      <c r="D143" s="12"/>
      <c r="E143" s="12"/>
      <c r="F143" s="25"/>
      <c r="G143" s="12"/>
      <c r="H143" s="12"/>
      <c r="I143" s="12"/>
      <c r="J143" s="16"/>
      <c r="N143" s="16"/>
      <c r="O143" s="16"/>
      <c r="P143" s="16" t="str">
        <f t="shared" si="1"/>
        <v/>
      </c>
    </row>
    <row r="144">
      <c r="B144" s="16"/>
      <c r="C144" s="12"/>
      <c r="D144" s="12"/>
      <c r="E144" s="12"/>
      <c r="F144" s="25"/>
      <c r="G144" s="12"/>
      <c r="H144" s="12"/>
      <c r="I144" s="12"/>
      <c r="J144" s="16"/>
      <c r="N144" s="16"/>
      <c r="O144" s="16"/>
      <c r="P144" s="16" t="str">
        <f t="shared" si="1"/>
        <v/>
      </c>
    </row>
    <row r="145">
      <c r="B145" s="16"/>
      <c r="C145" s="12"/>
      <c r="D145" s="12"/>
      <c r="E145" s="12"/>
      <c r="F145" s="25"/>
      <c r="G145" s="12"/>
      <c r="H145" s="12"/>
      <c r="I145" s="12"/>
      <c r="J145" s="16"/>
      <c r="N145" s="16"/>
      <c r="O145" s="16"/>
      <c r="P145" s="16" t="str">
        <f t="shared" si="1"/>
        <v/>
      </c>
    </row>
    <row r="146">
      <c r="B146" s="16"/>
      <c r="C146" s="12"/>
      <c r="D146" s="12"/>
      <c r="E146" s="12"/>
      <c r="F146" s="25"/>
      <c r="G146" s="12"/>
      <c r="H146" s="12"/>
      <c r="I146" s="12"/>
      <c r="J146" s="16"/>
      <c r="N146" s="16"/>
      <c r="O146" s="16"/>
      <c r="P146" s="16" t="str">
        <f t="shared" si="1"/>
        <v/>
      </c>
    </row>
    <row r="147">
      <c r="B147" s="16"/>
      <c r="C147" s="12"/>
      <c r="D147" s="12"/>
      <c r="E147" s="12"/>
      <c r="F147" s="25"/>
      <c r="G147" s="12"/>
      <c r="H147" s="12"/>
      <c r="I147" s="12"/>
      <c r="J147" s="16"/>
      <c r="N147" s="16"/>
      <c r="O147" s="16"/>
      <c r="P147" s="16" t="str">
        <f t="shared" si="1"/>
        <v/>
      </c>
    </row>
    <row r="148">
      <c r="B148" s="16"/>
      <c r="C148" s="12"/>
      <c r="D148" s="12"/>
      <c r="E148" s="12"/>
      <c r="F148" s="25"/>
      <c r="G148" s="12"/>
      <c r="H148" s="12"/>
      <c r="I148" s="12"/>
      <c r="J148" s="16"/>
      <c r="N148" s="16"/>
      <c r="O148" s="16"/>
      <c r="P148" s="16" t="str">
        <f t="shared" si="1"/>
        <v/>
      </c>
    </row>
    <row r="149">
      <c r="B149" s="16"/>
      <c r="C149" s="12"/>
      <c r="D149" s="12"/>
      <c r="E149" s="12"/>
      <c r="F149" s="25"/>
      <c r="G149" s="12"/>
      <c r="H149" s="12"/>
      <c r="I149" s="12"/>
      <c r="J149" s="16"/>
      <c r="N149" s="16"/>
      <c r="O149" s="16"/>
      <c r="P149" s="16" t="str">
        <f t="shared" si="1"/>
        <v/>
      </c>
    </row>
    <row r="150">
      <c r="B150" s="16"/>
      <c r="C150" s="12"/>
      <c r="D150" s="12"/>
      <c r="E150" s="12"/>
      <c r="F150" s="25"/>
      <c r="G150" s="12"/>
      <c r="H150" s="12"/>
      <c r="I150" s="12"/>
      <c r="J150" s="16"/>
      <c r="N150" s="16"/>
      <c r="O150" s="16"/>
      <c r="P150" s="16" t="str">
        <f t="shared" si="1"/>
        <v/>
      </c>
    </row>
    <row r="151">
      <c r="B151" s="16"/>
      <c r="C151" s="12"/>
      <c r="D151" s="12"/>
      <c r="E151" s="12"/>
      <c r="F151" s="25"/>
      <c r="G151" s="12"/>
      <c r="H151" s="12"/>
      <c r="I151" s="12"/>
      <c r="J151" s="16"/>
      <c r="N151" s="16"/>
      <c r="O151" s="16"/>
      <c r="P151" s="16" t="str">
        <f t="shared" si="1"/>
        <v/>
      </c>
    </row>
    <row r="152">
      <c r="B152" s="16"/>
      <c r="C152" s="12"/>
      <c r="D152" s="12"/>
      <c r="E152" s="12"/>
      <c r="F152" s="25"/>
      <c r="G152" s="12"/>
      <c r="H152" s="12"/>
      <c r="I152" s="12"/>
      <c r="J152" s="16"/>
      <c r="N152" s="16"/>
      <c r="O152" s="16"/>
      <c r="P152" s="16" t="str">
        <f t="shared" si="1"/>
        <v/>
      </c>
    </row>
    <row r="153">
      <c r="B153" s="16"/>
      <c r="C153" s="12"/>
      <c r="D153" s="12"/>
      <c r="E153" s="12"/>
      <c r="F153" s="25"/>
      <c r="G153" s="12"/>
      <c r="H153" s="12"/>
      <c r="I153" s="12"/>
      <c r="J153" s="16"/>
      <c r="N153" s="16"/>
      <c r="O153" s="16"/>
      <c r="P153" s="16" t="str">
        <f t="shared" si="1"/>
        <v/>
      </c>
    </row>
    <row r="154">
      <c r="B154" s="16"/>
      <c r="C154" s="12"/>
      <c r="D154" s="12"/>
      <c r="E154" s="12"/>
      <c r="F154" s="25"/>
      <c r="G154" s="12"/>
      <c r="H154" s="12"/>
      <c r="I154" s="12"/>
      <c r="J154" s="16"/>
      <c r="N154" s="16"/>
      <c r="O154" s="16"/>
      <c r="P154" s="16" t="str">
        <f t="shared" si="1"/>
        <v/>
      </c>
    </row>
    <row r="155">
      <c r="B155" s="16"/>
      <c r="C155" s="12"/>
      <c r="D155" s="12"/>
      <c r="E155" s="12"/>
      <c r="F155" s="25"/>
      <c r="G155" s="12"/>
      <c r="H155" s="12"/>
      <c r="I155" s="12"/>
      <c r="J155" s="16"/>
      <c r="N155" s="16"/>
      <c r="O155" s="16"/>
      <c r="P155" s="16" t="str">
        <f t="shared" si="1"/>
        <v/>
      </c>
    </row>
    <row r="156">
      <c r="B156" s="16"/>
      <c r="C156" s="12"/>
      <c r="D156" s="12"/>
      <c r="E156" s="12"/>
      <c r="F156" s="25"/>
      <c r="G156" s="12"/>
      <c r="H156" s="12"/>
      <c r="I156" s="12"/>
      <c r="J156" s="16"/>
      <c r="N156" s="16"/>
      <c r="O156" s="16"/>
      <c r="P156" s="16" t="str">
        <f t="shared" si="1"/>
        <v/>
      </c>
    </row>
    <row r="157">
      <c r="B157" s="16"/>
      <c r="C157" s="12"/>
      <c r="D157" s="12"/>
      <c r="E157" s="12"/>
      <c r="F157" s="25"/>
      <c r="G157" s="12"/>
      <c r="H157" s="12"/>
      <c r="I157" s="12"/>
      <c r="J157" s="16"/>
      <c r="N157" s="16"/>
      <c r="O157" s="16"/>
      <c r="P157" s="16" t="str">
        <f t="shared" si="1"/>
        <v/>
      </c>
    </row>
    <row r="158">
      <c r="B158" s="16"/>
      <c r="C158" s="12"/>
      <c r="D158" s="12"/>
      <c r="E158" s="12"/>
      <c r="F158" s="25"/>
      <c r="G158" s="12"/>
      <c r="H158" s="12"/>
      <c r="I158" s="12"/>
      <c r="J158" s="16"/>
      <c r="N158" s="16"/>
      <c r="O158" s="16"/>
      <c r="P158" s="16" t="str">
        <f t="shared" si="1"/>
        <v/>
      </c>
    </row>
    <row r="159">
      <c r="B159" s="16"/>
      <c r="C159" s="12"/>
      <c r="D159" s="12"/>
      <c r="E159" s="12"/>
      <c r="F159" s="25"/>
      <c r="G159" s="12"/>
      <c r="H159" s="12"/>
      <c r="I159" s="12"/>
      <c r="J159" s="16"/>
      <c r="N159" s="16"/>
      <c r="O159" s="16"/>
      <c r="P159" s="16" t="str">
        <f t="shared" si="1"/>
        <v/>
      </c>
    </row>
    <row r="160">
      <c r="B160" s="16"/>
      <c r="C160" s="12"/>
      <c r="D160" s="12"/>
      <c r="E160" s="12"/>
      <c r="F160" s="25"/>
      <c r="G160" s="12"/>
      <c r="H160" s="12"/>
      <c r="I160" s="12"/>
      <c r="J160" s="16"/>
      <c r="N160" s="16"/>
      <c r="O160" s="16"/>
      <c r="P160" s="16" t="str">
        <f t="shared" si="1"/>
        <v/>
      </c>
    </row>
    <row r="161">
      <c r="B161" s="16"/>
      <c r="C161" s="12"/>
      <c r="D161" s="12"/>
      <c r="E161" s="12"/>
      <c r="F161" s="25"/>
      <c r="G161" s="12"/>
      <c r="H161" s="12"/>
      <c r="I161" s="12"/>
      <c r="J161" s="16"/>
      <c r="N161" s="16"/>
      <c r="O161" s="16"/>
      <c r="P161" s="16" t="str">
        <f t="shared" si="1"/>
        <v/>
      </c>
    </row>
    <row r="162">
      <c r="B162" s="16"/>
      <c r="C162" s="12"/>
      <c r="D162" s="12"/>
      <c r="E162" s="12"/>
      <c r="F162" s="25"/>
      <c r="G162" s="12"/>
      <c r="H162" s="12"/>
      <c r="I162" s="12"/>
      <c r="J162" s="16"/>
      <c r="N162" s="16"/>
      <c r="O162" s="16"/>
      <c r="P162" s="16" t="str">
        <f t="shared" si="1"/>
        <v/>
      </c>
    </row>
    <row r="163">
      <c r="B163" s="16"/>
      <c r="C163" s="12"/>
      <c r="D163" s="12"/>
      <c r="E163" s="12"/>
      <c r="F163" s="25"/>
      <c r="G163" s="12"/>
      <c r="H163" s="12"/>
      <c r="I163" s="12"/>
      <c r="J163" s="16"/>
      <c r="N163" s="16"/>
      <c r="O163" s="16"/>
      <c r="P163" s="16" t="str">
        <f t="shared" si="1"/>
        <v/>
      </c>
    </row>
    <row r="164">
      <c r="B164" s="16"/>
      <c r="C164" s="12"/>
      <c r="D164" s="12"/>
      <c r="E164" s="12"/>
      <c r="F164" s="25"/>
      <c r="G164" s="12"/>
      <c r="H164" s="12"/>
      <c r="I164" s="12"/>
      <c r="J164" s="16"/>
      <c r="N164" s="16"/>
      <c r="O164" s="16"/>
      <c r="P164" s="16" t="str">
        <f t="shared" si="1"/>
        <v/>
      </c>
    </row>
    <row r="165">
      <c r="B165" s="16"/>
      <c r="C165" s="12"/>
      <c r="D165" s="12"/>
      <c r="E165" s="12"/>
      <c r="F165" s="25"/>
      <c r="G165" s="12"/>
      <c r="H165" s="12"/>
      <c r="I165" s="12"/>
      <c r="J165" s="16"/>
      <c r="N165" s="16"/>
      <c r="O165" s="16"/>
      <c r="P165" s="16" t="str">
        <f t="shared" si="1"/>
        <v/>
      </c>
    </row>
    <row r="166">
      <c r="B166" s="16"/>
      <c r="C166" s="12"/>
      <c r="D166" s="12"/>
      <c r="E166" s="12"/>
      <c r="F166" s="25"/>
      <c r="G166" s="12"/>
      <c r="H166" s="12"/>
      <c r="I166" s="12"/>
      <c r="J166" s="16"/>
      <c r="N166" s="16"/>
      <c r="O166" s="16"/>
      <c r="P166" s="16" t="str">
        <f t="shared" si="1"/>
        <v/>
      </c>
    </row>
    <row r="167">
      <c r="B167" s="16"/>
      <c r="C167" s="12"/>
      <c r="D167" s="12"/>
      <c r="E167" s="12"/>
      <c r="F167" s="25"/>
      <c r="G167" s="12"/>
      <c r="H167" s="12"/>
      <c r="I167" s="12"/>
      <c r="J167" s="16"/>
      <c r="N167" s="16"/>
      <c r="O167" s="16"/>
      <c r="P167" s="16" t="str">
        <f t="shared" si="1"/>
        <v/>
      </c>
    </row>
    <row r="168">
      <c r="B168" s="16"/>
      <c r="C168" s="12"/>
      <c r="D168" s="12"/>
      <c r="E168" s="12"/>
      <c r="F168" s="25"/>
      <c r="G168" s="12"/>
      <c r="H168" s="12"/>
      <c r="I168" s="12"/>
      <c r="J168" s="16"/>
      <c r="N168" s="16"/>
      <c r="O168" s="16"/>
      <c r="P168" s="16" t="str">
        <f t="shared" si="1"/>
        <v/>
      </c>
    </row>
    <row r="169">
      <c r="B169" s="16"/>
      <c r="C169" s="12"/>
      <c r="D169" s="12"/>
      <c r="E169" s="12"/>
      <c r="F169" s="25"/>
      <c r="G169" s="12"/>
      <c r="H169" s="12"/>
      <c r="I169" s="12"/>
      <c r="J169" s="16"/>
      <c r="N169" s="16"/>
      <c r="O169" s="16"/>
      <c r="P169" s="16" t="str">
        <f t="shared" si="1"/>
        <v/>
      </c>
    </row>
    <row r="170">
      <c r="B170" s="16"/>
      <c r="C170" s="12"/>
      <c r="D170" s="12"/>
      <c r="E170" s="12"/>
      <c r="F170" s="25"/>
      <c r="G170" s="12"/>
      <c r="H170" s="12"/>
      <c r="I170" s="12"/>
      <c r="J170" s="16"/>
      <c r="N170" s="16"/>
      <c r="O170" s="16"/>
      <c r="P170" s="16" t="str">
        <f t="shared" si="1"/>
        <v/>
      </c>
    </row>
    <row r="171">
      <c r="B171" s="16"/>
      <c r="C171" s="12"/>
      <c r="D171" s="12"/>
      <c r="E171" s="12"/>
      <c r="F171" s="25"/>
      <c r="G171" s="12"/>
      <c r="H171" s="12"/>
      <c r="I171" s="12"/>
      <c r="J171" s="16"/>
      <c r="N171" s="16"/>
      <c r="O171" s="16"/>
      <c r="P171" s="16" t="str">
        <f t="shared" si="1"/>
        <v/>
      </c>
    </row>
    <row r="172">
      <c r="B172" s="16"/>
      <c r="C172" s="12"/>
      <c r="D172" s="12"/>
      <c r="E172" s="12"/>
      <c r="F172" s="25"/>
      <c r="G172" s="12"/>
      <c r="H172" s="12"/>
      <c r="I172" s="12"/>
      <c r="J172" s="16"/>
      <c r="N172" s="16"/>
      <c r="O172" s="16"/>
      <c r="P172" s="16" t="str">
        <f t="shared" si="1"/>
        <v/>
      </c>
    </row>
    <row r="173">
      <c r="B173" s="16"/>
      <c r="C173" s="12"/>
      <c r="D173" s="12"/>
      <c r="E173" s="12"/>
      <c r="F173" s="25"/>
      <c r="G173" s="12"/>
      <c r="H173" s="12"/>
      <c r="I173" s="12"/>
      <c r="J173" s="16"/>
      <c r="N173" s="16"/>
      <c r="O173" s="16"/>
      <c r="P173" s="16" t="str">
        <f t="shared" si="1"/>
        <v/>
      </c>
    </row>
    <row r="174">
      <c r="B174" s="16"/>
      <c r="C174" s="12"/>
      <c r="D174" s="12"/>
      <c r="E174" s="12"/>
      <c r="F174" s="25"/>
      <c r="G174" s="12"/>
      <c r="H174" s="12"/>
      <c r="I174" s="12"/>
      <c r="J174" s="16"/>
      <c r="N174" s="16"/>
      <c r="O174" s="16"/>
      <c r="P174" s="16" t="str">
        <f t="shared" si="1"/>
        <v/>
      </c>
    </row>
    <row r="175">
      <c r="B175" s="16"/>
      <c r="C175" s="12"/>
      <c r="D175" s="12"/>
      <c r="E175" s="12"/>
      <c r="F175" s="25"/>
      <c r="G175" s="12"/>
      <c r="H175" s="12"/>
      <c r="I175" s="12"/>
      <c r="J175" s="16"/>
      <c r="N175" s="16"/>
      <c r="O175" s="16"/>
      <c r="P175" s="16" t="str">
        <f t="shared" si="1"/>
        <v/>
      </c>
    </row>
    <row r="176">
      <c r="B176" s="16"/>
      <c r="C176" s="12"/>
      <c r="D176" s="12"/>
      <c r="E176" s="12"/>
      <c r="F176" s="25"/>
      <c r="G176" s="12"/>
      <c r="H176" s="12"/>
      <c r="I176" s="12"/>
      <c r="J176" s="16"/>
      <c r="N176" s="16"/>
      <c r="O176" s="16"/>
      <c r="P176" s="16" t="str">
        <f t="shared" si="1"/>
        <v/>
      </c>
    </row>
    <row r="177">
      <c r="B177" s="16"/>
      <c r="C177" s="12"/>
      <c r="D177" s="12"/>
      <c r="E177" s="12"/>
      <c r="F177" s="25"/>
      <c r="G177" s="12"/>
      <c r="H177" s="12"/>
      <c r="I177" s="12"/>
      <c r="J177" s="16"/>
      <c r="N177" s="16"/>
      <c r="O177" s="16"/>
      <c r="P177" s="16" t="str">
        <f t="shared" si="1"/>
        <v/>
      </c>
    </row>
    <row r="178">
      <c r="B178" s="16"/>
      <c r="C178" s="12"/>
      <c r="D178" s="12"/>
      <c r="E178" s="12"/>
      <c r="F178" s="25"/>
      <c r="G178" s="12"/>
      <c r="H178" s="12"/>
      <c r="I178" s="12"/>
      <c r="J178" s="16"/>
      <c r="N178" s="16"/>
      <c r="O178" s="16"/>
      <c r="P178" s="16" t="str">
        <f t="shared" si="1"/>
        <v/>
      </c>
    </row>
    <row r="179">
      <c r="B179" s="16"/>
      <c r="C179" s="12"/>
      <c r="D179" s="12"/>
      <c r="E179" s="12"/>
      <c r="F179" s="25"/>
      <c r="G179" s="12"/>
      <c r="H179" s="12"/>
      <c r="I179" s="12"/>
      <c r="J179" s="16"/>
      <c r="N179" s="16"/>
      <c r="O179" s="16"/>
      <c r="P179" s="16" t="str">
        <f t="shared" si="1"/>
        <v/>
      </c>
    </row>
    <row r="180">
      <c r="B180" s="16"/>
      <c r="C180" s="12"/>
      <c r="D180" s="12"/>
      <c r="E180" s="12"/>
      <c r="F180" s="25"/>
      <c r="G180" s="12"/>
      <c r="H180" s="12"/>
      <c r="I180" s="12"/>
      <c r="J180" s="16"/>
      <c r="N180" s="16"/>
      <c r="O180" s="16"/>
      <c r="P180" s="16" t="str">
        <f t="shared" si="1"/>
        <v/>
      </c>
    </row>
    <row r="181">
      <c r="B181" s="16"/>
      <c r="C181" s="12"/>
      <c r="D181" s="12"/>
      <c r="E181" s="12"/>
      <c r="F181" s="25"/>
      <c r="G181" s="12"/>
      <c r="H181" s="12"/>
      <c r="I181" s="12"/>
      <c r="J181" s="16"/>
      <c r="N181" s="16"/>
      <c r="O181" s="16"/>
      <c r="P181" s="16" t="str">
        <f t="shared" si="1"/>
        <v/>
      </c>
    </row>
    <row r="182">
      <c r="B182" s="16"/>
      <c r="C182" s="12"/>
      <c r="D182" s="12"/>
      <c r="E182" s="12"/>
      <c r="F182" s="25"/>
      <c r="G182" s="12"/>
      <c r="H182" s="12"/>
      <c r="I182" s="12"/>
      <c r="J182" s="16"/>
      <c r="N182" s="16"/>
      <c r="O182" s="16"/>
      <c r="P182" s="16" t="str">
        <f t="shared" si="1"/>
        <v/>
      </c>
    </row>
    <row r="183">
      <c r="B183" s="16"/>
      <c r="C183" s="12"/>
      <c r="D183" s="12"/>
      <c r="E183" s="12"/>
      <c r="F183" s="25"/>
      <c r="G183" s="12"/>
      <c r="H183" s="12"/>
      <c r="I183" s="12"/>
      <c r="J183" s="16"/>
      <c r="N183" s="16"/>
      <c r="O183" s="16"/>
      <c r="P183" s="16" t="str">
        <f t="shared" si="1"/>
        <v/>
      </c>
    </row>
    <row r="184">
      <c r="B184" s="16"/>
      <c r="C184" s="12"/>
      <c r="D184" s="12"/>
      <c r="E184" s="12"/>
      <c r="F184" s="25"/>
      <c r="G184" s="12"/>
      <c r="H184" s="12"/>
      <c r="I184" s="12"/>
      <c r="J184" s="16"/>
      <c r="N184" s="16"/>
      <c r="O184" s="16"/>
      <c r="P184" s="16" t="str">
        <f t="shared" si="1"/>
        <v/>
      </c>
    </row>
    <row r="185">
      <c r="B185" s="16"/>
      <c r="C185" s="12"/>
      <c r="D185" s="12"/>
      <c r="E185" s="12"/>
      <c r="F185" s="25"/>
      <c r="G185" s="12"/>
      <c r="H185" s="12"/>
      <c r="I185" s="12"/>
      <c r="J185" s="16"/>
      <c r="N185" s="16"/>
      <c r="O185" s="16"/>
      <c r="P185" s="16" t="str">
        <f t="shared" si="1"/>
        <v/>
      </c>
    </row>
    <row r="186">
      <c r="B186" s="16"/>
      <c r="C186" s="12"/>
      <c r="D186" s="12"/>
      <c r="E186" s="12"/>
      <c r="F186" s="25"/>
      <c r="G186" s="12"/>
      <c r="H186" s="12"/>
      <c r="I186" s="12"/>
      <c r="J186" s="16"/>
      <c r="N186" s="16"/>
      <c r="O186" s="16"/>
      <c r="P186" s="16" t="str">
        <f t="shared" si="1"/>
        <v/>
      </c>
    </row>
    <row r="187">
      <c r="B187" s="16"/>
      <c r="C187" s="12"/>
      <c r="D187" s="12"/>
      <c r="E187" s="12"/>
      <c r="F187" s="25"/>
      <c r="G187" s="12"/>
      <c r="H187" s="12"/>
      <c r="I187" s="12"/>
      <c r="J187" s="16"/>
      <c r="N187" s="16"/>
      <c r="O187" s="16"/>
      <c r="P187" s="16" t="str">
        <f t="shared" si="1"/>
        <v/>
      </c>
    </row>
    <row r="188">
      <c r="B188" s="16"/>
      <c r="C188" s="12"/>
      <c r="D188" s="12"/>
      <c r="E188" s="12"/>
      <c r="F188" s="25"/>
      <c r="G188" s="12"/>
      <c r="H188" s="12"/>
      <c r="I188" s="12"/>
      <c r="J188" s="16"/>
      <c r="N188" s="16"/>
      <c r="O188" s="16"/>
      <c r="P188" s="16" t="str">
        <f t="shared" si="1"/>
        <v/>
      </c>
    </row>
    <row r="189">
      <c r="B189" s="16"/>
      <c r="C189" s="12"/>
      <c r="D189" s="12"/>
      <c r="E189" s="12"/>
      <c r="F189" s="25"/>
      <c r="G189" s="12"/>
      <c r="H189" s="12"/>
      <c r="I189" s="12"/>
      <c r="J189" s="16"/>
      <c r="N189" s="16"/>
      <c r="O189" s="16"/>
      <c r="P189" s="16" t="str">
        <f t="shared" si="1"/>
        <v/>
      </c>
    </row>
    <row r="190">
      <c r="B190" s="16"/>
      <c r="C190" s="12"/>
      <c r="D190" s="12"/>
      <c r="E190" s="12"/>
      <c r="F190" s="25"/>
      <c r="G190" s="12"/>
      <c r="H190" s="12"/>
      <c r="I190" s="12"/>
      <c r="J190" s="16"/>
      <c r="N190" s="16"/>
      <c r="O190" s="16"/>
      <c r="P190" s="16" t="str">
        <f t="shared" si="1"/>
        <v/>
      </c>
    </row>
    <row r="191">
      <c r="B191" s="16"/>
      <c r="C191" s="12"/>
      <c r="D191" s="12"/>
      <c r="E191" s="12"/>
      <c r="F191" s="25"/>
      <c r="G191" s="12"/>
      <c r="H191" s="12"/>
      <c r="I191" s="12"/>
      <c r="J191" s="16"/>
      <c r="N191" s="16"/>
      <c r="O191" s="16"/>
      <c r="P191" s="16" t="str">
        <f t="shared" si="1"/>
        <v/>
      </c>
    </row>
    <row r="192">
      <c r="B192" s="16"/>
      <c r="C192" s="12"/>
      <c r="D192" s="12"/>
      <c r="E192" s="12"/>
      <c r="F192" s="25"/>
      <c r="G192" s="12"/>
      <c r="H192" s="12"/>
      <c r="I192" s="12"/>
      <c r="J192" s="16"/>
      <c r="N192" s="16"/>
      <c r="O192" s="16"/>
      <c r="P192" s="16" t="str">
        <f t="shared" si="1"/>
        <v/>
      </c>
    </row>
    <row r="193">
      <c r="B193" s="16"/>
      <c r="C193" s="12"/>
      <c r="D193" s="12"/>
      <c r="E193" s="12"/>
      <c r="F193" s="25"/>
      <c r="G193" s="12"/>
      <c r="H193" s="12"/>
      <c r="I193" s="12"/>
      <c r="J193" s="16"/>
      <c r="N193" s="16"/>
      <c r="O193" s="16"/>
      <c r="P193" s="16" t="str">
        <f t="shared" si="1"/>
        <v/>
      </c>
    </row>
    <row r="194">
      <c r="B194" s="16"/>
      <c r="C194" s="12"/>
      <c r="D194" s="12"/>
      <c r="E194" s="12"/>
      <c r="F194" s="25"/>
      <c r="G194" s="12"/>
      <c r="H194" s="12"/>
      <c r="I194" s="12"/>
      <c r="J194" s="16"/>
      <c r="N194" s="16"/>
      <c r="O194" s="16"/>
      <c r="P194" s="16" t="str">
        <f t="shared" si="1"/>
        <v/>
      </c>
    </row>
    <row r="195">
      <c r="B195" s="16"/>
      <c r="C195" s="12"/>
      <c r="D195" s="12"/>
      <c r="E195" s="12"/>
      <c r="F195" s="25"/>
      <c r="G195" s="12"/>
      <c r="H195" s="12"/>
      <c r="I195" s="12"/>
      <c r="J195" s="16"/>
      <c r="N195" s="16"/>
      <c r="O195" s="16"/>
      <c r="P195" s="16" t="str">
        <f t="shared" si="1"/>
        <v/>
      </c>
    </row>
    <row r="196">
      <c r="B196" s="16"/>
      <c r="C196" s="12"/>
      <c r="D196" s="12"/>
      <c r="E196" s="12"/>
      <c r="F196" s="25"/>
      <c r="G196" s="12"/>
      <c r="H196" s="12"/>
      <c r="I196" s="12"/>
      <c r="J196" s="16"/>
      <c r="N196" s="16"/>
      <c r="O196" s="16"/>
      <c r="P196" s="16" t="str">
        <f t="shared" si="1"/>
        <v/>
      </c>
    </row>
    <row r="197">
      <c r="B197" s="16"/>
      <c r="C197" s="12"/>
      <c r="D197" s="12"/>
      <c r="E197" s="12"/>
      <c r="F197" s="25"/>
      <c r="G197" s="12"/>
      <c r="H197" s="12"/>
      <c r="I197" s="12"/>
      <c r="J197" s="16"/>
      <c r="N197" s="16"/>
      <c r="O197" s="16"/>
      <c r="P197" s="16" t="str">
        <f t="shared" si="1"/>
        <v/>
      </c>
    </row>
    <row r="198">
      <c r="B198" s="16"/>
      <c r="C198" s="12"/>
      <c r="D198" s="12"/>
      <c r="E198" s="12"/>
      <c r="F198" s="25"/>
      <c r="G198" s="12"/>
      <c r="H198" s="12"/>
      <c r="I198" s="12"/>
      <c r="J198" s="16"/>
      <c r="N198" s="16"/>
      <c r="O198" s="16"/>
      <c r="P198" s="16" t="str">
        <f t="shared" si="1"/>
        <v/>
      </c>
    </row>
    <row r="199">
      <c r="B199" s="16"/>
      <c r="C199" s="12"/>
      <c r="D199" s="12"/>
      <c r="E199" s="12"/>
      <c r="F199" s="25"/>
      <c r="G199" s="12"/>
      <c r="H199" s="12"/>
      <c r="I199" s="12"/>
      <c r="J199" s="16"/>
      <c r="N199" s="16"/>
      <c r="O199" s="16"/>
      <c r="P199" s="16" t="str">
        <f t="shared" si="1"/>
        <v/>
      </c>
    </row>
    <row r="200">
      <c r="B200" s="16"/>
      <c r="C200" s="12"/>
      <c r="D200" s="12"/>
      <c r="E200" s="12"/>
      <c r="F200" s="25"/>
      <c r="G200" s="12"/>
      <c r="H200" s="12"/>
      <c r="I200" s="12"/>
      <c r="J200" s="16"/>
      <c r="N200" s="16"/>
      <c r="O200" s="16"/>
      <c r="P200" s="16" t="str">
        <f t="shared" si="1"/>
        <v/>
      </c>
    </row>
    <row r="201">
      <c r="B201" s="16"/>
      <c r="C201" s="12"/>
      <c r="D201" s="12"/>
      <c r="E201" s="12"/>
      <c r="F201" s="25"/>
      <c r="G201" s="12"/>
      <c r="H201" s="12"/>
      <c r="I201" s="12"/>
      <c r="J201" s="16"/>
      <c r="N201" s="16"/>
      <c r="O201" s="16"/>
      <c r="P201" s="16" t="str">
        <f t="shared" si="1"/>
        <v/>
      </c>
    </row>
    <row r="202">
      <c r="B202" s="16"/>
      <c r="C202" s="12"/>
      <c r="D202" s="12"/>
      <c r="E202" s="12"/>
      <c r="F202" s="25"/>
      <c r="G202" s="12"/>
      <c r="H202" s="12"/>
      <c r="I202" s="12"/>
      <c r="J202" s="16"/>
      <c r="N202" s="16"/>
      <c r="O202" s="16"/>
      <c r="P202" s="16" t="str">
        <f t="shared" si="1"/>
        <v/>
      </c>
    </row>
    <row r="203">
      <c r="B203" s="16"/>
      <c r="C203" s="12"/>
      <c r="D203" s="12"/>
      <c r="E203" s="12"/>
      <c r="F203" s="25"/>
      <c r="G203" s="12"/>
      <c r="H203" s="12"/>
      <c r="I203" s="12"/>
      <c r="J203" s="16"/>
      <c r="N203" s="16"/>
      <c r="O203" s="16"/>
      <c r="P203" s="16" t="str">
        <f t="shared" si="1"/>
        <v/>
      </c>
    </row>
    <row r="204">
      <c r="B204" s="16"/>
      <c r="C204" s="12"/>
      <c r="D204" s="12"/>
      <c r="E204" s="12"/>
      <c r="F204" s="25"/>
      <c r="G204" s="12"/>
      <c r="H204" s="12"/>
      <c r="I204" s="12"/>
      <c r="J204" s="16"/>
      <c r="N204" s="16"/>
      <c r="O204" s="16"/>
      <c r="P204" s="16" t="str">
        <f t="shared" si="1"/>
        <v/>
      </c>
    </row>
    <row r="205">
      <c r="B205" s="16"/>
      <c r="C205" s="12"/>
      <c r="D205" s="12"/>
      <c r="E205" s="12"/>
      <c r="F205" s="25"/>
      <c r="G205" s="12"/>
      <c r="H205" s="12"/>
      <c r="I205" s="12"/>
      <c r="J205" s="16"/>
      <c r="N205" s="16"/>
      <c r="O205" s="16"/>
      <c r="P205" s="16" t="str">
        <f t="shared" si="1"/>
        <v/>
      </c>
    </row>
    <row r="206">
      <c r="B206" s="16"/>
      <c r="C206" s="12"/>
      <c r="D206" s="12"/>
      <c r="E206" s="12"/>
      <c r="F206" s="25"/>
      <c r="G206" s="12"/>
      <c r="H206" s="12"/>
      <c r="I206" s="12"/>
      <c r="J206" s="16"/>
      <c r="N206" s="16"/>
      <c r="O206" s="16"/>
      <c r="P206" s="16" t="str">
        <f t="shared" si="1"/>
        <v/>
      </c>
    </row>
    <row r="207">
      <c r="B207" s="16"/>
      <c r="C207" s="12"/>
      <c r="D207" s="12"/>
      <c r="E207" s="12"/>
      <c r="F207" s="25"/>
      <c r="G207" s="12"/>
      <c r="H207" s="12"/>
      <c r="I207" s="12"/>
      <c r="J207" s="16"/>
      <c r="N207" s="16"/>
      <c r="O207" s="16"/>
      <c r="P207" s="16" t="str">
        <f t="shared" si="1"/>
        <v/>
      </c>
    </row>
    <row r="208">
      <c r="B208" s="16"/>
      <c r="C208" s="12"/>
      <c r="D208" s="12"/>
      <c r="E208" s="12"/>
      <c r="F208" s="25"/>
      <c r="G208" s="12"/>
      <c r="H208" s="12"/>
      <c r="I208" s="12"/>
      <c r="J208" s="16"/>
      <c r="N208" s="16"/>
      <c r="O208" s="16"/>
      <c r="P208" s="16" t="str">
        <f t="shared" si="1"/>
        <v/>
      </c>
    </row>
    <row r="209">
      <c r="B209" s="16"/>
      <c r="C209" s="12"/>
      <c r="D209" s="12"/>
      <c r="E209" s="12"/>
      <c r="F209" s="25"/>
      <c r="G209" s="12"/>
      <c r="H209" s="12"/>
      <c r="I209" s="12"/>
      <c r="J209" s="16"/>
      <c r="N209" s="16"/>
      <c r="O209" s="16"/>
      <c r="P209" s="16" t="str">
        <f t="shared" si="1"/>
        <v/>
      </c>
    </row>
    <row r="210">
      <c r="B210" s="16"/>
      <c r="C210" s="12"/>
      <c r="D210" s="12"/>
      <c r="E210" s="12"/>
      <c r="F210" s="25"/>
      <c r="G210" s="12"/>
      <c r="H210" s="12"/>
      <c r="I210" s="12"/>
      <c r="J210" s="16"/>
      <c r="N210" s="16"/>
      <c r="O210" s="16"/>
      <c r="P210" s="16" t="str">
        <f t="shared" si="1"/>
        <v/>
      </c>
    </row>
    <row r="211">
      <c r="B211" s="16"/>
      <c r="C211" s="12"/>
      <c r="D211" s="12"/>
      <c r="E211" s="12"/>
      <c r="F211" s="25"/>
      <c r="G211" s="12"/>
      <c r="H211" s="12"/>
      <c r="I211" s="12"/>
      <c r="J211" s="16"/>
      <c r="N211" s="16"/>
      <c r="O211" s="16"/>
      <c r="P211" s="16" t="str">
        <f t="shared" si="1"/>
        <v/>
      </c>
    </row>
    <row r="212">
      <c r="B212" s="16"/>
      <c r="C212" s="12"/>
      <c r="D212" s="12"/>
      <c r="E212" s="12"/>
      <c r="F212" s="25"/>
      <c r="G212" s="12"/>
      <c r="H212" s="12"/>
      <c r="I212" s="12"/>
      <c r="J212" s="16"/>
      <c r="N212" s="16"/>
      <c r="O212" s="16"/>
      <c r="P212" s="16" t="str">
        <f t="shared" si="1"/>
        <v/>
      </c>
    </row>
    <row r="213">
      <c r="B213" s="16"/>
      <c r="C213" s="12"/>
      <c r="D213" s="12"/>
      <c r="E213" s="12"/>
      <c r="F213" s="25"/>
      <c r="G213" s="12"/>
      <c r="H213" s="12"/>
      <c r="I213" s="12"/>
      <c r="J213" s="16"/>
      <c r="N213" s="16"/>
      <c r="O213" s="16"/>
      <c r="P213" s="16" t="str">
        <f t="shared" si="1"/>
        <v/>
      </c>
    </row>
    <row r="214">
      <c r="B214" s="16"/>
      <c r="C214" s="12"/>
      <c r="D214" s="12"/>
      <c r="E214" s="12"/>
      <c r="F214" s="25"/>
      <c r="G214" s="12"/>
      <c r="H214" s="12"/>
      <c r="I214" s="12"/>
      <c r="J214" s="16"/>
      <c r="N214" s="16"/>
      <c r="O214" s="16"/>
      <c r="P214" s="16" t="str">
        <f t="shared" si="1"/>
        <v/>
      </c>
    </row>
    <row r="215">
      <c r="B215" s="16"/>
      <c r="C215" s="12"/>
      <c r="D215" s="12"/>
      <c r="E215" s="12"/>
      <c r="F215" s="25"/>
      <c r="G215" s="12"/>
      <c r="H215" s="12"/>
      <c r="I215" s="12"/>
      <c r="J215" s="16"/>
      <c r="N215" s="16"/>
      <c r="O215" s="16"/>
      <c r="P215" s="16" t="str">
        <f t="shared" si="1"/>
        <v/>
      </c>
    </row>
    <row r="216">
      <c r="B216" s="16"/>
      <c r="C216" s="12"/>
      <c r="D216" s="12"/>
      <c r="E216" s="12"/>
      <c r="F216" s="25"/>
      <c r="G216" s="12"/>
      <c r="H216" s="12"/>
      <c r="I216" s="12"/>
      <c r="J216" s="16"/>
      <c r="N216" s="16"/>
      <c r="O216" s="16"/>
      <c r="P216" s="16" t="str">
        <f t="shared" si="1"/>
        <v/>
      </c>
    </row>
    <row r="217">
      <c r="B217" s="16"/>
      <c r="C217" s="12"/>
      <c r="D217" s="12"/>
      <c r="E217" s="12"/>
      <c r="F217" s="25"/>
      <c r="G217" s="12"/>
      <c r="H217" s="12"/>
      <c r="I217" s="12"/>
      <c r="J217" s="16"/>
      <c r="N217" s="16"/>
      <c r="O217" s="16"/>
      <c r="P217" s="16" t="str">
        <f t="shared" si="1"/>
        <v/>
      </c>
    </row>
    <row r="218">
      <c r="B218" s="16"/>
      <c r="C218" s="12"/>
      <c r="D218" s="12"/>
      <c r="E218" s="12"/>
      <c r="F218" s="25"/>
      <c r="G218" s="12"/>
      <c r="H218" s="12"/>
      <c r="I218" s="12"/>
      <c r="J218" s="16"/>
      <c r="N218" s="16"/>
      <c r="O218" s="16"/>
      <c r="P218" s="16" t="str">
        <f t="shared" si="1"/>
        <v/>
      </c>
    </row>
    <row r="219">
      <c r="B219" s="16"/>
      <c r="C219" s="12"/>
      <c r="D219" s="12"/>
      <c r="E219" s="12"/>
      <c r="F219" s="25"/>
      <c r="G219" s="12"/>
      <c r="H219" s="12"/>
      <c r="I219" s="12"/>
      <c r="J219" s="16"/>
      <c r="N219" s="16"/>
      <c r="O219" s="16"/>
      <c r="P219" s="16" t="str">
        <f t="shared" si="1"/>
        <v/>
      </c>
    </row>
    <row r="220">
      <c r="B220" s="16"/>
      <c r="C220" s="12"/>
      <c r="D220" s="12"/>
      <c r="E220" s="12"/>
      <c r="F220" s="25"/>
      <c r="G220" s="12"/>
      <c r="H220" s="12"/>
      <c r="I220" s="12"/>
      <c r="J220" s="16"/>
      <c r="N220" s="16"/>
      <c r="O220" s="16"/>
      <c r="P220" s="16" t="str">
        <f t="shared" si="1"/>
        <v/>
      </c>
    </row>
    <row r="221">
      <c r="B221" s="16"/>
      <c r="C221" s="12"/>
      <c r="D221" s="12"/>
      <c r="E221" s="12"/>
      <c r="F221" s="25"/>
      <c r="G221" s="12"/>
      <c r="H221" s="12"/>
      <c r="I221" s="12"/>
      <c r="J221" s="16"/>
      <c r="N221" s="16"/>
      <c r="O221" s="16"/>
      <c r="P221" s="16" t="str">
        <f t="shared" si="1"/>
        <v/>
      </c>
    </row>
    <row r="222">
      <c r="B222" s="16"/>
      <c r="C222" s="12"/>
      <c r="D222" s="12"/>
      <c r="E222" s="12"/>
      <c r="F222" s="25"/>
      <c r="G222" s="12"/>
      <c r="H222" s="12"/>
      <c r="I222" s="12"/>
      <c r="J222" s="16"/>
      <c r="N222" s="16"/>
      <c r="O222" s="16"/>
      <c r="P222" s="16" t="str">
        <f t="shared" si="1"/>
        <v/>
      </c>
    </row>
    <row r="223">
      <c r="B223" s="16"/>
      <c r="C223" s="12"/>
      <c r="D223" s="12"/>
      <c r="E223" s="12"/>
      <c r="F223" s="25"/>
      <c r="G223" s="12"/>
      <c r="H223" s="12"/>
      <c r="I223" s="12"/>
      <c r="J223" s="16"/>
      <c r="N223" s="16"/>
      <c r="O223" s="16"/>
      <c r="P223" s="16" t="str">
        <f t="shared" si="1"/>
        <v/>
      </c>
    </row>
    <row r="224">
      <c r="B224" s="16"/>
      <c r="C224" s="12"/>
      <c r="D224" s="12"/>
      <c r="E224" s="12"/>
      <c r="F224" s="25"/>
      <c r="G224" s="12"/>
      <c r="H224" s="12"/>
      <c r="I224" s="12"/>
      <c r="J224" s="16"/>
      <c r="N224" s="16"/>
      <c r="O224" s="16"/>
      <c r="P224" s="16" t="str">
        <f t="shared" si="1"/>
        <v/>
      </c>
    </row>
    <row r="225">
      <c r="B225" s="16"/>
      <c r="C225" s="12"/>
      <c r="D225" s="12"/>
      <c r="E225" s="12"/>
      <c r="F225" s="25"/>
      <c r="G225" s="12"/>
      <c r="H225" s="12"/>
      <c r="I225" s="12"/>
      <c r="J225" s="16"/>
      <c r="N225" s="16"/>
      <c r="O225" s="16"/>
      <c r="P225" s="16" t="str">
        <f t="shared" si="1"/>
        <v/>
      </c>
    </row>
    <row r="226">
      <c r="B226" s="16"/>
      <c r="C226" s="12"/>
      <c r="D226" s="12"/>
      <c r="E226" s="12"/>
      <c r="F226" s="25"/>
      <c r="G226" s="12"/>
      <c r="H226" s="12"/>
      <c r="I226" s="12"/>
      <c r="J226" s="16"/>
      <c r="N226" s="16"/>
      <c r="O226" s="16"/>
      <c r="P226" s="16" t="str">
        <f t="shared" si="1"/>
        <v/>
      </c>
    </row>
    <row r="227">
      <c r="B227" s="16"/>
      <c r="C227" s="12"/>
      <c r="D227" s="12"/>
      <c r="E227" s="12"/>
      <c r="F227" s="25"/>
      <c r="G227" s="12"/>
      <c r="H227" s="12"/>
      <c r="I227" s="12"/>
      <c r="J227" s="16"/>
      <c r="N227" s="16"/>
      <c r="O227" s="16"/>
      <c r="P227" s="16" t="str">
        <f t="shared" si="1"/>
        <v/>
      </c>
    </row>
    <row r="228">
      <c r="B228" s="16"/>
      <c r="C228" s="12"/>
      <c r="D228" s="12"/>
      <c r="E228" s="12"/>
      <c r="F228" s="25"/>
      <c r="G228" s="12"/>
      <c r="H228" s="12"/>
      <c r="I228" s="12"/>
      <c r="J228" s="16"/>
      <c r="N228" s="16"/>
      <c r="O228" s="16"/>
      <c r="P228" s="16" t="str">
        <f t="shared" si="1"/>
        <v/>
      </c>
    </row>
    <row r="229">
      <c r="B229" s="16"/>
      <c r="C229" s="12"/>
      <c r="D229" s="12"/>
      <c r="E229" s="12"/>
      <c r="F229" s="25"/>
      <c r="G229" s="12"/>
      <c r="H229" s="12"/>
      <c r="I229" s="12"/>
      <c r="J229" s="16"/>
      <c r="N229" s="16"/>
      <c r="O229" s="16"/>
      <c r="P229" s="16" t="str">
        <f t="shared" si="1"/>
        <v/>
      </c>
    </row>
    <row r="230">
      <c r="B230" s="16"/>
      <c r="C230" s="12"/>
      <c r="D230" s="12"/>
      <c r="E230" s="12"/>
      <c r="F230" s="25"/>
      <c r="G230" s="12"/>
      <c r="H230" s="12"/>
      <c r="I230" s="12"/>
      <c r="J230" s="16"/>
      <c r="N230" s="16"/>
      <c r="O230" s="16"/>
      <c r="P230" s="16" t="str">
        <f t="shared" si="1"/>
        <v/>
      </c>
    </row>
    <row r="231">
      <c r="B231" s="16"/>
      <c r="C231" s="12"/>
      <c r="D231" s="12"/>
      <c r="E231" s="12"/>
      <c r="F231" s="25"/>
      <c r="G231" s="12"/>
      <c r="H231" s="12"/>
      <c r="I231" s="12"/>
      <c r="J231" s="16"/>
      <c r="N231" s="16"/>
      <c r="O231" s="16"/>
      <c r="P231" s="16" t="str">
        <f t="shared" si="1"/>
        <v/>
      </c>
    </row>
    <row r="232">
      <c r="B232" s="16"/>
      <c r="C232" s="12"/>
      <c r="D232" s="12"/>
      <c r="E232" s="12"/>
      <c r="F232" s="25"/>
      <c r="G232" s="12"/>
      <c r="H232" s="12"/>
      <c r="I232" s="12"/>
      <c r="J232" s="16"/>
      <c r="N232" s="16"/>
      <c r="O232" s="16"/>
      <c r="P232" s="16" t="str">
        <f t="shared" si="1"/>
        <v/>
      </c>
    </row>
    <row r="233">
      <c r="B233" s="16"/>
      <c r="C233" s="12"/>
      <c r="D233" s="12"/>
      <c r="E233" s="12"/>
      <c r="F233" s="25"/>
      <c r="G233" s="12"/>
      <c r="H233" s="12"/>
      <c r="I233" s="12"/>
      <c r="J233" s="16"/>
      <c r="N233" s="16"/>
      <c r="O233" s="16"/>
      <c r="P233" s="16" t="str">
        <f t="shared" si="1"/>
        <v/>
      </c>
    </row>
    <row r="234">
      <c r="B234" s="16"/>
      <c r="C234" s="12"/>
      <c r="D234" s="12"/>
      <c r="E234" s="12"/>
      <c r="F234" s="25"/>
      <c r="G234" s="12"/>
      <c r="H234" s="12"/>
      <c r="I234" s="12"/>
      <c r="J234" s="16"/>
      <c r="N234" s="16"/>
      <c r="O234" s="16"/>
      <c r="P234" s="16" t="str">
        <f t="shared" si="1"/>
        <v/>
      </c>
    </row>
    <row r="235">
      <c r="B235" s="16"/>
      <c r="C235" s="12"/>
      <c r="D235" s="12"/>
      <c r="E235" s="12"/>
      <c r="F235" s="25"/>
      <c r="G235" s="12"/>
      <c r="H235" s="12"/>
      <c r="I235" s="12"/>
      <c r="J235" s="16"/>
      <c r="N235" s="16"/>
      <c r="O235" s="16"/>
      <c r="P235" s="16" t="str">
        <f t="shared" si="1"/>
        <v/>
      </c>
    </row>
    <row r="236">
      <c r="B236" s="16"/>
      <c r="C236" s="12"/>
      <c r="D236" s="12"/>
      <c r="E236" s="12"/>
      <c r="F236" s="25"/>
      <c r="G236" s="12"/>
      <c r="H236" s="12"/>
      <c r="I236" s="12"/>
      <c r="J236" s="16"/>
      <c r="N236" s="16"/>
      <c r="O236" s="16"/>
      <c r="P236" s="16" t="str">
        <f t="shared" si="1"/>
        <v/>
      </c>
    </row>
    <row r="237">
      <c r="B237" s="16"/>
      <c r="C237" s="12"/>
      <c r="D237" s="12"/>
      <c r="E237" s="12"/>
      <c r="F237" s="25"/>
      <c r="G237" s="12"/>
      <c r="H237" s="12"/>
      <c r="I237" s="12"/>
      <c r="J237" s="16"/>
      <c r="N237" s="16"/>
      <c r="O237" s="16"/>
      <c r="P237" s="16" t="str">
        <f t="shared" si="1"/>
        <v/>
      </c>
    </row>
    <row r="238">
      <c r="B238" s="16"/>
      <c r="C238" s="12"/>
      <c r="D238" s="12"/>
      <c r="E238" s="12"/>
      <c r="F238" s="25"/>
      <c r="G238" s="12"/>
      <c r="H238" s="12"/>
      <c r="I238" s="12"/>
      <c r="J238" s="16"/>
      <c r="N238" s="16"/>
      <c r="O238" s="16"/>
      <c r="P238" s="16" t="str">
        <f t="shared" si="1"/>
        <v/>
      </c>
    </row>
    <row r="239">
      <c r="B239" s="16"/>
      <c r="C239" s="12"/>
      <c r="D239" s="12"/>
      <c r="E239" s="12"/>
      <c r="F239" s="25"/>
      <c r="G239" s="12"/>
      <c r="H239" s="12"/>
      <c r="I239" s="12"/>
      <c r="J239" s="16"/>
      <c r="N239" s="16"/>
      <c r="O239" s="16"/>
      <c r="P239" s="16" t="str">
        <f t="shared" si="1"/>
        <v/>
      </c>
    </row>
    <row r="240">
      <c r="B240" s="16"/>
      <c r="C240" s="12"/>
      <c r="D240" s="12"/>
      <c r="E240" s="12"/>
      <c r="F240" s="25"/>
      <c r="G240" s="12"/>
      <c r="H240" s="12"/>
      <c r="I240" s="12"/>
      <c r="J240" s="16"/>
      <c r="N240" s="16"/>
      <c r="O240" s="16"/>
      <c r="P240" s="16" t="str">
        <f t="shared" si="1"/>
        <v/>
      </c>
    </row>
    <row r="241">
      <c r="B241" s="16"/>
      <c r="C241" s="12"/>
      <c r="D241" s="12"/>
      <c r="E241" s="12"/>
      <c r="F241" s="25"/>
      <c r="G241" s="12"/>
      <c r="H241" s="12"/>
      <c r="I241" s="12"/>
      <c r="J241" s="16"/>
      <c r="N241" s="16"/>
      <c r="O241" s="16"/>
      <c r="P241" s="16" t="str">
        <f t="shared" si="1"/>
        <v/>
      </c>
    </row>
    <row r="242">
      <c r="B242" s="16"/>
      <c r="C242" s="12"/>
      <c r="D242" s="12"/>
      <c r="E242" s="12"/>
      <c r="F242" s="25"/>
      <c r="G242" s="12"/>
      <c r="H242" s="12"/>
      <c r="I242" s="12"/>
      <c r="J242" s="16"/>
      <c r="N242" s="16"/>
      <c r="O242" s="16"/>
      <c r="P242" s="16" t="str">
        <f t="shared" si="1"/>
        <v/>
      </c>
    </row>
    <row r="243">
      <c r="B243" s="16"/>
      <c r="C243" s="12"/>
      <c r="D243" s="12"/>
      <c r="E243" s="12"/>
      <c r="F243" s="25"/>
      <c r="G243" s="12"/>
      <c r="H243" s="12"/>
      <c r="I243" s="12"/>
      <c r="J243" s="16"/>
      <c r="N243" s="16"/>
      <c r="O243" s="16"/>
      <c r="P243" s="16" t="str">
        <f t="shared" si="1"/>
        <v/>
      </c>
    </row>
    <row r="244">
      <c r="B244" s="16"/>
      <c r="C244" s="12"/>
      <c r="D244" s="12"/>
      <c r="E244" s="12"/>
      <c r="F244" s="25"/>
      <c r="G244" s="12"/>
      <c r="H244" s="12"/>
      <c r="I244" s="12"/>
      <c r="J244" s="16"/>
      <c r="N244" s="16"/>
      <c r="O244" s="16"/>
      <c r="P244" s="16" t="str">
        <f t="shared" si="1"/>
        <v/>
      </c>
    </row>
    <row r="245">
      <c r="B245" s="16"/>
      <c r="C245" s="12"/>
      <c r="D245" s="12"/>
      <c r="E245" s="12"/>
      <c r="F245" s="25"/>
      <c r="G245" s="12"/>
      <c r="H245" s="12"/>
      <c r="I245" s="12"/>
      <c r="J245" s="16"/>
      <c r="N245" s="16"/>
      <c r="O245" s="16"/>
      <c r="P245" s="16" t="str">
        <f t="shared" si="1"/>
        <v/>
      </c>
    </row>
    <row r="246">
      <c r="B246" s="16"/>
      <c r="C246" s="12"/>
      <c r="D246" s="12"/>
      <c r="E246" s="12"/>
      <c r="F246" s="25"/>
      <c r="G246" s="12"/>
      <c r="H246" s="12"/>
      <c r="I246" s="12"/>
      <c r="J246" s="16"/>
      <c r="N246" s="16"/>
      <c r="O246" s="16"/>
      <c r="P246" s="16" t="str">
        <f t="shared" si="1"/>
        <v/>
      </c>
    </row>
    <row r="247">
      <c r="B247" s="16"/>
      <c r="C247" s="12"/>
      <c r="D247" s="12"/>
      <c r="E247" s="12"/>
      <c r="F247" s="25"/>
      <c r="G247" s="12"/>
      <c r="H247" s="12"/>
      <c r="I247" s="12"/>
      <c r="J247" s="16"/>
      <c r="N247" s="16"/>
      <c r="O247" s="16"/>
      <c r="P247" s="16" t="str">
        <f t="shared" si="1"/>
        <v/>
      </c>
    </row>
    <row r="248">
      <c r="B248" s="16"/>
      <c r="C248" s="12"/>
      <c r="D248" s="12"/>
      <c r="E248" s="12"/>
      <c r="F248" s="25"/>
      <c r="G248" s="12"/>
      <c r="H248" s="12"/>
      <c r="I248" s="12"/>
      <c r="J248" s="16"/>
      <c r="N248" s="16"/>
      <c r="O248" s="16"/>
      <c r="P248" s="16" t="str">
        <f t="shared" si="1"/>
        <v/>
      </c>
    </row>
    <row r="249">
      <c r="B249" s="16"/>
      <c r="C249" s="12"/>
      <c r="D249" s="12"/>
      <c r="E249" s="12"/>
      <c r="F249" s="25"/>
      <c r="G249" s="12"/>
      <c r="H249" s="12"/>
      <c r="I249" s="12"/>
      <c r="J249" s="16"/>
      <c r="N249" s="16"/>
      <c r="O249" s="16"/>
      <c r="P249" s="16" t="str">
        <f t="shared" si="1"/>
        <v/>
      </c>
    </row>
    <row r="250">
      <c r="B250" s="16"/>
      <c r="C250" s="12"/>
      <c r="D250" s="12"/>
      <c r="E250" s="12"/>
      <c r="F250" s="25"/>
      <c r="G250" s="12"/>
      <c r="H250" s="12"/>
      <c r="I250" s="12"/>
      <c r="J250" s="16"/>
      <c r="N250" s="16"/>
      <c r="O250" s="16"/>
      <c r="P250" s="16" t="str">
        <f t="shared" si="1"/>
        <v/>
      </c>
    </row>
    <row r="251">
      <c r="B251" s="16"/>
      <c r="C251" s="12"/>
      <c r="D251" s="12"/>
      <c r="E251" s="12"/>
      <c r="F251" s="25"/>
      <c r="G251" s="12"/>
      <c r="H251" s="12"/>
      <c r="I251" s="12"/>
      <c r="J251" s="16"/>
      <c r="N251" s="16"/>
      <c r="O251" s="16"/>
      <c r="P251" s="16" t="str">
        <f t="shared" si="1"/>
        <v/>
      </c>
    </row>
    <row r="252">
      <c r="B252" s="16"/>
      <c r="C252" s="12"/>
      <c r="D252" s="12"/>
      <c r="E252" s="12"/>
      <c r="F252" s="25"/>
      <c r="G252" s="12"/>
      <c r="H252" s="12"/>
      <c r="I252" s="12"/>
      <c r="J252" s="16"/>
      <c r="N252" s="16"/>
      <c r="O252" s="16"/>
      <c r="P252" s="16" t="str">
        <f t="shared" si="1"/>
        <v/>
      </c>
    </row>
    <row r="253">
      <c r="B253" s="16"/>
      <c r="C253" s="12"/>
      <c r="D253" s="12"/>
      <c r="E253" s="12"/>
      <c r="F253" s="25"/>
      <c r="G253" s="12"/>
      <c r="H253" s="12"/>
      <c r="I253" s="12"/>
      <c r="J253" s="16"/>
      <c r="N253" s="16"/>
      <c r="O253" s="16"/>
      <c r="P253" s="16" t="str">
        <f t="shared" si="1"/>
        <v/>
      </c>
    </row>
    <row r="254">
      <c r="B254" s="16"/>
      <c r="C254" s="12"/>
      <c r="D254" s="12"/>
      <c r="E254" s="12"/>
      <c r="F254" s="25"/>
      <c r="G254" s="12"/>
      <c r="H254" s="12"/>
      <c r="I254" s="12"/>
      <c r="J254" s="16"/>
      <c r="N254" s="16"/>
      <c r="O254" s="16"/>
      <c r="P254" s="16" t="str">
        <f t="shared" si="1"/>
        <v/>
      </c>
    </row>
    <row r="255">
      <c r="B255" s="16"/>
      <c r="C255" s="12"/>
      <c r="D255" s="12"/>
      <c r="E255" s="12"/>
      <c r="F255" s="25"/>
      <c r="G255" s="12"/>
      <c r="H255" s="12"/>
      <c r="I255" s="12"/>
      <c r="J255" s="16"/>
      <c r="N255" s="16"/>
      <c r="O255" s="16"/>
      <c r="P255" s="16" t="str">
        <f t="shared" si="1"/>
        <v/>
      </c>
    </row>
    <row r="256">
      <c r="B256" s="16"/>
      <c r="C256" s="12"/>
      <c r="D256" s="12"/>
      <c r="E256" s="12"/>
      <c r="F256" s="25"/>
      <c r="G256" s="12"/>
      <c r="H256" s="12"/>
      <c r="I256" s="12"/>
      <c r="J256" s="16"/>
      <c r="N256" s="16"/>
      <c r="O256" s="16"/>
      <c r="P256" s="16" t="str">
        <f t="shared" si="1"/>
        <v/>
      </c>
    </row>
    <row r="257">
      <c r="B257" s="16"/>
      <c r="C257" s="12"/>
      <c r="D257" s="12"/>
      <c r="E257" s="12"/>
      <c r="F257" s="25"/>
      <c r="G257" s="12"/>
      <c r="H257" s="12"/>
      <c r="I257" s="12"/>
      <c r="J257" s="16"/>
      <c r="N257" s="16"/>
      <c r="O257" s="16"/>
      <c r="P257" s="16" t="str">
        <f t="shared" si="1"/>
        <v/>
      </c>
    </row>
    <row r="258">
      <c r="B258" s="16"/>
      <c r="C258" s="12"/>
      <c r="D258" s="12"/>
      <c r="E258" s="12"/>
      <c r="F258" s="25"/>
      <c r="G258" s="12"/>
      <c r="H258" s="12"/>
      <c r="I258" s="12"/>
      <c r="J258" s="16"/>
      <c r="N258" s="16"/>
      <c r="O258" s="16"/>
      <c r="P258" s="16" t="str">
        <f t="shared" si="1"/>
        <v/>
      </c>
    </row>
    <row r="259">
      <c r="B259" s="16"/>
      <c r="C259" s="12"/>
      <c r="D259" s="12"/>
      <c r="E259" s="12"/>
      <c r="F259" s="25"/>
      <c r="G259" s="12"/>
      <c r="H259" s="12"/>
      <c r="I259" s="12"/>
      <c r="J259" s="16"/>
      <c r="N259" s="16"/>
      <c r="O259" s="16"/>
      <c r="P259" s="16" t="str">
        <f t="shared" si="1"/>
        <v/>
      </c>
    </row>
    <row r="260">
      <c r="B260" s="16"/>
      <c r="C260" s="12"/>
      <c r="D260" s="12"/>
      <c r="E260" s="12"/>
      <c r="F260" s="25"/>
      <c r="G260" s="12"/>
      <c r="H260" s="12"/>
      <c r="I260" s="12"/>
      <c r="J260" s="16"/>
      <c r="N260" s="16"/>
      <c r="O260" s="16"/>
      <c r="P260" s="16" t="str">
        <f t="shared" si="1"/>
        <v/>
      </c>
    </row>
    <row r="261">
      <c r="B261" s="16"/>
      <c r="C261" s="12"/>
      <c r="D261" s="12"/>
      <c r="E261" s="12"/>
      <c r="F261" s="25"/>
      <c r="G261" s="12"/>
      <c r="H261" s="12"/>
      <c r="I261" s="12"/>
      <c r="J261" s="16"/>
      <c r="N261" s="16"/>
      <c r="O261" s="16"/>
      <c r="P261" s="16" t="str">
        <f t="shared" si="1"/>
        <v/>
      </c>
    </row>
    <row r="262">
      <c r="B262" s="16"/>
      <c r="C262" s="12"/>
      <c r="D262" s="12"/>
      <c r="E262" s="12"/>
      <c r="F262" s="25"/>
      <c r="G262" s="12"/>
      <c r="H262" s="12"/>
      <c r="I262" s="12"/>
      <c r="J262" s="16"/>
      <c r="N262" s="16"/>
      <c r="O262" s="16"/>
      <c r="P262" s="16" t="str">
        <f t="shared" si="1"/>
        <v/>
      </c>
    </row>
    <row r="263">
      <c r="B263" s="16"/>
      <c r="C263" s="12"/>
      <c r="D263" s="12"/>
      <c r="E263" s="12"/>
      <c r="F263" s="25"/>
      <c r="G263" s="12"/>
      <c r="H263" s="12"/>
      <c r="I263" s="12"/>
      <c r="J263" s="16"/>
      <c r="N263" s="16"/>
      <c r="O263" s="16"/>
      <c r="P263" s="16" t="str">
        <f t="shared" si="1"/>
        <v/>
      </c>
    </row>
    <row r="264">
      <c r="B264" s="16"/>
      <c r="C264" s="12"/>
      <c r="D264" s="12"/>
      <c r="E264" s="12"/>
      <c r="F264" s="25"/>
      <c r="G264" s="12"/>
      <c r="H264" s="12"/>
      <c r="I264" s="12"/>
      <c r="J264" s="16"/>
      <c r="N264" s="16"/>
      <c r="O264" s="16"/>
      <c r="P264" s="16" t="str">
        <f t="shared" si="1"/>
        <v/>
      </c>
    </row>
    <row r="265">
      <c r="B265" s="16"/>
      <c r="C265" s="12"/>
      <c r="D265" s="12"/>
      <c r="E265" s="12"/>
      <c r="F265" s="25"/>
      <c r="G265" s="12"/>
      <c r="H265" s="12"/>
      <c r="I265" s="12"/>
      <c r="J265" s="16"/>
      <c r="N265" s="16"/>
      <c r="O265" s="16"/>
      <c r="P265" s="16" t="str">
        <f t="shared" si="1"/>
        <v/>
      </c>
    </row>
    <row r="266">
      <c r="B266" s="16"/>
      <c r="C266" s="12"/>
      <c r="D266" s="12"/>
      <c r="E266" s="12"/>
      <c r="F266" s="25"/>
      <c r="G266" s="12"/>
      <c r="H266" s="12"/>
      <c r="I266" s="12"/>
      <c r="J266" s="16"/>
      <c r="N266" s="16"/>
      <c r="O266" s="16"/>
      <c r="P266" s="16" t="str">
        <f t="shared" si="1"/>
        <v/>
      </c>
    </row>
    <row r="267">
      <c r="B267" s="16"/>
      <c r="C267" s="12"/>
      <c r="D267" s="12"/>
      <c r="E267" s="12"/>
      <c r="F267" s="25"/>
      <c r="G267" s="12"/>
      <c r="H267" s="12"/>
      <c r="I267" s="12"/>
      <c r="J267" s="16"/>
      <c r="N267" s="16"/>
      <c r="O267" s="16"/>
      <c r="P267" s="16" t="str">
        <f t="shared" si="1"/>
        <v/>
      </c>
    </row>
    <row r="268">
      <c r="B268" s="16"/>
      <c r="C268" s="12"/>
      <c r="D268" s="12"/>
      <c r="E268" s="12"/>
      <c r="F268" s="25"/>
      <c r="G268" s="12"/>
      <c r="H268" s="12"/>
      <c r="I268" s="12"/>
      <c r="J268" s="16"/>
      <c r="N268" s="16"/>
      <c r="O268" s="16"/>
      <c r="P268" s="16" t="str">
        <f t="shared" si="1"/>
        <v/>
      </c>
    </row>
    <row r="269">
      <c r="B269" s="16"/>
      <c r="C269" s="12"/>
      <c r="D269" s="12"/>
      <c r="E269" s="12"/>
      <c r="F269" s="25"/>
      <c r="G269" s="12"/>
      <c r="H269" s="12"/>
      <c r="I269" s="12"/>
      <c r="J269" s="16"/>
      <c r="N269" s="16"/>
      <c r="O269" s="16"/>
      <c r="P269" s="16" t="str">
        <f t="shared" si="1"/>
        <v/>
      </c>
    </row>
    <row r="270">
      <c r="B270" s="16"/>
      <c r="C270" s="12"/>
      <c r="D270" s="12"/>
      <c r="E270" s="12"/>
      <c r="F270" s="25"/>
      <c r="G270" s="12"/>
      <c r="H270" s="12"/>
      <c r="I270" s="12"/>
      <c r="J270" s="16"/>
      <c r="N270" s="16"/>
      <c r="O270" s="16"/>
      <c r="P270" s="16" t="str">
        <f t="shared" si="1"/>
        <v/>
      </c>
    </row>
    <row r="271">
      <c r="B271" s="16"/>
      <c r="C271" s="12"/>
      <c r="D271" s="12"/>
      <c r="E271" s="12"/>
      <c r="F271" s="25"/>
      <c r="G271" s="12"/>
      <c r="H271" s="12"/>
      <c r="I271" s="12"/>
      <c r="J271" s="16"/>
      <c r="N271" s="16"/>
      <c r="O271" s="16"/>
      <c r="P271" s="16" t="str">
        <f t="shared" si="1"/>
        <v/>
      </c>
    </row>
    <row r="272">
      <c r="B272" s="16"/>
      <c r="C272" s="12"/>
      <c r="D272" s="12"/>
      <c r="E272" s="12"/>
      <c r="F272" s="25"/>
      <c r="G272" s="12"/>
      <c r="H272" s="12"/>
      <c r="I272" s="12"/>
      <c r="J272" s="16"/>
      <c r="N272" s="16"/>
      <c r="O272" s="16"/>
      <c r="P272" s="16" t="str">
        <f t="shared" si="1"/>
        <v/>
      </c>
    </row>
    <row r="273">
      <c r="B273" s="16"/>
      <c r="C273" s="12"/>
      <c r="D273" s="12"/>
      <c r="E273" s="12"/>
      <c r="F273" s="25"/>
      <c r="G273" s="12"/>
      <c r="H273" s="12"/>
      <c r="I273" s="12"/>
      <c r="J273" s="16"/>
      <c r="N273" s="16"/>
      <c r="O273" s="16"/>
      <c r="P273" s="16" t="str">
        <f t="shared" si="1"/>
        <v/>
      </c>
    </row>
    <row r="274">
      <c r="B274" s="16"/>
      <c r="C274" s="12"/>
      <c r="D274" s="12"/>
      <c r="E274" s="12"/>
      <c r="F274" s="25"/>
      <c r="G274" s="12"/>
      <c r="H274" s="12"/>
      <c r="I274" s="12"/>
      <c r="J274" s="16"/>
      <c r="N274" s="16"/>
      <c r="O274" s="16"/>
      <c r="P274" s="16" t="str">
        <f t="shared" si="1"/>
        <v/>
      </c>
    </row>
    <row r="275">
      <c r="B275" s="16"/>
      <c r="C275" s="12"/>
      <c r="D275" s="12"/>
      <c r="E275" s="12"/>
      <c r="F275" s="25"/>
      <c r="G275" s="12"/>
      <c r="H275" s="12"/>
      <c r="I275" s="12"/>
      <c r="J275" s="16"/>
      <c r="N275" s="16"/>
      <c r="O275" s="16"/>
      <c r="P275" s="16" t="str">
        <f t="shared" si="1"/>
        <v/>
      </c>
    </row>
    <row r="276">
      <c r="B276" s="16"/>
      <c r="C276" s="12"/>
      <c r="D276" s="12"/>
      <c r="E276" s="12"/>
      <c r="F276" s="25"/>
      <c r="G276" s="12"/>
      <c r="H276" s="12"/>
      <c r="I276" s="12"/>
      <c r="J276" s="16"/>
      <c r="N276" s="16"/>
      <c r="O276" s="16"/>
      <c r="P276" s="16" t="str">
        <f t="shared" si="1"/>
        <v/>
      </c>
    </row>
    <row r="277">
      <c r="B277" s="16"/>
      <c r="C277" s="12"/>
      <c r="D277" s="12"/>
      <c r="E277" s="12"/>
      <c r="F277" s="25"/>
      <c r="G277" s="12"/>
      <c r="H277" s="12"/>
      <c r="I277" s="12"/>
      <c r="J277" s="16"/>
      <c r="N277" s="16"/>
      <c r="O277" s="16"/>
      <c r="P277" s="16" t="str">
        <f t="shared" si="1"/>
        <v/>
      </c>
    </row>
    <row r="278">
      <c r="B278" s="16"/>
      <c r="C278" s="12"/>
      <c r="D278" s="12"/>
      <c r="E278" s="12"/>
      <c r="F278" s="25"/>
      <c r="G278" s="12"/>
      <c r="H278" s="12"/>
      <c r="I278" s="12"/>
      <c r="J278" s="16"/>
      <c r="N278" s="16"/>
      <c r="O278" s="16"/>
      <c r="P278" s="16" t="str">
        <f t="shared" si="1"/>
        <v/>
      </c>
    </row>
    <row r="279">
      <c r="B279" s="16"/>
      <c r="C279" s="12"/>
      <c r="D279" s="12"/>
      <c r="E279" s="12"/>
      <c r="F279" s="25"/>
      <c r="G279" s="12"/>
      <c r="H279" s="12"/>
      <c r="I279" s="12"/>
      <c r="J279" s="16"/>
      <c r="N279" s="16"/>
      <c r="O279" s="16"/>
      <c r="P279" s="16" t="str">
        <f t="shared" si="1"/>
        <v/>
      </c>
    </row>
    <row r="280">
      <c r="B280" s="16"/>
      <c r="C280" s="12"/>
      <c r="D280" s="12"/>
      <c r="E280" s="12"/>
      <c r="F280" s="25"/>
      <c r="G280" s="12"/>
      <c r="H280" s="12"/>
      <c r="I280" s="12"/>
      <c r="J280" s="16"/>
      <c r="N280" s="16"/>
      <c r="O280" s="16"/>
      <c r="P280" s="16" t="str">
        <f t="shared" si="1"/>
        <v/>
      </c>
    </row>
    <row r="281">
      <c r="B281" s="16"/>
      <c r="C281" s="12"/>
      <c r="D281" s="12"/>
      <c r="E281" s="12"/>
      <c r="F281" s="25"/>
      <c r="G281" s="12"/>
      <c r="H281" s="12"/>
      <c r="I281" s="12"/>
      <c r="J281" s="16"/>
      <c r="N281" s="16"/>
      <c r="O281" s="16"/>
      <c r="P281" s="16" t="str">
        <f t="shared" si="1"/>
        <v/>
      </c>
    </row>
    <row r="282">
      <c r="B282" s="16"/>
      <c r="C282" s="12"/>
      <c r="D282" s="12"/>
      <c r="E282" s="12"/>
      <c r="F282" s="25"/>
      <c r="G282" s="12"/>
      <c r="H282" s="12"/>
      <c r="I282" s="12"/>
      <c r="J282" s="16"/>
      <c r="N282" s="16"/>
      <c r="O282" s="16"/>
      <c r="P282" s="16" t="str">
        <f t="shared" si="1"/>
        <v/>
      </c>
    </row>
    <row r="283">
      <c r="B283" s="16"/>
      <c r="C283" s="12"/>
      <c r="D283" s="12"/>
      <c r="E283" s="12"/>
      <c r="F283" s="25"/>
      <c r="G283" s="12"/>
      <c r="H283" s="12"/>
      <c r="I283" s="12"/>
      <c r="J283" s="16"/>
      <c r="N283" s="16"/>
      <c r="O283" s="16"/>
      <c r="P283" s="16" t="str">
        <f t="shared" si="1"/>
        <v/>
      </c>
    </row>
    <row r="284">
      <c r="B284" s="16"/>
      <c r="C284" s="12"/>
      <c r="D284" s="12"/>
      <c r="E284" s="12"/>
      <c r="F284" s="25"/>
      <c r="G284" s="12"/>
      <c r="H284" s="12"/>
      <c r="I284" s="12"/>
      <c r="J284" s="16"/>
      <c r="N284" s="16"/>
      <c r="O284" s="16"/>
      <c r="P284" s="16" t="str">
        <f t="shared" si="1"/>
        <v/>
      </c>
    </row>
    <row r="285">
      <c r="B285" s="16"/>
      <c r="C285" s="12"/>
      <c r="D285" s="12"/>
      <c r="E285" s="12"/>
      <c r="F285" s="25"/>
      <c r="G285" s="12"/>
      <c r="H285" s="12"/>
      <c r="I285" s="12"/>
      <c r="J285" s="16"/>
      <c r="N285" s="16"/>
      <c r="O285" s="16"/>
      <c r="P285" s="16" t="str">
        <f t="shared" si="1"/>
        <v/>
      </c>
    </row>
    <row r="286">
      <c r="B286" s="16"/>
      <c r="C286" s="12"/>
      <c r="D286" s="12"/>
      <c r="E286" s="12"/>
      <c r="F286" s="25"/>
      <c r="G286" s="12"/>
      <c r="H286" s="12"/>
      <c r="I286" s="12"/>
      <c r="J286" s="16"/>
      <c r="N286" s="16"/>
      <c r="O286" s="16"/>
      <c r="P286" s="16" t="str">
        <f t="shared" si="1"/>
        <v/>
      </c>
    </row>
    <row r="287">
      <c r="B287" s="16"/>
      <c r="C287" s="12"/>
      <c r="D287" s="12"/>
      <c r="E287" s="12"/>
      <c r="F287" s="25"/>
      <c r="G287" s="12"/>
      <c r="H287" s="12"/>
      <c r="I287" s="12"/>
      <c r="J287" s="16"/>
      <c r="N287" s="16"/>
      <c r="O287" s="16"/>
      <c r="P287" s="16" t="str">
        <f t="shared" si="1"/>
        <v/>
      </c>
    </row>
    <row r="288">
      <c r="B288" s="16"/>
      <c r="C288" s="12"/>
      <c r="D288" s="12"/>
      <c r="E288" s="12"/>
      <c r="F288" s="25"/>
      <c r="G288" s="12"/>
      <c r="H288" s="12"/>
      <c r="I288" s="12"/>
      <c r="J288" s="16"/>
      <c r="N288" s="16"/>
      <c r="O288" s="16"/>
      <c r="P288" s="16" t="str">
        <f t="shared" si="1"/>
        <v/>
      </c>
    </row>
    <row r="289">
      <c r="B289" s="16"/>
      <c r="C289" s="12"/>
      <c r="D289" s="12"/>
      <c r="E289" s="12"/>
      <c r="F289" s="25"/>
      <c r="G289" s="12"/>
      <c r="H289" s="12"/>
      <c r="I289" s="12"/>
      <c r="J289" s="16"/>
      <c r="N289" s="16"/>
      <c r="O289" s="16"/>
      <c r="P289" s="16" t="str">
        <f t="shared" si="1"/>
        <v/>
      </c>
    </row>
    <row r="290">
      <c r="B290" s="16"/>
      <c r="C290" s="12"/>
      <c r="D290" s="12"/>
      <c r="E290" s="12"/>
      <c r="F290" s="25"/>
      <c r="G290" s="12"/>
      <c r="H290" s="12"/>
      <c r="I290" s="12"/>
      <c r="J290" s="16"/>
      <c r="N290" s="16"/>
      <c r="O290" s="16"/>
      <c r="P290" s="16" t="str">
        <f t="shared" si="1"/>
        <v/>
      </c>
    </row>
    <row r="291">
      <c r="B291" s="16"/>
      <c r="C291" s="12"/>
      <c r="D291" s="12"/>
      <c r="E291" s="12"/>
      <c r="F291" s="25"/>
      <c r="G291" s="12"/>
      <c r="H291" s="12"/>
      <c r="I291" s="12"/>
      <c r="J291" s="16"/>
      <c r="N291" s="16"/>
      <c r="O291" s="16"/>
      <c r="P291" s="16" t="str">
        <f t="shared" si="1"/>
        <v/>
      </c>
    </row>
    <row r="292">
      <c r="B292" s="16"/>
      <c r="C292" s="12"/>
      <c r="D292" s="12"/>
      <c r="E292" s="12"/>
      <c r="F292" s="25"/>
      <c r="G292" s="12"/>
      <c r="H292" s="12"/>
      <c r="I292" s="12"/>
      <c r="J292" s="16"/>
      <c r="N292" s="16"/>
      <c r="O292" s="16"/>
      <c r="P292" s="16" t="str">
        <f t="shared" si="1"/>
        <v/>
      </c>
    </row>
    <row r="293">
      <c r="B293" s="16"/>
      <c r="C293" s="12"/>
      <c r="D293" s="12"/>
      <c r="E293" s="12"/>
      <c r="F293" s="25"/>
      <c r="G293" s="12"/>
      <c r="H293" s="12"/>
      <c r="I293" s="12"/>
      <c r="J293" s="16"/>
      <c r="N293" s="16"/>
      <c r="O293" s="16"/>
      <c r="P293" s="16" t="str">
        <f t="shared" si="1"/>
        <v/>
      </c>
    </row>
    <row r="294">
      <c r="B294" s="16"/>
      <c r="C294" s="12"/>
      <c r="D294" s="12"/>
      <c r="E294" s="12"/>
      <c r="F294" s="25"/>
      <c r="G294" s="12"/>
      <c r="H294" s="12"/>
      <c r="I294" s="12"/>
      <c r="J294" s="16"/>
      <c r="N294" s="16"/>
      <c r="O294" s="16"/>
      <c r="P294" s="16" t="str">
        <f t="shared" si="1"/>
        <v/>
      </c>
    </row>
    <row r="295">
      <c r="B295" s="16"/>
      <c r="C295" s="12"/>
      <c r="D295" s="12"/>
      <c r="E295" s="12"/>
      <c r="F295" s="25"/>
      <c r="G295" s="12"/>
      <c r="H295" s="12"/>
      <c r="I295" s="12"/>
      <c r="J295" s="16"/>
      <c r="N295" s="16"/>
      <c r="O295" s="16"/>
      <c r="P295" s="16" t="str">
        <f t="shared" si="1"/>
        <v/>
      </c>
    </row>
    <row r="296">
      <c r="B296" s="16"/>
      <c r="C296" s="12"/>
      <c r="D296" s="12"/>
      <c r="E296" s="12"/>
      <c r="F296" s="25"/>
      <c r="G296" s="12"/>
      <c r="H296" s="12"/>
      <c r="I296" s="12"/>
      <c r="J296" s="16"/>
      <c r="N296" s="16"/>
      <c r="O296" s="16"/>
      <c r="P296" s="16" t="str">
        <f t="shared" si="1"/>
        <v/>
      </c>
    </row>
    <row r="297">
      <c r="B297" s="16"/>
      <c r="C297" s="12"/>
      <c r="D297" s="12"/>
      <c r="E297" s="12"/>
      <c r="F297" s="25"/>
      <c r="G297" s="12"/>
      <c r="H297" s="12"/>
      <c r="I297" s="12"/>
      <c r="J297" s="16"/>
      <c r="N297" s="16"/>
      <c r="O297" s="16"/>
      <c r="P297" s="16" t="str">
        <f t="shared" si="1"/>
        <v/>
      </c>
    </row>
    <row r="298">
      <c r="B298" s="16"/>
      <c r="C298" s="12"/>
      <c r="D298" s="12"/>
      <c r="E298" s="12"/>
      <c r="F298" s="25"/>
      <c r="G298" s="12"/>
      <c r="H298" s="12"/>
      <c r="I298" s="12"/>
      <c r="J298" s="16"/>
      <c r="N298" s="16"/>
      <c r="O298" s="16"/>
      <c r="P298" s="16" t="str">
        <f t="shared" si="1"/>
        <v/>
      </c>
    </row>
    <row r="299">
      <c r="B299" s="16"/>
      <c r="C299" s="12"/>
      <c r="D299" s="12"/>
      <c r="E299" s="12"/>
      <c r="F299" s="25"/>
      <c r="G299" s="12"/>
      <c r="H299" s="12"/>
      <c r="I299" s="12"/>
      <c r="J299" s="16"/>
      <c r="N299" s="16"/>
      <c r="O299" s="16"/>
      <c r="P299" s="16" t="str">
        <f t="shared" si="1"/>
        <v/>
      </c>
    </row>
    <row r="300">
      <c r="B300" s="16"/>
      <c r="C300" s="12"/>
      <c r="D300" s="12"/>
      <c r="E300" s="12"/>
      <c r="F300" s="25"/>
      <c r="G300" s="12"/>
      <c r="H300" s="12"/>
      <c r="I300" s="12"/>
      <c r="J300" s="16"/>
      <c r="N300" s="16"/>
      <c r="O300" s="16"/>
      <c r="P300" s="16" t="str">
        <f t="shared" si="1"/>
        <v/>
      </c>
    </row>
    <row r="301">
      <c r="B301" s="16"/>
      <c r="C301" s="12"/>
      <c r="D301" s="12"/>
      <c r="E301" s="12"/>
      <c r="F301" s="25"/>
      <c r="G301" s="12"/>
      <c r="H301" s="12"/>
      <c r="I301" s="12"/>
      <c r="J301" s="16"/>
      <c r="N301" s="16"/>
      <c r="O301" s="16"/>
      <c r="P301" s="16" t="str">
        <f t="shared" si="1"/>
        <v/>
      </c>
    </row>
    <row r="302">
      <c r="B302" s="16"/>
      <c r="C302" s="12"/>
      <c r="D302" s="12"/>
      <c r="E302" s="12"/>
      <c r="F302" s="25"/>
      <c r="G302" s="12"/>
      <c r="H302" s="12"/>
      <c r="I302" s="12"/>
      <c r="J302" s="16"/>
      <c r="N302" s="16"/>
      <c r="O302" s="16"/>
      <c r="P302" s="16" t="str">
        <f t="shared" si="1"/>
        <v/>
      </c>
    </row>
    <row r="303">
      <c r="B303" s="16"/>
      <c r="C303" s="12"/>
      <c r="D303" s="12"/>
      <c r="E303" s="12"/>
      <c r="F303" s="25"/>
      <c r="G303" s="12"/>
      <c r="H303" s="12"/>
      <c r="I303" s="12"/>
      <c r="J303" s="16"/>
      <c r="N303" s="16"/>
      <c r="O303" s="16"/>
      <c r="P303" s="16" t="str">
        <f t="shared" si="1"/>
        <v/>
      </c>
    </row>
    <row r="304">
      <c r="B304" s="16"/>
      <c r="C304" s="12"/>
      <c r="D304" s="12"/>
      <c r="E304" s="12"/>
      <c r="F304" s="25"/>
      <c r="G304" s="12"/>
      <c r="H304" s="12"/>
      <c r="I304" s="12"/>
      <c r="J304" s="16"/>
      <c r="N304" s="16"/>
      <c r="O304" s="16"/>
      <c r="P304" s="16" t="str">
        <f t="shared" si="1"/>
        <v/>
      </c>
    </row>
    <row r="305">
      <c r="B305" s="16"/>
      <c r="C305" s="12"/>
      <c r="D305" s="12"/>
      <c r="E305" s="12"/>
      <c r="F305" s="25"/>
      <c r="G305" s="12"/>
      <c r="H305" s="12"/>
      <c r="I305" s="12"/>
      <c r="J305" s="16"/>
      <c r="N305" s="16"/>
      <c r="O305" s="16"/>
      <c r="P305" s="16" t="str">
        <f t="shared" si="1"/>
        <v/>
      </c>
    </row>
    <row r="306">
      <c r="B306" s="16"/>
      <c r="C306" s="12"/>
      <c r="D306" s="12"/>
      <c r="E306" s="12"/>
      <c r="F306" s="25"/>
      <c r="G306" s="12"/>
      <c r="H306" s="12"/>
      <c r="I306" s="12"/>
      <c r="J306" s="16"/>
      <c r="N306" s="16"/>
      <c r="O306" s="16"/>
      <c r="P306" s="16" t="str">
        <f t="shared" si="1"/>
        <v/>
      </c>
    </row>
    <row r="307">
      <c r="B307" s="16"/>
      <c r="C307" s="12"/>
      <c r="D307" s="12"/>
      <c r="E307" s="12"/>
      <c r="F307" s="25"/>
      <c r="G307" s="12"/>
      <c r="H307" s="12"/>
      <c r="I307" s="12"/>
      <c r="J307" s="16"/>
      <c r="N307" s="16"/>
      <c r="O307" s="16"/>
      <c r="P307" s="16" t="str">
        <f t="shared" si="1"/>
        <v/>
      </c>
    </row>
    <row r="308">
      <c r="B308" s="16"/>
      <c r="C308" s="12"/>
      <c r="D308" s="12"/>
      <c r="E308" s="12"/>
      <c r="F308" s="25"/>
      <c r="G308" s="12"/>
      <c r="H308" s="12"/>
      <c r="I308" s="12"/>
      <c r="J308" s="16"/>
      <c r="N308" s="16"/>
      <c r="O308" s="16"/>
      <c r="P308" s="16" t="str">
        <f t="shared" si="1"/>
        <v/>
      </c>
    </row>
    <row r="309">
      <c r="B309" s="16"/>
      <c r="C309" s="12"/>
      <c r="D309" s="12"/>
      <c r="E309" s="12"/>
      <c r="F309" s="25"/>
      <c r="G309" s="12"/>
      <c r="H309" s="12"/>
      <c r="I309" s="12"/>
      <c r="J309" s="16"/>
      <c r="N309" s="16"/>
      <c r="O309" s="16"/>
      <c r="P309" s="16" t="str">
        <f t="shared" si="1"/>
        <v/>
      </c>
    </row>
    <row r="310">
      <c r="B310" s="16"/>
      <c r="C310" s="12"/>
      <c r="D310" s="12"/>
      <c r="E310" s="12"/>
      <c r="F310" s="25"/>
      <c r="G310" s="12"/>
      <c r="H310" s="12"/>
      <c r="I310" s="12"/>
      <c r="J310" s="16"/>
      <c r="N310" s="16"/>
      <c r="O310" s="16"/>
      <c r="P310" s="16" t="str">
        <f t="shared" si="1"/>
        <v/>
      </c>
    </row>
    <row r="311">
      <c r="B311" s="16"/>
      <c r="C311" s="12"/>
      <c r="D311" s="12"/>
      <c r="E311" s="12"/>
      <c r="F311" s="25"/>
      <c r="G311" s="12"/>
      <c r="H311" s="12"/>
      <c r="I311" s="12"/>
      <c r="J311" s="16"/>
      <c r="N311" s="16"/>
      <c r="O311" s="16"/>
      <c r="P311" s="16" t="str">
        <f t="shared" si="1"/>
        <v/>
      </c>
    </row>
    <row r="312">
      <c r="B312" s="16"/>
      <c r="C312" s="12"/>
      <c r="D312" s="12"/>
      <c r="E312" s="12"/>
      <c r="F312" s="25"/>
      <c r="G312" s="12"/>
      <c r="H312" s="12"/>
      <c r="I312" s="12"/>
      <c r="J312" s="16"/>
      <c r="N312" s="16"/>
      <c r="O312" s="16"/>
      <c r="P312" s="16" t="str">
        <f t="shared" si="1"/>
        <v/>
      </c>
    </row>
    <row r="313">
      <c r="B313" s="16"/>
      <c r="C313" s="12"/>
      <c r="D313" s="12"/>
      <c r="E313" s="12"/>
      <c r="F313" s="25"/>
      <c r="G313" s="12"/>
      <c r="H313" s="12"/>
      <c r="I313" s="12"/>
      <c r="J313" s="16"/>
      <c r="N313" s="16"/>
      <c r="O313" s="16"/>
      <c r="P313" s="16" t="str">
        <f t="shared" si="1"/>
        <v/>
      </c>
    </row>
    <row r="314">
      <c r="B314" s="16"/>
      <c r="C314" s="12"/>
      <c r="D314" s="12"/>
      <c r="E314" s="12"/>
      <c r="F314" s="25"/>
      <c r="G314" s="12"/>
      <c r="H314" s="12"/>
      <c r="I314" s="12"/>
      <c r="J314" s="16"/>
      <c r="N314" s="16"/>
      <c r="O314" s="16"/>
      <c r="P314" s="16" t="str">
        <f t="shared" si="1"/>
        <v/>
      </c>
    </row>
    <row r="315">
      <c r="B315" s="16"/>
      <c r="C315" s="12"/>
      <c r="D315" s="12"/>
      <c r="E315" s="12"/>
      <c r="F315" s="25"/>
      <c r="G315" s="12"/>
      <c r="H315" s="12"/>
      <c r="I315" s="12"/>
      <c r="J315" s="16"/>
      <c r="N315" s="16"/>
      <c r="O315" s="16"/>
      <c r="P315" s="16" t="str">
        <f t="shared" si="1"/>
        <v/>
      </c>
    </row>
    <row r="316">
      <c r="B316" s="16"/>
      <c r="C316" s="12"/>
      <c r="D316" s="12"/>
      <c r="E316" s="12"/>
      <c r="F316" s="25"/>
      <c r="G316" s="12"/>
      <c r="H316" s="12"/>
      <c r="I316" s="12"/>
      <c r="J316" s="16"/>
      <c r="N316" s="16"/>
      <c r="O316" s="16"/>
      <c r="P316" s="16" t="str">
        <f t="shared" si="1"/>
        <v/>
      </c>
    </row>
    <row r="317">
      <c r="B317" s="16"/>
      <c r="C317" s="12"/>
      <c r="D317" s="12"/>
      <c r="E317" s="12"/>
      <c r="F317" s="25"/>
      <c r="G317" s="12"/>
      <c r="H317" s="12"/>
      <c r="I317" s="12"/>
      <c r="J317" s="16"/>
      <c r="N317" s="16"/>
      <c r="O317" s="16"/>
      <c r="P317" s="16" t="str">
        <f t="shared" si="1"/>
        <v/>
      </c>
    </row>
    <row r="318">
      <c r="B318" s="16"/>
      <c r="C318" s="12"/>
      <c r="D318" s="12"/>
      <c r="E318" s="12"/>
      <c r="F318" s="25"/>
      <c r="G318" s="12"/>
      <c r="H318" s="12"/>
      <c r="I318" s="12"/>
      <c r="J318" s="16"/>
      <c r="N318" s="16"/>
      <c r="O318" s="16"/>
      <c r="P318" s="16" t="str">
        <f t="shared" si="1"/>
        <v/>
      </c>
    </row>
    <row r="319">
      <c r="B319" s="16"/>
      <c r="C319" s="12"/>
      <c r="D319" s="12"/>
      <c r="E319" s="12"/>
      <c r="F319" s="25"/>
      <c r="G319" s="12"/>
      <c r="H319" s="12"/>
      <c r="I319" s="12"/>
      <c r="J319" s="16"/>
      <c r="N319" s="16"/>
      <c r="O319" s="16"/>
      <c r="P319" s="16" t="str">
        <f t="shared" si="1"/>
        <v/>
      </c>
    </row>
    <row r="320">
      <c r="B320" s="16"/>
      <c r="C320" s="12"/>
      <c r="D320" s="12"/>
      <c r="E320" s="12"/>
      <c r="F320" s="25"/>
      <c r="G320" s="12"/>
      <c r="H320" s="12"/>
      <c r="I320" s="12"/>
      <c r="J320" s="16"/>
      <c r="N320" s="16"/>
      <c r="O320" s="16"/>
      <c r="P320" s="16" t="str">
        <f t="shared" si="1"/>
        <v/>
      </c>
    </row>
    <row r="321">
      <c r="B321" s="16"/>
      <c r="C321" s="12"/>
      <c r="D321" s="12"/>
      <c r="E321" s="12"/>
      <c r="F321" s="25"/>
      <c r="G321" s="12"/>
      <c r="H321" s="12"/>
      <c r="I321" s="12"/>
      <c r="J321" s="16"/>
      <c r="N321" s="16"/>
      <c r="O321" s="16"/>
      <c r="P321" s="16" t="str">
        <f t="shared" si="1"/>
        <v/>
      </c>
    </row>
    <row r="322">
      <c r="B322" s="16"/>
      <c r="C322" s="12"/>
      <c r="D322" s="12"/>
      <c r="E322" s="12"/>
      <c r="F322" s="25"/>
      <c r="G322" s="12"/>
      <c r="H322" s="12"/>
      <c r="I322" s="12"/>
      <c r="J322" s="16"/>
      <c r="N322" s="16"/>
      <c r="O322" s="16"/>
      <c r="P322" s="16" t="str">
        <f t="shared" si="1"/>
        <v/>
      </c>
    </row>
    <row r="323">
      <c r="B323" s="16"/>
      <c r="C323" s="12"/>
      <c r="D323" s="12"/>
      <c r="E323" s="12"/>
      <c r="F323" s="25"/>
      <c r="G323" s="12"/>
      <c r="H323" s="12"/>
      <c r="I323" s="12"/>
      <c r="J323" s="16"/>
      <c r="N323" s="16"/>
      <c r="O323" s="16"/>
      <c r="P323" s="16" t="str">
        <f t="shared" si="1"/>
        <v/>
      </c>
    </row>
    <row r="324">
      <c r="B324" s="16"/>
      <c r="C324" s="12"/>
      <c r="D324" s="12"/>
      <c r="E324" s="12"/>
      <c r="F324" s="25"/>
      <c r="G324" s="12"/>
      <c r="H324" s="12"/>
      <c r="I324" s="12"/>
      <c r="J324" s="16"/>
      <c r="N324" s="16"/>
      <c r="O324" s="16"/>
      <c r="P324" s="16" t="str">
        <f t="shared" si="1"/>
        <v/>
      </c>
    </row>
    <row r="325">
      <c r="B325" s="16"/>
      <c r="C325" s="12"/>
      <c r="D325" s="12"/>
      <c r="E325" s="12"/>
      <c r="F325" s="25"/>
      <c r="G325" s="12"/>
      <c r="H325" s="12"/>
      <c r="I325" s="12"/>
      <c r="J325" s="16"/>
      <c r="N325" s="16"/>
      <c r="O325" s="16"/>
      <c r="P325" s="16" t="str">
        <f t="shared" si="1"/>
        <v/>
      </c>
    </row>
    <row r="326">
      <c r="B326" s="16"/>
      <c r="C326" s="12"/>
      <c r="D326" s="12"/>
      <c r="E326" s="12"/>
      <c r="F326" s="25"/>
      <c r="G326" s="12"/>
      <c r="H326" s="12"/>
      <c r="I326" s="12"/>
      <c r="J326" s="16"/>
      <c r="N326" s="16"/>
      <c r="O326" s="16"/>
      <c r="P326" s="16" t="str">
        <f t="shared" si="1"/>
        <v/>
      </c>
    </row>
    <row r="327">
      <c r="B327" s="16"/>
      <c r="C327" s="12"/>
      <c r="D327" s="12"/>
      <c r="E327" s="12"/>
      <c r="F327" s="25"/>
      <c r="G327" s="12"/>
      <c r="H327" s="12"/>
      <c r="I327" s="12"/>
      <c r="J327" s="16"/>
      <c r="N327" s="16"/>
      <c r="O327" s="16"/>
      <c r="P327" s="16" t="str">
        <f t="shared" si="1"/>
        <v/>
      </c>
    </row>
    <row r="328">
      <c r="B328" s="16"/>
      <c r="C328" s="12"/>
      <c r="D328" s="12"/>
      <c r="E328" s="12"/>
      <c r="F328" s="25"/>
      <c r="G328" s="12"/>
      <c r="H328" s="12"/>
      <c r="I328" s="12"/>
      <c r="J328" s="16"/>
      <c r="N328" s="16"/>
      <c r="O328" s="16"/>
      <c r="P328" s="16" t="str">
        <f t="shared" si="1"/>
        <v/>
      </c>
    </row>
    <row r="329">
      <c r="B329" s="16"/>
      <c r="C329" s="12"/>
      <c r="D329" s="12"/>
      <c r="E329" s="12"/>
      <c r="F329" s="25"/>
      <c r="G329" s="12"/>
      <c r="H329" s="12"/>
      <c r="I329" s="12"/>
      <c r="J329" s="16"/>
      <c r="N329" s="16"/>
      <c r="O329" s="16"/>
      <c r="P329" s="16" t="str">
        <f t="shared" si="1"/>
        <v/>
      </c>
    </row>
    <row r="330">
      <c r="B330" s="16"/>
      <c r="C330" s="12"/>
      <c r="D330" s="12"/>
      <c r="E330" s="12"/>
      <c r="F330" s="25"/>
      <c r="G330" s="12"/>
      <c r="H330" s="12"/>
      <c r="I330" s="12"/>
      <c r="J330" s="16"/>
      <c r="N330" s="16"/>
      <c r="O330" s="16"/>
      <c r="P330" s="16" t="str">
        <f t="shared" si="1"/>
        <v/>
      </c>
    </row>
    <row r="331">
      <c r="B331" s="16"/>
      <c r="C331" s="12"/>
      <c r="D331" s="12"/>
      <c r="E331" s="12"/>
      <c r="F331" s="25"/>
      <c r="G331" s="12"/>
      <c r="H331" s="12"/>
      <c r="I331" s="12"/>
      <c r="J331" s="16"/>
      <c r="N331" s="16"/>
      <c r="O331" s="16"/>
      <c r="P331" s="16" t="str">
        <f t="shared" si="1"/>
        <v/>
      </c>
    </row>
    <row r="332">
      <c r="B332" s="16"/>
      <c r="C332" s="12"/>
      <c r="D332" s="12"/>
      <c r="E332" s="12"/>
      <c r="F332" s="25"/>
      <c r="G332" s="12"/>
      <c r="H332" s="12"/>
      <c r="I332" s="12"/>
      <c r="J332" s="16"/>
      <c r="N332" s="16"/>
      <c r="O332" s="16"/>
      <c r="P332" s="16" t="str">
        <f t="shared" si="1"/>
        <v/>
      </c>
    </row>
    <row r="333">
      <c r="B333" s="16"/>
      <c r="C333" s="12"/>
      <c r="D333" s="12"/>
      <c r="E333" s="12"/>
      <c r="F333" s="25"/>
      <c r="G333" s="12"/>
      <c r="H333" s="12"/>
      <c r="I333" s="12"/>
      <c r="J333" s="16"/>
      <c r="N333" s="16"/>
      <c r="O333" s="16"/>
      <c r="P333" s="16" t="str">
        <f t="shared" si="1"/>
        <v/>
      </c>
    </row>
    <row r="334">
      <c r="B334" s="16"/>
      <c r="C334" s="12"/>
      <c r="D334" s="12"/>
      <c r="E334" s="12"/>
      <c r="F334" s="25"/>
      <c r="G334" s="12"/>
      <c r="H334" s="12"/>
      <c r="I334" s="12"/>
      <c r="J334" s="16"/>
      <c r="N334" s="16"/>
      <c r="O334" s="16"/>
      <c r="P334" s="16" t="str">
        <f t="shared" si="1"/>
        <v/>
      </c>
    </row>
    <row r="335">
      <c r="B335" s="16"/>
      <c r="C335" s="12"/>
      <c r="D335" s="12"/>
      <c r="E335" s="12"/>
      <c r="F335" s="25"/>
      <c r="G335" s="12"/>
      <c r="H335" s="12"/>
      <c r="I335" s="12"/>
      <c r="J335" s="16"/>
      <c r="N335" s="16"/>
      <c r="O335" s="16"/>
      <c r="P335" s="16" t="str">
        <f t="shared" si="1"/>
        <v/>
      </c>
    </row>
    <row r="336">
      <c r="B336" s="16"/>
      <c r="C336" s="12"/>
      <c r="D336" s="12"/>
      <c r="E336" s="12"/>
      <c r="F336" s="25"/>
      <c r="G336" s="12"/>
      <c r="H336" s="12"/>
      <c r="I336" s="12"/>
      <c r="J336" s="16"/>
      <c r="N336" s="16"/>
      <c r="O336" s="16"/>
      <c r="P336" s="16" t="str">
        <f t="shared" si="1"/>
        <v/>
      </c>
    </row>
    <row r="337">
      <c r="B337" s="16"/>
      <c r="C337" s="12"/>
      <c r="D337" s="12"/>
      <c r="E337" s="12"/>
      <c r="F337" s="25"/>
      <c r="G337" s="12"/>
      <c r="H337" s="12"/>
      <c r="I337" s="12"/>
      <c r="J337" s="16"/>
      <c r="N337" s="16"/>
      <c r="O337" s="16"/>
      <c r="P337" s="16" t="str">
        <f t="shared" si="1"/>
        <v/>
      </c>
    </row>
    <row r="338">
      <c r="B338" s="16"/>
      <c r="C338" s="12"/>
      <c r="D338" s="12"/>
      <c r="E338" s="12"/>
      <c r="F338" s="25"/>
      <c r="G338" s="12"/>
      <c r="H338" s="12"/>
      <c r="I338" s="12"/>
      <c r="J338" s="16"/>
      <c r="N338" s="16"/>
      <c r="O338" s="16"/>
      <c r="P338" s="16" t="str">
        <f t="shared" si="1"/>
        <v/>
      </c>
    </row>
    <row r="339">
      <c r="B339" s="16"/>
      <c r="C339" s="12"/>
      <c r="D339" s="12"/>
      <c r="E339" s="12"/>
      <c r="F339" s="25"/>
      <c r="G339" s="12"/>
      <c r="H339" s="12"/>
      <c r="I339" s="12"/>
      <c r="J339" s="16"/>
      <c r="N339" s="16"/>
      <c r="O339" s="16"/>
      <c r="P339" s="16" t="str">
        <f t="shared" si="1"/>
        <v/>
      </c>
    </row>
    <row r="340">
      <c r="B340" s="16"/>
      <c r="C340" s="12"/>
      <c r="D340" s="12"/>
      <c r="E340" s="12"/>
      <c r="F340" s="25"/>
      <c r="G340" s="12"/>
      <c r="H340" s="12"/>
      <c r="I340" s="12"/>
      <c r="J340" s="16"/>
      <c r="N340" s="16"/>
      <c r="O340" s="16"/>
      <c r="P340" s="16" t="str">
        <f t="shared" si="1"/>
        <v/>
      </c>
    </row>
    <row r="341">
      <c r="B341" s="16"/>
      <c r="C341" s="12"/>
      <c r="D341" s="12"/>
      <c r="E341" s="12"/>
      <c r="F341" s="25"/>
      <c r="G341" s="12"/>
      <c r="H341" s="12"/>
      <c r="I341" s="12"/>
      <c r="J341" s="16"/>
      <c r="N341" s="16"/>
      <c r="O341" s="16"/>
      <c r="P341" s="16" t="str">
        <f t="shared" si="1"/>
        <v/>
      </c>
    </row>
    <row r="342">
      <c r="B342" s="16"/>
      <c r="C342" s="12"/>
      <c r="D342" s="12"/>
      <c r="E342" s="12"/>
      <c r="F342" s="25"/>
      <c r="G342" s="12"/>
      <c r="H342" s="12"/>
      <c r="I342" s="12"/>
      <c r="J342" s="16"/>
      <c r="N342" s="16"/>
      <c r="O342" s="16"/>
      <c r="P342" s="16" t="str">
        <f t="shared" si="1"/>
        <v/>
      </c>
    </row>
    <row r="343">
      <c r="B343" s="16"/>
      <c r="C343" s="12"/>
      <c r="D343" s="12"/>
      <c r="E343" s="12"/>
      <c r="F343" s="25"/>
      <c r="G343" s="12"/>
      <c r="H343" s="12"/>
      <c r="I343" s="12"/>
      <c r="J343" s="16"/>
      <c r="N343" s="16"/>
      <c r="O343" s="16"/>
      <c r="P343" s="16" t="str">
        <f t="shared" si="1"/>
        <v/>
      </c>
    </row>
    <row r="344">
      <c r="B344" s="16"/>
      <c r="C344" s="12"/>
      <c r="D344" s="12"/>
      <c r="E344" s="12"/>
      <c r="F344" s="25"/>
      <c r="G344" s="12"/>
      <c r="H344" s="12"/>
      <c r="I344" s="12"/>
      <c r="J344" s="16"/>
      <c r="N344" s="16"/>
      <c r="O344" s="16"/>
      <c r="P344" s="16" t="str">
        <f t="shared" si="1"/>
        <v/>
      </c>
    </row>
    <row r="345">
      <c r="B345" s="16"/>
      <c r="C345" s="12"/>
      <c r="D345" s="12"/>
      <c r="E345" s="12"/>
      <c r="F345" s="25"/>
      <c r="G345" s="12"/>
      <c r="H345" s="12"/>
      <c r="I345" s="12"/>
      <c r="J345" s="16"/>
      <c r="N345" s="16"/>
      <c r="O345" s="16"/>
      <c r="P345" s="16" t="str">
        <f t="shared" si="1"/>
        <v/>
      </c>
    </row>
    <row r="346">
      <c r="B346" s="16"/>
      <c r="C346" s="12"/>
      <c r="D346" s="12"/>
      <c r="E346" s="12"/>
      <c r="F346" s="25"/>
      <c r="G346" s="12"/>
      <c r="H346" s="12"/>
      <c r="I346" s="12"/>
      <c r="J346" s="16"/>
      <c r="N346" s="16"/>
      <c r="O346" s="16"/>
      <c r="P346" s="16" t="str">
        <f t="shared" si="1"/>
        <v/>
      </c>
    </row>
    <row r="347">
      <c r="B347" s="16"/>
      <c r="C347" s="12"/>
      <c r="D347" s="12"/>
      <c r="E347" s="12"/>
      <c r="F347" s="25"/>
      <c r="G347" s="12"/>
      <c r="H347" s="12"/>
      <c r="I347" s="12"/>
      <c r="J347" s="16"/>
      <c r="N347" s="16"/>
      <c r="O347" s="16"/>
      <c r="P347" s="16" t="str">
        <f t="shared" si="1"/>
        <v/>
      </c>
    </row>
    <row r="348">
      <c r="B348" s="16"/>
      <c r="C348" s="12"/>
      <c r="D348" s="12"/>
      <c r="E348" s="12"/>
      <c r="F348" s="25"/>
      <c r="G348" s="12"/>
      <c r="H348" s="12"/>
      <c r="I348" s="12"/>
      <c r="J348" s="16"/>
      <c r="N348" s="16"/>
      <c r="O348" s="16"/>
      <c r="P348" s="16" t="str">
        <f t="shared" si="1"/>
        <v/>
      </c>
    </row>
    <row r="349">
      <c r="B349" s="16"/>
      <c r="C349" s="12"/>
      <c r="D349" s="12"/>
      <c r="E349" s="12"/>
      <c r="F349" s="25"/>
      <c r="G349" s="12"/>
      <c r="H349" s="12"/>
      <c r="I349" s="12"/>
      <c r="J349" s="16"/>
      <c r="N349" s="16"/>
      <c r="O349" s="16"/>
      <c r="P349" s="16" t="str">
        <f t="shared" si="1"/>
        <v/>
      </c>
    </row>
    <row r="350">
      <c r="B350" s="16"/>
      <c r="C350" s="12"/>
      <c r="D350" s="12"/>
      <c r="E350" s="12"/>
      <c r="F350" s="25"/>
      <c r="G350" s="12"/>
      <c r="H350" s="12"/>
      <c r="I350" s="12"/>
      <c r="J350" s="16"/>
      <c r="N350" s="16"/>
      <c r="O350" s="16"/>
      <c r="P350" s="16" t="str">
        <f t="shared" si="1"/>
        <v/>
      </c>
    </row>
    <row r="351">
      <c r="B351" s="16"/>
      <c r="C351" s="12"/>
      <c r="D351" s="12"/>
      <c r="E351" s="12"/>
      <c r="F351" s="25"/>
      <c r="G351" s="12"/>
      <c r="H351" s="12"/>
      <c r="I351" s="12"/>
      <c r="J351" s="16"/>
      <c r="N351" s="16"/>
      <c r="O351" s="16"/>
      <c r="P351" s="16" t="str">
        <f t="shared" si="1"/>
        <v/>
      </c>
    </row>
    <row r="352">
      <c r="B352" s="16"/>
      <c r="C352" s="12"/>
      <c r="D352" s="12"/>
      <c r="E352" s="12"/>
      <c r="F352" s="25"/>
      <c r="G352" s="12"/>
      <c r="H352" s="12"/>
      <c r="I352" s="12"/>
      <c r="J352" s="16"/>
      <c r="N352" s="16"/>
      <c r="O352" s="16"/>
      <c r="P352" s="16" t="str">
        <f t="shared" si="1"/>
        <v/>
      </c>
    </row>
    <row r="353">
      <c r="B353" s="16"/>
      <c r="C353" s="12"/>
      <c r="D353" s="12"/>
      <c r="E353" s="12"/>
      <c r="F353" s="25"/>
      <c r="G353" s="12"/>
      <c r="H353" s="12"/>
      <c r="I353" s="12"/>
      <c r="J353" s="16"/>
      <c r="N353" s="16"/>
      <c r="O353" s="16"/>
      <c r="P353" s="16" t="str">
        <f t="shared" si="1"/>
        <v/>
      </c>
    </row>
    <row r="354">
      <c r="B354" s="16"/>
      <c r="C354" s="12"/>
      <c r="D354" s="12"/>
      <c r="E354" s="12"/>
      <c r="F354" s="25"/>
      <c r="G354" s="12"/>
      <c r="H354" s="12"/>
      <c r="I354" s="12"/>
      <c r="J354" s="16"/>
      <c r="N354" s="16"/>
      <c r="O354" s="16"/>
      <c r="P354" s="16" t="str">
        <f t="shared" si="1"/>
        <v/>
      </c>
    </row>
    <row r="355">
      <c r="B355" s="16"/>
      <c r="C355" s="12"/>
      <c r="D355" s="12"/>
      <c r="E355" s="12"/>
      <c r="F355" s="25"/>
      <c r="G355" s="12"/>
      <c r="H355" s="12"/>
      <c r="I355" s="12"/>
      <c r="J355" s="16"/>
      <c r="N355" s="16"/>
      <c r="O355" s="16"/>
      <c r="P355" s="16" t="str">
        <f t="shared" si="1"/>
        <v/>
      </c>
    </row>
    <row r="356">
      <c r="B356" s="16"/>
      <c r="C356" s="12"/>
      <c r="D356" s="12"/>
      <c r="E356" s="12"/>
      <c r="F356" s="25"/>
      <c r="G356" s="12"/>
      <c r="H356" s="12"/>
      <c r="I356" s="12"/>
      <c r="J356" s="16"/>
      <c r="N356" s="16"/>
      <c r="O356" s="16"/>
      <c r="P356" s="16" t="str">
        <f t="shared" si="1"/>
        <v/>
      </c>
    </row>
    <row r="357">
      <c r="B357" s="16"/>
      <c r="C357" s="12"/>
      <c r="D357" s="12"/>
      <c r="E357" s="12"/>
      <c r="F357" s="25"/>
      <c r="G357" s="12"/>
      <c r="H357" s="12"/>
      <c r="I357" s="12"/>
      <c r="J357" s="16"/>
      <c r="N357" s="16"/>
      <c r="O357" s="16"/>
      <c r="P357" s="16" t="str">
        <f t="shared" si="1"/>
        <v/>
      </c>
    </row>
    <row r="358">
      <c r="B358" s="16"/>
      <c r="C358" s="12"/>
      <c r="D358" s="12"/>
      <c r="E358" s="12"/>
      <c r="F358" s="25"/>
      <c r="G358" s="12"/>
      <c r="H358" s="12"/>
      <c r="I358" s="12"/>
      <c r="J358" s="16"/>
      <c r="N358" s="16"/>
      <c r="O358" s="16"/>
      <c r="P358" s="16" t="str">
        <f t="shared" si="1"/>
        <v/>
      </c>
    </row>
    <row r="359">
      <c r="B359" s="16"/>
      <c r="C359" s="12"/>
      <c r="D359" s="12"/>
      <c r="E359" s="12"/>
      <c r="F359" s="25"/>
      <c r="G359" s="12"/>
      <c r="H359" s="12"/>
      <c r="I359" s="12"/>
      <c r="J359" s="16"/>
      <c r="N359" s="16"/>
      <c r="O359" s="16"/>
      <c r="P359" s="16" t="str">
        <f t="shared" si="1"/>
        <v/>
      </c>
    </row>
    <row r="360">
      <c r="B360" s="16"/>
      <c r="C360" s="12"/>
      <c r="D360" s="12"/>
      <c r="E360" s="12"/>
      <c r="F360" s="25"/>
      <c r="G360" s="12"/>
      <c r="H360" s="12"/>
      <c r="I360" s="12"/>
      <c r="J360" s="16"/>
      <c r="N360" s="16"/>
      <c r="O360" s="16"/>
      <c r="P360" s="16" t="str">
        <f t="shared" si="1"/>
        <v/>
      </c>
    </row>
    <row r="361">
      <c r="B361" s="16"/>
      <c r="C361" s="12"/>
      <c r="D361" s="12"/>
      <c r="E361" s="12"/>
      <c r="F361" s="25"/>
      <c r="G361" s="12"/>
      <c r="H361" s="12"/>
      <c r="I361" s="12"/>
      <c r="J361" s="16"/>
      <c r="N361" s="16"/>
      <c r="O361" s="16"/>
      <c r="P361" s="16" t="str">
        <f t="shared" si="1"/>
        <v/>
      </c>
    </row>
    <row r="362">
      <c r="B362" s="16"/>
      <c r="C362" s="12"/>
      <c r="D362" s="12"/>
      <c r="E362" s="12"/>
      <c r="F362" s="25"/>
      <c r="G362" s="12"/>
      <c r="H362" s="12"/>
      <c r="I362" s="12"/>
      <c r="J362" s="16"/>
      <c r="N362" s="16"/>
      <c r="O362" s="16"/>
      <c r="P362" s="16" t="str">
        <f t="shared" si="1"/>
        <v/>
      </c>
    </row>
    <row r="363">
      <c r="B363" s="16"/>
      <c r="C363" s="12"/>
      <c r="D363" s="12"/>
      <c r="E363" s="12"/>
      <c r="F363" s="25"/>
      <c r="G363" s="12"/>
      <c r="H363" s="12"/>
      <c r="I363" s="12"/>
      <c r="J363" s="16"/>
      <c r="N363" s="16"/>
      <c r="O363" s="16"/>
      <c r="P363" s="16" t="str">
        <f t="shared" si="1"/>
        <v/>
      </c>
    </row>
    <row r="364">
      <c r="B364" s="16"/>
      <c r="C364" s="12"/>
      <c r="D364" s="12"/>
      <c r="E364" s="12"/>
      <c r="F364" s="25"/>
      <c r="G364" s="12"/>
      <c r="H364" s="12"/>
      <c r="I364" s="12"/>
      <c r="J364" s="16"/>
      <c r="N364" s="16"/>
      <c r="O364" s="16"/>
      <c r="P364" s="16" t="str">
        <f t="shared" si="1"/>
        <v/>
      </c>
    </row>
    <row r="365">
      <c r="B365" s="16"/>
      <c r="C365" s="12"/>
      <c r="D365" s="12"/>
      <c r="E365" s="12"/>
      <c r="F365" s="25"/>
      <c r="G365" s="12"/>
      <c r="H365" s="12"/>
      <c r="I365" s="12"/>
      <c r="J365" s="16"/>
      <c r="N365" s="16"/>
      <c r="O365" s="16"/>
      <c r="P365" s="16" t="str">
        <f t="shared" si="1"/>
        <v/>
      </c>
    </row>
    <row r="366">
      <c r="B366" s="16"/>
      <c r="C366" s="12"/>
      <c r="D366" s="12"/>
      <c r="E366" s="12"/>
      <c r="F366" s="25"/>
      <c r="G366" s="12"/>
      <c r="H366" s="12"/>
      <c r="I366" s="12"/>
      <c r="J366" s="16"/>
      <c r="N366" s="16"/>
      <c r="O366" s="16"/>
      <c r="P366" s="16" t="str">
        <f t="shared" si="1"/>
        <v/>
      </c>
    </row>
    <row r="367">
      <c r="B367" s="16"/>
      <c r="C367" s="12"/>
      <c r="D367" s="12"/>
      <c r="E367" s="12"/>
      <c r="F367" s="25"/>
      <c r="G367" s="12"/>
      <c r="H367" s="12"/>
      <c r="I367" s="12"/>
      <c r="J367" s="16"/>
      <c r="N367" s="16"/>
      <c r="O367" s="16"/>
      <c r="P367" s="16" t="str">
        <f t="shared" si="1"/>
        <v/>
      </c>
    </row>
    <row r="368">
      <c r="B368" s="16"/>
      <c r="C368" s="12"/>
      <c r="D368" s="12"/>
      <c r="E368" s="12"/>
      <c r="F368" s="25"/>
      <c r="G368" s="12"/>
      <c r="H368" s="12"/>
      <c r="I368" s="12"/>
      <c r="J368" s="16"/>
      <c r="N368" s="16"/>
      <c r="O368" s="16"/>
      <c r="P368" s="16" t="str">
        <f t="shared" si="1"/>
        <v/>
      </c>
    </row>
    <row r="369">
      <c r="B369" s="16"/>
      <c r="C369" s="12"/>
      <c r="D369" s="12"/>
      <c r="E369" s="12"/>
      <c r="F369" s="25"/>
      <c r="G369" s="12"/>
      <c r="H369" s="12"/>
      <c r="I369" s="12"/>
      <c r="J369" s="16"/>
      <c r="N369" s="16"/>
      <c r="O369" s="16"/>
      <c r="P369" s="16" t="str">
        <f t="shared" si="1"/>
        <v/>
      </c>
    </row>
    <row r="370">
      <c r="B370" s="16"/>
      <c r="C370" s="12"/>
      <c r="D370" s="12"/>
      <c r="E370" s="12"/>
      <c r="F370" s="25"/>
      <c r="G370" s="12"/>
      <c r="H370" s="12"/>
      <c r="I370" s="12"/>
      <c r="J370" s="16"/>
      <c r="N370" s="16"/>
      <c r="O370" s="16"/>
      <c r="P370" s="16" t="str">
        <f t="shared" si="1"/>
        <v/>
      </c>
    </row>
    <row r="371">
      <c r="B371" s="16"/>
      <c r="C371" s="12"/>
      <c r="D371" s="12"/>
      <c r="E371" s="12"/>
      <c r="F371" s="25"/>
      <c r="G371" s="12"/>
      <c r="H371" s="12"/>
      <c r="I371" s="12"/>
      <c r="J371" s="16"/>
      <c r="N371" s="16"/>
      <c r="O371" s="16"/>
      <c r="P371" s="16" t="str">
        <f t="shared" si="1"/>
        <v/>
      </c>
    </row>
    <row r="372">
      <c r="B372" s="16"/>
      <c r="C372" s="12"/>
      <c r="D372" s="12"/>
      <c r="E372" s="12"/>
      <c r="F372" s="25"/>
      <c r="G372" s="12"/>
      <c r="H372" s="12"/>
      <c r="I372" s="12"/>
      <c r="J372" s="16"/>
      <c r="N372" s="16"/>
      <c r="O372" s="16"/>
      <c r="P372" s="16" t="str">
        <f t="shared" si="1"/>
        <v/>
      </c>
    </row>
    <row r="373">
      <c r="B373" s="16"/>
      <c r="C373" s="12"/>
      <c r="D373" s="12"/>
      <c r="E373" s="12"/>
      <c r="F373" s="25"/>
      <c r="G373" s="12"/>
      <c r="H373" s="12"/>
      <c r="I373" s="12"/>
      <c r="J373" s="16"/>
      <c r="N373" s="16"/>
      <c r="O373" s="16"/>
      <c r="P373" s="16" t="str">
        <f t="shared" si="1"/>
        <v/>
      </c>
    </row>
    <row r="374">
      <c r="B374" s="16"/>
      <c r="C374" s="12"/>
      <c r="D374" s="12"/>
      <c r="E374" s="12"/>
      <c r="F374" s="25"/>
      <c r="G374" s="12"/>
      <c r="H374" s="12"/>
      <c r="I374" s="12"/>
      <c r="J374" s="16"/>
      <c r="N374" s="16"/>
      <c r="O374" s="16"/>
      <c r="P374" s="16" t="str">
        <f t="shared" si="1"/>
        <v/>
      </c>
    </row>
    <row r="375">
      <c r="B375" s="16"/>
      <c r="C375" s="12"/>
      <c r="D375" s="12"/>
      <c r="E375" s="12"/>
      <c r="F375" s="25"/>
      <c r="G375" s="12"/>
      <c r="H375" s="12"/>
      <c r="I375" s="12"/>
      <c r="J375" s="16"/>
      <c r="N375" s="16"/>
      <c r="O375" s="16"/>
      <c r="P375" s="16" t="str">
        <f t="shared" si="1"/>
        <v/>
      </c>
    </row>
    <row r="376">
      <c r="B376" s="16"/>
      <c r="C376" s="12"/>
      <c r="D376" s="12"/>
      <c r="E376" s="12"/>
      <c r="F376" s="25"/>
      <c r="G376" s="12"/>
      <c r="H376" s="12"/>
      <c r="I376" s="12"/>
      <c r="J376" s="16"/>
      <c r="N376" s="16"/>
      <c r="O376" s="16"/>
      <c r="P376" s="16" t="str">
        <f t="shared" si="1"/>
        <v/>
      </c>
    </row>
    <row r="377">
      <c r="B377" s="16"/>
      <c r="C377" s="12"/>
      <c r="D377" s="12"/>
      <c r="E377" s="12"/>
      <c r="F377" s="25"/>
      <c r="G377" s="12"/>
      <c r="H377" s="12"/>
      <c r="I377" s="12"/>
      <c r="J377" s="16"/>
      <c r="N377" s="16"/>
      <c r="O377" s="16"/>
      <c r="P377" s="16" t="str">
        <f t="shared" si="1"/>
        <v/>
      </c>
    </row>
    <row r="378">
      <c r="B378" s="16"/>
      <c r="C378" s="12"/>
      <c r="D378" s="12"/>
      <c r="E378" s="12"/>
      <c r="F378" s="25"/>
      <c r="G378" s="12"/>
      <c r="H378" s="12"/>
      <c r="I378" s="12"/>
      <c r="J378" s="16"/>
      <c r="N378" s="16"/>
      <c r="O378" s="16"/>
      <c r="P378" s="16" t="str">
        <f t="shared" si="1"/>
        <v/>
      </c>
    </row>
    <row r="379">
      <c r="B379" s="16"/>
      <c r="C379" s="12"/>
      <c r="D379" s="12"/>
      <c r="E379" s="12"/>
      <c r="F379" s="25"/>
      <c r="G379" s="12"/>
      <c r="H379" s="12"/>
      <c r="I379" s="12"/>
      <c r="J379" s="16"/>
      <c r="N379" s="16"/>
      <c r="O379" s="16"/>
      <c r="P379" s="16" t="str">
        <f t="shared" si="1"/>
        <v/>
      </c>
    </row>
    <row r="380">
      <c r="B380" s="16"/>
      <c r="C380" s="12"/>
      <c r="D380" s="12"/>
      <c r="E380" s="12"/>
      <c r="F380" s="25"/>
      <c r="G380" s="12"/>
      <c r="H380" s="12"/>
      <c r="I380" s="12"/>
      <c r="J380" s="16"/>
      <c r="N380" s="16"/>
      <c r="O380" s="16"/>
      <c r="P380" s="16" t="str">
        <f t="shared" si="1"/>
        <v/>
      </c>
    </row>
    <row r="381">
      <c r="B381" s="16"/>
      <c r="C381" s="12"/>
      <c r="D381" s="12"/>
      <c r="E381" s="12"/>
      <c r="F381" s="25"/>
      <c r="G381" s="12"/>
      <c r="H381" s="12"/>
      <c r="I381" s="12"/>
      <c r="J381" s="16"/>
      <c r="N381" s="16"/>
      <c r="O381" s="16"/>
      <c r="P381" s="16" t="str">
        <f t="shared" si="1"/>
        <v/>
      </c>
    </row>
    <row r="382">
      <c r="B382" s="16"/>
      <c r="C382" s="12"/>
      <c r="D382" s="12"/>
      <c r="E382" s="12"/>
      <c r="F382" s="25"/>
      <c r="G382" s="12"/>
      <c r="H382" s="12"/>
      <c r="I382" s="12"/>
      <c r="J382" s="16"/>
      <c r="N382" s="16"/>
      <c r="O382" s="16"/>
      <c r="P382" s="16" t="str">
        <f t="shared" si="1"/>
        <v/>
      </c>
    </row>
    <row r="383">
      <c r="B383" s="16"/>
      <c r="C383" s="12"/>
      <c r="D383" s="12"/>
      <c r="E383" s="12"/>
      <c r="F383" s="25"/>
      <c r="G383" s="12"/>
      <c r="H383" s="12"/>
      <c r="I383" s="12"/>
      <c r="J383" s="16"/>
      <c r="N383" s="16"/>
      <c r="O383" s="16"/>
      <c r="P383" s="16" t="str">
        <f t="shared" si="1"/>
        <v/>
      </c>
    </row>
    <row r="384">
      <c r="B384" s="16"/>
      <c r="C384" s="12"/>
      <c r="D384" s="12"/>
      <c r="E384" s="12"/>
      <c r="F384" s="25"/>
      <c r="G384" s="12"/>
      <c r="H384" s="12"/>
      <c r="I384" s="12"/>
      <c r="J384" s="16"/>
      <c r="N384" s="16"/>
      <c r="O384" s="16"/>
      <c r="P384" s="16" t="str">
        <f t="shared" si="1"/>
        <v/>
      </c>
    </row>
    <row r="385">
      <c r="B385" s="16"/>
      <c r="C385" s="12"/>
      <c r="D385" s="12"/>
      <c r="E385" s="12"/>
      <c r="F385" s="25"/>
      <c r="G385" s="12"/>
      <c r="H385" s="12"/>
      <c r="I385" s="12"/>
      <c r="J385" s="16"/>
      <c r="N385" s="16"/>
      <c r="O385" s="16"/>
      <c r="P385" s="16" t="str">
        <f t="shared" si="1"/>
        <v/>
      </c>
    </row>
    <row r="386">
      <c r="B386" s="16"/>
      <c r="C386" s="12"/>
      <c r="D386" s="12"/>
      <c r="E386" s="12"/>
      <c r="F386" s="25"/>
      <c r="G386" s="12"/>
      <c r="H386" s="12"/>
      <c r="I386" s="12"/>
      <c r="J386" s="16"/>
      <c r="N386" s="16"/>
      <c r="O386" s="16"/>
      <c r="P386" s="16" t="str">
        <f t="shared" si="1"/>
        <v/>
      </c>
    </row>
    <row r="387">
      <c r="B387" s="16"/>
      <c r="C387" s="12"/>
      <c r="D387" s="12"/>
      <c r="E387" s="12"/>
      <c r="F387" s="25"/>
      <c r="G387" s="12"/>
      <c r="H387" s="12"/>
      <c r="I387" s="12"/>
      <c r="J387" s="16"/>
      <c r="N387" s="16"/>
      <c r="O387" s="16"/>
      <c r="P387" s="16" t="str">
        <f t="shared" si="1"/>
        <v/>
      </c>
    </row>
    <row r="388">
      <c r="B388" s="16"/>
      <c r="C388" s="12"/>
      <c r="D388" s="12"/>
      <c r="E388" s="12"/>
      <c r="F388" s="25"/>
      <c r="G388" s="12"/>
      <c r="H388" s="12"/>
      <c r="I388" s="12"/>
      <c r="J388" s="16"/>
      <c r="N388" s="16"/>
      <c r="O388" s="16"/>
      <c r="P388" s="16" t="str">
        <f t="shared" si="1"/>
        <v/>
      </c>
    </row>
    <row r="389">
      <c r="B389" s="16"/>
      <c r="C389" s="12"/>
      <c r="D389" s="12"/>
      <c r="E389" s="12"/>
      <c r="F389" s="25"/>
      <c r="G389" s="12"/>
      <c r="H389" s="12"/>
      <c r="I389" s="12"/>
      <c r="J389" s="16"/>
      <c r="N389" s="16"/>
      <c r="O389" s="16"/>
      <c r="P389" s="16" t="str">
        <f t="shared" si="1"/>
        <v/>
      </c>
    </row>
    <row r="390">
      <c r="B390" s="16"/>
      <c r="C390" s="12"/>
      <c r="D390" s="12"/>
      <c r="E390" s="12"/>
      <c r="F390" s="25"/>
      <c r="G390" s="12"/>
      <c r="H390" s="12"/>
      <c r="I390" s="12"/>
      <c r="J390" s="16"/>
      <c r="N390" s="16"/>
      <c r="O390" s="16"/>
      <c r="P390" s="16" t="str">
        <f t="shared" si="1"/>
        <v/>
      </c>
    </row>
    <row r="391">
      <c r="B391" s="16"/>
      <c r="C391" s="12"/>
      <c r="D391" s="12"/>
      <c r="E391" s="12"/>
      <c r="F391" s="25"/>
      <c r="G391" s="12"/>
      <c r="H391" s="12"/>
      <c r="I391" s="12"/>
      <c r="J391" s="16"/>
      <c r="N391" s="16"/>
      <c r="O391" s="16"/>
      <c r="P391" s="16" t="str">
        <f t="shared" si="1"/>
        <v/>
      </c>
    </row>
    <row r="392">
      <c r="B392" s="16"/>
      <c r="C392" s="12"/>
      <c r="D392" s="12"/>
      <c r="E392" s="12"/>
      <c r="F392" s="25"/>
      <c r="G392" s="12"/>
      <c r="H392" s="12"/>
      <c r="I392" s="12"/>
      <c r="J392" s="16"/>
      <c r="N392" s="16"/>
      <c r="O392" s="16"/>
      <c r="P392" s="16" t="str">
        <f t="shared" si="1"/>
        <v/>
      </c>
    </row>
    <row r="393">
      <c r="B393" s="16"/>
      <c r="C393" s="12"/>
      <c r="D393" s="12"/>
      <c r="E393" s="12"/>
      <c r="F393" s="25"/>
      <c r="G393" s="12"/>
      <c r="H393" s="12"/>
      <c r="I393" s="12"/>
      <c r="J393" s="16"/>
      <c r="N393" s="16"/>
      <c r="O393" s="16"/>
      <c r="P393" s="16" t="str">
        <f t="shared" si="1"/>
        <v/>
      </c>
    </row>
    <row r="394">
      <c r="B394" s="16"/>
      <c r="C394" s="12"/>
      <c r="D394" s="12"/>
      <c r="E394" s="12"/>
      <c r="F394" s="25"/>
      <c r="G394" s="12"/>
      <c r="H394" s="12"/>
      <c r="I394" s="12"/>
      <c r="J394" s="16"/>
      <c r="N394" s="16"/>
      <c r="O394" s="16"/>
      <c r="P394" s="16" t="str">
        <f t="shared" si="1"/>
        <v/>
      </c>
    </row>
    <row r="395">
      <c r="B395" s="16"/>
      <c r="C395" s="12"/>
      <c r="D395" s="12"/>
      <c r="E395" s="12"/>
      <c r="F395" s="25"/>
      <c r="G395" s="12"/>
      <c r="H395" s="12"/>
      <c r="I395" s="12"/>
      <c r="J395" s="16"/>
      <c r="N395" s="16"/>
      <c r="O395" s="16"/>
      <c r="P395" s="16" t="str">
        <f t="shared" si="1"/>
        <v/>
      </c>
    </row>
    <row r="396">
      <c r="B396" s="16"/>
      <c r="C396" s="12"/>
      <c r="D396" s="12"/>
      <c r="E396" s="12"/>
      <c r="F396" s="25"/>
      <c r="G396" s="12"/>
      <c r="H396" s="12"/>
      <c r="I396" s="12"/>
      <c r="J396" s="16"/>
      <c r="N396" s="16"/>
      <c r="O396" s="16"/>
      <c r="P396" s="16" t="str">
        <f t="shared" si="1"/>
        <v/>
      </c>
    </row>
    <row r="397">
      <c r="B397" s="16"/>
      <c r="C397" s="12"/>
      <c r="D397" s="12"/>
      <c r="E397" s="12"/>
      <c r="F397" s="25"/>
      <c r="G397" s="12"/>
      <c r="H397" s="12"/>
      <c r="I397" s="12"/>
      <c r="J397" s="16"/>
      <c r="N397" s="16"/>
      <c r="O397" s="16"/>
      <c r="P397" s="16" t="str">
        <f t="shared" si="1"/>
        <v/>
      </c>
    </row>
    <row r="398">
      <c r="B398" s="16"/>
      <c r="C398" s="12"/>
      <c r="D398" s="12"/>
      <c r="E398" s="12"/>
      <c r="F398" s="25"/>
      <c r="G398" s="12"/>
      <c r="H398" s="12"/>
      <c r="I398" s="12"/>
      <c r="J398" s="16"/>
      <c r="N398" s="16"/>
      <c r="O398" s="16"/>
      <c r="P398" s="16" t="str">
        <f t="shared" si="1"/>
        <v/>
      </c>
    </row>
    <row r="399">
      <c r="B399" s="16"/>
      <c r="C399" s="12"/>
      <c r="D399" s="12"/>
      <c r="E399" s="12"/>
      <c r="F399" s="25"/>
      <c r="G399" s="12"/>
      <c r="H399" s="12"/>
      <c r="I399" s="12"/>
      <c r="J399" s="16"/>
      <c r="N399" s="16"/>
      <c r="O399" s="16"/>
      <c r="P399" s="16" t="str">
        <f t="shared" si="1"/>
        <v/>
      </c>
    </row>
    <row r="400">
      <c r="B400" s="16"/>
      <c r="C400" s="12"/>
      <c r="D400" s="12"/>
      <c r="E400" s="12"/>
      <c r="F400" s="25"/>
      <c r="G400" s="12"/>
      <c r="H400" s="12"/>
      <c r="I400" s="12"/>
      <c r="J400" s="16"/>
      <c r="N400" s="16"/>
      <c r="O400" s="16"/>
      <c r="P400" s="16" t="str">
        <f t="shared" si="1"/>
        <v/>
      </c>
    </row>
    <row r="401">
      <c r="B401" s="16"/>
      <c r="C401" s="12"/>
      <c r="D401" s="12"/>
      <c r="E401" s="12"/>
      <c r="F401" s="25"/>
      <c r="G401" s="12"/>
      <c r="H401" s="12"/>
      <c r="I401" s="12"/>
      <c r="J401" s="16"/>
      <c r="N401" s="16"/>
      <c r="O401" s="16"/>
      <c r="P401" s="16" t="str">
        <f t="shared" si="1"/>
        <v/>
      </c>
    </row>
    <row r="402">
      <c r="B402" s="16"/>
      <c r="C402" s="12"/>
      <c r="D402" s="12"/>
      <c r="E402" s="12"/>
      <c r="F402" s="25"/>
      <c r="G402" s="12"/>
      <c r="H402" s="12"/>
      <c r="I402" s="12"/>
      <c r="J402" s="16"/>
      <c r="N402" s="16"/>
      <c r="O402" s="16"/>
      <c r="P402" s="16" t="str">
        <f t="shared" si="1"/>
        <v/>
      </c>
    </row>
    <row r="403">
      <c r="B403" s="16"/>
      <c r="C403" s="12"/>
      <c r="D403" s="12"/>
      <c r="E403" s="12"/>
      <c r="F403" s="25"/>
      <c r="G403" s="12"/>
      <c r="H403" s="12"/>
      <c r="I403" s="12"/>
      <c r="J403" s="16"/>
      <c r="N403" s="16"/>
      <c r="O403" s="16"/>
      <c r="P403" s="16" t="str">
        <f t="shared" si="1"/>
        <v/>
      </c>
    </row>
    <row r="404">
      <c r="B404" s="16"/>
      <c r="C404" s="12"/>
      <c r="D404" s="12"/>
      <c r="E404" s="12"/>
      <c r="F404" s="25"/>
      <c r="G404" s="12"/>
      <c r="H404" s="12"/>
      <c r="I404" s="12"/>
      <c r="J404" s="16"/>
      <c r="N404" s="16"/>
      <c r="O404" s="16"/>
      <c r="P404" s="16" t="str">
        <f t="shared" si="1"/>
        <v/>
      </c>
    </row>
    <row r="405">
      <c r="B405" s="16"/>
      <c r="C405" s="12"/>
      <c r="D405" s="12"/>
      <c r="E405" s="12"/>
      <c r="F405" s="25"/>
      <c r="G405" s="12"/>
      <c r="H405" s="12"/>
      <c r="I405" s="12"/>
      <c r="J405" s="16"/>
      <c r="N405" s="16"/>
      <c r="O405" s="16"/>
      <c r="P405" s="16" t="str">
        <f t="shared" si="1"/>
        <v/>
      </c>
    </row>
    <row r="406">
      <c r="B406" s="16"/>
      <c r="C406" s="12"/>
      <c r="D406" s="12"/>
      <c r="E406" s="12"/>
      <c r="F406" s="25"/>
      <c r="G406" s="12"/>
      <c r="H406" s="12"/>
      <c r="I406" s="12"/>
      <c r="J406" s="16"/>
      <c r="N406" s="16"/>
      <c r="O406" s="16"/>
      <c r="P406" s="16" t="str">
        <f t="shared" si="1"/>
        <v/>
      </c>
    </row>
    <row r="407">
      <c r="B407" s="16"/>
      <c r="C407" s="12"/>
      <c r="D407" s="12"/>
      <c r="E407" s="12"/>
      <c r="F407" s="25"/>
      <c r="G407" s="12"/>
      <c r="H407" s="12"/>
      <c r="I407" s="12"/>
      <c r="J407" s="16"/>
      <c r="N407" s="16"/>
      <c r="O407" s="16"/>
      <c r="P407" s="16" t="str">
        <f t="shared" si="1"/>
        <v/>
      </c>
    </row>
    <row r="408">
      <c r="B408" s="16"/>
      <c r="C408" s="12"/>
      <c r="D408" s="12"/>
      <c r="E408" s="12"/>
      <c r="F408" s="25"/>
      <c r="G408" s="12"/>
      <c r="H408" s="12"/>
      <c r="I408" s="12"/>
      <c r="J408" s="16"/>
      <c r="N408" s="16"/>
      <c r="O408" s="16"/>
      <c r="P408" s="16" t="str">
        <f t="shared" si="1"/>
        <v/>
      </c>
    </row>
    <row r="409">
      <c r="B409" s="16"/>
      <c r="C409" s="12"/>
      <c r="D409" s="12"/>
      <c r="E409" s="12"/>
      <c r="F409" s="25"/>
      <c r="G409" s="12"/>
      <c r="H409" s="12"/>
      <c r="I409" s="12"/>
      <c r="J409" s="16"/>
      <c r="N409" s="16"/>
      <c r="O409" s="16"/>
      <c r="P409" s="16" t="str">
        <f t="shared" si="1"/>
        <v/>
      </c>
    </row>
    <row r="410">
      <c r="B410" s="16"/>
      <c r="C410" s="12"/>
      <c r="D410" s="12"/>
      <c r="E410" s="12"/>
      <c r="F410" s="25"/>
      <c r="G410" s="12"/>
      <c r="H410" s="12"/>
      <c r="I410" s="12"/>
      <c r="J410" s="16"/>
      <c r="N410" s="16"/>
      <c r="O410" s="16"/>
      <c r="P410" s="16" t="str">
        <f t="shared" si="1"/>
        <v/>
      </c>
    </row>
    <row r="411">
      <c r="B411" s="16"/>
      <c r="C411" s="12"/>
      <c r="D411" s="12"/>
      <c r="E411" s="12"/>
      <c r="F411" s="25"/>
      <c r="G411" s="12"/>
      <c r="H411" s="12"/>
      <c r="I411" s="12"/>
      <c r="J411" s="16"/>
      <c r="N411" s="16"/>
      <c r="O411" s="16"/>
      <c r="P411" s="16" t="str">
        <f t="shared" si="1"/>
        <v/>
      </c>
    </row>
    <row r="412">
      <c r="B412" s="16"/>
      <c r="C412" s="12"/>
      <c r="D412" s="12"/>
      <c r="E412" s="12"/>
      <c r="F412" s="25"/>
      <c r="G412" s="12"/>
      <c r="H412" s="12"/>
      <c r="I412" s="12"/>
      <c r="J412" s="16"/>
      <c r="N412" s="16"/>
      <c r="O412" s="16"/>
      <c r="P412" s="16" t="str">
        <f t="shared" si="1"/>
        <v/>
      </c>
    </row>
    <row r="413">
      <c r="B413" s="16"/>
      <c r="C413" s="12"/>
      <c r="D413" s="12"/>
      <c r="E413" s="12"/>
      <c r="F413" s="25"/>
      <c r="G413" s="12"/>
      <c r="H413" s="12"/>
      <c r="I413" s="12"/>
      <c r="J413" s="16"/>
      <c r="N413" s="16"/>
      <c r="O413" s="16"/>
      <c r="P413" s="16" t="str">
        <f t="shared" si="1"/>
        <v/>
      </c>
    </row>
    <row r="414">
      <c r="B414" s="16"/>
      <c r="C414" s="12"/>
      <c r="D414" s="12"/>
      <c r="E414" s="12"/>
      <c r="F414" s="25"/>
      <c r="G414" s="12"/>
      <c r="H414" s="12"/>
      <c r="I414" s="12"/>
      <c r="J414" s="16"/>
      <c r="N414" s="16"/>
      <c r="O414" s="16"/>
      <c r="P414" s="16" t="str">
        <f t="shared" si="1"/>
        <v/>
      </c>
    </row>
    <row r="415">
      <c r="B415" s="16"/>
      <c r="C415" s="12"/>
      <c r="D415" s="12"/>
      <c r="E415" s="12"/>
      <c r="F415" s="25"/>
      <c r="G415" s="12"/>
      <c r="H415" s="12"/>
      <c r="I415" s="12"/>
      <c r="J415" s="16"/>
      <c r="N415" s="16"/>
      <c r="O415" s="16"/>
      <c r="P415" s="16" t="str">
        <f t="shared" si="1"/>
        <v/>
      </c>
    </row>
    <row r="416">
      <c r="B416" s="16"/>
      <c r="C416" s="12"/>
      <c r="D416" s="12"/>
      <c r="E416" s="12"/>
      <c r="F416" s="25"/>
      <c r="G416" s="12"/>
      <c r="H416" s="12"/>
      <c r="I416" s="12"/>
      <c r="J416" s="16"/>
      <c r="N416" s="16"/>
      <c r="O416" s="16"/>
      <c r="P416" s="16" t="str">
        <f t="shared" si="1"/>
        <v/>
      </c>
    </row>
    <row r="417">
      <c r="B417" s="16"/>
      <c r="C417" s="12"/>
      <c r="D417" s="12"/>
      <c r="E417" s="12"/>
      <c r="F417" s="25"/>
      <c r="G417" s="12"/>
      <c r="H417" s="12"/>
      <c r="I417" s="12"/>
      <c r="J417" s="16"/>
      <c r="N417" s="16"/>
      <c r="O417" s="16"/>
      <c r="P417" s="16" t="str">
        <f t="shared" si="1"/>
        <v/>
      </c>
    </row>
    <row r="418">
      <c r="B418" s="16"/>
      <c r="C418" s="12"/>
      <c r="D418" s="12"/>
      <c r="E418" s="12"/>
      <c r="F418" s="25"/>
      <c r="G418" s="12"/>
      <c r="H418" s="12"/>
      <c r="I418" s="12"/>
      <c r="J418" s="16"/>
      <c r="N418" s="16"/>
      <c r="O418" s="16"/>
      <c r="P418" s="16" t="str">
        <f t="shared" si="1"/>
        <v/>
      </c>
    </row>
    <row r="419">
      <c r="B419" s="16"/>
      <c r="C419" s="12"/>
      <c r="D419" s="12"/>
      <c r="E419" s="12"/>
      <c r="F419" s="25"/>
      <c r="G419" s="12"/>
      <c r="H419" s="12"/>
      <c r="I419" s="12"/>
      <c r="J419" s="16"/>
      <c r="N419" s="16"/>
      <c r="O419" s="16"/>
      <c r="P419" s="16" t="str">
        <f t="shared" si="1"/>
        <v/>
      </c>
    </row>
    <row r="420">
      <c r="B420" s="16"/>
      <c r="C420" s="12"/>
      <c r="D420" s="12"/>
      <c r="E420" s="12"/>
      <c r="F420" s="25"/>
      <c r="G420" s="12"/>
      <c r="H420" s="12"/>
      <c r="I420" s="12"/>
      <c r="J420" s="16"/>
      <c r="N420" s="16"/>
      <c r="O420" s="16"/>
      <c r="P420" s="16" t="str">
        <f t="shared" si="1"/>
        <v/>
      </c>
    </row>
    <row r="421">
      <c r="B421" s="16"/>
      <c r="C421" s="12"/>
      <c r="D421" s="12"/>
      <c r="E421" s="12"/>
      <c r="F421" s="25"/>
      <c r="G421" s="12"/>
      <c r="H421" s="12"/>
      <c r="I421" s="12"/>
      <c r="J421" s="16"/>
      <c r="N421" s="16"/>
      <c r="O421" s="16"/>
      <c r="P421" s="16" t="str">
        <f t="shared" si="1"/>
        <v/>
      </c>
    </row>
    <row r="422">
      <c r="B422" s="16"/>
      <c r="C422" s="12"/>
      <c r="D422" s="12"/>
      <c r="E422" s="12"/>
      <c r="F422" s="25"/>
      <c r="G422" s="12"/>
      <c r="H422" s="12"/>
      <c r="I422" s="12"/>
      <c r="J422" s="16"/>
      <c r="N422" s="16"/>
      <c r="O422" s="16"/>
      <c r="P422" s="16" t="str">
        <f t="shared" si="1"/>
        <v/>
      </c>
    </row>
    <row r="423">
      <c r="B423" s="16"/>
      <c r="C423" s="12"/>
      <c r="D423" s="12"/>
      <c r="E423" s="12"/>
      <c r="F423" s="25"/>
      <c r="G423" s="12"/>
      <c r="H423" s="12"/>
      <c r="I423" s="12"/>
      <c r="J423" s="16"/>
      <c r="N423" s="16"/>
      <c r="O423" s="16"/>
      <c r="P423" s="16" t="str">
        <f t="shared" si="1"/>
        <v/>
      </c>
    </row>
    <row r="424">
      <c r="B424" s="16"/>
      <c r="C424" s="12"/>
      <c r="D424" s="12"/>
      <c r="E424" s="12"/>
      <c r="F424" s="25"/>
      <c r="G424" s="12"/>
      <c r="H424" s="12"/>
      <c r="I424" s="12"/>
      <c r="J424" s="16"/>
      <c r="N424" s="16"/>
      <c r="O424" s="16"/>
      <c r="P424" s="16" t="str">
        <f t="shared" si="1"/>
        <v/>
      </c>
    </row>
    <row r="425">
      <c r="B425" s="16"/>
      <c r="C425" s="12"/>
      <c r="D425" s="12"/>
      <c r="E425" s="12"/>
      <c r="F425" s="25"/>
      <c r="G425" s="12"/>
      <c r="H425" s="12"/>
      <c r="I425" s="12"/>
      <c r="J425" s="16"/>
      <c r="N425" s="16"/>
      <c r="O425" s="16"/>
      <c r="P425" s="16" t="str">
        <f t="shared" si="1"/>
        <v/>
      </c>
    </row>
    <row r="426">
      <c r="B426" s="16"/>
      <c r="C426" s="12"/>
      <c r="D426" s="12"/>
      <c r="E426" s="12"/>
      <c r="F426" s="25"/>
      <c r="G426" s="12"/>
      <c r="H426" s="12"/>
      <c r="I426" s="12"/>
      <c r="J426" s="16"/>
      <c r="N426" s="16"/>
      <c r="O426" s="16"/>
      <c r="P426" s="16" t="str">
        <f t="shared" si="1"/>
        <v/>
      </c>
    </row>
    <row r="427">
      <c r="B427" s="16"/>
      <c r="C427" s="12"/>
      <c r="D427" s="12"/>
      <c r="E427" s="12"/>
      <c r="F427" s="25"/>
      <c r="G427" s="12"/>
      <c r="H427" s="12"/>
      <c r="I427" s="12"/>
      <c r="J427" s="16"/>
      <c r="N427" s="16"/>
      <c r="O427" s="16"/>
      <c r="P427" s="16" t="str">
        <f t="shared" si="1"/>
        <v/>
      </c>
    </row>
    <row r="428">
      <c r="B428" s="16"/>
      <c r="C428" s="12"/>
      <c r="D428" s="12"/>
      <c r="E428" s="12"/>
      <c r="F428" s="25"/>
      <c r="G428" s="12"/>
      <c r="H428" s="12"/>
      <c r="I428" s="12"/>
      <c r="J428" s="16"/>
      <c r="N428" s="16"/>
      <c r="O428" s="16"/>
      <c r="P428" s="16" t="str">
        <f t="shared" si="1"/>
        <v/>
      </c>
    </row>
    <row r="429">
      <c r="B429" s="16"/>
      <c r="C429" s="12"/>
      <c r="D429" s="12"/>
      <c r="E429" s="12"/>
      <c r="F429" s="25"/>
      <c r="G429" s="12"/>
      <c r="H429" s="12"/>
      <c r="I429" s="12"/>
      <c r="J429" s="16"/>
      <c r="N429" s="16"/>
      <c r="O429" s="16"/>
      <c r="P429" s="16" t="str">
        <f t="shared" si="1"/>
        <v/>
      </c>
    </row>
    <row r="430">
      <c r="B430" s="16"/>
      <c r="C430" s="12"/>
      <c r="D430" s="12"/>
      <c r="E430" s="12"/>
      <c r="F430" s="25"/>
      <c r="G430" s="12"/>
      <c r="H430" s="12"/>
      <c r="I430" s="12"/>
      <c r="J430" s="16"/>
      <c r="N430" s="16"/>
      <c r="O430" s="16"/>
      <c r="P430" s="16" t="str">
        <f t="shared" si="1"/>
        <v/>
      </c>
    </row>
    <row r="431">
      <c r="B431" s="16"/>
      <c r="C431" s="12"/>
      <c r="D431" s="12"/>
      <c r="E431" s="12"/>
      <c r="F431" s="25"/>
      <c r="G431" s="12"/>
      <c r="H431" s="12"/>
      <c r="I431" s="12"/>
      <c r="J431" s="16"/>
      <c r="N431" s="16"/>
      <c r="O431" s="16"/>
      <c r="P431" s="16" t="str">
        <f t="shared" si="1"/>
        <v/>
      </c>
    </row>
    <row r="432">
      <c r="B432" s="16"/>
      <c r="C432" s="12"/>
      <c r="D432" s="12"/>
      <c r="E432" s="12"/>
      <c r="F432" s="25"/>
      <c r="G432" s="12"/>
      <c r="H432" s="12"/>
      <c r="I432" s="12"/>
      <c r="J432" s="16"/>
      <c r="N432" s="16"/>
      <c r="O432" s="16"/>
      <c r="P432" s="16" t="str">
        <f t="shared" si="1"/>
        <v/>
      </c>
    </row>
    <row r="433">
      <c r="B433" s="16"/>
      <c r="C433" s="12"/>
      <c r="D433" s="12"/>
      <c r="E433" s="12"/>
      <c r="F433" s="25"/>
      <c r="G433" s="12"/>
      <c r="H433" s="12"/>
      <c r="I433" s="12"/>
      <c r="J433" s="16"/>
      <c r="N433" s="16"/>
      <c r="O433" s="16"/>
      <c r="P433" s="16" t="str">
        <f t="shared" si="1"/>
        <v/>
      </c>
    </row>
    <row r="434">
      <c r="B434" s="16"/>
      <c r="C434" s="12"/>
      <c r="D434" s="12"/>
      <c r="E434" s="12"/>
      <c r="F434" s="25"/>
      <c r="G434" s="12"/>
      <c r="H434" s="12"/>
      <c r="I434" s="12"/>
      <c r="J434" s="16"/>
      <c r="N434" s="16"/>
      <c r="O434" s="16"/>
      <c r="P434" s="16" t="str">
        <f t="shared" si="1"/>
        <v/>
      </c>
    </row>
    <row r="435">
      <c r="B435" s="16"/>
      <c r="C435" s="12"/>
      <c r="D435" s="12"/>
      <c r="E435" s="12"/>
      <c r="F435" s="25"/>
      <c r="G435" s="12"/>
      <c r="H435" s="12"/>
      <c r="I435" s="12"/>
      <c r="J435" s="16"/>
      <c r="N435" s="16"/>
      <c r="O435" s="16"/>
      <c r="P435" s="16" t="str">
        <f t="shared" si="1"/>
        <v/>
      </c>
    </row>
    <row r="436">
      <c r="B436" s="16"/>
      <c r="C436" s="12"/>
      <c r="D436" s="12"/>
      <c r="E436" s="12"/>
      <c r="F436" s="25"/>
      <c r="G436" s="12"/>
      <c r="H436" s="12"/>
      <c r="I436" s="12"/>
      <c r="J436" s="16"/>
      <c r="N436" s="16"/>
      <c r="O436" s="16"/>
      <c r="P436" s="16" t="str">
        <f t="shared" si="1"/>
        <v/>
      </c>
    </row>
    <row r="437">
      <c r="B437" s="16"/>
      <c r="C437" s="12"/>
      <c r="D437" s="12"/>
      <c r="E437" s="12"/>
      <c r="F437" s="25"/>
      <c r="G437" s="12"/>
      <c r="H437" s="12"/>
      <c r="I437" s="12"/>
      <c r="J437" s="16"/>
      <c r="N437" s="16"/>
      <c r="O437" s="16"/>
      <c r="P437" s="16" t="str">
        <f t="shared" si="1"/>
        <v/>
      </c>
    </row>
    <row r="438">
      <c r="B438" s="16"/>
      <c r="C438" s="12"/>
      <c r="D438" s="12"/>
      <c r="E438" s="12"/>
      <c r="F438" s="25"/>
      <c r="G438" s="12"/>
      <c r="H438" s="12"/>
      <c r="I438" s="12"/>
      <c r="J438" s="16"/>
      <c r="N438" s="16"/>
      <c r="O438" s="16"/>
      <c r="P438" s="16" t="str">
        <f t="shared" si="1"/>
        <v/>
      </c>
    </row>
    <row r="439">
      <c r="B439" s="16"/>
      <c r="C439" s="12"/>
      <c r="D439" s="12"/>
      <c r="E439" s="12"/>
      <c r="F439" s="25"/>
      <c r="G439" s="12"/>
      <c r="H439" s="12"/>
      <c r="I439" s="12"/>
      <c r="J439" s="16"/>
      <c r="N439" s="16"/>
      <c r="O439" s="16"/>
      <c r="P439" s="16" t="str">
        <f t="shared" si="1"/>
        <v/>
      </c>
    </row>
    <row r="440">
      <c r="B440" s="16"/>
      <c r="C440" s="12"/>
      <c r="D440" s="12"/>
      <c r="E440" s="12"/>
      <c r="F440" s="25"/>
      <c r="G440" s="12"/>
      <c r="H440" s="12"/>
      <c r="I440" s="12"/>
      <c r="J440" s="16"/>
      <c r="N440" s="16"/>
      <c r="O440" s="16"/>
      <c r="P440" s="16" t="str">
        <f t="shared" si="1"/>
        <v/>
      </c>
    </row>
    <row r="441">
      <c r="B441" s="16"/>
      <c r="C441" s="12"/>
      <c r="D441" s="12"/>
      <c r="E441" s="12"/>
      <c r="F441" s="25"/>
      <c r="G441" s="12"/>
      <c r="H441" s="12"/>
      <c r="I441" s="12"/>
      <c r="J441" s="16"/>
      <c r="N441" s="16"/>
      <c r="O441" s="16"/>
      <c r="P441" s="16" t="str">
        <f t="shared" si="1"/>
        <v/>
      </c>
    </row>
    <row r="442">
      <c r="B442" s="16"/>
      <c r="C442" s="12"/>
      <c r="D442" s="12"/>
      <c r="E442" s="12"/>
      <c r="F442" s="25"/>
      <c r="G442" s="12"/>
      <c r="H442" s="12"/>
      <c r="I442" s="12"/>
      <c r="J442" s="16"/>
      <c r="N442" s="16"/>
      <c r="O442" s="16"/>
      <c r="P442" s="16" t="str">
        <f t="shared" si="1"/>
        <v/>
      </c>
    </row>
    <row r="443">
      <c r="B443" s="16"/>
      <c r="C443" s="12"/>
      <c r="D443" s="12"/>
      <c r="E443" s="12"/>
      <c r="F443" s="25"/>
      <c r="G443" s="12"/>
      <c r="H443" s="12"/>
      <c r="I443" s="12"/>
      <c r="J443" s="16"/>
      <c r="N443" s="16"/>
      <c r="O443" s="16"/>
      <c r="P443" s="16" t="str">
        <f t="shared" si="1"/>
        <v/>
      </c>
    </row>
    <row r="444">
      <c r="B444" s="16"/>
      <c r="C444" s="12"/>
      <c r="D444" s="12"/>
      <c r="E444" s="12"/>
      <c r="F444" s="25"/>
      <c r="G444" s="12"/>
      <c r="H444" s="12"/>
      <c r="I444" s="12"/>
      <c r="J444" s="16"/>
      <c r="N444" s="16"/>
      <c r="O444" s="16"/>
      <c r="P444" s="16" t="str">
        <f t="shared" si="1"/>
        <v/>
      </c>
    </row>
    <row r="445">
      <c r="B445" s="16"/>
      <c r="C445" s="12"/>
      <c r="D445" s="12"/>
      <c r="E445" s="12"/>
      <c r="F445" s="25"/>
      <c r="G445" s="12"/>
      <c r="H445" s="12"/>
      <c r="I445" s="12"/>
      <c r="J445" s="16"/>
      <c r="N445" s="16"/>
      <c r="O445" s="16"/>
      <c r="P445" s="16" t="str">
        <f t="shared" si="1"/>
        <v/>
      </c>
    </row>
    <row r="446">
      <c r="B446" s="16"/>
      <c r="C446" s="12"/>
      <c r="D446" s="12"/>
      <c r="E446" s="12"/>
      <c r="F446" s="25"/>
      <c r="G446" s="12"/>
      <c r="H446" s="12"/>
      <c r="I446" s="12"/>
      <c r="J446" s="16"/>
      <c r="N446" s="16"/>
      <c r="O446" s="16"/>
      <c r="P446" s="16" t="str">
        <f t="shared" si="1"/>
        <v/>
      </c>
    </row>
    <row r="447">
      <c r="B447" s="16"/>
      <c r="C447" s="12"/>
      <c r="D447" s="12"/>
      <c r="E447" s="12"/>
      <c r="F447" s="25"/>
      <c r="G447" s="12"/>
      <c r="H447" s="12"/>
      <c r="I447" s="12"/>
      <c r="J447" s="16"/>
      <c r="N447" s="16"/>
      <c r="O447" s="16"/>
      <c r="P447" s="16" t="str">
        <f t="shared" si="1"/>
        <v/>
      </c>
    </row>
    <row r="448">
      <c r="B448" s="16"/>
      <c r="C448" s="12"/>
      <c r="D448" s="12"/>
      <c r="E448" s="12"/>
      <c r="F448" s="25"/>
      <c r="G448" s="12"/>
      <c r="H448" s="12"/>
      <c r="I448" s="12"/>
      <c r="J448" s="16"/>
      <c r="N448" s="16"/>
      <c r="O448" s="16"/>
      <c r="P448" s="16" t="str">
        <f t="shared" si="1"/>
        <v/>
      </c>
    </row>
    <row r="449">
      <c r="B449" s="16"/>
      <c r="C449" s="12"/>
      <c r="D449" s="12"/>
      <c r="E449" s="12"/>
      <c r="F449" s="25"/>
      <c r="G449" s="12"/>
      <c r="H449" s="12"/>
      <c r="I449" s="12"/>
      <c r="J449" s="16"/>
      <c r="N449" s="16"/>
      <c r="O449" s="16"/>
      <c r="P449" s="16" t="str">
        <f t="shared" si="1"/>
        <v/>
      </c>
    </row>
    <row r="450">
      <c r="B450" s="16"/>
      <c r="C450" s="12"/>
      <c r="D450" s="12"/>
      <c r="E450" s="12"/>
      <c r="F450" s="25"/>
      <c r="G450" s="12"/>
      <c r="H450" s="12"/>
      <c r="I450" s="12"/>
      <c r="J450" s="16"/>
      <c r="N450" s="16"/>
      <c r="O450" s="16"/>
      <c r="P450" s="16" t="str">
        <f t="shared" si="1"/>
        <v/>
      </c>
    </row>
    <row r="451">
      <c r="B451" s="16"/>
      <c r="C451" s="12"/>
      <c r="D451" s="12"/>
      <c r="E451" s="12"/>
      <c r="F451" s="25"/>
      <c r="G451" s="12"/>
      <c r="H451" s="12"/>
      <c r="I451" s="12"/>
      <c r="J451" s="16"/>
      <c r="N451" s="16"/>
      <c r="O451" s="16"/>
      <c r="P451" s="16" t="str">
        <f t="shared" si="1"/>
        <v/>
      </c>
    </row>
    <row r="452">
      <c r="B452" s="16"/>
      <c r="C452" s="12"/>
      <c r="D452" s="12"/>
      <c r="E452" s="12"/>
      <c r="F452" s="25"/>
      <c r="G452" s="12"/>
      <c r="H452" s="12"/>
      <c r="I452" s="12"/>
      <c r="J452" s="16"/>
      <c r="N452" s="16"/>
      <c r="O452" s="16"/>
      <c r="P452" s="16" t="str">
        <f t="shared" si="1"/>
        <v/>
      </c>
    </row>
    <row r="453">
      <c r="B453" s="16"/>
      <c r="C453" s="12"/>
      <c r="D453" s="12"/>
      <c r="E453" s="12"/>
      <c r="F453" s="25"/>
      <c r="G453" s="12"/>
      <c r="H453" s="12"/>
      <c r="I453" s="12"/>
      <c r="J453" s="16"/>
      <c r="N453" s="16"/>
      <c r="O453" s="16"/>
      <c r="P453" s="16" t="str">
        <f t="shared" si="1"/>
        <v/>
      </c>
    </row>
    <row r="454">
      <c r="B454" s="16"/>
      <c r="C454" s="12"/>
      <c r="D454" s="12"/>
      <c r="E454" s="12"/>
      <c r="F454" s="25"/>
      <c r="G454" s="12"/>
      <c r="H454" s="12"/>
      <c r="I454" s="12"/>
      <c r="J454" s="16"/>
      <c r="N454" s="16"/>
      <c r="O454" s="16"/>
      <c r="P454" s="16" t="str">
        <f t="shared" si="1"/>
        <v/>
      </c>
    </row>
    <row r="455">
      <c r="B455" s="16"/>
      <c r="C455" s="12"/>
      <c r="D455" s="12"/>
      <c r="E455" s="12"/>
      <c r="F455" s="25"/>
      <c r="G455" s="12"/>
      <c r="H455" s="12"/>
      <c r="I455" s="12"/>
      <c r="J455" s="16"/>
      <c r="N455" s="16"/>
      <c r="O455" s="16"/>
      <c r="P455" s="16" t="str">
        <f t="shared" si="1"/>
        <v/>
      </c>
    </row>
    <row r="456">
      <c r="B456" s="16"/>
      <c r="C456" s="12"/>
      <c r="D456" s="12"/>
      <c r="E456" s="12"/>
      <c r="F456" s="25"/>
      <c r="G456" s="12"/>
      <c r="H456" s="12"/>
      <c r="I456" s="12"/>
      <c r="J456" s="16"/>
      <c r="N456" s="16"/>
      <c r="O456" s="16"/>
      <c r="P456" s="16" t="str">
        <f t="shared" si="1"/>
        <v/>
      </c>
    </row>
    <row r="457">
      <c r="B457" s="16"/>
      <c r="C457" s="12"/>
      <c r="D457" s="12"/>
      <c r="E457" s="12"/>
      <c r="F457" s="25"/>
      <c r="G457" s="12"/>
      <c r="H457" s="12"/>
      <c r="I457" s="12"/>
      <c r="J457" s="16"/>
      <c r="N457" s="16"/>
      <c r="O457" s="16"/>
      <c r="P457" s="16" t="str">
        <f t="shared" si="1"/>
        <v/>
      </c>
    </row>
    <row r="458">
      <c r="B458" s="16"/>
      <c r="C458" s="12"/>
      <c r="D458" s="12"/>
      <c r="E458" s="12"/>
      <c r="F458" s="25"/>
      <c r="G458" s="12"/>
      <c r="H458" s="12"/>
      <c r="I458" s="12"/>
      <c r="J458" s="16"/>
      <c r="N458" s="16"/>
      <c r="O458" s="16"/>
      <c r="P458" s="16" t="str">
        <f t="shared" si="1"/>
        <v/>
      </c>
    </row>
    <row r="459">
      <c r="B459" s="16"/>
      <c r="C459" s="12"/>
      <c r="D459" s="12"/>
      <c r="E459" s="12"/>
      <c r="F459" s="25"/>
      <c r="G459" s="12"/>
      <c r="H459" s="12"/>
      <c r="I459" s="12"/>
      <c r="J459" s="16"/>
      <c r="N459" s="16"/>
      <c r="O459" s="16"/>
      <c r="P459" s="16" t="str">
        <f t="shared" si="1"/>
        <v/>
      </c>
    </row>
    <row r="460">
      <c r="B460" s="16"/>
      <c r="C460" s="12"/>
      <c r="D460" s="12"/>
      <c r="E460" s="12"/>
      <c r="F460" s="25"/>
      <c r="G460" s="12"/>
      <c r="H460" s="12"/>
      <c r="I460" s="12"/>
      <c r="J460" s="16"/>
      <c r="N460" s="16"/>
      <c r="O460" s="16"/>
      <c r="P460" s="16" t="str">
        <f t="shared" si="1"/>
        <v/>
      </c>
    </row>
    <row r="461">
      <c r="B461" s="16"/>
      <c r="C461" s="12"/>
      <c r="D461" s="12"/>
      <c r="E461" s="12"/>
      <c r="F461" s="25"/>
      <c r="G461" s="12"/>
      <c r="H461" s="12"/>
      <c r="I461" s="12"/>
      <c r="J461" s="16"/>
      <c r="N461" s="16"/>
      <c r="O461" s="16"/>
      <c r="P461" s="16" t="str">
        <f t="shared" si="1"/>
        <v/>
      </c>
    </row>
    <row r="462">
      <c r="B462" s="16"/>
      <c r="C462" s="12"/>
      <c r="D462" s="12"/>
      <c r="E462" s="12"/>
      <c r="F462" s="25"/>
      <c r="G462" s="12"/>
      <c r="H462" s="12"/>
      <c r="I462" s="12"/>
      <c r="J462" s="16"/>
      <c r="N462" s="16"/>
      <c r="O462" s="16"/>
      <c r="P462" s="16" t="str">
        <f t="shared" si="1"/>
        <v/>
      </c>
    </row>
    <row r="463">
      <c r="B463" s="16"/>
      <c r="C463" s="12"/>
      <c r="D463" s="12"/>
      <c r="E463" s="12"/>
      <c r="F463" s="25"/>
      <c r="G463" s="12"/>
      <c r="H463" s="12"/>
      <c r="I463" s="12"/>
      <c r="J463" s="16"/>
      <c r="N463" s="16"/>
      <c r="O463" s="16"/>
      <c r="P463" s="16" t="str">
        <f t="shared" si="1"/>
        <v/>
      </c>
    </row>
    <row r="464">
      <c r="B464" s="16"/>
      <c r="C464" s="12"/>
      <c r="D464" s="12"/>
      <c r="E464" s="12"/>
      <c r="F464" s="25"/>
      <c r="G464" s="12"/>
      <c r="H464" s="12"/>
      <c r="I464" s="12"/>
      <c r="J464" s="16"/>
      <c r="N464" s="16"/>
      <c r="O464" s="16"/>
      <c r="P464" s="16" t="str">
        <f t="shared" si="1"/>
        <v/>
      </c>
    </row>
    <row r="465">
      <c r="B465" s="16"/>
      <c r="C465" s="12"/>
      <c r="D465" s="12"/>
      <c r="E465" s="12"/>
      <c r="F465" s="25"/>
      <c r="G465" s="12"/>
      <c r="H465" s="12"/>
      <c r="I465" s="12"/>
      <c r="J465" s="16"/>
      <c r="N465" s="16"/>
      <c r="O465" s="16"/>
      <c r="P465" s="16" t="str">
        <f t="shared" si="1"/>
        <v/>
      </c>
    </row>
    <row r="466">
      <c r="B466" s="16"/>
      <c r="C466" s="12"/>
      <c r="D466" s="12"/>
      <c r="E466" s="12"/>
      <c r="F466" s="25"/>
      <c r="G466" s="12"/>
      <c r="H466" s="12"/>
      <c r="I466" s="12"/>
      <c r="J466" s="16"/>
      <c r="N466" s="16"/>
      <c r="O466" s="16"/>
      <c r="P466" s="16" t="str">
        <f t="shared" si="1"/>
        <v/>
      </c>
    </row>
    <row r="467">
      <c r="B467" s="16"/>
      <c r="C467" s="12"/>
      <c r="D467" s="12"/>
      <c r="E467" s="12"/>
      <c r="F467" s="25"/>
      <c r="G467" s="12"/>
      <c r="H467" s="12"/>
      <c r="I467" s="12"/>
      <c r="J467" s="16"/>
      <c r="N467" s="16"/>
      <c r="O467" s="16"/>
      <c r="P467" s="16" t="str">
        <f t="shared" si="1"/>
        <v/>
      </c>
    </row>
    <row r="468">
      <c r="B468" s="16"/>
      <c r="C468" s="12"/>
      <c r="D468" s="12"/>
      <c r="E468" s="12"/>
      <c r="F468" s="25"/>
      <c r="G468" s="12"/>
      <c r="H468" s="12"/>
      <c r="I468" s="12"/>
      <c r="J468" s="16"/>
      <c r="N468" s="16"/>
      <c r="O468" s="16"/>
      <c r="P468" s="16" t="str">
        <f t="shared" si="1"/>
        <v/>
      </c>
    </row>
    <row r="469">
      <c r="B469" s="16"/>
      <c r="C469" s="12"/>
      <c r="D469" s="12"/>
      <c r="E469" s="12"/>
      <c r="F469" s="25"/>
      <c r="G469" s="12"/>
      <c r="H469" s="12"/>
      <c r="I469" s="12"/>
      <c r="J469" s="16"/>
      <c r="N469" s="16"/>
      <c r="O469" s="16"/>
      <c r="P469" s="16" t="str">
        <f t="shared" si="1"/>
        <v/>
      </c>
    </row>
    <row r="470">
      <c r="B470" s="16"/>
      <c r="C470" s="12"/>
      <c r="D470" s="12"/>
      <c r="E470" s="12"/>
      <c r="F470" s="25"/>
      <c r="G470" s="12"/>
      <c r="H470" s="12"/>
      <c r="I470" s="12"/>
      <c r="J470" s="16"/>
      <c r="N470" s="16"/>
      <c r="O470" s="16"/>
      <c r="P470" s="16" t="str">
        <f t="shared" si="1"/>
        <v/>
      </c>
    </row>
    <row r="471">
      <c r="B471" s="16"/>
      <c r="C471" s="12"/>
      <c r="D471" s="12"/>
      <c r="E471" s="12"/>
      <c r="F471" s="25"/>
      <c r="G471" s="12"/>
      <c r="H471" s="12"/>
      <c r="I471" s="12"/>
      <c r="J471" s="16"/>
      <c r="N471" s="16"/>
      <c r="O471" s="16"/>
      <c r="P471" s="16" t="str">
        <f t="shared" si="1"/>
        <v/>
      </c>
    </row>
    <row r="472">
      <c r="B472" s="16"/>
      <c r="C472" s="12"/>
      <c r="D472" s="12"/>
      <c r="E472" s="12"/>
      <c r="F472" s="25"/>
      <c r="G472" s="12"/>
      <c r="H472" s="12"/>
      <c r="I472" s="12"/>
      <c r="J472" s="16"/>
      <c r="N472" s="16"/>
      <c r="O472" s="16"/>
      <c r="P472" s="16" t="str">
        <f t="shared" si="1"/>
        <v/>
      </c>
    </row>
    <row r="473">
      <c r="B473" s="16"/>
      <c r="C473" s="12"/>
      <c r="D473" s="12"/>
      <c r="E473" s="12"/>
      <c r="F473" s="25"/>
      <c r="G473" s="12"/>
      <c r="H473" s="12"/>
      <c r="I473" s="12"/>
      <c r="J473" s="16"/>
      <c r="N473" s="16"/>
      <c r="O473" s="16"/>
      <c r="P473" s="16" t="str">
        <f t="shared" si="1"/>
        <v/>
      </c>
    </row>
    <row r="474">
      <c r="B474" s="16"/>
      <c r="C474" s="12"/>
      <c r="D474" s="12"/>
      <c r="E474" s="12"/>
      <c r="F474" s="25"/>
      <c r="G474" s="12"/>
      <c r="H474" s="12"/>
      <c r="I474" s="12"/>
      <c r="J474" s="16"/>
      <c r="N474" s="16"/>
      <c r="O474" s="16"/>
      <c r="P474" s="16" t="str">
        <f t="shared" si="1"/>
        <v/>
      </c>
    </row>
    <row r="475">
      <c r="B475" s="16"/>
      <c r="C475" s="12"/>
      <c r="D475" s="12"/>
      <c r="E475" s="12"/>
      <c r="F475" s="25"/>
      <c r="G475" s="12"/>
      <c r="H475" s="12"/>
      <c r="I475" s="12"/>
      <c r="J475" s="16"/>
      <c r="N475" s="16"/>
      <c r="O475" s="16"/>
      <c r="P475" s="16" t="str">
        <f t="shared" si="1"/>
        <v/>
      </c>
    </row>
    <row r="476">
      <c r="B476" s="16"/>
      <c r="C476" s="12"/>
      <c r="D476" s="12"/>
      <c r="E476" s="12"/>
      <c r="F476" s="25"/>
      <c r="G476" s="12"/>
      <c r="H476" s="12"/>
      <c r="I476" s="12"/>
      <c r="J476" s="16"/>
      <c r="N476" s="16"/>
      <c r="O476" s="16"/>
      <c r="P476" s="16" t="str">
        <f t="shared" si="1"/>
        <v/>
      </c>
    </row>
    <row r="477">
      <c r="B477" s="16"/>
      <c r="C477" s="12"/>
      <c r="D477" s="12"/>
      <c r="E477" s="12"/>
      <c r="F477" s="25"/>
      <c r="G477" s="12"/>
      <c r="H477" s="12"/>
      <c r="I477" s="12"/>
      <c r="J477" s="16"/>
      <c r="N477" s="16"/>
      <c r="O477" s="16"/>
      <c r="P477" s="16" t="str">
        <f t="shared" si="1"/>
        <v/>
      </c>
    </row>
    <row r="478">
      <c r="B478" s="16"/>
      <c r="C478" s="12"/>
      <c r="D478" s="12"/>
      <c r="E478" s="12"/>
      <c r="F478" s="25"/>
      <c r="G478" s="12"/>
      <c r="H478" s="12"/>
      <c r="I478" s="12"/>
      <c r="J478" s="16"/>
      <c r="N478" s="16"/>
      <c r="O478" s="16"/>
      <c r="P478" s="16" t="str">
        <f t="shared" si="1"/>
        <v/>
      </c>
    </row>
    <row r="479">
      <c r="B479" s="16"/>
      <c r="C479" s="12"/>
      <c r="D479" s="12"/>
      <c r="E479" s="12"/>
      <c r="F479" s="25"/>
      <c r="G479" s="12"/>
      <c r="H479" s="12"/>
      <c r="I479" s="12"/>
      <c r="J479" s="16"/>
      <c r="N479" s="16"/>
      <c r="O479" s="16"/>
      <c r="P479" s="16" t="str">
        <f t="shared" si="1"/>
        <v/>
      </c>
    </row>
    <row r="480">
      <c r="B480" s="16"/>
      <c r="C480" s="12"/>
      <c r="D480" s="12"/>
      <c r="E480" s="12"/>
      <c r="F480" s="25"/>
      <c r="G480" s="12"/>
      <c r="H480" s="12"/>
      <c r="I480" s="12"/>
      <c r="J480" s="16"/>
      <c r="N480" s="16"/>
      <c r="O480" s="16"/>
      <c r="P480" s="16" t="str">
        <f t="shared" si="1"/>
        <v/>
      </c>
    </row>
    <row r="481">
      <c r="B481" s="16"/>
      <c r="C481" s="12"/>
      <c r="D481" s="12"/>
      <c r="E481" s="12"/>
      <c r="F481" s="25"/>
      <c r="G481" s="12"/>
      <c r="H481" s="12"/>
      <c r="I481" s="12"/>
      <c r="J481" s="16"/>
      <c r="N481" s="16"/>
      <c r="O481" s="16"/>
      <c r="P481" s="16" t="str">
        <f t="shared" si="1"/>
        <v/>
      </c>
    </row>
    <row r="482">
      <c r="B482" s="16"/>
      <c r="C482" s="12"/>
      <c r="D482" s="12"/>
      <c r="E482" s="12"/>
      <c r="F482" s="25"/>
      <c r="G482" s="12"/>
      <c r="H482" s="12"/>
      <c r="I482" s="12"/>
      <c r="J482" s="16"/>
      <c r="N482" s="16"/>
      <c r="O482" s="16"/>
      <c r="P482" s="16" t="str">
        <f t="shared" si="1"/>
        <v/>
      </c>
    </row>
    <row r="483">
      <c r="B483" s="16"/>
      <c r="C483" s="12"/>
      <c r="D483" s="12"/>
      <c r="E483" s="12"/>
      <c r="F483" s="25"/>
      <c r="G483" s="12"/>
      <c r="H483" s="12"/>
      <c r="I483" s="12"/>
      <c r="J483" s="16"/>
      <c r="N483" s="16"/>
      <c r="O483" s="16"/>
      <c r="P483" s="16" t="str">
        <f t="shared" si="1"/>
        <v/>
      </c>
    </row>
    <row r="484">
      <c r="B484" s="16"/>
      <c r="C484" s="12"/>
      <c r="D484" s="12"/>
      <c r="E484" s="12"/>
      <c r="F484" s="25"/>
      <c r="G484" s="12"/>
      <c r="H484" s="12"/>
      <c r="I484" s="12"/>
      <c r="J484" s="16"/>
      <c r="N484" s="16"/>
      <c r="O484" s="16"/>
      <c r="P484" s="16" t="str">
        <f t="shared" si="1"/>
        <v/>
      </c>
    </row>
    <row r="485">
      <c r="B485" s="16"/>
      <c r="C485" s="12"/>
      <c r="D485" s="12"/>
      <c r="E485" s="12"/>
      <c r="F485" s="25"/>
      <c r="G485" s="12"/>
      <c r="H485" s="12"/>
      <c r="I485" s="12"/>
      <c r="J485" s="16"/>
      <c r="N485" s="16"/>
      <c r="O485" s="16"/>
      <c r="P485" s="16" t="str">
        <f t="shared" si="1"/>
        <v/>
      </c>
    </row>
    <row r="486">
      <c r="B486" s="16"/>
      <c r="C486" s="12"/>
      <c r="D486" s="12"/>
      <c r="E486" s="12"/>
      <c r="F486" s="25"/>
      <c r="G486" s="12"/>
      <c r="H486" s="12"/>
      <c r="I486" s="12"/>
      <c r="J486" s="16"/>
      <c r="N486" s="16"/>
      <c r="O486" s="16"/>
      <c r="P486" s="16" t="str">
        <f t="shared" si="1"/>
        <v/>
      </c>
    </row>
    <row r="487">
      <c r="B487" s="16"/>
      <c r="C487" s="12"/>
      <c r="D487" s="12"/>
      <c r="E487" s="12"/>
      <c r="F487" s="25"/>
      <c r="G487" s="12"/>
      <c r="H487" s="12"/>
      <c r="I487" s="12"/>
      <c r="J487" s="16"/>
      <c r="N487" s="16"/>
      <c r="O487" s="16"/>
      <c r="P487" s="16" t="str">
        <f t="shared" si="1"/>
        <v/>
      </c>
    </row>
    <row r="488">
      <c r="B488" s="16"/>
      <c r="C488" s="12"/>
      <c r="D488" s="12"/>
      <c r="E488" s="12"/>
      <c r="F488" s="25"/>
      <c r="G488" s="12"/>
      <c r="H488" s="12"/>
      <c r="I488" s="12"/>
      <c r="J488" s="16"/>
      <c r="N488" s="16"/>
      <c r="O488" s="16"/>
      <c r="P488" s="16" t="str">
        <f t="shared" si="1"/>
        <v/>
      </c>
    </row>
    <row r="489">
      <c r="B489" s="16"/>
      <c r="C489" s="12"/>
      <c r="D489" s="12"/>
      <c r="E489" s="12"/>
      <c r="F489" s="25"/>
      <c r="G489" s="12"/>
      <c r="H489" s="12"/>
      <c r="I489" s="12"/>
      <c r="J489" s="16"/>
      <c r="N489" s="16"/>
      <c r="O489" s="16"/>
      <c r="P489" s="16" t="str">
        <f t="shared" si="1"/>
        <v/>
      </c>
    </row>
    <row r="490">
      <c r="B490" s="16"/>
      <c r="C490" s="12"/>
      <c r="D490" s="12"/>
      <c r="E490" s="12"/>
      <c r="F490" s="25"/>
      <c r="G490" s="12"/>
      <c r="H490" s="12"/>
      <c r="I490" s="12"/>
      <c r="J490" s="16"/>
      <c r="N490" s="16"/>
      <c r="O490" s="16"/>
      <c r="P490" s="16" t="str">
        <f t="shared" si="1"/>
        <v/>
      </c>
    </row>
    <row r="491">
      <c r="B491" s="16"/>
      <c r="C491" s="12"/>
      <c r="D491" s="12"/>
      <c r="E491" s="12"/>
      <c r="F491" s="25"/>
      <c r="G491" s="12"/>
      <c r="H491" s="12"/>
      <c r="I491" s="12"/>
      <c r="J491" s="16"/>
      <c r="N491" s="16"/>
      <c r="O491" s="16"/>
      <c r="P491" s="16" t="str">
        <f t="shared" si="1"/>
        <v/>
      </c>
    </row>
    <row r="492">
      <c r="B492" s="16"/>
      <c r="C492" s="12"/>
      <c r="D492" s="12"/>
      <c r="E492" s="12"/>
      <c r="F492" s="25"/>
      <c r="G492" s="12"/>
      <c r="H492" s="12"/>
      <c r="I492" s="12"/>
      <c r="J492" s="16"/>
      <c r="N492" s="16"/>
      <c r="O492" s="16"/>
      <c r="P492" s="16" t="str">
        <f t="shared" si="1"/>
        <v/>
      </c>
    </row>
    <row r="493">
      <c r="B493" s="16"/>
      <c r="C493" s="12"/>
      <c r="D493" s="12"/>
      <c r="E493" s="12"/>
      <c r="F493" s="25"/>
      <c r="G493" s="12"/>
      <c r="H493" s="12"/>
      <c r="I493" s="12"/>
      <c r="J493" s="16"/>
      <c r="N493" s="16"/>
      <c r="O493" s="16"/>
      <c r="P493" s="16" t="str">
        <f t="shared" si="1"/>
        <v/>
      </c>
    </row>
    <row r="494">
      <c r="B494" s="16"/>
      <c r="C494" s="12"/>
      <c r="D494" s="12"/>
      <c r="E494" s="12"/>
      <c r="F494" s="25"/>
      <c r="G494" s="12"/>
      <c r="H494" s="12"/>
      <c r="I494" s="12"/>
      <c r="J494" s="16"/>
      <c r="N494" s="16"/>
      <c r="O494" s="16"/>
      <c r="P494" s="16" t="str">
        <f t="shared" si="1"/>
        <v/>
      </c>
    </row>
    <row r="495">
      <c r="B495" s="16"/>
      <c r="C495" s="12"/>
      <c r="D495" s="12"/>
      <c r="E495" s="12"/>
      <c r="F495" s="25"/>
      <c r="G495" s="12"/>
      <c r="H495" s="12"/>
      <c r="I495" s="12"/>
      <c r="J495" s="16"/>
      <c r="N495" s="16"/>
      <c r="O495" s="16"/>
      <c r="P495" s="16" t="str">
        <f t="shared" si="1"/>
        <v/>
      </c>
    </row>
    <row r="496">
      <c r="B496" s="16"/>
      <c r="C496" s="12"/>
      <c r="D496" s="12"/>
      <c r="E496" s="12"/>
      <c r="F496" s="25"/>
      <c r="G496" s="12"/>
      <c r="H496" s="12"/>
      <c r="I496" s="12"/>
      <c r="J496" s="16"/>
      <c r="N496" s="16"/>
      <c r="O496" s="16"/>
      <c r="P496" s="16" t="str">
        <f t="shared" si="1"/>
        <v/>
      </c>
    </row>
    <row r="497">
      <c r="B497" s="16"/>
      <c r="C497" s="12"/>
      <c r="D497" s="12"/>
      <c r="E497" s="12"/>
      <c r="F497" s="25"/>
      <c r="G497" s="12"/>
      <c r="H497" s="12"/>
      <c r="I497" s="12"/>
      <c r="J497" s="16"/>
      <c r="N497" s="16"/>
      <c r="O497" s="16"/>
      <c r="P497" s="16" t="str">
        <f t="shared" si="1"/>
        <v/>
      </c>
    </row>
    <row r="498">
      <c r="B498" s="16"/>
      <c r="C498" s="12"/>
      <c r="D498" s="12"/>
      <c r="E498" s="12"/>
      <c r="F498" s="25"/>
      <c r="G498" s="12"/>
      <c r="H498" s="12"/>
      <c r="I498" s="12"/>
      <c r="J498" s="16"/>
      <c r="N498" s="16"/>
      <c r="O498" s="16"/>
      <c r="P498" s="16" t="str">
        <f t="shared" si="1"/>
        <v/>
      </c>
    </row>
    <row r="499">
      <c r="B499" s="16"/>
      <c r="C499" s="12"/>
      <c r="D499" s="12"/>
      <c r="E499" s="12"/>
      <c r="F499" s="25"/>
      <c r="G499" s="12"/>
      <c r="H499" s="12"/>
      <c r="I499" s="12"/>
      <c r="J499" s="16"/>
      <c r="N499" s="16"/>
      <c r="O499" s="16"/>
      <c r="P499" s="16" t="str">
        <f t="shared" si="1"/>
        <v/>
      </c>
    </row>
    <row r="500">
      <c r="B500" s="16"/>
      <c r="C500" s="12"/>
      <c r="D500" s="12"/>
      <c r="E500" s="12"/>
      <c r="F500" s="25"/>
      <c r="G500" s="12"/>
      <c r="H500" s="12"/>
      <c r="I500" s="12"/>
      <c r="J500" s="16"/>
      <c r="N500" s="16"/>
      <c r="O500" s="16"/>
      <c r="P500" s="16" t="str">
        <f t="shared" si="1"/>
        <v/>
      </c>
    </row>
    <row r="501">
      <c r="B501" s="16"/>
      <c r="C501" s="12"/>
      <c r="D501" s="12"/>
      <c r="E501" s="12"/>
      <c r="F501" s="25"/>
      <c r="G501" s="12"/>
      <c r="H501" s="12"/>
      <c r="I501" s="12"/>
      <c r="J501" s="16"/>
      <c r="N501" s="16"/>
      <c r="O501" s="16"/>
      <c r="P501" s="16" t="str">
        <f t="shared" si="1"/>
        <v/>
      </c>
    </row>
    <row r="502">
      <c r="B502" s="16"/>
      <c r="C502" s="12"/>
      <c r="D502" s="12"/>
      <c r="E502" s="12"/>
      <c r="F502" s="25"/>
      <c r="G502" s="12"/>
      <c r="H502" s="12"/>
      <c r="I502" s="12"/>
      <c r="J502" s="16"/>
      <c r="N502" s="16"/>
      <c r="O502" s="16"/>
      <c r="P502" s="16" t="str">
        <f t="shared" si="1"/>
        <v/>
      </c>
    </row>
    <row r="503">
      <c r="B503" s="16"/>
      <c r="C503" s="12"/>
      <c r="D503" s="12"/>
      <c r="E503" s="12"/>
      <c r="F503" s="25"/>
      <c r="G503" s="12"/>
      <c r="H503" s="12"/>
      <c r="I503" s="12"/>
      <c r="J503" s="16"/>
      <c r="N503" s="16"/>
      <c r="O503" s="16"/>
      <c r="P503" s="16" t="str">
        <f t="shared" si="1"/>
        <v/>
      </c>
    </row>
    <row r="504">
      <c r="B504" s="16"/>
      <c r="C504" s="12"/>
      <c r="D504" s="12"/>
      <c r="E504" s="12"/>
      <c r="F504" s="25"/>
      <c r="G504" s="12"/>
      <c r="H504" s="12"/>
      <c r="I504" s="12"/>
      <c r="J504" s="16"/>
      <c r="N504" s="16"/>
      <c r="O504" s="16"/>
      <c r="P504" s="16" t="str">
        <f t="shared" si="1"/>
        <v/>
      </c>
    </row>
    <row r="505">
      <c r="B505" s="16"/>
      <c r="C505" s="12"/>
      <c r="D505" s="12"/>
      <c r="E505" s="12"/>
      <c r="F505" s="25"/>
      <c r="G505" s="12"/>
      <c r="H505" s="12"/>
      <c r="I505" s="12"/>
      <c r="J505" s="16"/>
      <c r="N505" s="16"/>
      <c r="O505" s="16"/>
      <c r="P505" s="16" t="str">
        <f t="shared" si="1"/>
        <v/>
      </c>
    </row>
    <row r="506">
      <c r="B506" s="16"/>
      <c r="C506" s="12"/>
      <c r="D506" s="12"/>
      <c r="E506" s="12"/>
      <c r="F506" s="25"/>
      <c r="G506" s="12"/>
      <c r="H506" s="12"/>
      <c r="I506" s="12"/>
      <c r="J506" s="16"/>
      <c r="N506" s="16"/>
      <c r="O506" s="16"/>
      <c r="P506" s="16" t="str">
        <f t="shared" si="1"/>
        <v/>
      </c>
    </row>
    <row r="507">
      <c r="B507" s="16"/>
      <c r="C507" s="12"/>
      <c r="D507" s="12"/>
      <c r="E507" s="12"/>
      <c r="F507" s="25"/>
      <c r="G507" s="12"/>
      <c r="H507" s="12"/>
      <c r="I507" s="12"/>
      <c r="J507" s="16"/>
      <c r="N507" s="16"/>
      <c r="O507" s="16"/>
      <c r="P507" s="16" t="str">
        <f t="shared" si="1"/>
        <v/>
      </c>
    </row>
    <row r="508">
      <c r="B508" s="16"/>
      <c r="C508" s="12"/>
      <c r="D508" s="12"/>
      <c r="E508" s="12"/>
      <c r="F508" s="25"/>
      <c r="G508" s="12"/>
      <c r="H508" s="12"/>
      <c r="I508" s="12"/>
      <c r="J508" s="16"/>
      <c r="N508" s="16"/>
      <c r="O508" s="16"/>
      <c r="P508" s="16" t="str">
        <f t="shared" si="1"/>
        <v/>
      </c>
    </row>
    <row r="509">
      <c r="B509" s="16"/>
      <c r="C509" s="12"/>
      <c r="D509" s="12"/>
      <c r="E509" s="12"/>
      <c r="F509" s="25"/>
      <c r="G509" s="12"/>
      <c r="H509" s="12"/>
      <c r="I509" s="12"/>
      <c r="J509" s="16"/>
      <c r="N509" s="16"/>
      <c r="O509" s="16"/>
      <c r="P509" s="16" t="str">
        <f t="shared" si="1"/>
        <v/>
      </c>
    </row>
    <row r="510">
      <c r="B510" s="16"/>
      <c r="C510" s="12"/>
      <c r="D510" s="12"/>
      <c r="E510" s="12"/>
      <c r="F510" s="25"/>
      <c r="G510" s="12"/>
      <c r="H510" s="12"/>
      <c r="I510" s="12"/>
      <c r="J510" s="16"/>
      <c r="N510" s="16"/>
      <c r="O510" s="16"/>
      <c r="P510" s="16" t="str">
        <f t="shared" si="1"/>
        <v/>
      </c>
    </row>
    <row r="511">
      <c r="B511" s="16"/>
      <c r="C511" s="12"/>
      <c r="D511" s="12"/>
      <c r="E511" s="12"/>
      <c r="F511" s="25"/>
      <c r="G511" s="12"/>
      <c r="H511" s="12"/>
      <c r="I511" s="12"/>
      <c r="J511" s="16"/>
      <c r="N511" s="16"/>
      <c r="O511" s="16"/>
      <c r="P511" s="16" t="str">
        <f t="shared" si="1"/>
        <v/>
      </c>
    </row>
    <row r="512">
      <c r="B512" s="16"/>
      <c r="C512" s="12"/>
      <c r="D512" s="12"/>
      <c r="E512" s="12"/>
      <c r="F512" s="25"/>
      <c r="G512" s="12"/>
      <c r="H512" s="12"/>
      <c r="I512" s="12"/>
      <c r="J512" s="16"/>
      <c r="N512" s="16"/>
      <c r="O512" s="16"/>
      <c r="P512" s="16" t="str">
        <f t="shared" si="1"/>
        <v/>
      </c>
    </row>
    <row r="513">
      <c r="B513" s="16"/>
      <c r="C513" s="12"/>
      <c r="D513" s="12"/>
      <c r="E513" s="12"/>
      <c r="F513" s="25"/>
      <c r="G513" s="12"/>
      <c r="H513" s="12"/>
      <c r="I513" s="12"/>
      <c r="J513" s="16"/>
      <c r="N513" s="16"/>
      <c r="O513" s="16"/>
      <c r="P513" s="16" t="str">
        <f t="shared" si="1"/>
        <v/>
      </c>
    </row>
    <row r="514">
      <c r="B514" s="16"/>
      <c r="C514" s="12"/>
      <c r="D514" s="12"/>
      <c r="E514" s="12"/>
      <c r="F514" s="25"/>
      <c r="G514" s="12"/>
      <c r="H514" s="12"/>
      <c r="I514" s="12"/>
      <c r="J514" s="16"/>
      <c r="N514" s="16"/>
      <c r="O514" s="16"/>
      <c r="P514" s="16" t="str">
        <f t="shared" si="1"/>
        <v/>
      </c>
    </row>
    <row r="515">
      <c r="B515" s="16"/>
      <c r="C515" s="12"/>
      <c r="D515" s="12"/>
      <c r="E515" s="12"/>
      <c r="F515" s="25"/>
      <c r="G515" s="12"/>
      <c r="H515" s="12"/>
      <c r="I515" s="12"/>
      <c r="J515" s="16"/>
      <c r="N515" s="16"/>
      <c r="O515" s="16"/>
      <c r="P515" s="16" t="str">
        <f t="shared" si="1"/>
        <v/>
      </c>
    </row>
    <row r="516">
      <c r="B516" s="16"/>
      <c r="C516" s="12"/>
      <c r="D516" s="12"/>
      <c r="E516" s="12"/>
      <c r="F516" s="25"/>
      <c r="G516" s="12"/>
      <c r="H516" s="12"/>
      <c r="I516" s="12"/>
      <c r="J516" s="16"/>
      <c r="N516" s="16"/>
      <c r="O516" s="16"/>
      <c r="P516" s="16" t="str">
        <f t="shared" si="1"/>
        <v/>
      </c>
    </row>
    <row r="517">
      <c r="B517" s="16"/>
      <c r="C517" s="12"/>
      <c r="D517" s="12"/>
      <c r="E517" s="12"/>
      <c r="F517" s="25"/>
      <c r="G517" s="12"/>
      <c r="H517" s="12"/>
      <c r="I517" s="12"/>
      <c r="J517" s="16"/>
      <c r="N517" s="16"/>
      <c r="O517" s="16"/>
      <c r="P517" s="16" t="str">
        <f t="shared" si="1"/>
        <v/>
      </c>
    </row>
    <row r="518">
      <c r="B518" s="16"/>
      <c r="C518" s="12"/>
      <c r="D518" s="12"/>
      <c r="E518" s="12"/>
      <c r="F518" s="25"/>
      <c r="G518" s="12"/>
      <c r="H518" s="12"/>
      <c r="I518" s="12"/>
      <c r="J518" s="16"/>
      <c r="N518" s="16"/>
      <c r="O518" s="16"/>
      <c r="P518" s="16" t="str">
        <f t="shared" si="1"/>
        <v/>
      </c>
    </row>
    <row r="519">
      <c r="B519" s="16"/>
      <c r="C519" s="12"/>
      <c r="D519" s="12"/>
      <c r="E519" s="12"/>
      <c r="F519" s="25"/>
      <c r="G519" s="12"/>
      <c r="H519" s="12"/>
      <c r="I519" s="12"/>
      <c r="J519" s="16"/>
      <c r="N519" s="16"/>
      <c r="O519" s="16"/>
      <c r="P519" s="16" t="str">
        <f t="shared" si="1"/>
        <v/>
      </c>
    </row>
    <row r="520">
      <c r="B520" s="16"/>
      <c r="C520" s="12"/>
      <c r="D520" s="12"/>
      <c r="E520" s="12"/>
      <c r="F520" s="25"/>
      <c r="G520" s="12"/>
      <c r="H520" s="12"/>
      <c r="I520" s="12"/>
      <c r="J520" s="16"/>
      <c r="N520" s="16"/>
      <c r="O520" s="16"/>
      <c r="P520" s="16" t="str">
        <f t="shared" si="1"/>
        <v/>
      </c>
    </row>
    <row r="521">
      <c r="B521" s="16"/>
      <c r="C521" s="12"/>
      <c r="D521" s="12"/>
      <c r="E521" s="12"/>
      <c r="F521" s="25"/>
      <c r="G521" s="12"/>
      <c r="H521" s="12"/>
      <c r="I521" s="12"/>
      <c r="J521" s="16"/>
      <c r="N521" s="16"/>
      <c r="O521" s="16"/>
      <c r="P521" s="16" t="str">
        <f t="shared" si="1"/>
        <v/>
      </c>
    </row>
    <row r="522">
      <c r="B522" s="16"/>
      <c r="C522" s="12"/>
      <c r="D522" s="12"/>
      <c r="E522" s="12"/>
      <c r="F522" s="25"/>
      <c r="G522" s="12"/>
      <c r="H522" s="12"/>
      <c r="I522" s="12"/>
      <c r="J522" s="16"/>
      <c r="N522" s="16"/>
      <c r="O522" s="16"/>
      <c r="P522" s="16" t="str">
        <f t="shared" si="1"/>
        <v/>
      </c>
    </row>
    <row r="523">
      <c r="B523" s="16"/>
      <c r="C523" s="12"/>
      <c r="D523" s="12"/>
      <c r="E523" s="12"/>
      <c r="F523" s="25"/>
      <c r="G523" s="12"/>
      <c r="H523" s="12"/>
      <c r="I523" s="12"/>
      <c r="J523" s="16"/>
      <c r="N523" s="16"/>
      <c r="O523" s="16"/>
      <c r="P523" s="16" t="str">
        <f t="shared" si="1"/>
        <v/>
      </c>
    </row>
    <row r="524">
      <c r="B524" s="16"/>
      <c r="C524" s="12"/>
      <c r="D524" s="12"/>
      <c r="E524" s="12"/>
      <c r="F524" s="25"/>
      <c r="G524" s="12"/>
      <c r="H524" s="12"/>
      <c r="I524" s="12"/>
      <c r="J524" s="16"/>
      <c r="N524" s="16"/>
      <c r="O524" s="16"/>
      <c r="P524" s="16" t="str">
        <f t="shared" si="1"/>
        <v/>
      </c>
    </row>
    <row r="525">
      <c r="B525" s="16"/>
      <c r="C525" s="12"/>
      <c r="D525" s="12"/>
      <c r="E525" s="12"/>
      <c r="F525" s="25"/>
      <c r="G525" s="12"/>
      <c r="H525" s="12"/>
      <c r="I525" s="12"/>
      <c r="J525" s="16"/>
      <c r="N525" s="16"/>
      <c r="O525" s="16"/>
      <c r="P525" s="16" t="str">
        <f t="shared" si="1"/>
        <v/>
      </c>
    </row>
    <row r="526">
      <c r="B526" s="16"/>
      <c r="C526" s="12"/>
      <c r="D526" s="12"/>
      <c r="E526" s="12"/>
      <c r="F526" s="25"/>
      <c r="G526" s="12"/>
      <c r="H526" s="12"/>
      <c r="I526" s="12"/>
      <c r="J526" s="16"/>
      <c r="N526" s="16"/>
      <c r="O526" s="16"/>
      <c r="P526" s="16" t="str">
        <f t="shared" si="1"/>
        <v/>
      </c>
    </row>
    <row r="527">
      <c r="B527" s="16"/>
      <c r="C527" s="12"/>
      <c r="D527" s="12"/>
      <c r="E527" s="12"/>
      <c r="F527" s="25"/>
      <c r="G527" s="12"/>
      <c r="H527" s="12"/>
      <c r="I527" s="12"/>
      <c r="J527" s="16"/>
      <c r="N527" s="16"/>
      <c r="O527" s="16"/>
      <c r="P527" s="16" t="str">
        <f t="shared" si="1"/>
        <v/>
      </c>
    </row>
    <row r="528">
      <c r="B528" s="16"/>
      <c r="C528" s="12"/>
      <c r="D528" s="12"/>
      <c r="E528" s="12"/>
      <c r="F528" s="25"/>
      <c r="G528" s="12"/>
      <c r="H528" s="12"/>
      <c r="I528" s="12"/>
      <c r="J528" s="16"/>
      <c r="N528" s="16"/>
      <c r="O528" s="16"/>
      <c r="P528" s="16" t="str">
        <f t="shared" si="1"/>
        <v/>
      </c>
    </row>
    <row r="529">
      <c r="B529" s="16"/>
      <c r="C529" s="12"/>
      <c r="D529" s="12"/>
      <c r="E529" s="12"/>
      <c r="F529" s="25"/>
      <c r="G529" s="12"/>
      <c r="H529" s="12"/>
      <c r="I529" s="12"/>
      <c r="J529" s="16"/>
      <c r="N529" s="16"/>
      <c r="O529" s="16"/>
      <c r="P529" s="16" t="str">
        <f t="shared" si="1"/>
        <v/>
      </c>
    </row>
    <row r="530">
      <c r="B530" s="16"/>
      <c r="C530" s="12"/>
      <c r="D530" s="12"/>
      <c r="E530" s="12"/>
      <c r="F530" s="25"/>
      <c r="G530" s="12"/>
      <c r="H530" s="12"/>
      <c r="I530" s="12"/>
      <c r="J530" s="16"/>
      <c r="N530" s="16"/>
      <c r="O530" s="16"/>
      <c r="P530" s="16" t="str">
        <f t="shared" si="1"/>
        <v/>
      </c>
    </row>
    <row r="531">
      <c r="B531" s="16"/>
      <c r="C531" s="12"/>
      <c r="D531" s="12"/>
      <c r="E531" s="12"/>
      <c r="F531" s="25"/>
      <c r="G531" s="12"/>
      <c r="H531" s="12"/>
      <c r="I531" s="12"/>
      <c r="J531" s="16"/>
      <c r="N531" s="16"/>
      <c r="O531" s="16"/>
      <c r="P531" s="16" t="str">
        <f t="shared" si="1"/>
        <v/>
      </c>
    </row>
    <row r="532">
      <c r="B532" s="16"/>
      <c r="C532" s="12"/>
      <c r="D532" s="12"/>
      <c r="E532" s="12"/>
      <c r="F532" s="25"/>
      <c r="G532" s="12"/>
      <c r="H532" s="12"/>
      <c r="I532" s="12"/>
      <c r="J532" s="16"/>
      <c r="N532" s="16"/>
      <c r="O532" s="16"/>
      <c r="P532" s="16" t="str">
        <f t="shared" si="1"/>
        <v/>
      </c>
    </row>
    <row r="533">
      <c r="B533" s="16"/>
      <c r="C533" s="12"/>
      <c r="D533" s="12"/>
      <c r="E533" s="12"/>
      <c r="F533" s="25"/>
      <c r="G533" s="12"/>
      <c r="H533" s="12"/>
      <c r="I533" s="12"/>
      <c r="J533" s="16"/>
      <c r="N533" s="16"/>
      <c r="O533" s="16"/>
      <c r="P533" s="16" t="str">
        <f t="shared" si="1"/>
        <v/>
      </c>
    </row>
    <row r="534">
      <c r="B534" s="16"/>
      <c r="C534" s="12"/>
      <c r="D534" s="12"/>
      <c r="E534" s="12"/>
      <c r="F534" s="25"/>
      <c r="G534" s="12"/>
      <c r="H534" s="12"/>
      <c r="I534" s="12"/>
      <c r="J534" s="16"/>
      <c r="N534" s="16"/>
      <c r="O534" s="16"/>
      <c r="P534" s="16" t="str">
        <f t="shared" si="1"/>
        <v/>
      </c>
    </row>
    <row r="535">
      <c r="B535" s="16"/>
      <c r="C535" s="12"/>
      <c r="D535" s="12"/>
      <c r="E535" s="12"/>
      <c r="F535" s="25"/>
      <c r="G535" s="12"/>
      <c r="H535" s="12"/>
      <c r="I535" s="12"/>
      <c r="J535" s="16"/>
      <c r="N535" s="16"/>
      <c r="O535" s="16"/>
      <c r="P535" s="16" t="str">
        <f t="shared" si="1"/>
        <v/>
      </c>
    </row>
    <row r="536">
      <c r="B536" s="16"/>
      <c r="C536" s="12"/>
      <c r="D536" s="12"/>
      <c r="E536" s="12"/>
      <c r="F536" s="25"/>
      <c r="G536" s="12"/>
      <c r="H536" s="12"/>
      <c r="I536" s="12"/>
      <c r="J536" s="16"/>
      <c r="N536" s="16"/>
      <c r="O536" s="16"/>
      <c r="P536" s="16" t="str">
        <f t="shared" si="1"/>
        <v/>
      </c>
    </row>
    <row r="537">
      <c r="B537" s="16"/>
      <c r="C537" s="12"/>
      <c r="D537" s="12"/>
      <c r="E537" s="12"/>
      <c r="F537" s="25"/>
      <c r="G537" s="12"/>
      <c r="H537" s="12"/>
      <c r="I537" s="12"/>
      <c r="J537" s="16"/>
      <c r="N537" s="16"/>
      <c r="O537" s="16"/>
      <c r="P537" s="16" t="str">
        <f t="shared" si="1"/>
        <v/>
      </c>
    </row>
    <row r="538">
      <c r="B538" s="16"/>
      <c r="C538" s="12"/>
      <c r="D538" s="12"/>
      <c r="E538" s="12"/>
      <c r="F538" s="25"/>
      <c r="G538" s="12"/>
      <c r="H538" s="12"/>
      <c r="I538" s="12"/>
      <c r="J538" s="16"/>
      <c r="N538" s="16"/>
      <c r="O538" s="16"/>
      <c r="P538" s="16" t="str">
        <f t="shared" si="1"/>
        <v/>
      </c>
    </row>
    <row r="539">
      <c r="B539" s="16"/>
      <c r="C539" s="12"/>
      <c r="D539" s="12"/>
      <c r="E539" s="12"/>
      <c r="F539" s="25"/>
      <c r="G539" s="12"/>
      <c r="H539" s="12"/>
      <c r="I539" s="12"/>
      <c r="J539" s="16"/>
      <c r="N539" s="16"/>
      <c r="O539" s="16"/>
      <c r="P539" s="16" t="str">
        <f t="shared" si="1"/>
        <v/>
      </c>
    </row>
    <row r="540">
      <c r="B540" s="16"/>
      <c r="C540" s="12"/>
      <c r="D540" s="12"/>
      <c r="E540" s="12"/>
      <c r="F540" s="25"/>
      <c r="G540" s="12"/>
      <c r="H540" s="12"/>
      <c r="I540" s="12"/>
      <c r="J540" s="16"/>
      <c r="N540" s="16"/>
      <c r="O540" s="16"/>
      <c r="P540" s="16" t="str">
        <f t="shared" si="1"/>
        <v/>
      </c>
    </row>
    <row r="541">
      <c r="B541" s="16"/>
      <c r="C541" s="12"/>
      <c r="D541" s="12"/>
      <c r="E541" s="12"/>
      <c r="F541" s="25"/>
      <c r="G541" s="12"/>
      <c r="H541" s="12"/>
      <c r="I541" s="12"/>
      <c r="J541" s="16"/>
      <c r="N541" s="16"/>
      <c r="O541" s="16"/>
      <c r="P541" s="16" t="str">
        <f t="shared" si="1"/>
        <v/>
      </c>
    </row>
    <row r="542">
      <c r="B542" s="16"/>
      <c r="C542" s="12"/>
      <c r="D542" s="12"/>
      <c r="E542" s="12"/>
      <c r="F542" s="25"/>
      <c r="G542" s="12"/>
      <c r="H542" s="12"/>
      <c r="I542" s="12"/>
      <c r="J542" s="16"/>
      <c r="N542" s="16"/>
      <c r="O542" s="16"/>
      <c r="P542" s="16" t="str">
        <f t="shared" si="1"/>
        <v/>
      </c>
    </row>
    <row r="543">
      <c r="B543" s="16"/>
      <c r="C543" s="12"/>
      <c r="D543" s="12"/>
      <c r="E543" s="12"/>
      <c r="F543" s="25"/>
      <c r="G543" s="12"/>
      <c r="H543" s="12"/>
      <c r="I543" s="12"/>
      <c r="J543" s="16"/>
      <c r="N543" s="16"/>
      <c r="O543" s="16"/>
      <c r="P543" s="16" t="str">
        <f t="shared" si="1"/>
        <v/>
      </c>
    </row>
    <row r="544">
      <c r="B544" s="16"/>
      <c r="C544" s="12"/>
      <c r="D544" s="12"/>
      <c r="E544" s="12"/>
      <c r="F544" s="25"/>
      <c r="G544" s="12"/>
      <c r="H544" s="12"/>
      <c r="I544" s="12"/>
      <c r="J544" s="16"/>
      <c r="N544" s="16"/>
      <c r="O544" s="16"/>
      <c r="P544" s="16" t="str">
        <f t="shared" si="1"/>
        <v/>
      </c>
    </row>
    <row r="545">
      <c r="B545" s="16"/>
      <c r="C545" s="12"/>
      <c r="D545" s="12"/>
      <c r="E545" s="12"/>
      <c r="F545" s="25"/>
      <c r="G545" s="12"/>
      <c r="H545" s="12"/>
      <c r="I545" s="12"/>
      <c r="J545" s="16"/>
      <c r="N545" s="16"/>
      <c r="O545" s="16"/>
      <c r="P545" s="16" t="str">
        <f t="shared" si="1"/>
        <v/>
      </c>
    </row>
    <row r="546">
      <c r="B546" s="16"/>
      <c r="C546" s="12"/>
      <c r="D546" s="12"/>
      <c r="E546" s="12"/>
      <c r="F546" s="25"/>
      <c r="G546" s="12"/>
      <c r="H546" s="12"/>
      <c r="I546" s="12"/>
      <c r="J546" s="16"/>
      <c r="N546" s="16"/>
      <c r="O546" s="16"/>
      <c r="P546" s="16" t="str">
        <f t="shared" si="1"/>
        <v/>
      </c>
    </row>
    <row r="547">
      <c r="B547" s="16"/>
      <c r="C547" s="12"/>
      <c r="D547" s="12"/>
      <c r="E547" s="12"/>
      <c r="F547" s="25"/>
      <c r="G547" s="12"/>
      <c r="H547" s="12"/>
      <c r="I547" s="12"/>
      <c r="J547" s="16"/>
      <c r="N547" s="16"/>
      <c r="O547" s="16"/>
      <c r="P547" s="16" t="str">
        <f t="shared" si="1"/>
        <v/>
      </c>
    </row>
    <row r="548">
      <c r="B548" s="16"/>
      <c r="C548" s="12"/>
      <c r="D548" s="12"/>
      <c r="E548" s="12"/>
      <c r="F548" s="25"/>
      <c r="G548" s="12"/>
      <c r="H548" s="12"/>
      <c r="I548" s="12"/>
      <c r="J548" s="16"/>
      <c r="N548" s="16"/>
      <c r="O548" s="16"/>
      <c r="P548" s="16" t="str">
        <f t="shared" si="1"/>
        <v/>
      </c>
    </row>
    <row r="549">
      <c r="B549" s="16"/>
      <c r="C549" s="12"/>
      <c r="D549" s="12"/>
      <c r="E549" s="12"/>
      <c r="F549" s="25"/>
      <c r="G549" s="12"/>
      <c r="H549" s="12"/>
      <c r="I549" s="12"/>
      <c r="J549" s="16"/>
      <c r="N549" s="16"/>
      <c r="O549" s="16"/>
      <c r="P549" s="16" t="str">
        <f t="shared" si="1"/>
        <v/>
      </c>
    </row>
    <row r="550">
      <c r="B550" s="16"/>
      <c r="C550" s="12"/>
      <c r="D550" s="12"/>
      <c r="E550" s="12"/>
      <c r="F550" s="25"/>
      <c r="G550" s="12"/>
      <c r="H550" s="12"/>
      <c r="I550" s="12"/>
      <c r="J550" s="16"/>
      <c r="N550" s="16"/>
      <c r="O550" s="16"/>
      <c r="P550" s="16" t="str">
        <f t="shared" si="1"/>
        <v/>
      </c>
    </row>
    <row r="551">
      <c r="B551" s="16"/>
      <c r="C551" s="12"/>
      <c r="D551" s="12"/>
      <c r="E551" s="12"/>
      <c r="F551" s="25"/>
      <c r="G551" s="12"/>
      <c r="H551" s="12"/>
      <c r="I551" s="12"/>
      <c r="J551" s="16"/>
      <c r="N551" s="16"/>
      <c r="O551" s="16"/>
      <c r="P551" s="16" t="str">
        <f t="shared" si="1"/>
        <v/>
      </c>
    </row>
    <row r="552">
      <c r="B552" s="16"/>
      <c r="C552" s="12"/>
      <c r="D552" s="12"/>
      <c r="E552" s="12"/>
      <c r="F552" s="25"/>
      <c r="G552" s="12"/>
      <c r="H552" s="12"/>
      <c r="I552" s="12"/>
      <c r="J552" s="16"/>
      <c r="N552" s="16"/>
      <c r="O552" s="16"/>
      <c r="P552" s="16" t="str">
        <f t="shared" si="1"/>
        <v/>
      </c>
    </row>
    <row r="553">
      <c r="B553" s="16"/>
      <c r="C553" s="12"/>
      <c r="D553" s="12"/>
      <c r="E553" s="12"/>
      <c r="F553" s="25"/>
      <c r="G553" s="12"/>
      <c r="H553" s="12"/>
      <c r="I553" s="12"/>
      <c r="J553" s="16"/>
      <c r="N553" s="16"/>
      <c r="O553" s="16"/>
      <c r="P553" s="16" t="str">
        <f t="shared" si="1"/>
        <v/>
      </c>
    </row>
    <row r="554">
      <c r="B554" s="16"/>
      <c r="C554" s="12"/>
      <c r="D554" s="12"/>
      <c r="E554" s="12"/>
      <c r="F554" s="25"/>
      <c r="G554" s="12"/>
      <c r="H554" s="12"/>
      <c r="I554" s="12"/>
      <c r="J554" s="16"/>
      <c r="N554" s="16"/>
      <c r="O554" s="16"/>
      <c r="P554" s="16" t="str">
        <f t="shared" si="1"/>
        <v/>
      </c>
    </row>
    <row r="555">
      <c r="B555" s="16"/>
      <c r="C555" s="12"/>
      <c r="D555" s="12"/>
      <c r="E555" s="12"/>
      <c r="F555" s="25"/>
      <c r="G555" s="12"/>
      <c r="H555" s="12"/>
      <c r="I555" s="12"/>
      <c r="J555" s="16"/>
      <c r="N555" s="16"/>
      <c r="O555" s="16"/>
      <c r="P555" s="16" t="str">
        <f t="shared" si="1"/>
        <v/>
      </c>
    </row>
    <row r="556">
      <c r="B556" s="16"/>
      <c r="C556" s="12"/>
      <c r="D556" s="12"/>
      <c r="E556" s="12"/>
      <c r="F556" s="25"/>
      <c r="G556" s="12"/>
      <c r="H556" s="12"/>
      <c r="I556" s="12"/>
      <c r="J556" s="16"/>
      <c r="N556" s="16"/>
      <c r="O556" s="16"/>
      <c r="P556" s="16" t="str">
        <f t="shared" si="1"/>
        <v/>
      </c>
    </row>
    <row r="557">
      <c r="B557" s="16"/>
      <c r="C557" s="12"/>
      <c r="D557" s="12"/>
      <c r="E557" s="12"/>
      <c r="F557" s="25"/>
      <c r="G557" s="12"/>
      <c r="H557" s="12"/>
      <c r="I557" s="12"/>
      <c r="J557" s="16"/>
      <c r="N557" s="16"/>
      <c r="O557" s="16"/>
      <c r="P557" s="16" t="str">
        <f t="shared" si="1"/>
        <v/>
      </c>
    </row>
    <row r="558">
      <c r="B558" s="16"/>
      <c r="C558" s="12"/>
      <c r="D558" s="12"/>
      <c r="E558" s="12"/>
      <c r="F558" s="25"/>
      <c r="G558" s="12"/>
      <c r="H558" s="12"/>
      <c r="I558" s="12"/>
      <c r="J558" s="16"/>
      <c r="N558" s="16"/>
      <c r="O558" s="16"/>
      <c r="P558" s="16" t="str">
        <f t="shared" si="1"/>
        <v/>
      </c>
    </row>
    <row r="559">
      <c r="B559" s="16"/>
      <c r="C559" s="12"/>
      <c r="D559" s="12"/>
      <c r="E559" s="12"/>
      <c r="F559" s="25"/>
      <c r="G559" s="12"/>
      <c r="H559" s="12"/>
      <c r="I559" s="12"/>
      <c r="J559" s="16"/>
      <c r="N559" s="16"/>
      <c r="O559" s="16"/>
      <c r="P559" s="16" t="str">
        <f t="shared" si="1"/>
        <v/>
      </c>
    </row>
    <row r="560">
      <c r="B560" s="16"/>
      <c r="C560" s="12"/>
      <c r="D560" s="12"/>
      <c r="E560" s="12"/>
      <c r="F560" s="25"/>
      <c r="G560" s="12"/>
      <c r="H560" s="12"/>
      <c r="I560" s="12"/>
      <c r="J560" s="16"/>
      <c r="N560" s="16"/>
      <c r="O560" s="16"/>
      <c r="P560" s="16" t="str">
        <f t="shared" si="1"/>
        <v/>
      </c>
    </row>
    <row r="561">
      <c r="B561" s="16"/>
      <c r="C561" s="12"/>
      <c r="D561" s="12"/>
      <c r="E561" s="12"/>
      <c r="F561" s="25"/>
      <c r="G561" s="12"/>
      <c r="H561" s="12"/>
      <c r="I561" s="12"/>
      <c r="J561" s="16"/>
      <c r="N561" s="16"/>
      <c r="O561" s="16"/>
      <c r="P561" s="16" t="str">
        <f t="shared" si="1"/>
        <v/>
      </c>
    </row>
    <row r="562">
      <c r="B562" s="16"/>
      <c r="C562" s="12"/>
      <c r="D562" s="12"/>
      <c r="E562" s="12"/>
      <c r="F562" s="25"/>
      <c r="G562" s="12"/>
      <c r="H562" s="12"/>
      <c r="I562" s="12"/>
      <c r="J562" s="16"/>
      <c r="N562" s="16"/>
      <c r="O562" s="16"/>
      <c r="P562" s="16" t="str">
        <f t="shared" si="1"/>
        <v/>
      </c>
    </row>
    <row r="563">
      <c r="B563" s="16"/>
      <c r="C563" s="12"/>
      <c r="D563" s="12"/>
      <c r="E563" s="12"/>
      <c r="F563" s="25"/>
      <c r="G563" s="12"/>
      <c r="H563" s="12"/>
      <c r="I563" s="12"/>
      <c r="J563" s="16"/>
      <c r="N563" s="16"/>
      <c r="O563" s="16"/>
      <c r="P563" s="16" t="str">
        <f t="shared" si="1"/>
        <v/>
      </c>
    </row>
    <row r="564">
      <c r="B564" s="16"/>
      <c r="C564" s="12"/>
      <c r="D564" s="12"/>
      <c r="E564" s="12"/>
      <c r="F564" s="25"/>
      <c r="G564" s="12"/>
      <c r="H564" s="12"/>
      <c r="I564" s="12"/>
      <c r="J564" s="16"/>
      <c r="N564" s="16"/>
      <c r="O564" s="16"/>
      <c r="P564" s="16" t="str">
        <f t="shared" si="1"/>
        <v/>
      </c>
    </row>
    <row r="565">
      <c r="B565" s="16"/>
      <c r="C565" s="12"/>
      <c r="D565" s="12"/>
      <c r="E565" s="12"/>
      <c r="F565" s="25"/>
      <c r="G565" s="12"/>
      <c r="H565" s="12"/>
      <c r="I565" s="12"/>
      <c r="J565" s="16"/>
      <c r="N565" s="16"/>
      <c r="O565" s="16"/>
      <c r="P565" s="16" t="str">
        <f t="shared" si="1"/>
        <v/>
      </c>
    </row>
    <row r="566">
      <c r="B566" s="16"/>
      <c r="C566" s="12"/>
      <c r="D566" s="12"/>
      <c r="E566" s="12"/>
      <c r="F566" s="25"/>
      <c r="G566" s="12"/>
      <c r="H566" s="12"/>
      <c r="I566" s="12"/>
      <c r="J566" s="16"/>
      <c r="N566" s="16"/>
      <c r="O566" s="16"/>
      <c r="P566" s="16" t="str">
        <f t="shared" si="1"/>
        <v/>
      </c>
    </row>
    <row r="567">
      <c r="B567" s="16"/>
      <c r="C567" s="12"/>
      <c r="D567" s="12"/>
      <c r="E567" s="12"/>
      <c r="F567" s="25"/>
      <c r="G567" s="12"/>
      <c r="H567" s="12"/>
      <c r="I567" s="12"/>
      <c r="J567" s="16"/>
      <c r="N567" s="16"/>
      <c r="O567" s="16"/>
      <c r="P567" s="16" t="str">
        <f t="shared" si="1"/>
        <v/>
      </c>
    </row>
    <row r="568">
      <c r="B568" s="16"/>
      <c r="C568" s="12"/>
      <c r="D568" s="12"/>
      <c r="E568" s="12"/>
      <c r="F568" s="25"/>
      <c r="G568" s="12"/>
      <c r="H568" s="12"/>
      <c r="I568" s="12"/>
      <c r="J568" s="16"/>
      <c r="N568" s="16"/>
      <c r="O568" s="16"/>
      <c r="P568" s="16" t="str">
        <f t="shared" si="1"/>
        <v/>
      </c>
    </row>
    <row r="569">
      <c r="B569" s="16"/>
      <c r="C569" s="12"/>
      <c r="D569" s="12"/>
      <c r="E569" s="12"/>
      <c r="F569" s="25"/>
      <c r="G569" s="12"/>
      <c r="H569" s="12"/>
      <c r="I569" s="12"/>
      <c r="J569" s="16"/>
      <c r="N569" s="16"/>
      <c r="O569" s="16"/>
      <c r="P569" s="16" t="str">
        <f t="shared" si="1"/>
        <v/>
      </c>
    </row>
    <row r="570">
      <c r="B570" s="16"/>
      <c r="C570" s="12"/>
      <c r="D570" s="12"/>
      <c r="E570" s="12"/>
      <c r="F570" s="25"/>
      <c r="G570" s="12"/>
      <c r="H570" s="12"/>
      <c r="I570" s="12"/>
      <c r="J570" s="16"/>
      <c r="N570" s="16"/>
      <c r="O570" s="16"/>
      <c r="P570" s="16" t="str">
        <f t="shared" si="1"/>
        <v/>
      </c>
    </row>
    <row r="571">
      <c r="B571" s="16"/>
      <c r="C571" s="12"/>
      <c r="D571" s="12"/>
      <c r="E571" s="12"/>
      <c r="F571" s="25"/>
      <c r="G571" s="12"/>
      <c r="H571" s="12"/>
      <c r="I571" s="12"/>
      <c r="J571" s="16"/>
      <c r="N571" s="16"/>
      <c r="O571" s="16"/>
      <c r="P571" s="16" t="str">
        <f t="shared" si="1"/>
        <v/>
      </c>
    </row>
    <row r="572">
      <c r="B572" s="16"/>
      <c r="C572" s="12"/>
      <c r="D572" s="12"/>
      <c r="E572" s="12"/>
      <c r="F572" s="25"/>
      <c r="G572" s="12"/>
      <c r="H572" s="12"/>
      <c r="I572" s="12"/>
      <c r="J572" s="16"/>
      <c r="N572" s="16"/>
      <c r="O572" s="16"/>
      <c r="P572" s="16" t="str">
        <f t="shared" si="1"/>
        <v/>
      </c>
    </row>
    <row r="573">
      <c r="B573" s="16"/>
      <c r="C573" s="12"/>
      <c r="D573" s="12"/>
      <c r="E573" s="12"/>
      <c r="F573" s="25"/>
      <c r="G573" s="12"/>
      <c r="H573" s="12"/>
      <c r="I573" s="12"/>
      <c r="J573" s="16"/>
      <c r="N573" s="16"/>
      <c r="O573" s="16"/>
      <c r="P573" s="16" t="str">
        <f t="shared" si="1"/>
        <v/>
      </c>
    </row>
    <row r="574">
      <c r="B574" s="16"/>
      <c r="C574" s="12"/>
      <c r="D574" s="12"/>
      <c r="E574" s="12"/>
      <c r="F574" s="25"/>
      <c r="G574" s="12"/>
      <c r="H574" s="12"/>
      <c r="I574" s="12"/>
      <c r="J574" s="16"/>
      <c r="N574" s="16"/>
      <c r="O574" s="16"/>
      <c r="P574" s="16" t="str">
        <f t="shared" si="1"/>
        <v/>
      </c>
    </row>
    <row r="575">
      <c r="B575" s="16"/>
      <c r="C575" s="12"/>
      <c r="D575" s="12"/>
      <c r="E575" s="12"/>
      <c r="F575" s="25"/>
      <c r="G575" s="12"/>
      <c r="H575" s="12"/>
      <c r="I575" s="12"/>
      <c r="J575" s="16"/>
      <c r="N575" s="16"/>
      <c r="O575" s="16"/>
      <c r="P575" s="16" t="str">
        <f t="shared" si="1"/>
        <v/>
      </c>
    </row>
    <row r="576">
      <c r="B576" s="16"/>
      <c r="C576" s="12"/>
      <c r="D576" s="12"/>
      <c r="E576" s="12"/>
      <c r="F576" s="25"/>
      <c r="G576" s="12"/>
      <c r="H576" s="12"/>
      <c r="I576" s="12"/>
      <c r="J576" s="16"/>
      <c r="N576" s="16"/>
      <c r="O576" s="16"/>
      <c r="P576" s="16" t="str">
        <f t="shared" si="1"/>
        <v/>
      </c>
    </row>
    <row r="577">
      <c r="B577" s="16"/>
      <c r="C577" s="12"/>
      <c r="D577" s="12"/>
      <c r="E577" s="12"/>
      <c r="F577" s="25"/>
      <c r="G577" s="12"/>
      <c r="H577" s="12"/>
      <c r="I577" s="12"/>
      <c r="J577" s="16"/>
      <c r="N577" s="16"/>
      <c r="O577" s="16"/>
      <c r="P577" s="16" t="str">
        <f t="shared" si="1"/>
        <v/>
      </c>
    </row>
    <row r="578">
      <c r="B578" s="16"/>
      <c r="C578" s="12"/>
      <c r="D578" s="12"/>
      <c r="E578" s="12"/>
      <c r="F578" s="25"/>
      <c r="G578" s="12"/>
      <c r="H578" s="12"/>
      <c r="I578" s="12"/>
      <c r="J578" s="16"/>
      <c r="N578" s="16"/>
      <c r="O578" s="16"/>
      <c r="P578" s="16" t="str">
        <f t="shared" si="1"/>
        <v/>
      </c>
    </row>
    <row r="579">
      <c r="B579" s="16"/>
      <c r="C579" s="12"/>
      <c r="D579" s="12"/>
      <c r="E579" s="12"/>
      <c r="F579" s="25"/>
      <c r="G579" s="12"/>
      <c r="H579" s="12"/>
      <c r="I579" s="12"/>
      <c r="J579" s="16"/>
      <c r="N579" s="16"/>
      <c r="O579" s="16"/>
      <c r="P579" s="16" t="str">
        <f t="shared" si="1"/>
        <v/>
      </c>
    </row>
    <row r="580">
      <c r="B580" s="16"/>
      <c r="C580" s="12"/>
      <c r="D580" s="12"/>
      <c r="E580" s="12"/>
      <c r="F580" s="25"/>
      <c r="G580" s="12"/>
      <c r="H580" s="12"/>
      <c r="I580" s="12"/>
      <c r="J580" s="16"/>
      <c r="N580" s="16"/>
      <c r="O580" s="16"/>
      <c r="P580" s="16" t="str">
        <f t="shared" si="1"/>
        <v/>
      </c>
    </row>
    <row r="581">
      <c r="B581" s="16"/>
      <c r="C581" s="12"/>
      <c r="D581" s="12"/>
      <c r="E581" s="12"/>
      <c r="F581" s="25"/>
      <c r="G581" s="12"/>
      <c r="H581" s="12"/>
      <c r="I581" s="12"/>
      <c r="J581" s="16"/>
      <c r="N581" s="16"/>
      <c r="O581" s="16"/>
      <c r="P581" s="16" t="str">
        <f t="shared" si="1"/>
        <v/>
      </c>
    </row>
    <row r="582">
      <c r="B582" s="16"/>
      <c r="C582" s="12"/>
      <c r="D582" s="12"/>
      <c r="E582" s="12"/>
      <c r="F582" s="25"/>
      <c r="G582" s="12"/>
      <c r="H582" s="12"/>
      <c r="I582" s="12"/>
      <c r="J582" s="16"/>
      <c r="N582" s="16"/>
      <c r="O582" s="16"/>
      <c r="P582" s="16" t="str">
        <f t="shared" si="1"/>
        <v/>
      </c>
    </row>
    <row r="583">
      <c r="B583" s="16"/>
      <c r="C583" s="12"/>
      <c r="D583" s="12"/>
      <c r="E583" s="12"/>
      <c r="F583" s="25"/>
      <c r="G583" s="12"/>
      <c r="H583" s="12"/>
      <c r="I583" s="12"/>
      <c r="J583" s="16"/>
      <c r="N583" s="16"/>
      <c r="O583" s="16"/>
      <c r="P583" s="16" t="str">
        <f t="shared" si="1"/>
        <v/>
      </c>
    </row>
    <row r="584">
      <c r="B584" s="16"/>
      <c r="C584" s="12"/>
      <c r="D584" s="12"/>
      <c r="E584" s="12"/>
      <c r="F584" s="25"/>
      <c r="G584" s="12"/>
      <c r="H584" s="12"/>
      <c r="I584" s="12"/>
      <c r="J584" s="16"/>
      <c r="N584" s="16"/>
      <c r="O584" s="16"/>
      <c r="P584" s="16" t="str">
        <f t="shared" si="1"/>
        <v/>
      </c>
    </row>
    <row r="585">
      <c r="B585" s="16"/>
      <c r="C585" s="12"/>
      <c r="D585" s="12"/>
      <c r="E585" s="12"/>
      <c r="F585" s="25"/>
      <c r="G585" s="12"/>
      <c r="H585" s="12"/>
      <c r="I585" s="12"/>
      <c r="J585" s="16"/>
      <c r="N585" s="16"/>
      <c r="O585" s="16"/>
      <c r="P585" s="16" t="str">
        <f t="shared" si="1"/>
        <v/>
      </c>
    </row>
    <row r="586">
      <c r="B586" s="16"/>
      <c r="C586" s="12"/>
      <c r="D586" s="12"/>
      <c r="E586" s="12"/>
      <c r="F586" s="25"/>
      <c r="G586" s="12"/>
      <c r="H586" s="12"/>
      <c r="I586" s="12"/>
      <c r="J586" s="16"/>
      <c r="N586" s="16"/>
      <c r="O586" s="16"/>
      <c r="P586" s="16" t="str">
        <f t="shared" si="1"/>
        <v/>
      </c>
    </row>
    <row r="587">
      <c r="B587" s="16"/>
      <c r="C587" s="12"/>
      <c r="D587" s="12"/>
      <c r="E587" s="12"/>
      <c r="F587" s="25"/>
      <c r="G587" s="12"/>
      <c r="H587" s="12"/>
      <c r="I587" s="12"/>
      <c r="J587" s="16"/>
      <c r="N587" s="16"/>
      <c r="O587" s="16"/>
      <c r="P587" s="16" t="str">
        <f t="shared" si="1"/>
        <v/>
      </c>
    </row>
    <row r="588">
      <c r="B588" s="16"/>
      <c r="C588" s="12"/>
      <c r="D588" s="12"/>
      <c r="E588" s="12"/>
      <c r="F588" s="25"/>
      <c r="G588" s="12"/>
      <c r="H588" s="12"/>
      <c r="I588" s="12"/>
      <c r="J588" s="16"/>
      <c r="N588" s="16"/>
      <c r="O588" s="16"/>
      <c r="P588" s="16" t="str">
        <f t="shared" si="1"/>
        <v/>
      </c>
    </row>
    <row r="589">
      <c r="B589" s="16"/>
      <c r="C589" s="12"/>
      <c r="D589" s="12"/>
      <c r="E589" s="12"/>
      <c r="F589" s="25"/>
      <c r="G589" s="12"/>
      <c r="H589" s="12"/>
      <c r="I589" s="12"/>
      <c r="J589" s="16"/>
      <c r="N589" s="16"/>
      <c r="O589" s="16"/>
      <c r="P589" s="16" t="str">
        <f t="shared" si="1"/>
        <v/>
      </c>
    </row>
    <row r="590">
      <c r="B590" s="16"/>
      <c r="C590" s="12"/>
      <c r="D590" s="12"/>
      <c r="E590" s="12"/>
      <c r="F590" s="25"/>
      <c r="G590" s="12"/>
      <c r="H590" s="12"/>
      <c r="I590" s="12"/>
      <c r="J590" s="16"/>
      <c r="N590" s="16"/>
      <c r="O590" s="16"/>
      <c r="P590" s="16" t="str">
        <f t="shared" si="1"/>
        <v/>
      </c>
    </row>
    <row r="591">
      <c r="B591" s="16"/>
      <c r="C591" s="12"/>
      <c r="D591" s="12"/>
      <c r="E591" s="12"/>
      <c r="F591" s="25"/>
      <c r="G591" s="12"/>
      <c r="H591" s="12"/>
      <c r="I591" s="12"/>
      <c r="J591" s="16"/>
      <c r="N591" s="16"/>
      <c r="O591" s="16"/>
      <c r="P591" s="16" t="str">
        <f t="shared" si="1"/>
        <v/>
      </c>
    </row>
    <row r="592">
      <c r="B592" s="16"/>
      <c r="C592" s="12"/>
      <c r="D592" s="12"/>
      <c r="E592" s="12"/>
      <c r="F592" s="25"/>
      <c r="G592" s="12"/>
      <c r="H592" s="12"/>
      <c r="I592" s="12"/>
      <c r="J592" s="16"/>
      <c r="N592" s="16"/>
      <c r="O592" s="16"/>
      <c r="P592" s="16" t="str">
        <f t="shared" si="1"/>
        <v/>
      </c>
    </row>
    <row r="593">
      <c r="B593" s="16"/>
      <c r="C593" s="12"/>
      <c r="D593" s="12"/>
      <c r="E593" s="12"/>
      <c r="F593" s="25"/>
      <c r="G593" s="12"/>
      <c r="H593" s="12"/>
      <c r="I593" s="12"/>
      <c r="J593" s="16"/>
      <c r="N593" s="16"/>
      <c r="O593" s="16"/>
      <c r="P593" s="16" t="str">
        <f t="shared" si="1"/>
        <v/>
      </c>
    </row>
    <row r="594">
      <c r="B594" s="16"/>
      <c r="C594" s="12"/>
      <c r="D594" s="12"/>
      <c r="E594" s="12"/>
      <c r="F594" s="25"/>
      <c r="G594" s="12"/>
      <c r="H594" s="12"/>
      <c r="I594" s="12"/>
      <c r="J594" s="16"/>
      <c r="N594" s="16"/>
      <c r="O594" s="16"/>
      <c r="P594" s="16" t="str">
        <f t="shared" si="1"/>
        <v/>
      </c>
    </row>
    <row r="595">
      <c r="B595" s="16"/>
      <c r="C595" s="12"/>
      <c r="D595" s="12"/>
      <c r="E595" s="12"/>
      <c r="F595" s="25"/>
      <c r="G595" s="12"/>
      <c r="H595" s="12"/>
      <c r="I595" s="12"/>
      <c r="J595" s="16"/>
      <c r="N595" s="16"/>
      <c r="O595" s="16"/>
      <c r="P595" s="16" t="str">
        <f t="shared" si="1"/>
        <v/>
      </c>
    </row>
    <row r="596">
      <c r="B596" s="16"/>
      <c r="C596" s="12"/>
      <c r="D596" s="12"/>
      <c r="E596" s="12"/>
      <c r="F596" s="25"/>
      <c r="G596" s="12"/>
      <c r="H596" s="12"/>
      <c r="I596" s="12"/>
      <c r="J596" s="16"/>
      <c r="N596" s="16"/>
      <c r="O596" s="16"/>
      <c r="P596" s="16" t="str">
        <f t="shared" si="1"/>
        <v/>
      </c>
    </row>
    <row r="597">
      <c r="B597" s="16"/>
      <c r="C597" s="12"/>
      <c r="D597" s="12"/>
      <c r="E597" s="12"/>
      <c r="F597" s="25"/>
      <c r="G597" s="12"/>
      <c r="H597" s="12"/>
      <c r="I597" s="12"/>
      <c r="J597" s="16"/>
      <c r="N597" s="16"/>
      <c r="O597" s="16"/>
      <c r="P597" s="16" t="str">
        <f t="shared" si="1"/>
        <v/>
      </c>
    </row>
    <row r="598">
      <c r="B598" s="16"/>
      <c r="C598" s="12"/>
      <c r="D598" s="12"/>
      <c r="E598" s="12"/>
      <c r="F598" s="25"/>
      <c r="G598" s="12"/>
      <c r="H598" s="12"/>
      <c r="I598" s="12"/>
      <c r="J598" s="16"/>
      <c r="N598" s="16"/>
      <c r="O598" s="16"/>
      <c r="P598" s="16" t="str">
        <f t="shared" si="1"/>
        <v/>
      </c>
    </row>
    <row r="599">
      <c r="B599" s="16"/>
      <c r="C599" s="12"/>
      <c r="D599" s="12"/>
      <c r="E599" s="12"/>
      <c r="F599" s="25"/>
      <c r="G599" s="12"/>
      <c r="H599" s="12"/>
      <c r="I599" s="12"/>
      <c r="J599" s="16"/>
      <c r="N599" s="16"/>
      <c r="O599" s="16"/>
      <c r="P599" s="16" t="str">
        <f t="shared" si="1"/>
        <v/>
      </c>
    </row>
    <row r="600">
      <c r="B600" s="16"/>
      <c r="C600" s="12"/>
      <c r="D600" s="12"/>
      <c r="E600" s="12"/>
      <c r="F600" s="25"/>
      <c r="G600" s="12"/>
      <c r="H600" s="12"/>
      <c r="I600" s="12"/>
      <c r="J600" s="16"/>
      <c r="N600" s="16"/>
      <c r="O600" s="16"/>
      <c r="P600" s="16" t="str">
        <f t="shared" si="1"/>
        <v/>
      </c>
    </row>
    <row r="601">
      <c r="B601" s="16"/>
      <c r="C601" s="12"/>
      <c r="D601" s="12"/>
      <c r="E601" s="12"/>
      <c r="F601" s="25"/>
      <c r="G601" s="12"/>
      <c r="H601" s="12"/>
      <c r="I601" s="12"/>
      <c r="J601" s="16"/>
      <c r="N601" s="16"/>
      <c r="O601" s="16"/>
      <c r="P601" s="16" t="str">
        <f t="shared" si="1"/>
        <v/>
      </c>
    </row>
    <row r="602">
      <c r="B602" s="16"/>
      <c r="C602" s="12"/>
      <c r="D602" s="12"/>
      <c r="E602" s="12"/>
      <c r="F602" s="25"/>
      <c r="G602" s="12"/>
      <c r="H602" s="12"/>
      <c r="I602" s="12"/>
      <c r="J602" s="16"/>
      <c r="N602" s="16"/>
      <c r="O602" s="16"/>
      <c r="P602" s="16" t="str">
        <f t="shared" si="1"/>
        <v/>
      </c>
    </row>
    <row r="603">
      <c r="B603" s="16"/>
      <c r="C603" s="12"/>
      <c r="D603" s="12"/>
      <c r="E603" s="12"/>
      <c r="F603" s="25"/>
      <c r="G603" s="12"/>
      <c r="H603" s="12"/>
      <c r="I603" s="12"/>
      <c r="J603" s="16"/>
      <c r="N603" s="16"/>
      <c r="O603" s="16"/>
      <c r="P603" s="16" t="str">
        <f t="shared" si="1"/>
        <v/>
      </c>
    </row>
    <row r="604">
      <c r="B604" s="16"/>
      <c r="C604" s="12"/>
      <c r="D604" s="12"/>
      <c r="E604" s="12"/>
      <c r="F604" s="25"/>
      <c r="G604" s="12"/>
      <c r="H604" s="12"/>
      <c r="I604" s="12"/>
      <c r="J604" s="16"/>
      <c r="N604" s="16"/>
      <c r="O604" s="16"/>
      <c r="P604" s="16" t="str">
        <f t="shared" si="1"/>
        <v/>
      </c>
    </row>
    <row r="605">
      <c r="B605" s="16"/>
      <c r="C605" s="12"/>
      <c r="D605" s="12"/>
      <c r="E605" s="12"/>
      <c r="F605" s="25"/>
      <c r="G605" s="12"/>
      <c r="H605" s="12"/>
      <c r="I605" s="12"/>
      <c r="J605" s="16"/>
      <c r="N605" s="16"/>
      <c r="O605" s="16"/>
      <c r="P605" s="16" t="str">
        <f t="shared" si="1"/>
        <v/>
      </c>
    </row>
    <row r="606">
      <c r="B606" s="16"/>
      <c r="C606" s="12"/>
      <c r="D606" s="12"/>
      <c r="E606" s="12"/>
      <c r="F606" s="25"/>
      <c r="G606" s="12"/>
      <c r="H606" s="12"/>
      <c r="I606" s="12"/>
      <c r="J606" s="16"/>
      <c r="N606" s="16"/>
      <c r="O606" s="16"/>
      <c r="P606" s="16" t="str">
        <f t="shared" si="1"/>
        <v/>
      </c>
    </row>
    <row r="607">
      <c r="B607" s="16"/>
      <c r="C607" s="12"/>
      <c r="D607" s="12"/>
      <c r="E607" s="12"/>
      <c r="F607" s="25"/>
      <c r="G607" s="12"/>
      <c r="H607" s="12"/>
      <c r="I607" s="12"/>
      <c r="J607" s="16"/>
      <c r="N607" s="16"/>
      <c r="O607" s="16"/>
      <c r="P607" s="16" t="str">
        <f t="shared" si="1"/>
        <v/>
      </c>
    </row>
    <row r="608">
      <c r="B608" s="16"/>
      <c r="C608" s="12"/>
      <c r="D608" s="12"/>
      <c r="E608" s="12"/>
      <c r="F608" s="25"/>
      <c r="G608" s="12"/>
      <c r="H608" s="12"/>
      <c r="I608" s="12"/>
      <c r="J608" s="16"/>
      <c r="N608" s="16"/>
      <c r="O608" s="16"/>
      <c r="P608" s="16" t="str">
        <f t="shared" si="1"/>
        <v/>
      </c>
    </row>
    <row r="609">
      <c r="B609" s="16"/>
      <c r="C609" s="12"/>
      <c r="D609" s="12"/>
      <c r="E609" s="12"/>
      <c r="F609" s="25"/>
      <c r="G609" s="12"/>
      <c r="H609" s="12"/>
      <c r="I609" s="12"/>
      <c r="J609" s="16"/>
      <c r="N609" s="16"/>
      <c r="O609" s="16"/>
      <c r="P609" s="16" t="str">
        <f t="shared" si="1"/>
        <v/>
      </c>
    </row>
    <row r="610">
      <c r="B610" s="16"/>
      <c r="C610" s="12"/>
      <c r="D610" s="12"/>
      <c r="E610" s="12"/>
      <c r="F610" s="25"/>
      <c r="G610" s="12"/>
      <c r="H610" s="12"/>
      <c r="I610" s="12"/>
      <c r="J610" s="16"/>
      <c r="N610" s="16"/>
      <c r="O610" s="16"/>
      <c r="P610" s="16" t="str">
        <f t="shared" si="1"/>
        <v/>
      </c>
    </row>
    <row r="611">
      <c r="B611" s="16"/>
      <c r="C611" s="12"/>
      <c r="D611" s="12"/>
      <c r="E611" s="12"/>
      <c r="F611" s="25"/>
      <c r="G611" s="12"/>
      <c r="H611" s="12"/>
      <c r="I611" s="12"/>
      <c r="J611" s="16"/>
      <c r="N611" s="16"/>
      <c r="O611" s="16"/>
      <c r="P611" s="16" t="str">
        <f t="shared" si="1"/>
        <v/>
      </c>
    </row>
    <row r="612">
      <c r="B612" s="16"/>
      <c r="C612" s="12"/>
      <c r="D612" s="12"/>
      <c r="E612" s="12"/>
      <c r="F612" s="25"/>
      <c r="G612" s="12"/>
      <c r="H612" s="12"/>
      <c r="I612" s="12"/>
      <c r="J612" s="16"/>
      <c r="N612" s="16"/>
      <c r="O612" s="16"/>
      <c r="P612" s="16" t="str">
        <f t="shared" si="1"/>
        <v/>
      </c>
    </row>
    <row r="613">
      <c r="B613" s="16"/>
      <c r="C613" s="12"/>
      <c r="D613" s="12"/>
      <c r="E613" s="12"/>
      <c r="F613" s="25"/>
      <c r="G613" s="12"/>
      <c r="H613" s="12"/>
      <c r="I613" s="12"/>
      <c r="J613" s="16"/>
      <c r="N613" s="16"/>
      <c r="O613" s="16"/>
      <c r="P613" s="16" t="str">
        <f t="shared" si="1"/>
        <v/>
      </c>
    </row>
    <row r="614">
      <c r="B614" s="16"/>
      <c r="C614" s="12"/>
      <c r="D614" s="12"/>
      <c r="E614" s="12"/>
      <c r="F614" s="25"/>
      <c r="G614" s="12"/>
      <c r="H614" s="12"/>
      <c r="I614" s="12"/>
      <c r="J614" s="16"/>
      <c r="N614" s="16"/>
      <c r="O614" s="16"/>
      <c r="P614" s="16" t="str">
        <f t="shared" si="1"/>
        <v/>
      </c>
    </row>
    <row r="615">
      <c r="B615" s="16"/>
      <c r="C615" s="12"/>
      <c r="D615" s="12"/>
      <c r="E615" s="12"/>
      <c r="F615" s="25"/>
      <c r="G615" s="12"/>
      <c r="H615" s="12"/>
      <c r="I615" s="12"/>
      <c r="J615" s="16"/>
      <c r="N615" s="16"/>
      <c r="O615" s="16"/>
      <c r="P615" s="16" t="str">
        <f t="shared" si="1"/>
        <v/>
      </c>
    </row>
    <row r="616">
      <c r="B616" s="16"/>
      <c r="C616" s="12"/>
      <c r="D616" s="12"/>
      <c r="E616" s="12"/>
      <c r="F616" s="25"/>
      <c r="G616" s="12"/>
      <c r="H616" s="12"/>
      <c r="I616" s="12"/>
      <c r="J616" s="16"/>
      <c r="N616" s="16"/>
      <c r="O616" s="16"/>
      <c r="P616" s="16" t="str">
        <f t="shared" si="1"/>
        <v/>
      </c>
    </row>
    <row r="617">
      <c r="B617" s="16"/>
      <c r="C617" s="12"/>
      <c r="D617" s="12"/>
      <c r="E617" s="12"/>
      <c r="F617" s="25"/>
      <c r="G617" s="12"/>
      <c r="H617" s="12"/>
      <c r="I617" s="12"/>
      <c r="J617" s="16"/>
      <c r="N617" s="16"/>
      <c r="O617" s="16"/>
      <c r="P617" s="16" t="str">
        <f t="shared" si="1"/>
        <v/>
      </c>
    </row>
    <row r="618">
      <c r="B618" s="16"/>
      <c r="C618" s="12"/>
      <c r="D618" s="12"/>
      <c r="E618" s="12"/>
      <c r="F618" s="25"/>
      <c r="G618" s="12"/>
      <c r="H618" s="12"/>
      <c r="I618" s="12"/>
      <c r="J618" s="16"/>
      <c r="N618" s="16"/>
      <c r="O618" s="16"/>
      <c r="P618" s="16" t="str">
        <f t="shared" si="1"/>
        <v/>
      </c>
    </row>
    <row r="619">
      <c r="B619" s="16"/>
      <c r="C619" s="12"/>
      <c r="D619" s="12"/>
      <c r="E619" s="12"/>
      <c r="F619" s="25"/>
      <c r="G619" s="12"/>
      <c r="H619" s="12"/>
      <c r="I619" s="12"/>
      <c r="J619" s="16"/>
      <c r="N619" s="16"/>
      <c r="O619" s="16"/>
      <c r="P619" s="16" t="str">
        <f t="shared" si="1"/>
        <v/>
      </c>
    </row>
    <row r="620">
      <c r="B620" s="16"/>
      <c r="C620" s="12"/>
      <c r="D620" s="12"/>
      <c r="E620" s="12"/>
      <c r="F620" s="25"/>
      <c r="G620" s="12"/>
      <c r="H620" s="12"/>
      <c r="I620" s="12"/>
      <c r="J620" s="16"/>
      <c r="N620" s="16"/>
      <c r="O620" s="16"/>
      <c r="P620" s="16" t="str">
        <f t="shared" si="1"/>
        <v/>
      </c>
    </row>
    <row r="621">
      <c r="B621" s="16"/>
      <c r="C621" s="12"/>
      <c r="D621" s="12"/>
      <c r="E621" s="12"/>
      <c r="F621" s="25"/>
      <c r="G621" s="12"/>
      <c r="H621" s="12"/>
      <c r="I621" s="12"/>
      <c r="J621" s="16"/>
      <c r="N621" s="16"/>
      <c r="O621" s="16"/>
      <c r="P621" s="16" t="str">
        <f t="shared" si="1"/>
        <v/>
      </c>
    </row>
    <row r="622">
      <c r="B622" s="16"/>
      <c r="C622" s="12"/>
      <c r="D622" s="12"/>
      <c r="E622" s="12"/>
      <c r="F622" s="25"/>
      <c r="G622" s="12"/>
      <c r="H622" s="12"/>
      <c r="I622" s="12"/>
      <c r="J622" s="16"/>
      <c r="N622" s="16"/>
      <c r="O622" s="16"/>
      <c r="P622" s="16" t="str">
        <f t="shared" si="1"/>
        <v/>
      </c>
    </row>
    <row r="623">
      <c r="B623" s="16"/>
      <c r="C623" s="12"/>
      <c r="D623" s="12"/>
      <c r="E623" s="12"/>
      <c r="F623" s="25"/>
      <c r="G623" s="12"/>
      <c r="H623" s="12"/>
      <c r="I623" s="12"/>
      <c r="J623" s="16"/>
      <c r="N623" s="16"/>
      <c r="O623" s="16"/>
      <c r="P623" s="16" t="str">
        <f t="shared" si="1"/>
        <v/>
      </c>
    </row>
    <row r="624">
      <c r="B624" s="16"/>
      <c r="C624" s="12"/>
      <c r="D624" s="12"/>
      <c r="E624" s="12"/>
      <c r="F624" s="25"/>
      <c r="G624" s="12"/>
      <c r="H624" s="12"/>
      <c r="I624" s="12"/>
      <c r="J624" s="16"/>
      <c r="N624" s="16"/>
      <c r="O624" s="16"/>
      <c r="P624" s="16" t="str">
        <f t="shared" si="1"/>
        <v/>
      </c>
    </row>
    <row r="625">
      <c r="B625" s="16"/>
      <c r="C625" s="12"/>
      <c r="D625" s="12"/>
      <c r="E625" s="12"/>
      <c r="F625" s="25"/>
      <c r="G625" s="12"/>
      <c r="H625" s="12"/>
      <c r="I625" s="12"/>
      <c r="J625" s="16"/>
      <c r="N625" s="16"/>
      <c r="O625" s="16"/>
      <c r="P625" s="16" t="str">
        <f t="shared" si="1"/>
        <v/>
      </c>
    </row>
    <row r="626">
      <c r="B626" s="16"/>
      <c r="C626" s="12"/>
      <c r="D626" s="12"/>
      <c r="E626" s="12"/>
      <c r="F626" s="25"/>
      <c r="G626" s="12"/>
      <c r="H626" s="12"/>
      <c r="I626" s="12"/>
      <c r="J626" s="16"/>
      <c r="N626" s="16"/>
      <c r="O626" s="16"/>
      <c r="P626" s="16" t="str">
        <f t="shared" si="1"/>
        <v/>
      </c>
    </row>
    <row r="627">
      <c r="B627" s="16"/>
      <c r="C627" s="12"/>
      <c r="D627" s="12"/>
      <c r="E627" s="12"/>
      <c r="F627" s="25"/>
      <c r="G627" s="12"/>
      <c r="H627" s="12"/>
      <c r="I627" s="12"/>
      <c r="J627" s="16"/>
      <c r="N627" s="16"/>
      <c r="O627" s="16"/>
      <c r="P627" s="16" t="str">
        <f t="shared" si="1"/>
        <v/>
      </c>
    </row>
    <row r="628">
      <c r="B628" s="16"/>
      <c r="C628" s="12"/>
      <c r="D628" s="12"/>
      <c r="E628" s="12"/>
      <c r="F628" s="25"/>
      <c r="G628" s="12"/>
      <c r="H628" s="12"/>
      <c r="I628" s="12"/>
      <c r="J628" s="16"/>
      <c r="N628" s="16"/>
      <c r="O628" s="16"/>
      <c r="P628" s="16" t="str">
        <f t="shared" si="1"/>
        <v/>
      </c>
    </row>
    <row r="629">
      <c r="B629" s="16"/>
      <c r="C629" s="12"/>
      <c r="D629" s="12"/>
      <c r="E629" s="12"/>
      <c r="F629" s="25"/>
      <c r="G629" s="12"/>
      <c r="H629" s="12"/>
      <c r="I629" s="12"/>
      <c r="J629" s="16"/>
      <c r="N629" s="16"/>
      <c r="O629" s="16"/>
      <c r="P629" s="16" t="str">
        <f t="shared" si="1"/>
        <v/>
      </c>
    </row>
    <row r="630">
      <c r="B630" s="16"/>
      <c r="C630" s="12"/>
      <c r="D630" s="12"/>
      <c r="E630" s="12"/>
      <c r="F630" s="25"/>
      <c r="G630" s="12"/>
      <c r="H630" s="12"/>
      <c r="I630" s="12"/>
      <c r="J630" s="16"/>
      <c r="N630" s="16"/>
      <c r="O630" s="16"/>
      <c r="P630" s="16" t="str">
        <f t="shared" si="1"/>
        <v/>
      </c>
    </row>
    <row r="631">
      <c r="B631" s="16"/>
      <c r="C631" s="12"/>
      <c r="D631" s="12"/>
      <c r="E631" s="12"/>
      <c r="F631" s="25"/>
      <c r="G631" s="12"/>
      <c r="H631" s="12"/>
      <c r="I631" s="12"/>
      <c r="J631" s="16"/>
      <c r="N631" s="16"/>
      <c r="O631" s="16"/>
      <c r="P631" s="16" t="str">
        <f t="shared" si="1"/>
        <v/>
      </c>
    </row>
    <row r="632">
      <c r="B632" s="16"/>
      <c r="C632" s="12"/>
      <c r="D632" s="12"/>
      <c r="E632" s="12"/>
      <c r="F632" s="25"/>
      <c r="G632" s="12"/>
      <c r="H632" s="12"/>
      <c r="I632" s="12"/>
      <c r="J632" s="16"/>
      <c r="N632" s="16"/>
      <c r="O632" s="16"/>
      <c r="P632" s="16" t="str">
        <f t="shared" si="1"/>
        <v/>
      </c>
    </row>
    <row r="633">
      <c r="B633" s="16"/>
      <c r="C633" s="12"/>
      <c r="D633" s="12"/>
      <c r="E633" s="12"/>
      <c r="F633" s="25"/>
      <c r="G633" s="12"/>
      <c r="H633" s="12"/>
      <c r="I633" s="12"/>
      <c r="J633" s="16"/>
      <c r="N633" s="16"/>
      <c r="O633" s="16"/>
      <c r="P633" s="16" t="str">
        <f t="shared" si="1"/>
        <v/>
      </c>
    </row>
    <row r="634">
      <c r="B634" s="16"/>
      <c r="C634" s="12"/>
      <c r="D634" s="12"/>
      <c r="E634" s="12"/>
      <c r="F634" s="25"/>
      <c r="G634" s="12"/>
      <c r="H634" s="12"/>
      <c r="I634" s="12"/>
      <c r="J634" s="16"/>
      <c r="N634" s="16"/>
      <c r="O634" s="16"/>
      <c r="P634" s="16" t="str">
        <f t="shared" si="1"/>
        <v/>
      </c>
    </row>
    <row r="635">
      <c r="B635" s="16"/>
      <c r="C635" s="12"/>
      <c r="D635" s="12"/>
      <c r="E635" s="12"/>
      <c r="F635" s="25"/>
      <c r="G635" s="12"/>
      <c r="H635" s="12"/>
      <c r="I635" s="12"/>
      <c r="J635" s="16"/>
      <c r="N635" s="16"/>
      <c r="O635" s="16"/>
      <c r="P635" s="16" t="str">
        <f t="shared" si="1"/>
        <v/>
      </c>
    </row>
    <row r="636">
      <c r="B636" s="16"/>
      <c r="C636" s="12"/>
      <c r="D636" s="12"/>
      <c r="E636" s="12"/>
      <c r="F636" s="25"/>
      <c r="G636" s="12"/>
      <c r="H636" s="12"/>
      <c r="I636" s="12"/>
      <c r="J636" s="16"/>
      <c r="N636" s="16"/>
      <c r="O636" s="16"/>
      <c r="P636" s="16" t="str">
        <f t="shared" si="1"/>
        <v/>
      </c>
    </row>
    <row r="637">
      <c r="B637" s="16"/>
      <c r="C637" s="12"/>
      <c r="D637" s="12"/>
      <c r="E637" s="12"/>
      <c r="F637" s="25"/>
      <c r="G637" s="12"/>
      <c r="H637" s="12"/>
      <c r="I637" s="12"/>
      <c r="J637" s="16"/>
      <c r="N637" s="16"/>
      <c r="O637" s="16"/>
      <c r="P637" s="16" t="str">
        <f t="shared" si="1"/>
        <v/>
      </c>
    </row>
    <row r="638">
      <c r="B638" s="16"/>
      <c r="C638" s="12"/>
      <c r="D638" s="12"/>
      <c r="E638" s="12"/>
      <c r="F638" s="25"/>
      <c r="G638" s="12"/>
      <c r="H638" s="12"/>
      <c r="I638" s="12"/>
      <c r="J638" s="16"/>
      <c r="N638" s="16"/>
      <c r="O638" s="16"/>
      <c r="P638" s="16" t="str">
        <f t="shared" si="1"/>
        <v/>
      </c>
    </row>
    <row r="639">
      <c r="B639" s="16"/>
      <c r="C639" s="12"/>
      <c r="D639" s="12"/>
      <c r="E639" s="12"/>
      <c r="F639" s="25"/>
      <c r="G639" s="12"/>
      <c r="H639" s="12"/>
      <c r="I639" s="12"/>
      <c r="J639" s="16"/>
      <c r="N639" s="16"/>
      <c r="O639" s="16"/>
      <c r="P639" s="16" t="str">
        <f t="shared" si="1"/>
        <v/>
      </c>
    </row>
    <row r="640">
      <c r="B640" s="16"/>
      <c r="C640" s="12"/>
      <c r="D640" s="12"/>
      <c r="E640" s="12"/>
      <c r="F640" s="25"/>
      <c r="G640" s="12"/>
      <c r="H640" s="12"/>
      <c r="I640" s="12"/>
      <c r="J640" s="16"/>
      <c r="N640" s="16"/>
      <c r="O640" s="16"/>
      <c r="P640" s="16" t="str">
        <f t="shared" si="1"/>
        <v/>
      </c>
    </row>
    <row r="641">
      <c r="B641" s="16"/>
      <c r="C641" s="12"/>
      <c r="D641" s="12"/>
      <c r="E641" s="12"/>
      <c r="F641" s="25"/>
      <c r="G641" s="12"/>
      <c r="H641" s="12"/>
      <c r="I641" s="12"/>
      <c r="J641" s="16"/>
      <c r="N641" s="16"/>
      <c r="O641" s="16"/>
      <c r="P641" s="16" t="str">
        <f t="shared" si="1"/>
        <v/>
      </c>
    </row>
    <row r="642">
      <c r="B642" s="16"/>
      <c r="C642" s="12"/>
      <c r="D642" s="12"/>
      <c r="E642" s="12"/>
      <c r="F642" s="25"/>
      <c r="G642" s="12"/>
      <c r="H642" s="12"/>
      <c r="I642" s="12"/>
      <c r="J642" s="16"/>
      <c r="N642" s="16"/>
      <c r="O642" s="16"/>
      <c r="P642" s="16" t="str">
        <f t="shared" si="1"/>
        <v/>
      </c>
    </row>
    <row r="643">
      <c r="B643" s="16"/>
      <c r="C643" s="12"/>
      <c r="D643" s="12"/>
      <c r="E643" s="12"/>
      <c r="F643" s="25"/>
      <c r="G643" s="12"/>
      <c r="H643" s="12"/>
      <c r="I643" s="12"/>
      <c r="J643" s="16"/>
      <c r="N643" s="16"/>
      <c r="O643" s="16"/>
      <c r="P643" s="16" t="str">
        <f t="shared" si="1"/>
        <v/>
      </c>
    </row>
    <row r="644">
      <c r="B644" s="16"/>
      <c r="C644" s="12"/>
      <c r="D644" s="12"/>
      <c r="E644" s="12"/>
      <c r="F644" s="25"/>
      <c r="G644" s="12"/>
      <c r="H644" s="12"/>
      <c r="I644" s="12"/>
      <c r="J644" s="16"/>
      <c r="N644" s="16"/>
      <c r="O644" s="16"/>
      <c r="P644" s="16" t="str">
        <f t="shared" si="1"/>
        <v/>
      </c>
    </row>
    <row r="645">
      <c r="B645" s="16"/>
      <c r="C645" s="12"/>
      <c r="D645" s="12"/>
      <c r="E645" s="12"/>
      <c r="F645" s="25"/>
      <c r="G645" s="12"/>
      <c r="H645" s="12"/>
      <c r="I645" s="12"/>
      <c r="J645" s="16"/>
      <c r="N645" s="16"/>
      <c r="O645" s="16"/>
      <c r="P645" s="16" t="str">
        <f t="shared" si="1"/>
        <v/>
      </c>
    </row>
    <row r="646">
      <c r="B646" s="16"/>
      <c r="C646" s="12"/>
      <c r="D646" s="12"/>
      <c r="E646" s="12"/>
      <c r="F646" s="25"/>
      <c r="G646" s="12"/>
      <c r="H646" s="12"/>
      <c r="I646" s="12"/>
      <c r="J646" s="16"/>
      <c r="N646" s="16"/>
      <c r="O646" s="16"/>
      <c r="P646" s="16" t="str">
        <f t="shared" si="1"/>
        <v/>
      </c>
    </row>
    <row r="647">
      <c r="B647" s="16"/>
      <c r="C647" s="12"/>
      <c r="D647" s="12"/>
      <c r="E647" s="12"/>
      <c r="F647" s="25"/>
      <c r="G647" s="12"/>
      <c r="H647" s="12"/>
      <c r="I647" s="12"/>
      <c r="J647" s="16"/>
      <c r="N647" s="16"/>
      <c r="O647" s="16"/>
      <c r="P647" s="16" t="str">
        <f t="shared" si="1"/>
        <v/>
      </c>
    </row>
    <row r="648">
      <c r="B648" s="16"/>
      <c r="C648" s="12"/>
      <c r="D648" s="12"/>
      <c r="E648" s="12"/>
      <c r="F648" s="25"/>
      <c r="G648" s="12"/>
      <c r="H648" s="12"/>
      <c r="I648" s="12"/>
      <c r="J648" s="16"/>
      <c r="N648" s="16"/>
      <c r="O648" s="16"/>
      <c r="P648" s="16" t="str">
        <f t="shared" si="1"/>
        <v/>
      </c>
    </row>
    <row r="649">
      <c r="B649" s="16"/>
      <c r="C649" s="12"/>
      <c r="D649" s="12"/>
      <c r="E649" s="12"/>
      <c r="F649" s="25"/>
      <c r="G649" s="12"/>
      <c r="H649" s="12"/>
      <c r="I649" s="12"/>
      <c r="J649" s="16"/>
      <c r="N649" s="16"/>
      <c r="O649" s="16"/>
      <c r="P649" s="16" t="str">
        <f t="shared" si="1"/>
        <v/>
      </c>
    </row>
    <row r="650">
      <c r="B650" s="16"/>
      <c r="C650" s="12"/>
      <c r="D650" s="12"/>
      <c r="E650" s="12"/>
      <c r="F650" s="25"/>
      <c r="G650" s="12"/>
      <c r="H650" s="12"/>
      <c r="I650" s="12"/>
      <c r="J650" s="16"/>
      <c r="N650" s="16"/>
      <c r="O650" s="16"/>
      <c r="P650" s="16" t="str">
        <f t="shared" si="1"/>
        <v/>
      </c>
    </row>
    <row r="651">
      <c r="B651" s="16"/>
      <c r="C651" s="12"/>
      <c r="D651" s="12"/>
      <c r="E651" s="12"/>
      <c r="F651" s="25"/>
      <c r="G651" s="12"/>
      <c r="H651" s="12"/>
      <c r="I651" s="12"/>
      <c r="J651" s="16"/>
      <c r="N651" s="16"/>
      <c r="O651" s="16"/>
      <c r="P651" s="16" t="str">
        <f t="shared" si="1"/>
        <v/>
      </c>
    </row>
    <row r="652">
      <c r="B652" s="16"/>
      <c r="C652" s="12"/>
      <c r="D652" s="12"/>
      <c r="E652" s="12"/>
      <c r="F652" s="25"/>
      <c r="G652" s="12"/>
      <c r="H652" s="12"/>
      <c r="I652" s="12"/>
      <c r="J652" s="16"/>
      <c r="N652" s="16"/>
      <c r="O652" s="16"/>
      <c r="P652" s="16" t="str">
        <f t="shared" si="1"/>
        <v/>
      </c>
    </row>
    <row r="653">
      <c r="B653" s="16"/>
      <c r="C653" s="12"/>
      <c r="D653" s="12"/>
      <c r="E653" s="12"/>
      <c r="F653" s="25"/>
      <c r="G653" s="12"/>
      <c r="H653" s="12"/>
      <c r="I653" s="12"/>
      <c r="J653" s="16"/>
      <c r="N653" s="16"/>
      <c r="O653" s="16"/>
      <c r="P653" s="16" t="str">
        <f t="shared" si="1"/>
        <v/>
      </c>
    </row>
    <row r="654">
      <c r="B654" s="16"/>
      <c r="C654" s="12"/>
      <c r="D654" s="12"/>
      <c r="E654" s="12"/>
      <c r="F654" s="25"/>
      <c r="G654" s="12"/>
      <c r="H654" s="12"/>
      <c r="I654" s="12"/>
      <c r="J654" s="16"/>
      <c r="N654" s="16"/>
      <c r="O654" s="16"/>
      <c r="P654" s="16" t="str">
        <f t="shared" si="1"/>
        <v/>
      </c>
    </row>
    <row r="655">
      <c r="B655" s="16"/>
      <c r="C655" s="12"/>
      <c r="D655" s="12"/>
      <c r="E655" s="12"/>
      <c r="F655" s="25"/>
      <c r="G655" s="12"/>
      <c r="H655" s="12"/>
      <c r="I655" s="12"/>
      <c r="J655" s="16"/>
      <c r="N655" s="16"/>
      <c r="O655" s="16"/>
      <c r="P655" s="16" t="str">
        <f t="shared" si="1"/>
        <v/>
      </c>
    </row>
    <row r="656">
      <c r="B656" s="16"/>
      <c r="C656" s="12"/>
      <c r="D656" s="12"/>
      <c r="E656" s="12"/>
      <c r="F656" s="25"/>
      <c r="G656" s="12"/>
      <c r="H656" s="12"/>
      <c r="I656" s="12"/>
      <c r="J656" s="16"/>
      <c r="N656" s="16"/>
      <c r="O656" s="16"/>
      <c r="P656" s="16" t="str">
        <f t="shared" si="1"/>
        <v/>
      </c>
    </row>
    <row r="657">
      <c r="B657" s="16"/>
      <c r="C657" s="12"/>
      <c r="D657" s="12"/>
      <c r="E657" s="12"/>
      <c r="F657" s="25"/>
      <c r="G657" s="12"/>
      <c r="H657" s="12"/>
      <c r="I657" s="12"/>
      <c r="J657" s="16"/>
      <c r="N657" s="16"/>
      <c r="O657" s="16"/>
      <c r="P657" s="16" t="str">
        <f t="shared" si="1"/>
        <v/>
      </c>
    </row>
    <row r="658">
      <c r="B658" s="16"/>
      <c r="C658" s="12"/>
      <c r="D658" s="12"/>
      <c r="E658" s="12"/>
      <c r="F658" s="25"/>
      <c r="G658" s="12"/>
      <c r="H658" s="12"/>
      <c r="I658" s="12"/>
      <c r="J658" s="16"/>
      <c r="N658" s="16"/>
      <c r="O658" s="16"/>
      <c r="P658" s="16" t="str">
        <f t="shared" si="1"/>
        <v/>
      </c>
    </row>
    <row r="659">
      <c r="B659" s="16"/>
      <c r="C659" s="12"/>
      <c r="D659" s="12"/>
      <c r="E659" s="12"/>
      <c r="F659" s="25"/>
      <c r="G659" s="12"/>
      <c r="H659" s="12"/>
      <c r="I659" s="12"/>
      <c r="J659" s="16"/>
      <c r="N659" s="16"/>
      <c r="O659" s="16"/>
      <c r="P659" s="16" t="str">
        <f t="shared" si="1"/>
        <v/>
      </c>
    </row>
    <row r="660">
      <c r="B660" s="16"/>
      <c r="C660" s="12"/>
      <c r="D660" s="12"/>
      <c r="E660" s="12"/>
      <c r="F660" s="25"/>
      <c r="G660" s="12"/>
      <c r="H660" s="12"/>
      <c r="I660" s="12"/>
      <c r="J660" s="16"/>
      <c r="N660" s="16"/>
      <c r="O660" s="16"/>
      <c r="P660" s="16" t="str">
        <f t="shared" si="1"/>
        <v/>
      </c>
    </row>
    <row r="661">
      <c r="B661" s="16"/>
      <c r="C661" s="12"/>
      <c r="D661" s="12"/>
      <c r="E661" s="12"/>
      <c r="F661" s="25"/>
      <c r="G661" s="12"/>
      <c r="H661" s="12"/>
      <c r="I661" s="12"/>
      <c r="J661" s="16"/>
      <c r="N661" s="16"/>
      <c r="O661" s="16"/>
      <c r="P661" s="16" t="str">
        <f t="shared" si="1"/>
        <v/>
      </c>
    </row>
    <row r="662">
      <c r="B662" s="16"/>
      <c r="C662" s="12"/>
      <c r="D662" s="12"/>
      <c r="E662" s="12"/>
      <c r="F662" s="25"/>
      <c r="G662" s="12"/>
      <c r="H662" s="12"/>
      <c r="I662" s="12"/>
      <c r="J662" s="16"/>
      <c r="N662" s="16"/>
      <c r="O662" s="16"/>
      <c r="P662" s="16" t="str">
        <f t="shared" si="1"/>
        <v/>
      </c>
    </row>
    <row r="663">
      <c r="B663" s="16"/>
      <c r="C663" s="12"/>
      <c r="D663" s="12"/>
      <c r="E663" s="12"/>
      <c r="F663" s="25"/>
      <c r="G663" s="12"/>
      <c r="H663" s="12"/>
      <c r="I663" s="12"/>
      <c r="J663" s="16"/>
      <c r="N663" s="16"/>
      <c r="O663" s="16"/>
      <c r="P663" s="16" t="str">
        <f t="shared" si="1"/>
        <v/>
      </c>
    </row>
    <row r="664">
      <c r="B664" s="16"/>
      <c r="C664" s="12"/>
      <c r="D664" s="12"/>
      <c r="E664" s="12"/>
      <c r="F664" s="25"/>
      <c r="G664" s="12"/>
      <c r="H664" s="12"/>
      <c r="I664" s="12"/>
      <c r="J664" s="16"/>
      <c r="N664" s="16"/>
      <c r="O664" s="16"/>
      <c r="P664" s="16" t="str">
        <f t="shared" si="1"/>
        <v/>
      </c>
    </row>
    <row r="665">
      <c r="B665" s="16"/>
      <c r="C665" s="12"/>
      <c r="D665" s="12"/>
      <c r="E665" s="12"/>
      <c r="F665" s="25"/>
      <c r="G665" s="12"/>
      <c r="H665" s="12"/>
      <c r="I665" s="12"/>
      <c r="J665" s="16"/>
      <c r="N665" s="16"/>
      <c r="O665" s="16"/>
      <c r="P665" s="16" t="str">
        <f t="shared" si="1"/>
        <v/>
      </c>
    </row>
    <row r="666">
      <c r="B666" s="16"/>
      <c r="C666" s="12"/>
      <c r="D666" s="12"/>
      <c r="E666" s="12"/>
      <c r="F666" s="25"/>
      <c r="G666" s="12"/>
      <c r="H666" s="12"/>
      <c r="I666" s="12"/>
      <c r="J666" s="16"/>
      <c r="N666" s="16"/>
      <c r="O666" s="16"/>
      <c r="P666" s="16" t="str">
        <f t="shared" si="1"/>
        <v/>
      </c>
    </row>
    <row r="667">
      <c r="B667" s="16"/>
      <c r="C667" s="12"/>
      <c r="D667" s="12"/>
      <c r="E667" s="12"/>
      <c r="F667" s="25"/>
      <c r="G667" s="12"/>
      <c r="H667" s="12"/>
      <c r="I667" s="12"/>
      <c r="J667" s="16"/>
      <c r="N667" s="16"/>
      <c r="O667" s="16"/>
      <c r="P667" s="16" t="str">
        <f t="shared" si="1"/>
        <v/>
      </c>
    </row>
    <row r="668">
      <c r="B668" s="16"/>
      <c r="C668" s="12"/>
      <c r="D668" s="12"/>
      <c r="E668" s="12"/>
      <c r="F668" s="25"/>
      <c r="G668" s="12"/>
      <c r="H668" s="12"/>
      <c r="I668" s="12"/>
      <c r="J668" s="16"/>
      <c r="N668" s="16"/>
      <c r="O668" s="16"/>
      <c r="P668" s="16" t="str">
        <f t="shared" si="1"/>
        <v/>
      </c>
    </row>
    <row r="669">
      <c r="B669" s="16"/>
      <c r="C669" s="12"/>
      <c r="D669" s="12"/>
      <c r="E669" s="12"/>
      <c r="F669" s="25"/>
      <c r="G669" s="12"/>
      <c r="H669" s="12"/>
      <c r="I669" s="12"/>
      <c r="J669" s="16"/>
      <c r="N669" s="16"/>
      <c r="O669" s="16"/>
      <c r="P669" s="16" t="str">
        <f t="shared" si="1"/>
        <v/>
      </c>
    </row>
    <row r="670">
      <c r="B670" s="16"/>
      <c r="C670" s="12"/>
      <c r="D670" s="12"/>
      <c r="E670" s="12"/>
      <c r="F670" s="25"/>
      <c r="G670" s="12"/>
      <c r="H670" s="12"/>
      <c r="I670" s="12"/>
      <c r="J670" s="16"/>
      <c r="N670" s="16"/>
      <c r="O670" s="16"/>
      <c r="P670" s="16" t="str">
        <f t="shared" si="1"/>
        <v/>
      </c>
    </row>
    <row r="671">
      <c r="B671" s="16"/>
      <c r="C671" s="12"/>
      <c r="D671" s="12"/>
      <c r="E671" s="12"/>
      <c r="F671" s="25"/>
      <c r="G671" s="12"/>
      <c r="H671" s="12"/>
      <c r="I671" s="12"/>
      <c r="J671" s="16"/>
      <c r="N671" s="16"/>
      <c r="O671" s="16"/>
      <c r="P671" s="16" t="str">
        <f t="shared" si="1"/>
        <v/>
      </c>
    </row>
    <row r="672">
      <c r="B672" s="16"/>
      <c r="C672" s="12"/>
      <c r="D672" s="12"/>
      <c r="E672" s="12"/>
      <c r="F672" s="25"/>
      <c r="G672" s="12"/>
      <c r="H672" s="12"/>
      <c r="I672" s="12"/>
      <c r="J672" s="16"/>
      <c r="N672" s="16"/>
      <c r="O672" s="16"/>
      <c r="P672" s="16" t="str">
        <f t="shared" si="1"/>
        <v/>
      </c>
    </row>
    <row r="673">
      <c r="B673" s="16"/>
      <c r="C673" s="12"/>
      <c r="D673" s="12"/>
      <c r="E673" s="12"/>
      <c r="F673" s="25"/>
      <c r="G673" s="12"/>
      <c r="H673" s="12"/>
      <c r="I673" s="12"/>
      <c r="J673" s="16"/>
      <c r="N673" s="16"/>
      <c r="O673" s="16"/>
      <c r="P673" s="16" t="str">
        <f t="shared" si="1"/>
        <v/>
      </c>
    </row>
    <row r="674">
      <c r="B674" s="16"/>
      <c r="C674" s="12"/>
      <c r="D674" s="12"/>
      <c r="E674" s="12"/>
      <c r="F674" s="25"/>
      <c r="G674" s="12"/>
      <c r="H674" s="12"/>
      <c r="I674" s="12"/>
      <c r="J674" s="16"/>
      <c r="N674" s="16"/>
      <c r="O674" s="16"/>
      <c r="P674" s="16" t="str">
        <f t="shared" si="1"/>
        <v/>
      </c>
    </row>
    <row r="675">
      <c r="B675" s="16"/>
      <c r="C675" s="12"/>
      <c r="D675" s="12"/>
      <c r="E675" s="12"/>
      <c r="F675" s="25"/>
      <c r="G675" s="12"/>
      <c r="H675" s="12"/>
      <c r="I675" s="12"/>
      <c r="J675" s="16"/>
      <c r="N675" s="16"/>
      <c r="O675" s="16"/>
      <c r="P675" s="16" t="str">
        <f t="shared" si="1"/>
        <v/>
      </c>
    </row>
    <row r="676">
      <c r="B676" s="16"/>
      <c r="C676" s="12"/>
      <c r="D676" s="12"/>
      <c r="E676" s="12"/>
      <c r="F676" s="25"/>
      <c r="G676" s="12"/>
      <c r="H676" s="12"/>
      <c r="I676" s="12"/>
      <c r="J676" s="16"/>
      <c r="N676" s="16"/>
      <c r="O676" s="16"/>
      <c r="P676" s="16" t="str">
        <f t="shared" si="1"/>
        <v/>
      </c>
    </row>
    <row r="677">
      <c r="B677" s="16"/>
      <c r="C677" s="12"/>
      <c r="D677" s="12"/>
      <c r="E677" s="12"/>
      <c r="F677" s="25"/>
      <c r="G677" s="12"/>
      <c r="H677" s="12"/>
      <c r="I677" s="12"/>
      <c r="J677" s="16"/>
      <c r="N677" s="16"/>
      <c r="O677" s="16"/>
      <c r="P677" s="16" t="str">
        <f t="shared" si="1"/>
        <v/>
      </c>
    </row>
    <row r="678">
      <c r="B678" s="16"/>
      <c r="C678" s="12"/>
      <c r="D678" s="12"/>
      <c r="E678" s="12"/>
      <c r="F678" s="25"/>
      <c r="G678" s="12"/>
      <c r="H678" s="12"/>
      <c r="I678" s="12"/>
      <c r="J678" s="16"/>
      <c r="N678" s="16"/>
      <c r="O678" s="16"/>
      <c r="P678" s="16" t="str">
        <f t="shared" si="1"/>
        <v/>
      </c>
    </row>
    <row r="679">
      <c r="B679" s="16"/>
      <c r="C679" s="12"/>
      <c r="D679" s="12"/>
      <c r="E679" s="12"/>
      <c r="F679" s="25"/>
      <c r="G679" s="12"/>
      <c r="H679" s="12"/>
      <c r="I679" s="12"/>
      <c r="J679" s="16"/>
      <c r="N679" s="16"/>
      <c r="O679" s="16"/>
      <c r="P679" s="16" t="str">
        <f t="shared" si="1"/>
        <v/>
      </c>
    </row>
    <row r="680">
      <c r="B680" s="16"/>
      <c r="C680" s="12"/>
      <c r="D680" s="12"/>
      <c r="E680" s="12"/>
      <c r="F680" s="25"/>
      <c r="G680" s="12"/>
      <c r="H680" s="12"/>
      <c r="I680" s="12"/>
      <c r="J680" s="16"/>
      <c r="N680" s="16"/>
      <c r="O680" s="16"/>
      <c r="P680" s="16" t="str">
        <f t="shared" si="1"/>
        <v/>
      </c>
    </row>
    <row r="681">
      <c r="B681" s="16"/>
      <c r="C681" s="12"/>
      <c r="D681" s="12"/>
      <c r="E681" s="12"/>
      <c r="F681" s="25"/>
      <c r="G681" s="12"/>
      <c r="H681" s="12"/>
      <c r="I681" s="12"/>
      <c r="J681" s="16"/>
      <c r="N681" s="16"/>
      <c r="O681" s="16"/>
      <c r="P681" s="16" t="str">
        <f t="shared" si="1"/>
        <v/>
      </c>
    </row>
    <row r="682">
      <c r="B682" s="16"/>
      <c r="C682" s="12"/>
      <c r="D682" s="12"/>
      <c r="E682" s="12"/>
      <c r="F682" s="25"/>
      <c r="G682" s="12"/>
      <c r="H682" s="12"/>
      <c r="I682" s="12"/>
      <c r="J682" s="16"/>
      <c r="N682" s="16"/>
      <c r="O682" s="16"/>
      <c r="P682" s="16" t="str">
        <f t="shared" si="1"/>
        <v/>
      </c>
    </row>
    <row r="683">
      <c r="B683" s="16"/>
      <c r="C683" s="12"/>
      <c r="D683" s="12"/>
      <c r="E683" s="12"/>
      <c r="F683" s="25"/>
      <c r="G683" s="12"/>
      <c r="H683" s="12"/>
      <c r="I683" s="12"/>
      <c r="J683" s="16"/>
      <c r="N683" s="16"/>
      <c r="O683" s="16"/>
      <c r="P683" s="16" t="str">
        <f t="shared" si="1"/>
        <v/>
      </c>
    </row>
    <row r="684">
      <c r="B684" s="16"/>
      <c r="C684" s="12"/>
      <c r="D684" s="12"/>
      <c r="E684" s="12"/>
      <c r="F684" s="25"/>
      <c r="G684" s="12"/>
      <c r="H684" s="12"/>
      <c r="I684" s="12"/>
      <c r="J684" s="16"/>
      <c r="N684" s="16"/>
      <c r="O684" s="16"/>
      <c r="P684" s="16" t="str">
        <f t="shared" si="1"/>
        <v/>
      </c>
    </row>
    <row r="685">
      <c r="B685" s="16"/>
      <c r="C685" s="12"/>
      <c r="D685" s="12"/>
      <c r="E685" s="12"/>
      <c r="F685" s="25"/>
      <c r="G685" s="12"/>
      <c r="H685" s="12"/>
      <c r="I685" s="12"/>
      <c r="J685" s="16"/>
      <c r="N685" s="16"/>
      <c r="O685" s="16"/>
      <c r="P685" s="16" t="str">
        <f t="shared" si="1"/>
        <v/>
      </c>
    </row>
    <row r="686">
      <c r="B686" s="16"/>
      <c r="C686" s="12"/>
      <c r="D686" s="12"/>
      <c r="E686" s="12"/>
      <c r="F686" s="25"/>
      <c r="G686" s="12"/>
      <c r="H686" s="12"/>
      <c r="I686" s="12"/>
      <c r="J686" s="16"/>
      <c r="N686" s="16"/>
      <c r="O686" s="16"/>
      <c r="P686" s="16" t="str">
        <f t="shared" si="1"/>
        <v/>
      </c>
    </row>
    <row r="687">
      <c r="B687" s="16"/>
      <c r="C687" s="12"/>
      <c r="D687" s="12"/>
      <c r="E687" s="12"/>
      <c r="F687" s="25"/>
      <c r="G687" s="12"/>
      <c r="H687" s="12"/>
      <c r="I687" s="12"/>
      <c r="J687" s="16"/>
      <c r="N687" s="16"/>
      <c r="O687" s="16"/>
      <c r="P687" s="16" t="str">
        <f t="shared" si="1"/>
        <v/>
      </c>
    </row>
    <row r="688">
      <c r="B688" s="16"/>
      <c r="C688" s="12"/>
      <c r="D688" s="12"/>
      <c r="E688" s="12"/>
      <c r="F688" s="25"/>
      <c r="G688" s="12"/>
      <c r="H688" s="12"/>
      <c r="I688" s="12"/>
      <c r="J688" s="16"/>
      <c r="N688" s="16"/>
      <c r="O688" s="16"/>
      <c r="P688" s="16" t="str">
        <f t="shared" si="1"/>
        <v/>
      </c>
    </row>
    <row r="689">
      <c r="B689" s="16"/>
      <c r="C689" s="12"/>
      <c r="D689" s="12"/>
      <c r="E689" s="12"/>
      <c r="F689" s="25"/>
      <c r="G689" s="12"/>
      <c r="H689" s="12"/>
      <c r="I689" s="12"/>
      <c r="J689" s="16"/>
      <c r="N689" s="16"/>
      <c r="O689" s="16"/>
      <c r="P689" s="16" t="str">
        <f t="shared" si="1"/>
        <v/>
      </c>
    </row>
    <row r="690">
      <c r="B690" s="16"/>
      <c r="C690" s="12"/>
      <c r="D690" s="12"/>
      <c r="E690" s="12"/>
      <c r="F690" s="25"/>
      <c r="G690" s="12"/>
      <c r="H690" s="12"/>
      <c r="I690" s="12"/>
      <c r="J690" s="16"/>
      <c r="N690" s="16"/>
      <c r="O690" s="16"/>
      <c r="P690" s="16" t="str">
        <f t="shared" si="1"/>
        <v/>
      </c>
    </row>
    <row r="691">
      <c r="B691" s="16"/>
      <c r="C691" s="12"/>
      <c r="D691" s="12"/>
      <c r="E691" s="12"/>
      <c r="F691" s="25"/>
      <c r="G691" s="12"/>
      <c r="H691" s="12"/>
      <c r="I691" s="12"/>
      <c r="J691" s="16"/>
      <c r="N691" s="16"/>
      <c r="O691" s="16"/>
      <c r="P691" s="16" t="str">
        <f t="shared" si="1"/>
        <v/>
      </c>
    </row>
    <row r="692">
      <c r="B692" s="16"/>
      <c r="C692" s="12"/>
      <c r="D692" s="12"/>
      <c r="E692" s="12"/>
      <c r="F692" s="25"/>
      <c r="G692" s="12"/>
      <c r="H692" s="12"/>
      <c r="I692" s="12"/>
      <c r="J692" s="16"/>
      <c r="N692" s="16"/>
      <c r="O692" s="16"/>
      <c r="P692" s="16" t="str">
        <f t="shared" si="1"/>
        <v/>
      </c>
    </row>
    <row r="693">
      <c r="B693" s="16"/>
      <c r="C693" s="12"/>
      <c r="D693" s="12"/>
      <c r="E693" s="12"/>
      <c r="F693" s="25"/>
      <c r="G693" s="12"/>
      <c r="H693" s="12"/>
      <c r="I693" s="12"/>
      <c r="J693" s="16"/>
      <c r="N693" s="16"/>
      <c r="O693" s="16"/>
      <c r="P693" s="16" t="str">
        <f t="shared" si="1"/>
        <v/>
      </c>
    </row>
    <row r="694">
      <c r="B694" s="16"/>
      <c r="C694" s="12"/>
      <c r="D694" s="12"/>
      <c r="E694" s="12"/>
      <c r="F694" s="25"/>
      <c r="G694" s="12"/>
      <c r="H694" s="12"/>
      <c r="I694" s="12"/>
      <c r="J694" s="16"/>
      <c r="N694" s="16"/>
      <c r="O694" s="16"/>
      <c r="P694" s="16" t="str">
        <f t="shared" si="1"/>
        <v/>
      </c>
    </row>
    <row r="695">
      <c r="B695" s="16"/>
      <c r="C695" s="12"/>
      <c r="D695" s="12"/>
      <c r="E695" s="12"/>
      <c r="F695" s="25"/>
      <c r="G695" s="12"/>
      <c r="H695" s="12"/>
      <c r="I695" s="12"/>
      <c r="J695" s="16"/>
      <c r="N695" s="16"/>
      <c r="O695" s="16"/>
      <c r="P695" s="16" t="str">
        <f t="shared" si="1"/>
        <v/>
      </c>
    </row>
    <row r="696">
      <c r="B696" s="16"/>
      <c r="C696" s="12"/>
      <c r="D696" s="12"/>
      <c r="E696" s="12"/>
      <c r="F696" s="25"/>
      <c r="G696" s="12"/>
      <c r="H696" s="12"/>
      <c r="I696" s="12"/>
      <c r="J696" s="16"/>
      <c r="N696" s="16"/>
      <c r="O696" s="16"/>
      <c r="P696" s="16" t="str">
        <f t="shared" si="1"/>
        <v/>
      </c>
    </row>
    <row r="697">
      <c r="B697" s="16"/>
      <c r="C697" s="12"/>
      <c r="D697" s="12"/>
      <c r="E697" s="12"/>
      <c r="F697" s="25"/>
      <c r="G697" s="12"/>
      <c r="H697" s="12"/>
      <c r="I697" s="12"/>
      <c r="J697" s="16"/>
      <c r="N697" s="16"/>
      <c r="O697" s="16"/>
      <c r="P697" s="16" t="str">
        <f t="shared" si="1"/>
        <v/>
      </c>
    </row>
    <row r="698">
      <c r="B698" s="16"/>
      <c r="C698" s="12"/>
      <c r="D698" s="12"/>
      <c r="E698" s="12"/>
      <c r="F698" s="25"/>
      <c r="G698" s="12"/>
      <c r="H698" s="12"/>
      <c r="I698" s="12"/>
      <c r="J698" s="16"/>
      <c r="N698" s="16"/>
      <c r="O698" s="16"/>
      <c r="P698" s="16" t="str">
        <f t="shared" si="1"/>
        <v/>
      </c>
    </row>
    <row r="699">
      <c r="B699" s="16"/>
      <c r="C699" s="12"/>
      <c r="D699" s="12"/>
      <c r="E699" s="12"/>
      <c r="F699" s="25"/>
      <c r="G699" s="12"/>
      <c r="H699" s="12"/>
      <c r="I699" s="12"/>
      <c r="J699" s="16"/>
      <c r="N699" s="16"/>
      <c r="O699" s="16"/>
      <c r="P699" s="16" t="str">
        <f t="shared" si="1"/>
        <v/>
      </c>
    </row>
    <row r="700">
      <c r="B700" s="16"/>
      <c r="C700" s="12"/>
      <c r="D700" s="12"/>
      <c r="E700" s="12"/>
      <c r="F700" s="25"/>
      <c r="G700" s="12"/>
      <c r="H700" s="12"/>
      <c r="I700" s="12"/>
      <c r="J700" s="16"/>
      <c r="N700" s="16"/>
      <c r="O700" s="16"/>
      <c r="P700" s="16" t="str">
        <f t="shared" si="1"/>
        <v/>
      </c>
    </row>
    <row r="701">
      <c r="B701" s="16"/>
      <c r="C701" s="12"/>
      <c r="D701" s="12"/>
      <c r="E701" s="12"/>
      <c r="F701" s="25"/>
      <c r="G701" s="12"/>
      <c r="H701" s="12"/>
      <c r="I701" s="12"/>
      <c r="J701" s="16"/>
      <c r="N701" s="16"/>
      <c r="O701" s="16"/>
      <c r="P701" s="16" t="str">
        <f t="shared" si="1"/>
        <v/>
      </c>
    </row>
    <row r="702">
      <c r="B702" s="16"/>
      <c r="C702" s="12"/>
      <c r="D702" s="12"/>
      <c r="E702" s="12"/>
      <c r="F702" s="25"/>
      <c r="G702" s="12"/>
      <c r="H702" s="12"/>
      <c r="I702" s="12"/>
      <c r="J702" s="16"/>
      <c r="N702" s="16"/>
      <c r="O702" s="16"/>
      <c r="P702" s="16" t="str">
        <f t="shared" si="1"/>
        <v/>
      </c>
    </row>
    <row r="703">
      <c r="B703" s="16"/>
      <c r="C703" s="12"/>
      <c r="D703" s="12"/>
      <c r="E703" s="12"/>
      <c r="F703" s="25"/>
      <c r="G703" s="12"/>
      <c r="H703" s="12"/>
      <c r="I703" s="12"/>
      <c r="J703" s="16"/>
      <c r="N703" s="16"/>
      <c r="O703" s="16"/>
      <c r="P703" s="16" t="str">
        <f t="shared" si="1"/>
        <v/>
      </c>
    </row>
    <row r="704">
      <c r="B704" s="16"/>
      <c r="C704" s="12"/>
      <c r="D704" s="12"/>
      <c r="E704" s="12"/>
      <c r="F704" s="25"/>
      <c r="G704" s="12"/>
      <c r="H704" s="12"/>
      <c r="I704" s="12"/>
      <c r="J704" s="16"/>
      <c r="N704" s="16"/>
      <c r="O704" s="16"/>
      <c r="P704" s="16" t="str">
        <f t="shared" si="1"/>
        <v/>
      </c>
    </row>
    <row r="705">
      <c r="B705" s="16"/>
      <c r="C705" s="12"/>
      <c r="D705" s="12"/>
      <c r="E705" s="12"/>
      <c r="F705" s="25"/>
      <c r="G705" s="12"/>
      <c r="H705" s="12"/>
      <c r="I705" s="12"/>
      <c r="J705" s="16"/>
      <c r="N705" s="16"/>
      <c r="O705" s="16"/>
      <c r="P705" s="16" t="str">
        <f t="shared" si="1"/>
        <v/>
      </c>
    </row>
    <row r="706">
      <c r="B706" s="16"/>
      <c r="C706" s="12"/>
      <c r="D706" s="12"/>
      <c r="E706" s="12"/>
      <c r="F706" s="25"/>
      <c r="G706" s="12"/>
      <c r="H706" s="12"/>
      <c r="I706" s="12"/>
      <c r="J706" s="16"/>
      <c r="N706" s="16"/>
      <c r="O706" s="16"/>
      <c r="P706" s="16" t="str">
        <f t="shared" si="1"/>
        <v/>
      </c>
    </row>
    <row r="707">
      <c r="B707" s="16"/>
      <c r="C707" s="12"/>
      <c r="D707" s="12"/>
      <c r="E707" s="12"/>
      <c r="F707" s="25"/>
      <c r="G707" s="12"/>
      <c r="H707" s="12"/>
      <c r="I707" s="12"/>
      <c r="J707" s="16"/>
      <c r="N707" s="16"/>
      <c r="O707" s="16"/>
      <c r="P707" s="16" t="str">
        <f t="shared" si="1"/>
        <v/>
      </c>
    </row>
    <row r="708">
      <c r="B708" s="16"/>
      <c r="C708" s="12"/>
      <c r="D708" s="12"/>
      <c r="E708" s="12"/>
      <c r="F708" s="25"/>
      <c r="G708" s="12"/>
      <c r="H708" s="12"/>
      <c r="I708" s="12"/>
      <c r="J708" s="16"/>
      <c r="N708" s="16"/>
      <c r="O708" s="16"/>
      <c r="P708" s="16" t="str">
        <f t="shared" si="1"/>
        <v/>
      </c>
    </row>
    <row r="709">
      <c r="B709" s="16"/>
      <c r="C709" s="12"/>
      <c r="D709" s="12"/>
      <c r="E709" s="12"/>
      <c r="F709" s="25"/>
      <c r="G709" s="12"/>
      <c r="H709" s="12"/>
      <c r="I709" s="12"/>
      <c r="J709" s="16"/>
      <c r="N709" s="16"/>
      <c r="O709" s="16"/>
      <c r="P709" s="16" t="str">
        <f t="shared" si="1"/>
        <v/>
      </c>
    </row>
    <row r="710">
      <c r="B710" s="16"/>
      <c r="C710" s="12"/>
      <c r="D710" s="12"/>
      <c r="E710" s="12"/>
      <c r="F710" s="25"/>
      <c r="G710" s="12"/>
      <c r="H710" s="12"/>
      <c r="I710" s="12"/>
      <c r="J710" s="16"/>
      <c r="N710" s="16"/>
      <c r="O710" s="16"/>
      <c r="P710" s="16" t="str">
        <f t="shared" si="1"/>
        <v/>
      </c>
    </row>
    <row r="711">
      <c r="B711" s="16"/>
      <c r="C711" s="12"/>
      <c r="D711" s="12"/>
      <c r="E711" s="12"/>
      <c r="F711" s="25"/>
      <c r="G711" s="12"/>
      <c r="H711" s="12"/>
      <c r="I711" s="12"/>
      <c r="J711" s="16"/>
      <c r="N711" s="16"/>
      <c r="O711" s="16"/>
      <c r="P711" s="16" t="str">
        <f t="shared" si="1"/>
        <v/>
      </c>
    </row>
    <row r="712">
      <c r="B712" s="16"/>
      <c r="C712" s="12"/>
      <c r="D712" s="12"/>
      <c r="E712" s="12"/>
      <c r="F712" s="25"/>
      <c r="G712" s="12"/>
      <c r="H712" s="12"/>
      <c r="I712" s="12"/>
      <c r="J712" s="16"/>
      <c r="N712" s="16"/>
      <c r="O712" s="16"/>
      <c r="P712" s="16" t="str">
        <f t="shared" si="1"/>
        <v/>
      </c>
    </row>
    <row r="713">
      <c r="B713" s="16"/>
      <c r="C713" s="12"/>
      <c r="D713" s="12"/>
      <c r="E713" s="12"/>
      <c r="F713" s="25"/>
      <c r="G713" s="12"/>
      <c r="H713" s="12"/>
      <c r="I713" s="12"/>
      <c r="J713" s="16"/>
      <c r="N713" s="16"/>
      <c r="O713" s="16"/>
      <c r="P713" s="16" t="str">
        <f t="shared" si="1"/>
        <v/>
      </c>
    </row>
    <row r="714">
      <c r="B714" s="16"/>
      <c r="C714" s="12"/>
      <c r="D714" s="12"/>
      <c r="E714" s="12"/>
      <c r="F714" s="25"/>
      <c r="G714" s="12"/>
      <c r="H714" s="12"/>
      <c r="I714" s="12"/>
      <c r="J714" s="16"/>
      <c r="N714" s="16"/>
      <c r="O714" s="16"/>
      <c r="P714" s="16" t="str">
        <f t="shared" si="1"/>
        <v/>
      </c>
    </row>
    <row r="715">
      <c r="B715" s="16"/>
      <c r="C715" s="12"/>
      <c r="D715" s="12"/>
      <c r="E715" s="12"/>
      <c r="F715" s="25"/>
      <c r="G715" s="12"/>
      <c r="H715" s="12"/>
      <c r="I715" s="12"/>
      <c r="J715" s="16"/>
      <c r="N715" s="16"/>
      <c r="O715" s="16"/>
      <c r="P715" s="16" t="str">
        <f t="shared" si="1"/>
        <v/>
      </c>
    </row>
    <row r="716">
      <c r="B716" s="16"/>
      <c r="C716" s="12"/>
      <c r="D716" s="12"/>
      <c r="E716" s="12"/>
      <c r="F716" s="25"/>
      <c r="G716" s="12"/>
      <c r="H716" s="12"/>
      <c r="I716" s="12"/>
      <c r="J716" s="16"/>
      <c r="N716" s="16"/>
      <c r="O716" s="16"/>
      <c r="P716" s="16" t="str">
        <f t="shared" si="1"/>
        <v/>
      </c>
    </row>
    <row r="717">
      <c r="B717" s="16"/>
      <c r="C717" s="12"/>
      <c r="D717" s="12"/>
      <c r="E717" s="12"/>
      <c r="F717" s="25"/>
      <c r="G717" s="12"/>
      <c r="H717" s="12"/>
      <c r="I717" s="12"/>
      <c r="J717" s="16"/>
      <c r="N717" s="16"/>
      <c r="O717" s="16"/>
      <c r="P717" s="16" t="str">
        <f t="shared" si="1"/>
        <v/>
      </c>
    </row>
    <row r="718">
      <c r="B718" s="16"/>
      <c r="C718" s="12"/>
      <c r="D718" s="12"/>
      <c r="E718" s="12"/>
      <c r="F718" s="25"/>
      <c r="G718" s="12"/>
      <c r="H718" s="12"/>
      <c r="I718" s="12"/>
      <c r="J718" s="16"/>
      <c r="N718" s="16"/>
      <c r="O718" s="16"/>
      <c r="P718" s="16" t="str">
        <f t="shared" si="1"/>
        <v/>
      </c>
    </row>
    <row r="719">
      <c r="B719" s="16"/>
      <c r="C719" s="12"/>
      <c r="D719" s="12"/>
      <c r="E719" s="12"/>
      <c r="F719" s="25"/>
      <c r="G719" s="12"/>
      <c r="H719" s="12"/>
      <c r="I719" s="12"/>
      <c r="J719" s="16"/>
      <c r="N719" s="16"/>
      <c r="O719" s="16"/>
      <c r="P719" s="16" t="str">
        <f t="shared" si="1"/>
        <v/>
      </c>
    </row>
    <row r="720">
      <c r="B720" s="16"/>
      <c r="C720" s="12"/>
      <c r="D720" s="12"/>
      <c r="E720" s="12"/>
      <c r="F720" s="25"/>
      <c r="G720" s="12"/>
      <c r="H720" s="12"/>
      <c r="I720" s="12"/>
      <c r="J720" s="16"/>
      <c r="N720" s="16"/>
      <c r="O720" s="16"/>
      <c r="P720" s="16" t="str">
        <f t="shared" si="1"/>
        <v/>
      </c>
    </row>
    <row r="721">
      <c r="B721" s="16"/>
      <c r="C721" s="12"/>
      <c r="D721" s="12"/>
      <c r="E721" s="12"/>
      <c r="F721" s="25"/>
      <c r="G721" s="12"/>
      <c r="H721" s="12"/>
      <c r="I721" s="12"/>
      <c r="J721" s="16"/>
      <c r="N721" s="16"/>
      <c r="O721" s="16"/>
      <c r="P721" s="16" t="str">
        <f t="shared" si="1"/>
        <v/>
      </c>
    </row>
    <row r="722">
      <c r="B722" s="16"/>
      <c r="C722" s="12"/>
      <c r="D722" s="12"/>
      <c r="E722" s="12"/>
      <c r="F722" s="25"/>
      <c r="G722" s="12"/>
      <c r="H722" s="12"/>
      <c r="I722" s="12"/>
      <c r="J722" s="16"/>
      <c r="N722" s="16"/>
      <c r="O722" s="16"/>
      <c r="P722" s="16" t="str">
        <f t="shared" si="1"/>
        <v/>
      </c>
    </row>
    <row r="723">
      <c r="B723" s="16"/>
      <c r="C723" s="12"/>
      <c r="D723" s="12"/>
      <c r="E723" s="12"/>
      <c r="F723" s="25"/>
      <c r="G723" s="12"/>
      <c r="H723" s="12"/>
      <c r="I723" s="12"/>
      <c r="J723" s="16"/>
      <c r="N723" s="16"/>
      <c r="O723" s="16"/>
      <c r="P723" s="16" t="str">
        <f t="shared" si="1"/>
        <v/>
      </c>
    </row>
    <row r="724">
      <c r="B724" s="16"/>
      <c r="C724" s="12"/>
      <c r="D724" s="12"/>
      <c r="E724" s="12"/>
      <c r="F724" s="25"/>
      <c r="G724" s="12"/>
      <c r="H724" s="12"/>
      <c r="I724" s="12"/>
      <c r="J724" s="16"/>
      <c r="N724" s="16"/>
      <c r="O724" s="16"/>
      <c r="P724" s="16" t="str">
        <f t="shared" si="1"/>
        <v/>
      </c>
    </row>
    <row r="725">
      <c r="B725" s="16"/>
      <c r="C725" s="12"/>
      <c r="D725" s="12"/>
      <c r="E725" s="12"/>
      <c r="F725" s="25"/>
      <c r="G725" s="12"/>
      <c r="H725" s="12"/>
      <c r="I725" s="12"/>
      <c r="J725" s="16"/>
      <c r="N725" s="16"/>
      <c r="O725" s="16"/>
      <c r="P725" s="16" t="str">
        <f t="shared" si="1"/>
        <v/>
      </c>
    </row>
    <row r="726">
      <c r="B726" s="16"/>
      <c r="C726" s="12"/>
      <c r="D726" s="12"/>
      <c r="E726" s="12"/>
      <c r="F726" s="25"/>
      <c r="G726" s="12"/>
      <c r="H726" s="12"/>
      <c r="I726" s="12"/>
      <c r="J726" s="16"/>
      <c r="N726" s="16"/>
      <c r="O726" s="16"/>
      <c r="P726" s="16" t="str">
        <f t="shared" si="1"/>
        <v/>
      </c>
    </row>
    <row r="727">
      <c r="B727" s="16"/>
      <c r="C727" s="12"/>
      <c r="D727" s="12"/>
      <c r="E727" s="12"/>
      <c r="F727" s="25"/>
      <c r="G727" s="12"/>
      <c r="H727" s="12"/>
      <c r="I727" s="12"/>
      <c r="J727" s="16"/>
      <c r="N727" s="16"/>
      <c r="O727" s="16"/>
      <c r="P727" s="16" t="str">
        <f t="shared" si="1"/>
        <v/>
      </c>
    </row>
    <row r="728">
      <c r="B728" s="16"/>
      <c r="C728" s="12"/>
      <c r="D728" s="12"/>
      <c r="E728" s="12"/>
      <c r="F728" s="25"/>
      <c r="G728" s="12"/>
      <c r="H728" s="12"/>
      <c r="I728" s="12"/>
      <c r="J728" s="16"/>
      <c r="N728" s="16"/>
      <c r="O728" s="16"/>
      <c r="P728" s="16" t="str">
        <f t="shared" si="1"/>
        <v/>
      </c>
    </row>
    <row r="729">
      <c r="B729" s="16"/>
      <c r="C729" s="12"/>
      <c r="D729" s="12"/>
      <c r="E729" s="12"/>
      <c r="F729" s="25"/>
      <c r="G729" s="12"/>
      <c r="H729" s="12"/>
      <c r="I729" s="12"/>
      <c r="J729" s="16"/>
      <c r="N729" s="16"/>
      <c r="O729" s="16"/>
      <c r="P729" s="16" t="str">
        <f t="shared" si="1"/>
        <v/>
      </c>
    </row>
    <row r="730">
      <c r="B730" s="16"/>
      <c r="C730" s="12"/>
      <c r="D730" s="12"/>
      <c r="E730" s="12"/>
      <c r="F730" s="25"/>
      <c r="G730" s="12"/>
      <c r="H730" s="12"/>
      <c r="I730" s="12"/>
      <c r="J730" s="16"/>
      <c r="N730" s="16"/>
      <c r="O730" s="16"/>
      <c r="P730" s="16" t="str">
        <f t="shared" si="1"/>
        <v/>
      </c>
    </row>
    <row r="731">
      <c r="B731" s="16"/>
      <c r="C731" s="12"/>
      <c r="D731" s="12"/>
      <c r="E731" s="12"/>
      <c r="F731" s="25"/>
      <c r="G731" s="12"/>
      <c r="H731" s="12"/>
      <c r="I731" s="12"/>
      <c r="J731" s="16"/>
      <c r="N731" s="16"/>
      <c r="O731" s="16"/>
      <c r="P731" s="16" t="str">
        <f t="shared" si="1"/>
        <v/>
      </c>
    </row>
    <row r="732">
      <c r="B732" s="16"/>
      <c r="C732" s="12"/>
      <c r="D732" s="12"/>
      <c r="E732" s="12"/>
      <c r="F732" s="25"/>
      <c r="G732" s="12"/>
      <c r="H732" s="12"/>
      <c r="I732" s="12"/>
      <c r="J732" s="16"/>
      <c r="N732" s="16"/>
      <c r="O732" s="16"/>
      <c r="P732" s="16" t="str">
        <f t="shared" si="1"/>
        <v/>
      </c>
    </row>
    <row r="733">
      <c r="B733" s="16"/>
      <c r="C733" s="12"/>
      <c r="D733" s="12"/>
      <c r="E733" s="12"/>
      <c r="F733" s="25"/>
      <c r="G733" s="12"/>
      <c r="H733" s="12"/>
      <c r="I733" s="12"/>
      <c r="J733" s="16"/>
      <c r="N733" s="16"/>
      <c r="O733" s="16"/>
      <c r="P733" s="16" t="str">
        <f t="shared" si="1"/>
        <v/>
      </c>
    </row>
    <row r="734">
      <c r="B734" s="16"/>
      <c r="C734" s="12"/>
      <c r="D734" s="12"/>
      <c r="E734" s="12"/>
      <c r="F734" s="25"/>
      <c r="G734" s="12"/>
      <c r="H734" s="12"/>
      <c r="I734" s="12"/>
      <c r="J734" s="16"/>
      <c r="N734" s="16"/>
      <c r="O734" s="16"/>
      <c r="P734" s="16" t="str">
        <f t="shared" si="1"/>
        <v/>
      </c>
    </row>
    <row r="735">
      <c r="B735" s="16"/>
      <c r="C735" s="12"/>
      <c r="D735" s="12"/>
      <c r="E735" s="12"/>
      <c r="F735" s="25"/>
      <c r="G735" s="12"/>
      <c r="H735" s="12"/>
      <c r="I735" s="12"/>
      <c r="J735" s="16"/>
      <c r="N735" s="16"/>
      <c r="O735" s="16"/>
      <c r="P735" s="16" t="str">
        <f t="shared" si="1"/>
        <v/>
      </c>
    </row>
    <row r="736">
      <c r="B736" s="16"/>
      <c r="C736" s="12"/>
      <c r="D736" s="12"/>
      <c r="E736" s="12"/>
      <c r="F736" s="25"/>
      <c r="G736" s="12"/>
      <c r="H736" s="12"/>
      <c r="I736" s="12"/>
      <c r="J736" s="16"/>
      <c r="N736" s="16"/>
      <c r="O736" s="16"/>
      <c r="P736" s="16" t="str">
        <f t="shared" si="1"/>
        <v/>
      </c>
    </row>
    <row r="737">
      <c r="B737" s="16"/>
      <c r="C737" s="12"/>
      <c r="D737" s="12"/>
      <c r="E737" s="12"/>
      <c r="F737" s="25"/>
      <c r="G737" s="12"/>
      <c r="H737" s="12"/>
      <c r="I737" s="12"/>
      <c r="J737" s="16"/>
      <c r="N737" s="16"/>
      <c r="O737" s="16"/>
      <c r="P737" s="16" t="str">
        <f t="shared" si="1"/>
        <v/>
      </c>
    </row>
    <row r="738">
      <c r="B738" s="16"/>
      <c r="C738" s="12"/>
      <c r="D738" s="12"/>
      <c r="E738" s="12"/>
      <c r="F738" s="25"/>
      <c r="G738" s="12"/>
      <c r="H738" s="12"/>
      <c r="I738" s="12"/>
      <c r="J738" s="16"/>
      <c r="N738" s="16"/>
      <c r="O738" s="16"/>
      <c r="P738" s="16" t="str">
        <f t="shared" si="1"/>
        <v/>
      </c>
    </row>
    <row r="739">
      <c r="B739" s="16"/>
      <c r="C739" s="12"/>
      <c r="D739" s="12"/>
      <c r="E739" s="12"/>
      <c r="F739" s="25"/>
      <c r="G739" s="12"/>
      <c r="H739" s="12"/>
      <c r="I739" s="12"/>
      <c r="J739" s="16"/>
      <c r="N739" s="16"/>
      <c r="O739" s="16"/>
      <c r="P739" s="16" t="str">
        <f t="shared" si="1"/>
        <v/>
      </c>
    </row>
    <row r="740">
      <c r="B740" s="16"/>
      <c r="C740" s="12"/>
      <c r="D740" s="12"/>
      <c r="E740" s="12"/>
      <c r="F740" s="25"/>
      <c r="G740" s="12"/>
      <c r="H740" s="12"/>
      <c r="I740" s="12"/>
      <c r="J740" s="16"/>
      <c r="N740" s="16"/>
      <c r="O740" s="16"/>
      <c r="P740" s="16" t="str">
        <f t="shared" si="1"/>
        <v/>
      </c>
    </row>
    <row r="741">
      <c r="B741" s="16"/>
      <c r="C741" s="12"/>
      <c r="D741" s="12"/>
      <c r="E741" s="12"/>
      <c r="F741" s="25"/>
      <c r="G741" s="12"/>
      <c r="H741" s="12"/>
      <c r="I741" s="12"/>
      <c r="J741" s="16"/>
      <c r="N741" s="16"/>
      <c r="O741" s="16"/>
      <c r="P741" s="16" t="str">
        <f t="shared" si="1"/>
        <v/>
      </c>
    </row>
    <row r="742">
      <c r="B742" s="16"/>
      <c r="C742" s="12"/>
      <c r="D742" s="12"/>
      <c r="E742" s="12"/>
      <c r="F742" s="25"/>
      <c r="G742" s="12"/>
      <c r="H742" s="12"/>
      <c r="I742" s="12"/>
      <c r="J742" s="16"/>
      <c r="N742" s="16"/>
      <c r="O742" s="16"/>
      <c r="P742" s="16" t="str">
        <f t="shared" si="1"/>
        <v/>
      </c>
    </row>
    <row r="743">
      <c r="B743" s="16"/>
      <c r="C743" s="12"/>
      <c r="D743" s="12"/>
      <c r="E743" s="12"/>
      <c r="F743" s="25"/>
      <c r="G743" s="12"/>
      <c r="H743" s="12"/>
      <c r="I743" s="12"/>
      <c r="J743" s="16"/>
      <c r="N743" s="16"/>
      <c r="O743" s="16"/>
      <c r="P743" s="16" t="str">
        <f t="shared" si="1"/>
        <v/>
      </c>
    </row>
    <row r="744">
      <c r="B744" s="16"/>
      <c r="C744" s="12"/>
      <c r="D744" s="12"/>
      <c r="E744" s="12"/>
      <c r="F744" s="25"/>
      <c r="G744" s="12"/>
      <c r="H744" s="12"/>
      <c r="I744" s="12"/>
      <c r="J744" s="16"/>
      <c r="N744" s="16"/>
      <c r="O744" s="16"/>
      <c r="P744" s="16" t="str">
        <f t="shared" si="1"/>
        <v/>
      </c>
    </row>
    <row r="745">
      <c r="B745" s="16"/>
      <c r="C745" s="12"/>
      <c r="D745" s="12"/>
      <c r="E745" s="12"/>
      <c r="F745" s="25"/>
      <c r="G745" s="12"/>
      <c r="H745" s="12"/>
      <c r="I745" s="12"/>
      <c r="J745" s="16"/>
      <c r="N745" s="16"/>
      <c r="O745" s="16"/>
      <c r="P745" s="16" t="str">
        <f t="shared" si="1"/>
        <v/>
      </c>
    </row>
    <row r="746">
      <c r="B746" s="16"/>
      <c r="C746" s="12"/>
      <c r="D746" s="12"/>
      <c r="E746" s="12"/>
      <c r="F746" s="25"/>
      <c r="G746" s="12"/>
      <c r="H746" s="12"/>
      <c r="I746" s="12"/>
      <c r="J746" s="16"/>
      <c r="N746" s="16"/>
      <c r="O746" s="16"/>
      <c r="P746" s="16" t="str">
        <f t="shared" si="1"/>
        <v/>
      </c>
    </row>
    <row r="747">
      <c r="B747" s="16"/>
      <c r="C747" s="12"/>
      <c r="D747" s="12"/>
      <c r="E747" s="12"/>
      <c r="F747" s="25"/>
      <c r="G747" s="12"/>
      <c r="H747" s="12"/>
      <c r="I747" s="12"/>
      <c r="J747" s="16"/>
      <c r="N747" s="16"/>
      <c r="O747" s="16"/>
      <c r="P747" s="16" t="str">
        <f t="shared" si="1"/>
        <v/>
      </c>
    </row>
    <row r="748">
      <c r="B748" s="16"/>
      <c r="C748" s="12"/>
      <c r="D748" s="12"/>
      <c r="E748" s="12"/>
      <c r="F748" s="25"/>
      <c r="G748" s="12"/>
      <c r="H748" s="12"/>
      <c r="I748" s="12"/>
      <c r="J748" s="16"/>
      <c r="N748" s="16"/>
      <c r="O748" s="16"/>
      <c r="P748" s="16" t="str">
        <f t="shared" si="1"/>
        <v/>
      </c>
    </row>
    <row r="749">
      <c r="B749" s="16"/>
      <c r="C749" s="12"/>
      <c r="D749" s="12"/>
      <c r="E749" s="12"/>
      <c r="F749" s="25"/>
      <c r="G749" s="12"/>
      <c r="H749" s="12"/>
      <c r="I749" s="12"/>
      <c r="J749" s="16"/>
      <c r="N749" s="16"/>
      <c r="O749" s="16"/>
      <c r="P749" s="16" t="str">
        <f t="shared" si="1"/>
        <v/>
      </c>
    </row>
    <row r="750">
      <c r="B750" s="16"/>
      <c r="C750" s="12"/>
      <c r="D750" s="12"/>
      <c r="E750" s="12"/>
      <c r="F750" s="25"/>
      <c r="G750" s="12"/>
      <c r="H750" s="12"/>
      <c r="I750" s="12"/>
      <c r="J750" s="16"/>
      <c r="N750" s="16"/>
      <c r="O750" s="16"/>
      <c r="P750" s="16" t="str">
        <f t="shared" si="1"/>
        <v/>
      </c>
    </row>
    <row r="751">
      <c r="B751" s="16"/>
      <c r="C751" s="12"/>
      <c r="D751" s="12"/>
      <c r="E751" s="12"/>
      <c r="F751" s="25"/>
      <c r="G751" s="12"/>
      <c r="H751" s="12"/>
      <c r="I751" s="12"/>
      <c r="J751" s="16"/>
      <c r="N751" s="16"/>
      <c r="O751" s="16"/>
      <c r="P751" s="16" t="str">
        <f t="shared" si="1"/>
        <v/>
      </c>
    </row>
    <row r="752">
      <c r="B752" s="16"/>
      <c r="C752" s="12"/>
      <c r="D752" s="12"/>
      <c r="E752" s="12"/>
      <c r="F752" s="25"/>
      <c r="G752" s="12"/>
      <c r="H752" s="12"/>
      <c r="I752" s="12"/>
      <c r="J752" s="16"/>
      <c r="N752" s="16"/>
      <c r="O752" s="16"/>
      <c r="P752" s="16" t="str">
        <f t="shared" si="1"/>
        <v/>
      </c>
    </row>
    <row r="753">
      <c r="B753" s="16"/>
      <c r="C753" s="12"/>
      <c r="D753" s="12"/>
      <c r="E753" s="12"/>
      <c r="F753" s="25"/>
      <c r="G753" s="12"/>
      <c r="H753" s="12"/>
      <c r="I753" s="12"/>
      <c r="J753" s="16"/>
      <c r="N753" s="16"/>
      <c r="O753" s="16"/>
      <c r="P753" s="16" t="str">
        <f t="shared" si="1"/>
        <v/>
      </c>
    </row>
    <row r="754">
      <c r="B754" s="16"/>
      <c r="C754" s="12"/>
      <c r="D754" s="12"/>
      <c r="E754" s="12"/>
      <c r="F754" s="25"/>
      <c r="G754" s="12"/>
      <c r="H754" s="12"/>
      <c r="I754" s="12"/>
      <c r="J754" s="16"/>
      <c r="N754" s="16"/>
      <c r="O754" s="16"/>
      <c r="P754" s="16" t="str">
        <f t="shared" si="1"/>
        <v/>
      </c>
    </row>
    <row r="755">
      <c r="B755" s="16"/>
      <c r="C755" s="12"/>
      <c r="D755" s="12"/>
      <c r="E755" s="12"/>
      <c r="F755" s="25"/>
      <c r="G755" s="12"/>
      <c r="H755" s="12"/>
      <c r="I755" s="12"/>
      <c r="J755" s="16"/>
      <c r="N755" s="16"/>
      <c r="O755" s="16"/>
      <c r="P755" s="16" t="str">
        <f t="shared" si="1"/>
        <v/>
      </c>
    </row>
    <row r="756">
      <c r="B756" s="16"/>
      <c r="C756" s="12"/>
      <c r="D756" s="12"/>
      <c r="E756" s="12"/>
      <c r="F756" s="25"/>
      <c r="G756" s="12"/>
      <c r="H756" s="12"/>
      <c r="I756" s="12"/>
      <c r="J756" s="16"/>
      <c r="N756" s="16"/>
      <c r="O756" s="16"/>
      <c r="P756" s="16" t="str">
        <f t="shared" si="1"/>
        <v/>
      </c>
    </row>
    <row r="757">
      <c r="B757" s="16"/>
      <c r="C757" s="12"/>
      <c r="D757" s="12"/>
      <c r="E757" s="12"/>
      <c r="F757" s="25"/>
      <c r="G757" s="12"/>
      <c r="H757" s="12"/>
      <c r="I757" s="12"/>
      <c r="J757" s="16"/>
      <c r="N757" s="16"/>
      <c r="O757" s="16"/>
      <c r="P757" s="16" t="str">
        <f t="shared" si="1"/>
        <v/>
      </c>
    </row>
    <row r="758">
      <c r="B758" s="16"/>
      <c r="C758" s="12"/>
      <c r="D758" s="12"/>
      <c r="E758" s="12"/>
      <c r="F758" s="25"/>
      <c r="G758" s="12"/>
      <c r="H758" s="12"/>
      <c r="I758" s="12"/>
      <c r="J758" s="16"/>
      <c r="N758" s="16"/>
      <c r="O758" s="16"/>
      <c r="P758" s="16" t="str">
        <f t="shared" si="1"/>
        <v/>
      </c>
    </row>
    <row r="759">
      <c r="B759" s="16"/>
      <c r="C759" s="12"/>
      <c r="D759" s="12"/>
      <c r="E759" s="12"/>
      <c r="F759" s="25"/>
      <c r="G759" s="12"/>
      <c r="H759" s="12"/>
      <c r="I759" s="12"/>
      <c r="J759" s="16"/>
      <c r="N759" s="16"/>
      <c r="O759" s="16"/>
      <c r="P759" s="16" t="str">
        <f t="shared" si="1"/>
        <v/>
      </c>
    </row>
    <row r="760">
      <c r="B760" s="16"/>
      <c r="C760" s="12"/>
      <c r="D760" s="12"/>
      <c r="E760" s="12"/>
      <c r="F760" s="25"/>
      <c r="G760" s="12"/>
      <c r="H760" s="12"/>
      <c r="I760" s="12"/>
      <c r="J760" s="16"/>
      <c r="N760" s="16"/>
      <c r="O760" s="16"/>
      <c r="P760" s="16" t="str">
        <f t="shared" si="1"/>
        <v/>
      </c>
    </row>
    <row r="761">
      <c r="B761" s="16"/>
      <c r="C761" s="12"/>
      <c r="D761" s="12"/>
      <c r="E761" s="12"/>
      <c r="F761" s="25"/>
      <c r="G761" s="12"/>
      <c r="H761" s="12"/>
      <c r="I761" s="12"/>
      <c r="J761" s="16"/>
      <c r="N761" s="16"/>
      <c r="O761" s="16"/>
      <c r="P761" s="16" t="str">
        <f t="shared" si="1"/>
        <v/>
      </c>
    </row>
    <row r="762">
      <c r="B762" s="16"/>
      <c r="C762" s="12"/>
      <c r="D762" s="12"/>
      <c r="E762" s="12"/>
      <c r="F762" s="25"/>
      <c r="G762" s="12"/>
      <c r="H762" s="12"/>
      <c r="I762" s="12"/>
      <c r="J762" s="16"/>
      <c r="N762" s="16"/>
      <c r="O762" s="16"/>
      <c r="P762" s="16" t="str">
        <f t="shared" si="1"/>
        <v/>
      </c>
    </row>
    <row r="763">
      <c r="B763" s="16"/>
      <c r="C763" s="12"/>
      <c r="D763" s="12"/>
      <c r="E763" s="12"/>
      <c r="F763" s="25"/>
      <c r="G763" s="12"/>
      <c r="H763" s="12"/>
      <c r="I763" s="12"/>
      <c r="J763" s="16"/>
      <c r="N763" s="16"/>
      <c r="O763" s="16"/>
      <c r="P763" s="16" t="str">
        <f t="shared" si="1"/>
        <v/>
      </c>
    </row>
    <row r="764">
      <c r="B764" s="16"/>
      <c r="C764" s="12"/>
      <c r="D764" s="12"/>
      <c r="E764" s="12"/>
      <c r="F764" s="25"/>
      <c r="G764" s="12"/>
      <c r="H764" s="12"/>
      <c r="I764" s="12"/>
      <c r="J764" s="16"/>
      <c r="N764" s="16"/>
      <c r="O764" s="16"/>
      <c r="P764" s="16" t="str">
        <f t="shared" si="1"/>
        <v/>
      </c>
    </row>
    <row r="765">
      <c r="B765" s="16"/>
      <c r="C765" s="12"/>
      <c r="D765" s="12"/>
      <c r="E765" s="12"/>
      <c r="F765" s="25"/>
      <c r="G765" s="12"/>
      <c r="H765" s="12"/>
      <c r="I765" s="12"/>
      <c r="J765" s="16"/>
      <c r="N765" s="16"/>
      <c r="O765" s="16"/>
      <c r="P765" s="16" t="str">
        <f t="shared" si="1"/>
        <v/>
      </c>
    </row>
    <row r="766">
      <c r="B766" s="16"/>
      <c r="C766" s="12"/>
      <c r="D766" s="12"/>
      <c r="E766" s="12"/>
      <c r="F766" s="25"/>
      <c r="G766" s="12"/>
      <c r="H766" s="12"/>
      <c r="I766" s="12"/>
      <c r="J766" s="16"/>
      <c r="N766" s="16"/>
      <c r="O766" s="16"/>
      <c r="P766" s="16" t="str">
        <f t="shared" si="1"/>
        <v/>
      </c>
    </row>
    <row r="767">
      <c r="B767" s="16"/>
      <c r="C767" s="12"/>
      <c r="D767" s="12"/>
      <c r="E767" s="12"/>
      <c r="F767" s="25"/>
      <c r="G767" s="12"/>
      <c r="H767" s="12"/>
      <c r="I767" s="12"/>
      <c r="J767" s="16"/>
      <c r="N767" s="16"/>
      <c r="O767" s="16"/>
      <c r="P767" s="16" t="str">
        <f t="shared" si="1"/>
        <v/>
      </c>
    </row>
    <row r="768">
      <c r="B768" s="16"/>
      <c r="C768" s="12"/>
      <c r="D768" s="12"/>
      <c r="E768" s="12"/>
      <c r="F768" s="25"/>
      <c r="G768" s="12"/>
      <c r="H768" s="12"/>
      <c r="I768" s="12"/>
      <c r="J768" s="16"/>
      <c r="N768" s="16"/>
      <c r="O768" s="16"/>
      <c r="P768" s="16" t="str">
        <f t="shared" si="1"/>
        <v/>
      </c>
    </row>
    <row r="769">
      <c r="B769" s="16"/>
      <c r="C769" s="12"/>
      <c r="D769" s="12"/>
      <c r="E769" s="12"/>
      <c r="F769" s="25"/>
      <c r="G769" s="12"/>
      <c r="H769" s="12"/>
      <c r="I769" s="12"/>
      <c r="J769" s="16"/>
      <c r="N769" s="16"/>
      <c r="O769" s="16"/>
      <c r="P769" s="16" t="str">
        <f t="shared" si="1"/>
        <v/>
      </c>
    </row>
    <row r="770">
      <c r="B770" s="16"/>
      <c r="C770" s="12"/>
      <c r="D770" s="12"/>
      <c r="E770" s="12"/>
      <c r="F770" s="25"/>
      <c r="G770" s="12"/>
      <c r="H770" s="12"/>
      <c r="I770" s="12"/>
      <c r="J770" s="16"/>
      <c r="N770" s="16"/>
      <c r="O770" s="16"/>
      <c r="P770" s="16" t="str">
        <f t="shared" si="1"/>
        <v/>
      </c>
    </row>
    <row r="771">
      <c r="B771" s="16"/>
      <c r="C771" s="12"/>
      <c r="D771" s="12"/>
      <c r="E771" s="12"/>
      <c r="F771" s="25"/>
      <c r="G771" s="12"/>
      <c r="H771" s="12"/>
      <c r="I771" s="12"/>
      <c r="J771" s="16"/>
      <c r="N771" s="16"/>
      <c r="O771" s="16"/>
      <c r="P771" s="16" t="str">
        <f t="shared" si="1"/>
        <v/>
      </c>
    </row>
    <row r="772">
      <c r="B772" s="16"/>
      <c r="C772" s="12"/>
      <c r="D772" s="12"/>
      <c r="E772" s="12"/>
      <c r="F772" s="25"/>
      <c r="G772" s="12"/>
      <c r="H772" s="12"/>
      <c r="I772" s="12"/>
      <c r="J772" s="16"/>
      <c r="N772" s="16"/>
      <c r="O772" s="16"/>
      <c r="P772" s="16" t="str">
        <f t="shared" si="1"/>
        <v/>
      </c>
    </row>
    <row r="773">
      <c r="B773" s="16"/>
      <c r="C773" s="12"/>
      <c r="D773" s="12"/>
      <c r="E773" s="12"/>
      <c r="F773" s="25"/>
      <c r="G773" s="12"/>
      <c r="H773" s="12"/>
      <c r="I773" s="12"/>
      <c r="J773" s="16"/>
      <c r="N773" s="16"/>
      <c r="O773" s="16"/>
      <c r="P773" s="16" t="str">
        <f t="shared" si="1"/>
        <v/>
      </c>
    </row>
    <row r="774">
      <c r="B774" s="16"/>
      <c r="C774" s="12"/>
      <c r="D774" s="12"/>
      <c r="E774" s="12"/>
      <c r="F774" s="25"/>
      <c r="G774" s="12"/>
      <c r="H774" s="12"/>
      <c r="I774" s="12"/>
      <c r="J774" s="16"/>
      <c r="N774" s="16"/>
      <c r="O774" s="16"/>
      <c r="P774" s="16" t="str">
        <f t="shared" si="1"/>
        <v/>
      </c>
    </row>
    <row r="775">
      <c r="B775" s="16"/>
      <c r="C775" s="12"/>
      <c r="D775" s="12"/>
      <c r="E775" s="12"/>
      <c r="F775" s="25"/>
      <c r="G775" s="12"/>
      <c r="H775" s="12"/>
      <c r="I775" s="12"/>
      <c r="J775" s="16"/>
      <c r="N775" s="16"/>
      <c r="O775" s="16"/>
      <c r="P775" s="16" t="str">
        <f t="shared" si="1"/>
        <v/>
      </c>
    </row>
    <row r="776">
      <c r="B776" s="16"/>
      <c r="C776" s="12"/>
      <c r="D776" s="12"/>
      <c r="E776" s="12"/>
      <c r="F776" s="25"/>
      <c r="G776" s="12"/>
      <c r="H776" s="12"/>
      <c r="I776" s="12"/>
      <c r="J776" s="16"/>
      <c r="N776" s="16"/>
      <c r="O776" s="16"/>
      <c r="P776" s="16" t="str">
        <f t="shared" si="1"/>
        <v/>
      </c>
    </row>
    <row r="777">
      <c r="B777" s="16"/>
      <c r="C777" s="12"/>
      <c r="D777" s="12"/>
      <c r="E777" s="12"/>
      <c r="F777" s="25"/>
      <c r="G777" s="12"/>
      <c r="H777" s="12"/>
      <c r="I777" s="12"/>
      <c r="J777" s="16"/>
      <c r="N777" s="16"/>
      <c r="O777" s="16"/>
      <c r="P777" s="16" t="str">
        <f t="shared" si="1"/>
        <v/>
      </c>
    </row>
    <row r="778">
      <c r="B778" s="16"/>
      <c r="C778" s="12"/>
      <c r="D778" s="12"/>
      <c r="E778" s="12"/>
      <c r="F778" s="25"/>
      <c r="G778" s="12"/>
      <c r="H778" s="12"/>
      <c r="I778" s="12"/>
      <c r="J778" s="16"/>
      <c r="N778" s="16"/>
      <c r="O778" s="16"/>
      <c r="P778" s="16" t="str">
        <f t="shared" si="1"/>
        <v/>
      </c>
    </row>
    <row r="779">
      <c r="B779" s="16"/>
      <c r="C779" s="12"/>
      <c r="D779" s="12"/>
      <c r="E779" s="12"/>
      <c r="F779" s="25"/>
      <c r="G779" s="12"/>
      <c r="H779" s="12"/>
      <c r="I779" s="12"/>
      <c r="J779" s="16"/>
      <c r="N779" s="16"/>
      <c r="O779" s="16"/>
      <c r="P779" s="16" t="str">
        <f t="shared" si="1"/>
        <v/>
      </c>
    </row>
    <row r="780">
      <c r="B780" s="16"/>
      <c r="C780" s="12"/>
      <c r="D780" s="12"/>
      <c r="E780" s="12"/>
      <c r="F780" s="25"/>
      <c r="G780" s="12"/>
      <c r="H780" s="12"/>
      <c r="I780" s="12"/>
      <c r="J780" s="16"/>
      <c r="N780" s="16"/>
      <c r="O780" s="16"/>
      <c r="P780" s="16" t="str">
        <f t="shared" si="1"/>
        <v/>
      </c>
    </row>
    <row r="781">
      <c r="B781" s="16"/>
      <c r="C781" s="12"/>
      <c r="D781" s="12"/>
      <c r="E781" s="12"/>
      <c r="F781" s="25"/>
      <c r="G781" s="12"/>
      <c r="H781" s="12"/>
      <c r="I781" s="12"/>
      <c r="J781" s="16"/>
      <c r="N781" s="16"/>
      <c r="O781" s="16"/>
      <c r="P781" s="16" t="str">
        <f t="shared" si="1"/>
        <v/>
      </c>
    </row>
    <row r="782">
      <c r="B782" s="16"/>
      <c r="C782" s="12"/>
      <c r="D782" s="12"/>
      <c r="E782" s="12"/>
      <c r="F782" s="25"/>
      <c r="G782" s="12"/>
      <c r="H782" s="12"/>
      <c r="I782" s="12"/>
      <c r="J782" s="16"/>
      <c r="N782" s="16"/>
      <c r="O782" s="16"/>
      <c r="P782" s="16" t="str">
        <f t="shared" si="1"/>
        <v/>
      </c>
    </row>
    <row r="783">
      <c r="B783" s="16"/>
      <c r="C783" s="12"/>
      <c r="D783" s="12"/>
      <c r="E783" s="12"/>
      <c r="F783" s="25"/>
      <c r="G783" s="12"/>
      <c r="H783" s="12"/>
      <c r="I783" s="12"/>
      <c r="J783" s="16"/>
      <c r="N783" s="16"/>
      <c r="O783" s="16"/>
      <c r="P783" s="16" t="str">
        <f t="shared" si="1"/>
        <v/>
      </c>
    </row>
    <row r="784">
      <c r="B784" s="16"/>
      <c r="C784" s="12"/>
      <c r="D784" s="12"/>
      <c r="E784" s="12"/>
      <c r="F784" s="25"/>
      <c r="G784" s="12"/>
      <c r="H784" s="12"/>
      <c r="I784" s="12"/>
      <c r="J784" s="16"/>
      <c r="N784" s="16"/>
      <c r="O784" s="16"/>
      <c r="P784" s="16" t="str">
        <f t="shared" si="1"/>
        <v/>
      </c>
    </row>
    <row r="785">
      <c r="B785" s="16"/>
      <c r="C785" s="12"/>
      <c r="D785" s="12"/>
      <c r="E785" s="12"/>
      <c r="F785" s="25"/>
      <c r="G785" s="12"/>
      <c r="H785" s="12"/>
      <c r="I785" s="12"/>
      <c r="J785" s="16"/>
      <c r="N785" s="16"/>
      <c r="O785" s="16"/>
      <c r="P785" s="16" t="str">
        <f t="shared" si="1"/>
        <v/>
      </c>
    </row>
    <row r="786">
      <c r="B786" s="16"/>
      <c r="C786" s="12"/>
      <c r="D786" s="12"/>
      <c r="E786" s="12"/>
      <c r="F786" s="25"/>
      <c r="G786" s="12"/>
      <c r="H786" s="12"/>
      <c r="I786" s="12"/>
      <c r="J786" s="16"/>
      <c r="N786" s="16"/>
      <c r="O786" s="16"/>
      <c r="P786" s="16" t="str">
        <f t="shared" si="1"/>
        <v/>
      </c>
    </row>
    <row r="787">
      <c r="B787" s="16"/>
      <c r="C787" s="12"/>
      <c r="D787" s="12"/>
      <c r="E787" s="12"/>
      <c r="F787" s="25"/>
      <c r="G787" s="12"/>
      <c r="H787" s="12"/>
      <c r="I787" s="12"/>
      <c r="J787" s="16"/>
      <c r="N787" s="16"/>
      <c r="O787" s="16"/>
      <c r="P787" s="16" t="str">
        <f t="shared" si="1"/>
        <v/>
      </c>
    </row>
    <row r="788">
      <c r="B788" s="16"/>
      <c r="C788" s="12"/>
      <c r="D788" s="12"/>
      <c r="E788" s="12"/>
      <c r="F788" s="25"/>
      <c r="G788" s="12"/>
      <c r="H788" s="12"/>
      <c r="I788" s="12"/>
      <c r="J788" s="16"/>
      <c r="N788" s="16"/>
      <c r="O788" s="16"/>
      <c r="P788" s="16" t="str">
        <f t="shared" si="1"/>
        <v/>
      </c>
    </row>
    <row r="789">
      <c r="B789" s="16"/>
      <c r="C789" s="12"/>
      <c r="D789" s="12"/>
      <c r="E789" s="12"/>
      <c r="F789" s="25"/>
      <c r="G789" s="12"/>
      <c r="H789" s="12"/>
      <c r="I789" s="12"/>
      <c r="J789" s="16"/>
      <c r="N789" s="16"/>
      <c r="O789" s="16"/>
      <c r="P789" s="16" t="str">
        <f t="shared" si="1"/>
        <v/>
      </c>
    </row>
    <row r="790">
      <c r="B790" s="16"/>
      <c r="C790" s="12"/>
      <c r="D790" s="12"/>
      <c r="E790" s="12"/>
      <c r="F790" s="25"/>
      <c r="G790" s="12"/>
      <c r="H790" s="12"/>
      <c r="I790" s="12"/>
      <c r="J790" s="16"/>
      <c r="N790" s="16"/>
      <c r="O790" s="16"/>
      <c r="P790" s="16" t="str">
        <f t="shared" si="1"/>
        <v/>
      </c>
    </row>
    <row r="791">
      <c r="B791" s="16"/>
      <c r="C791" s="12"/>
      <c r="D791" s="12"/>
      <c r="E791" s="12"/>
      <c r="F791" s="25"/>
      <c r="G791" s="12"/>
      <c r="H791" s="12"/>
      <c r="I791" s="12"/>
      <c r="J791" s="16"/>
      <c r="N791" s="16"/>
      <c r="O791" s="16"/>
      <c r="P791" s="16" t="str">
        <f t="shared" si="1"/>
        <v/>
      </c>
    </row>
    <row r="792">
      <c r="B792" s="16"/>
      <c r="C792" s="12"/>
      <c r="D792" s="12"/>
      <c r="E792" s="12"/>
      <c r="F792" s="25"/>
      <c r="G792" s="12"/>
      <c r="H792" s="12"/>
      <c r="I792" s="12"/>
      <c r="J792" s="16"/>
      <c r="N792" s="16"/>
      <c r="O792" s="16"/>
      <c r="P792" s="16" t="str">
        <f t="shared" si="1"/>
        <v/>
      </c>
    </row>
    <row r="793">
      <c r="B793" s="16"/>
      <c r="C793" s="12"/>
      <c r="D793" s="12"/>
      <c r="E793" s="12"/>
      <c r="F793" s="25"/>
      <c r="G793" s="12"/>
      <c r="H793" s="12"/>
      <c r="I793" s="12"/>
      <c r="J793" s="16"/>
      <c r="N793" s="16"/>
      <c r="O793" s="16"/>
      <c r="P793" s="16" t="str">
        <f t="shared" si="1"/>
        <v/>
      </c>
    </row>
    <row r="794">
      <c r="B794" s="16"/>
      <c r="C794" s="12"/>
      <c r="D794" s="12"/>
      <c r="E794" s="12"/>
      <c r="F794" s="25"/>
      <c r="G794" s="12"/>
      <c r="H794" s="12"/>
      <c r="I794" s="12"/>
      <c r="J794" s="16"/>
      <c r="N794" s="16"/>
      <c r="O794" s="16"/>
      <c r="P794" s="16" t="str">
        <f t="shared" si="1"/>
        <v/>
      </c>
    </row>
    <row r="795">
      <c r="B795" s="16"/>
      <c r="C795" s="12"/>
      <c r="D795" s="12"/>
      <c r="E795" s="12"/>
      <c r="F795" s="25"/>
      <c r="G795" s="12"/>
      <c r="H795" s="12"/>
      <c r="I795" s="12"/>
      <c r="J795" s="16"/>
      <c r="N795" s="16"/>
      <c r="O795" s="16"/>
      <c r="P795" s="16" t="str">
        <f t="shared" si="1"/>
        <v/>
      </c>
    </row>
    <row r="796">
      <c r="B796" s="16"/>
      <c r="C796" s="12"/>
      <c r="D796" s="12"/>
      <c r="E796" s="12"/>
      <c r="F796" s="25"/>
      <c r="G796" s="12"/>
      <c r="H796" s="12"/>
      <c r="I796" s="12"/>
      <c r="J796" s="16"/>
      <c r="N796" s="16"/>
      <c r="O796" s="16"/>
      <c r="P796" s="16" t="str">
        <f t="shared" si="1"/>
        <v/>
      </c>
    </row>
    <row r="797">
      <c r="B797" s="16"/>
      <c r="C797" s="12"/>
      <c r="D797" s="12"/>
      <c r="E797" s="12"/>
      <c r="F797" s="25"/>
      <c r="G797" s="12"/>
      <c r="H797" s="12"/>
      <c r="I797" s="12"/>
      <c r="J797" s="16"/>
      <c r="N797" s="16"/>
      <c r="O797" s="16"/>
      <c r="P797" s="16" t="str">
        <f t="shared" si="1"/>
        <v/>
      </c>
    </row>
    <row r="798">
      <c r="B798" s="16"/>
      <c r="C798" s="12"/>
      <c r="D798" s="12"/>
      <c r="E798" s="12"/>
      <c r="F798" s="25"/>
      <c r="G798" s="12"/>
      <c r="H798" s="12"/>
      <c r="I798" s="12"/>
      <c r="J798" s="16"/>
      <c r="N798" s="16"/>
      <c r="O798" s="16"/>
      <c r="P798" s="16" t="str">
        <f t="shared" si="1"/>
        <v/>
      </c>
    </row>
    <row r="799">
      <c r="B799" s="16"/>
      <c r="C799" s="12"/>
      <c r="D799" s="12"/>
      <c r="E799" s="12"/>
      <c r="F799" s="25"/>
      <c r="G799" s="12"/>
      <c r="H799" s="12"/>
      <c r="I799" s="12"/>
      <c r="J799" s="16"/>
      <c r="N799" s="16"/>
      <c r="O799" s="16"/>
      <c r="P799" s="16" t="str">
        <f t="shared" si="1"/>
        <v/>
      </c>
    </row>
    <row r="800">
      <c r="B800" s="16"/>
      <c r="C800" s="12"/>
      <c r="D800" s="12"/>
      <c r="E800" s="12"/>
      <c r="F800" s="25"/>
      <c r="G800" s="12"/>
      <c r="H800" s="12"/>
      <c r="I800" s="12"/>
      <c r="J800" s="16"/>
      <c r="N800" s="16"/>
      <c r="O800" s="16"/>
      <c r="P800" s="16" t="str">
        <f t="shared" si="1"/>
        <v/>
      </c>
    </row>
    <row r="801">
      <c r="B801" s="16"/>
      <c r="C801" s="12"/>
      <c r="D801" s="12"/>
      <c r="E801" s="12"/>
      <c r="F801" s="25"/>
      <c r="G801" s="12"/>
      <c r="H801" s="12"/>
      <c r="I801" s="12"/>
      <c r="J801" s="16"/>
      <c r="N801" s="16"/>
      <c r="O801" s="16"/>
      <c r="P801" s="16" t="str">
        <f t="shared" si="1"/>
        <v/>
      </c>
    </row>
    <row r="802">
      <c r="B802" s="16"/>
      <c r="C802" s="12"/>
      <c r="D802" s="12"/>
      <c r="E802" s="12"/>
      <c r="F802" s="25"/>
      <c r="G802" s="12"/>
      <c r="H802" s="12"/>
      <c r="I802" s="12"/>
      <c r="J802" s="16"/>
      <c r="N802" s="16"/>
      <c r="O802" s="16"/>
      <c r="P802" s="16" t="str">
        <f t="shared" si="1"/>
        <v/>
      </c>
    </row>
    <row r="803">
      <c r="B803" s="16"/>
      <c r="C803" s="12"/>
      <c r="D803" s="12"/>
      <c r="E803" s="12"/>
      <c r="F803" s="25"/>
      <c r="G803" s="12"/>
      <c r="H803" s="12"/>
      <c r="I803" s="12"/>
      <c r="J803" s="16"/>
      <c r="N803" s="16"/>
      <c r="O803" s="16"/>
      <c r="P803" s="16" t="str">
        <f t="shared" si="1"/>
        <v/>
      </c>
    </row>
    <row r="804">
      <c r="B804" s="16"/>
      <c r="C804" s="12"/>
      <c r="D804" s="12"/>
      <c r="E804" s="12"/>
      <c r="F804" s="25"/>
      <c r="G804" s="12"/>
      <c r="H804" s="12"/>
      <c r="I804" s="12"/>
      <c r="J804" s="16"/>
      <c r="N804" s="16"/>
      <c r="O804" s="16"/>
      <c r="P804" s="16" t="str">
        <f t="shared" si="1"/>
        <v/>
      </c>
    </row>
    <row r="805">
      <c r="B805" s="16"/>
      <c r="C805" s="12"/>
      <c r="D805" s="12"/>
      <c r="E805" s="12"/>
      <c r="F805" s="25"/>
      <c r="G805" s="12"/>
      <c r="H805" s="12"/>
      <c r="I805" s="12"/>
      <c r="J805" s="16"/>
      <c r="N805" s="16"/>
      <c r="O805" s="16"/>
      <c r="P805" s="16" t="str">
        <f t="shared" si="1"/>
        <v/>
      </c>
    </row>
    <row r="806">
      <c r="B806" s="16"/>
      <c r="C806" s="12"/>
      <c r="D806" s="12"/>
      <c r="E806" s="12"/>
      <c r="F806" s="25"/>
      <c r="G806" s="12"/>
      <c r="H806" s="12"/>
      <c r="I806" s="12"/>
      <c r="J806" s="16"/>
      <c r="N806" s="16"/>
      <c r="O806" s="16"/>
      <c r="P806" s="16" t="str">
        <f t="shared" si="1"/>
        <v/>
      </c>
    </row>
    <row r="807">
      <c r="B807" s="16"/>
      <c r="C807" s="12"/>
      <c r="D807" s="12"/>
      <c r="E807" s="12"/>
      <c r="F807" s="25"/>
      <c r="G807" s="12"/>
      <c r="H807" s="12"/>
      <c r="I807" s="12"/>
      <c r="J807" s="16"/>
      <c r="N807" s="16"/>
      <c r="O807" s="16"/>
      <c r="P807" s="16" t="str">
        <f t="shared" si="1"/>
        <v/>
      </c>
    </row>
    <row r="808">
      <c r="B808" s="16"/>
      <c r="C808" s="12"/>
      <c r="D808" s="12"/>
      <c r="E808" s="12"/>
      <c r="F808" s="25"/>
      <c r="G808" s="12"/>
      <c r="H808" s="12"/>
      <c r="I808" s="12"/>
      <c r="J808" s="16"/>
      <c r="N808" s="16"/>
      <c r="O808" s="16"/>
      <c r="P808" s="16" t="str">
        <f t="shared" si="1"/>
        <v/>
      </c>
    </row>
    <row r="809">
      <c r="B809" s="16"/>
      <c r="C809" s="12"/>
      <c r="D809" s="12"/>
      <c r="E809" s="12"/>
      <c r="F809" s="25"/>
      <c r="G809" s="12"/>
      <c r="H809" s="12"/>
      <c r="I809" s="12"/>
      <c r="J809" s="16"/>
      <c r="N809" s="16"/>
      <c r="O809" s="16"/>
      <c r="P809" s="16" t="str">
        <f t="shared" si="1"/>
        <v/>
      </c>
    </row>
    <row r="810">
      <c r="B810" s="16"/>
      <c r="C810" s="12"/>
      <c r="D810" s="12"/>
      <c r="E810" s="12"/>
      <c r="F810" s="25"/>
      <c r="G810" s="12"/>
      <c r="H810" s="12"/>
      <c r="I810" s="12"/>
      <c r="J810" s="16"/>
      <c r="N810" s="16"/>
      <c r="O810" s="16"/>
      <c r="P810" s="16" t="str">
        <f t="shared" si="1"/>
        <v/>
      </c>
    </row>
    <row r="811">
      <c r="B811" s="16"/>
      <c r="C811" s="12"/>
      <c r="D811" s="12"/>
      <c r="E811" s="12"/>
      <c r="F811" s="25"/>
      <c r="G811" s="12"/>
      <c r="H811" s="12"/>
      <c r="I811" s="12"/>
      <c r="J811" s="16"/>
      <c r="N811" s="16"/>
      <c r="O811" s="16"/>
      <c r="P811" s="16" t="str">
        <f t="shared" si="1"/>
        <v/>
      </c>
    </row>
    <row r="812">
      <c r="B812" s="16"/>
      <c r="C812" s="12"/>
      <c r="D812" s="12"/>
      <c r="E812" s="12"/>
      <c r="F812" s="25"/>
      <c r="G812" s="12"/>
      <c r="H812" s="12"/>
      <c r="I812" s="12"/>
      <c r="J812" s="16"/>
      <c r="N812" s="16"/>
      <c r="O812" s="16"/>
      <c r="P812" s="16" t="str">
        <f t="shared" si="1"/>
        <v/>
      </c>
    </row>
    <row r="813">
      <c r="B813" s="16"/>
      <c r="C813" s="12"/>
      <c r="D813" s="12"/>
      <c r="E813" s="12"/>
      <c r="F813" s="25"/>
      <c r="G813" s="12"/>
      <c r="H813" s="12"/>
      <c r="I813" s="12"/>
      <c r="J813" s="16"/>
      <c r="N813" s="16"/>
      <c r="O813" s="16"/>
      <c r="P813" s="16" t="str">
        <f t="shared" si="1"/>
        <v/>
      </c>
    </row>
    <row r="814">
      <c r="B814" s="16"/>
      <c r="C814" s="12"/>
      <c r="D814" s="12"/>
      <c r="E814" s="12"/>
      <c r="F814" s="25"/>
      <c r="G814" s="12"/>
      <c r="H814" s="12"/>
      <c r="I814" s="12"/>
      <c r="J814" s="16"/>
      <c r="N814" s="16"/>
      <c r="O814" s="16"/>
      <c r="P814" s="16" t="str">
        <f t="shared" si="1"/>
        <v/>
      </c>
    </row>
    <row r="815">
      <c r="B815" s="16"/>
      <c r="C815" s="12"/>
      <c r="D815" s="12"/>
      <c r="E815" s="12"/>
      <c r="F815" s="25"/>
      <c r="G815" s="12"/>
      <c r="H815" s="12"/>
      <c r="I815" s="12"/>
      <c r="J815" s="16"/>
      <c r="N815" s="16"/>
      <c r="O815" s="16"/>
      <c r="P815" s="16" t="str">
        <f t="shared" si="1"/>
        <v/>
      </c>
    </row>
    <row r="816">
      <c r="B816" s="16"/>
      <c r="C816" s="12"/>
      <c r="D816" s="12"/>
      <c r="E816" s="12"/>
      <c r="F816" s="25"/>
      <c r="G816" s="12"/>
      <c r="H816" s="12"/>
      <c r="I816" s="12"/>
      <c r="J816" s="16"/>
      <c r="N816" s="16"/>
      <c r="O816" s="16"/>
      <c r="P816" s="16" t="str">
        <f t="shared" si="1"/>
        <v/>
      </c>
    </row>
    <row r="817">
      <c r="B817" s="16"/>
      <c r="C817" s="12"/>
      <c r="D817" s="12"/>
      <c r="E817" s="12"/>
      <c r="F817" s="25"/>
      <c r="G817" s="12"/>
      <c r="H817" s="12"/>
      <c r="I817" s="12"/>
      <c r="J817" s="16"/>
      <c r="N817" s="16"/>
      <c r="O817" s="16"/>
      <c r="P817" s="16" t="str">
        <f t="shared" si="1"/>
        <v/>
      </c>
    </row>
    <row r="818">
      <c r="B818" s="16"/>
      <c r="C818" s="12"/>
      <c r="D818" s="12"/>
      <c r="E818" s="12"/>
      <c r="F818" s="25"/>
      <c r="G818" s="12"/>
      <c r="H818" s="12"/>
      <c r="I818" s="12"/>
      <c r="J818" s="16"/>
      <c r="N818" s="16"/>
      <c r="O818" s="16"/>
      <c r="P818" s="16" t="str">
        <f t="shared" si="1"/>
        <v/>
      </c>
    </row>
    <row r="819">
      <c r="B819" s="16"/>
      <c r="C819" s="12"/>
      <c r="D819" s="12"/>
      <c r="E819" s="12"/>
      <c r="F819" s="25"/>
      <c r="G819" s="12"/>
      <c r="H819" s="12"/>
      <c r="I819" s="12"/>
      <c r="J819" s="16"/>
      <c r="N819" s="16"/>
      <c r="O819" s="16"/>
      <c r="P819" s="16" t="str">
        <f t="shared" si="1"/>
        <v/>
      </c>
    </row>
    <row r="820">
      <c r="B820" s="16"/>
      <c r="C820" s="12"/>
      <c r="D820" s="12"/>
      <c r="E820" s="12"/>
      <c r="F820" s="25"/>
      <c r="G820" s="12"/>
      <c r="H820" s="12"/>
      <c r="I820" s="12"/>
      <c r="J820" s="16"/>
      <c r="N820" s="16"/>
      <c r="O820" s="16"/>
      <c r="P820" s="16" t="str">
        <f t="shared" si="1"/>
        <v/>
      </c>
    </row>
    <row r="821">
      <c r="B821" s="16"/>
      <c r="C821" s="12"/>
      <c r="D821" s="12"/>
      <c r="E821" s="12"/>
      <c r="F821" s="25"/>
      <c r="G821" s="12"/>
      <c r="H821" s="12"/>
      <c r="I821" s="12"/>
      <c r="J821" s="16"/>
      <c r="N821" s="16"/>
      <c r="O821" s="16"/>
      <c r="P821" s="16" t="str">
        <f t="shared" si="1"/>
        <v/>
      </c>
    </row>
    <row r="822">
      <c r="B822" s="16"/>
      <c r="C822" s="12"/>
      <c r="D822" s="12"/>
      <c r="E822" s="12"/>
      <c r="F822" s="25"/>
      <c r="G822" s="12"/>
      <c r="H822" s="12"/>
      <c r="I822" s="12"/>
      <c r="J822" s="16"/>
      <c r="N822" s="16"/>
      <c r="O822" s="16"/>
      <c r="P822" s="16" t="str">
        <f t="shared" si="1"/>
        <v/>
      </c>
    </row>
    <row r="823">
      <c r="B823" s="16"/>
      <c r="C823" s="12"/>
      <c r="D823" s="12"/>
      <c r="E823" s="12"/>
      <c r="F823" s="25"/>
      <c r="G823" s="12"/>
      <c r="H823" s="12"/>
      <c r="I823" s="12"/>
      <c r="J823" s="16"/>
      <c r="N823" s="16"/>
      <c r="O823" s="16"/>
      <c r="P823" s="16" t="str">
        <f t="shared" si="1"/>
        <v/>
      </c>
    </row>
    <row r="824">
      <c r="B824" s="16"/>
      <c r="C824" s="12"/>
      <c r="D824" s="12"/>
      <c r="E824" s="12"/>
      <c r="F824" s="25"/>
      <c r="G824" s="12"/>
      <c r="H824" s="12"/>
      <c r="I824" s="12"/>
      <c r="J824" s="16"/>
      <c r="N824" s="16"/>
      <c r="O824" s="16"/>
      <c r="P824" s="16" t="str">
        <f t="shared" si="1"/>
        <v/>
      </c>
    </row>
    <row r="825">
      <c r="B825" s="16"/>
      <c r="C825" s="12"/>
      <c r="D825" s="12"/>
      <c r="E825" s="12"/>
      <c r="F825" s="25"/>
      <c r="G825" s="12"/>
      <c r="H825" s="12"/>
      <c r="I825" s="12"/>
      <c r="J825" s="16"/>
      <c r="N825" s="16"/>
      <c r="O825" s="16"/>
      <c r="P825" s="16" t="str">
        <f t="shared" si="1"/>
        <v/>
      </c>
    </row>
    <row r="826">
      <c r="B826" s="16"/>
      <c r="C826" s="12"/>
      <c r="D826" s="12"/>
      <c r="E826" s="12"/>
      <c r="F826" s="25"/>
      <c r="G826" s="12"/>
      <c r="H826" s="12"/>
      <c r="I826" s="12"/>
      <c r="J826" s="16"/>
      <c r="N826" s="16"/>
      <c r="O826" s="16"/>
      <c r="P826" s="16" t="str">
        <f t="shared" si="1"/>
        <v/>
      </c>
    </row>
    <row r="827">
      <c r="B827" s="16"/>
      <c r="C827" s="12"/>
      <c r="D827" s="12"/>
      <c r="E827" s="12"/>
      <c r="F827" s="25"/>
      <c r="G827" s="12"/>
      <c r="H827" s="12"/>
      <c r="I827" s="12"/>
      <c r="J827" s="16"/>
      <c r="N827" s="16"/>
      <c r="O827" s="16"/>
      <c r="P827" s="16" t="str">
        <f t="shared" si="1"/>
        <v/>
      </c>
    </row>
    <row r="828">
      <c r="B828" s="16"/>
      <c r="C828" s="12"/>
      <c r="D828" s="12"/>
      <c r="E828" s="12"/>
      <c r="F828" s="25"/>
      <c r="G828" s="12"/>
      <c r="H828" s="12"/>
      <c r="I828" s="12"/>
      <c r="J828" s="16"/>
      <c r="N828" s="16"/>
      <c r="O828" s="16"/>
      <c r="P828" s="16" t="str">
        <f t="shared" si="1"/>
        <v/>
      </c>
    </row>
    <row r="829">
      <c r="B829" s="16"/>
      <c r="C829" s="12"/>
      <c r="D829" s="12"/>
      <c r="E829" s="12"/>
      <c r="F829" s="25"/>
      <c r="G829" s="12"/>
      <c r="H829" s="12"/>
      <c r="I829" s="12"/>
      <c r="J829" s="16"/>
      <c r="N829" s="16"/>
      <c r="O829" s="16"/>
      <c r="P829" s="16" t="str">
        <f t="shared" si="1"/>
        <v/>
      </c>
    </row>
    <row r="830">
      <c r="B830" s="16"/>
      <c r="C830" s="12"/>
      <c r="D830" s="12"/>
      <c r="E830" s="12"/>
      <c r="F830" s="25"/>
      <c r="G830" s="12"/>
      <c r="H830" s="12"/>
      <c r="I830" s="12"/>
      <c r="J830" s="16"/>
      <c r="N830" s="16"/>
      <c r="O830" s="16"/>
      <c r="P830" s="16" t="str">
        <f t="shared" si="1"/>
        <v/>
      </c>
    </row>
    <row r="831">
      <c r="B831" s="16"/>
      <c r="C831" s="12"/>
      <c r="D831" s="12"/>
      <c r="E831" s="12"/>
      <c r="F831" s="25"/>
      <c r="G831" s="12"/>
      <c r="H831" s="12"/>
      <c r="I831" s="12"/>
      <c r="J831" s="16"/>
      <c r="N831" s="16"/>
      <c r="O831" s="16"/>
      <c r="P831" s="16" t="str">
        <f t="shared" si="1"/>
        <v/>
      </c>
    </row>
    <row r="832">
      <c r="B832" s="16"/>
      <c r="C832" s="12"/>
      <c r="D832" s="12"/>
      <c r="E832" s="12"/>
      <c r="F832" s="25"/>
      <c r="G832" s="12"/>
      <c r="H832" s="12"/>
      <c r="I832" s="12"/>
      <c r="J832" s="16"/>
      <c r="N832" s="16"/>
      <c r="O832" s="16"/>
      <c r="P832" s="16" t="str">
        <f t="shared" si="1"/>
        <v/>
      </c>
    </row>
    <row r="833">
      <c r="B833" s="16"/>
      <c r="C833" s="12"/>
      <c r="D833" s="12"/>
      <c r="E833" s="12"/>
      <c r="F833" s="25"/>
      <c r="G833" s="12"/>
      <c r="H833" s="12"/>
      <c r="I833" s="12"/>
      <c r="J833" s="16"/>
      <c r="N833" s="16"/>
      <c r="O833" s="16"/>
      <c r="P833" s="16" t="str">
        <f t="shared" si="1"/>
        <v/>
      </c>
    </row>
    <row r="834">
      <c r="B834" s="16"/>
      <c r="C834" s="12"/>
      <c r="D834" s="12"/>
      <c r="E834" s="12"/>
      <c r="F834" s="25"/>
      <c r="G834" s="12"/>
      <c r="H834" s="12"/>
      <c r="I834" s="12"/>
      <c r="J834" s="16"/>
      <c r="N834" s="16"/>
      <c r="O834" s="16"/>
      <c r="P834" s="16" t="str">
        <f t="shared" si="1"/>
        <v/>
      </c>
    </row>
    <row r="835">
      <c r="B835" s="16"/>
      <c r="C835" s="12"/>
      <c r="D835" s="12"/>
      <c r="E835" s="12"/>
      <c r="F835" s="25"/>
      <c r="G835" s="12"/>
      <c r="H835" s="12"/>
      <c r="I835" s="12"/>
      <c r="J835" s="16"/>
      <c r="N835" s="16"/>
      <c r="O835" s="16"/>
      <c r="P835" s="16" t="str">
        <f t="shared" si="1"/>
        <v/>
      </c>
    </row>
    <row r="836">
      <c r="B836" s="16"/>
      <c r="C836" s="12"/>
      <c r="D836" s="12"/>
      <c r="E836" s="12"/>
      <c r="F836" s="25"/>
      <c r="G836" s="12"/>
      <c r="H836" s="12"/>
      <c r="I836" s="12"/>
      <c r="J836" s="16"/>
      <c r="N836" s="16"/>
      <c r="O836" s="16"/>
      <c r="P836" s="16" t="str">
        <f t="shared" si="1"/>
        <v/>
      </c>
    </row>
    <row r="837">
      <c r="B837" s="16"/>
      <c r="C837" s="12"/>
      <c r="D837" s="12"/>
      <c r="E837" s="12"/>
      <c r="F837" s="25"/>
      <c r="G837" s="12"/>
      <c r="H837" s="12"/>
      <c r="I837" s="12"/>
      <c r="J837" s="16"/>
      <c r="N837" s="16"/>
      <c r="O837" s="16"/>
      <c r="P837" s="16" t="str">
        <f t="shared" si="1"/>
        <v/>
      </c>
    </row>
    <row r="838">
      <c r="B838" s="16"/>
      <c r="C838" s="12"/>
      <c r="D838" s="12"/>
      <c r="E838" s="12"/>
      <c r="F838" s="25"/>
      <c r="G838" s="12"/>
      <c r="H838" s="12"/>
      <c r="I838" s="12"/>
      <c r="J838" s="16"/>
      <c r="N838" s="16"/>
      <c r="O838" s="16"/>
      <c r="P838" s="16" t="str">
        <f t="shared" si="1"/>
        <v/>
      </c>
    </row>
    <row r="839">
      <c r="B839" s="16"/>
      <c r="C839" s="12"/>
      <c r="D839" s="12"/>
      <c r="E839" s="12"/>
      <c r="F839" s="25"/>
      <c r="G839" s="12"/>
      <c r="H839" s="12"/>
      <c r="I839" s="12"/>
      <c r="J839" s="16"/>
      <c r="N839" s="16"/>
      <c r="O839" s="16"/>
      <c r="P839" s="16" t="str">
        <f t="shared" si="1"/>
        <v/>
      </c>
    </row>
    <row r="840">
      <c r="B840" s="16"/>
      <c r="C840" s="12"/>
      <c r="D840" s="12"/>
      <c r="E840" s="12"/>
      <c r="F840" s="25"/>
      <c r="G840" s="12"/>
      <c r="H840" s="12"/>
      <c r="I840" s="12"/>
      <c r="J840" s="16"/>
      <c r="N840" s="16"/>
      <c r="O840" s="16"/>
      <c r="P840" s="16" t="str">
        <f t="shared" si="1"/>
        <v/>
      </c>
    </row>
    <row r="841">
      <c r="B841" s="16"/>
      <c r="C841" s="12"/>
      <c r="D841" s="12"/>
      <c r="E841" s="12"/>
      <c r="F841" s="25"/>
      <c r="G841" s="12"/>
      <c r="H841" s="12"/>
      <c r="I841" s="12"/>
      <c r="J841" s="16"/>
      <c r="N841" s="16"/>
      <c r="O841" s="16"/>
      <c r="P841" s="16" t="str">
        <f t="shared" si="1"/>
        <v/>
      </c>
    </row>
    <row r="842">
      <c r="B842" s="16"/>
      <c r="C842" s="12"/>
      <c r="D842" s="12"/>
      <c r="E842" s="12"/>
      <c r="F842" s="25"/>
      <c r="G842" s="12"/>
      <c r="H842" s="12"/>
      <c r="I842" s="12"/>
      <c r="J842" s="16"/>
      <c r="N842" s="16"/>
      <c r="O842" s="16"/>
      <c r="P842" s="16" t="str">
        <f t="shared" si="1"/>
        <v/>
      </c>
    </row>
    <row r="843">
      <c r="B843" s="16"/>
      <c r="C843" s="12"/>
      <c r="D843" s="12"/>
      <c r="E843" s="12"/>
      <c r="F843" s="25"/>
      <c r="G843" s="12"/>
      <c r="H843" s="12"/>
      <c r="I843" s="12"/>
      <c r="J843" s="16"/>
      <c r="N843" s="16"/>
      <c r="O843" s="16"/>
      <c r="P843" s="16" t="str">
        <f t="shared" si="1"/>
        <v/>
      </c>
    </row>
    <row r="844">
      <c r="B844" s="16"/>
      <c r="C844" s="12"/>
      <c r="D844" s="12"/>
      <c r="E844" s="12"/>
      <c r="F844" s="25"/>
      <c r="G844" s="12"/>
      <c r="H844" s="12"/>
      <c r="I844" s="12"/>
      <c r="J844" s="16"/>
      <c r="N844" s="16"/>
      <c r="O844" s="16"/>
      <c r="P844" s="16" t="str">
        <f t="shared" si="1"/>
        <v/>
      </c>
    </row>
    <row r="845">
      <c r="B845" s="16"/>
      <c r="C845" s="12"/>
      <c r="D845" s="12"/>
      <c r="E845" s="12"/>
      <c r="F845" s="25"/>
      <c r="G845" s="12"/>
      <c r="H845" s="12"/>
      <c r="I845" s="12"/>
      <c r="J845" s="16"/>
      <c r="N845" s="16"/>
      <c r="O845" s="16"/>
      <c r="P845" s="16" t="str">
        <f t="shared" si="1"/>
        <v/>
      </c>
    </row>
    <row r="846">
      <c r="B846" s="16"/>
      <c r="C846" s="12"/>
      <c r="D846" s="12"/>
      <c r="E846" s="12"/>
      <c r="F846" s="25"/>
      <c r="G846" s="12"/>
      <c r="H846" s="12"/>
      <c r="I846" s="12"/>
      <c r="J846" s="16"/>
      <c r="N846" s="16"/>
      <c r="O846" s="16"/>
      <c r="P846" s="16" t="str">
        <f t="shared" si="1"/>
        <v/>
      </c>
    </row>
    <row r="847">
      <c r="B847" s="16"/>
      <c r="C847" s="12"/>
      <c r="D847" s="12"/>
      <c r="E847" s="12"/>
      <c r="F847" s="25"/>
      <c r="G847" s="12"/>
      <c r="H847" s="12"/>
      <c r="I847" s="12"/>
      <c r="J847" s="16"/>
      <c r="N847" s="16"/>
      <c r="O847" s="16"/>
      <c r="P847" s="16" t="str">
        <f t="shared" si="1"/>
        <v/>
      </c>
    </row>
    <row r="848">
      <c r="B848" s="16"/>
      <c r="C848" s="12"/>
      <c r="D848" s="12"/>
      <c r="E848" s="12"/>
      <c r="F848" s="25"/>
      <c r="G848" s="12"/>
      <c r="H848" s="12"/>
      <c r="I848" s="12"/>
      <c r="J848" s="16"/>
      <c r="N848" s="16"/>
      <c r="O848" s="16"/>
      <c r="P848" s="16" t="str">
        <f t="shared" si="1"/>
        <v/>
      </c>
    </row>
    <row r="849">
      <c r="B849" s="16"/>
      <c r="C849" s="12"/>
      <c r="D849" s="12"/>
      <c r="E849" s="12"/>
      <c r="F849" s="25"/>
      <c r="G849" s="12"/>
      <c r="H849" s="12"/>
      <c r="I849" s="12"/>
      <c r="J849" s="16"/>
      <c r="N849" s="16"/>
      <c r="O849" s="16"/>
      <c r="P849" s="16" t="str">
        <f t="shared" si="1"/>
        <v/>
      </c>
    </row>
    <row r="850">
      <c r="B850" s="16"/>
      <c r="C850" s="12"/>
      <c r="D850" s="12"/>
      <c r="E850" s="12"/>
      <c r="F850" s="25"/>
      <c r="G850" s="12"/>
      <c r="H850" s="12"/>
      <c r="I850" s="12"/>
      <c r="J850" s="16"/>
      <c r="N850" s="16"/>
      <c r="O850" s="16"/>
      <c r="P850" s="16" t="str">
        <f t="shared" si="1"/>
        <v/>
      </c>
    </row>
    <row r="851">
      <c r="B851" s="16"/>
      <c r="C851" s="12"/>
      <c r="D851" s="12"/>
      <c r="E851" s="12"/>
      <c r="F851" s="25"/>
      <c r="G851" s="12"/>
      <c r="H851" s="12"/>
      <c r="I851" s="12"/>
      <c r="J851" s="16"/>
      <c r="N851" s="16"/>
      <c r="O851" s="16"/>
      <c r="P851" s="16" t="str">
        <f t="shared" si="1"/>
        <v/>
      </c>
    </row>
    <row r="852">
      <c r="B852" s="16"/>
      <c r="C852" s="12"/>
      <c r="D852" s="12"/>
      <c r="E852" s="12"/>
      <c r="F852" s="25"/>
      <c r="G852" s="12"/>
      <c r="H852" s="12"/>
      <c r="I852" s="12"/>
      <c r="J852" s="16"/>
      <c r="N852" s="16"/>
      <c r="O852" s="16"/>
      <c r="P852" s="16" t="str">
        <f t="shared" si="1"/>
        <v/>
      </c>
    </row>
    <row r="853">
      <c r="B853" s="16"/>
      <c r="C853" s="12"/>
      <c r="D853" s="12"/>
      <c r="E853" s="12"/>
      <c r="F853" s="25"/>
      <c r="G853" s="12"/>
      <c r="H853" s="12"/>
      <c r="I853" s="12"/>
      <c r="J853" s="16"/>
      <c r="N853" s="16"/>
      <c r="O853" s="16"/>
      <c r="P853" s="16" t="str">
        <f t="shared" si="1"/>
        <v/>
      </c>
    </row>
    <row r="854">
      <c r="B854" s="16"/>
      <c r="C854" s="12"/>
      <c r="D854" s="12"/>
      <c r="E854" s="12"/>
      <c r="F854" s="25"/>
      <c r="G854" s="12"/>
      <c r="H854" s="12"/>
      <c r="I854" s="12"/>
      <c r="J854" s="16"/>
      <c r="N854" s="16"/>
      <c r="O854" s="16"/>
      <c r="P854" s="16" t="str">
        <f t="shared" si="1"/>
        <v/>
      </c>
    </row>
    <row r="855">
      <c r="B855" s="16"/>
      <c r="C855" s="12"/>
      <c r="D855" s="12"/>
      <c r="E855" s="12"/>
      <c r="F855" s="25"/>
      <c r="G855" s="12"/>
      <c r="H855" s="12"/>
      <c r="I855" s="12"/>
      <c r="J855" s="16"/>
      <c r="N855" s="16"/>
      <c r="O855" s="16"/>
      <c r="P855" s="16" t="str">
        <f t="shared" si="1"/>
        <v/>
      </c>
    </row>
    <row r="856">
      <c r="B856" s="16"/>
      <c r="C856" s="12"/>
      <c r="D856" s="12"/>
      <c r="E856" s="12"/>
      <c r="F856" s="25"/>
      <c r="G856" s="12"/>
      <c r="H856" s="12"/>
      <c r="I856" s="12"/>
      <c r="J856" s="16"/>
      <c r="N856" s="16"/>
      <c r="O856" s="16"/>
      <c r="P856" s="16" t="str">
        <f t="shared" si="1"/>
        <v/>
      </c>
    </row>
    <row r="857">
      <c r="B857" s="16"/>
      <c r="C857" s="12"/>
      <c r="D857" s="12"/>
      <c r="E857" s="12"/>
      <c r="F857" s="25"/>
      <c r="G857" s="12"/>
      <c r="H857" s="12"/>
      <c r="I857" s="12"/>
      <c r="J857" s="16"/>
      <c r="N857" s="16"/>
      <c r="O857" s="16"/>
      <c r="P857" s="16" t="str">
        <f t="shared" si="1"/>
        <v/>
      </c>
    </row>
    <row r="858">
      <c r="B858" s="16"/>
      <c r="C858" s="12"/>
      <c r="D858" s="12"/>
      <c r="E858" s="12"/>
      <c r="F858" s="25"/>
      <c r="G858" s="12"/>
      <c r="H858" s="12"/>
      <c r="I858" s="12"/>
      <c r="J858" s="16"/>
      <c r="N858" s="16"/>
      <c r="O858" s="16"/>
      <c r="P858" s="16" t="str">
        <f t="shared" si="1"/>
        <v/>
      </c>
    </row>
    <row r="859">
      <c r="B859" s="16"/>
      <c r="C859" s="12"/>
      <c r="D859" s="12"/>
      <c r="E859" s="12"/>
      <c r="F859" s="25"/>
      <c r="G859" s="12"/>
      <c r="H859" s="12"/>
      <c r="I859" s="12"/>
      <c r="J859" s="16"/>
      <c r="N859" s="16"/>
      <c r="O859" s="16"/>
      <c r="P859" s="16" t="str">
        <f t="shared" si="1"/>
        <v/>
      </c>
    </row>
    <row r="860">
      <c r="B860" s="16"/>
      <c r="C860" s="12"/>
      <c r="D860" s="12"/>
      <c r="E860" s="12"/>
      <c r="F860" s="25"/>
      <c r="G860" s="12"/>
      <c r="H860" s="12"/>
      <c r="I860" s="12"/>
      <c r="J860" s="16"/>
      <c r="N860" s="16"/>
      <c r="O860" s="16"/>
      <c r="P860" s="16" t="str">
        <f t="shared" si="1"/>
        <v/>
      </c>
    </row>
    <row r="861">
      <c r="B861" s="16"/>
      <c r="C861" s="12"/>
      <c r="D861" s="12"/>
      <c r="E861" s="12"/>
      <c r="F861" s="25"/>
      <c r="G861" s="12"/>
      <c r="H861" s="12"/>
      <c r="I861" s="12"/>
      <c r="J861" s="16"/>
      <c r="N861" s="16"/>
      <c r="O861" s="16"/>
      <c r="P861" s="16" t="str">
        <f t="shared" si="1"/>
        <v/>
      </c>
    </row>
    <row r="862">
      <c r="B862" s="16"/>
      <c r="C862" s="12"/>
      <c r="D862" s="12"/>
      <c r="E862" s="12"/>
      <c r="F862" s="25"/>
      <c r="G862" s="12"/>
      <c r="H862" s="12"/>
      <c r="I862" s="12"/>
      <c r="J862" s="16"/>
      <c r="N862" s="16"/>
      <c r="O862" s="16"/>
      <c r="P862" s="16" t="str">
        <f t="shared" si="1"/>
        <v/>
      </c>
    </row>
    <row r="863">
      <c r="B863" s="16"/>
      <c r="C863" s="12"/>
      <c r="D863" s="12"/>
      <c r="E863" s="12"/>
      <c r="F863" s="25"/>
      <c r="G863" s="12"/>
      <c r="H863" s="12"/>
      <c r="I863" s="12"/>
      <c r="J863" s="16"/>
      <c r="N863" s="16"/>
      <c r="O863" s="16"/>
      <c r="P863" s="16" t="str">
        <f t="shared" si="1"/>
        <v/>
      </c>
    </row>
    <row r="864">
      <c r="B864" s="16"/>
      <c r="C864" s="12"/>
      <c r="D864" s="12"/>
      <c r="E864" s="12"/>
      <c r="F864" s="25"/>
      <c r="G864" s="12"/>
      <c r="H864" s="12"/>
      <c r="I864" s="12"/>
      <c r="J864" s="16"/>
      <c r="N864" s="16"/>
      <c r="O864" s="16"/>
      <c r="P864" s="16" t="str">
        <f t="shared" si="1"/>
        <v/>
      </c>
    </row>
    <row r="865">
      <c r="B865" s="16"/>
      <c r="C865" s="12"/>
      <c r="D865" s="12"/>
      <c r="E865" s="12"/>
      <c r="F865" s="25"/>
      <c r="G865" s="12"/>
      <c r="H865" s="12"/>
      <c r="I865" s="12"/>
      <c r="J865" s="16"/>
      <c r="N865" s="16"/>
      <c r="O865" s="16"/>
      <c r="P865" s="16" t="str">
        <f t="shared" si="1"/>
        <v/>
      </c>
    </row>
    <row r="866">
      <c r="B866" s="16"/>
      <c r="C866" s="12"/>
      <c r="D866" s="12"/>
      <c r="E866" s="12"/>
      <c r="F866" s="25"/>
      <c r="G866" s="12"/>
      <c r="H866" s="12"/>
      <c r="I866" s="12"/>
      <c r="J866" s="16"/>
      <c r="N866" s="16"/>
      <c r="O866" s="16"/>
      <c r="P866" s="16" t="str">
        <f t="shared" si="1"/>
        <v/>
      </c>
    </row>
    <row r="867">
      <c r="B867" s="16"/>
      <c r="C867" s="12"/>
      <c r="D867" s="12"/>
      <c r="E867" s="12"/>
      <c r="F867" s="25"/>
      <c r="G867" s="12"/>
      <c r="H867" s="12"/>
      <c r="I867" s="12"/>
      <c r="J867" s="16"/>
      <c r="N867" s="16"/>
      <c r="O867" s="16"/>
      <c r="P867" s="16" t="str">
        <f t="shared" si="1"/>
        <v/>
      </c>
    </row>
    <row r="868">
      <c r="B868" s="16"/>
      <c r="C868" s="12"/>
      <c r="D868" s="12"/>
      <c r="E868" s="12"/>
      <c r="F868" s="25"/>
      <c r="G868" s="12"/>
      <c r="H868" s="12"/>
      <c r="I868" s="12"/>
      <c r="J868" s="16"/>
      <c r="N868" s="16"/>
      <c r="O868" s="16"/>
      <c r="P868" s="16" t="str">
        <f t="shared" si="1"/>
        <v/>
      </c>
    </row>
    <row r="869">
      <c r="B869" s="16"/>
      <c r="C869" s="12"/>
      <c r="D869" s="12"/>
      <c r="E869" s="12"/>
      <c r="F869" s="25"/>
      <c r="G869" s="12"/>
      <c r="H869" s="12"/>
      <c r="I869" s="12"/>
      <c r="J869" s="16"/>
      <c r="N869" s="16"/>
      <c r="O869" s="16"/>
      <c r="P869" s="16" t="str">
        <f t="shared" si="1"/>
        <v/>
      </c>
    </row>
    <row r="870">
      <c r="B870" s="16"/>
      <c r="C870" s="12"/>
      <c r="D870" s="12"/>
      <c r="E870" s="12"/>
      <c r="F870" s="25"/>
      <c r="G870" s="12"/>
      <c r="H870" s="12"/>
      <c r="I870" s="12"/>
      <c r="J870" s="16"/>
      <c r="N870" s="16"/>
      <c r="O870" s="16"/>
      <c r="P870" s="16" t="str">
        <f t="shared" si="1"/>
        <v/>
      </c>
    </row>
    <row r="871">
      <c r="B871" s="16"/>
      <c r="C871" s="12"/>
      <c r="D871" s="12"/>
      <c r="E871" s="12"/>
      <c r="F871" s="25"/>
      <c r="G871" s="12"/>
      <c r="H871" s="12"/>
      <c r="I871" s="12"/>
      <c r="J871" s="16"/>
      <c r="N871" s="16"/>
      <c r="O871" s="16"/>
      <c r="P871" s="16" t="str">
        <f t="shared" si="1"/>
        <v/>
      </c>
    </row>
    <row r="872">
      <c r="B872" s="16"/>
      <c r="C872" s="12"/>
      <c r="D872" s="12"/>
      <c r="E872" s="12"/>
      <c r="F872" s="25"/>
      <c r="G872" s="12"/>
      <c r="H872" s="12"/>
      <c r="I872" s="12"/>
      <c r="J872" s="16"/>
      <c r="N872" s="16"/>
      <c r="O872" s="16"/>
      <c r="P872" s="16" t="str">
        <f t="shared" si="1"/>
        <v/>
      </c>
    </row>
    <row r="873">
      <c r="B873" s="16"/>
      <c r="C873" s="12"/>
      <c r="D873" s="12"/>
      <c r="E873" s="12"/>
      <c r="F873" s="25"/>
      <c r="G873" s="12"/>
      <c r="H873" s="12"/>
      <c r="I873" s="12"/>
      <c r="J873" s="16"/>
      <c r="N873" s="16"/>
      <c r="O873" s="16"/>
      <c r="P873" s="16" t="str">
        <f t="shared" si="1"/>
        <v/>
      </c>
    </row>
    <row r="874">
      <c r="B874" s="16"/>
      <c r="C874" s="12"/>
      <c r="D874" s="12"/>
      <c r="E874" s="12"/>
      <c r="F874" s="25"/>
      <c r="G874" s="12"/>
      <c r="H874" s="12"/>
      <c r="I874" s="12"/>
      <c r="J874" s="16"/>
      <c r="N874" s="16"/>
      <c r="O874" s="16"/>
      <c r="P874" s="16" t="str">
        <f t="shared" si="1"/>
        <v/>
      </c>
    </row>
    <row r="875">
      <c r="B875" s="16"/>
      <c r="C875" s="12"/>
      <c r="D875" s="12"/>
      <c r="E875" s="12"/>
      <c r="F875" s="25"/>
      <c r="G875" s="12"/>
      <c r="H875" s="12"/>
      <c r="I875" s="12"/>
      <c r="J875" s="16"/>
      <c r="N875" s="16"/>
      <c r="O875" s="16"/>
      <c r="P875" s="16" t="str">
        <f t="shared" si="1"/>
        <v/>
      </c>
    </row>
    <row r="876">
      <c r="B876" s="16"/>
      <c r="C876" s="12"/>
      <c r="D876" s="12"/>
      <c r="E876" s="12"/>
      <c r="F876" s="25"/>
      <c r="G876" s="12"/>
      <c r="H876" s="12"/>
      <c r="I876" s="12"/>
      <c r="J876" s="16"/>
      <c r="N876" s="16"/>
      <c r="O876" s="16"/>
      <c r="P876" s="16" t="str">
        <f t="shared" si="1"/>
        <v/>
      </c>
    </row>
    <row r="877">
      <c r="B877" s="16"/>
      <c r="C877" s="12"/>
      <c r="D877" s="12"/>
      <c r="E877" s="12"/>
      <c r="F877" s="25"/>
      <c r="G877" s="12"/>
      <c r="H877" s="12"/>
      <c r="I877" s="12"/>
      <c r="J877" s="16"/>
      <c r="N877" s="16"/>
      <c r="O877" s="16"/>
      <c r="P877" s="16" t="str">
        <f t="shared" si="1"/>
        <v/>
      </c>
    </row>
    <row r="878">
      <c r="B878" s="16"/>
      <c r="C878" s="12"/>
      <c r="D878" s="12"/>
      <c r="E878" s="12"/>
      <c r="F878" s="25"/>
      <c r="G878" s="12"/>
      <c r="H878" s="12"/>
      <c r="I878" s="12"/>
      <c r="J878" s="16"/>
      <c r="N878" s="16"/>
      <c r="O878" s="16"/>
      <c r="P878" s="16" t="str">
        <f t="shared" si="1"/>
        <v/>
      </c>
    </row>
    <row r="879">
      <c r="B879" s="16"/>
      <c r="C879" s="12"/>
      <c r="D879" s="12"/>
      <c r="E879" s="12"/>
      <c r="F879" s="25"/>
      <c r="G879" s="12"/>
      <c r="H879" s="12"/>
      <c r="I879" s="12"/>
      <c r="J879" s="16"/>
      <c r="N879" s="16"/>
      <c r="O879" s="16"/>
      <c r="P879" s="16" t="str">
        <f t="shared" si="1"/>
        <v/>
      </c>
    </row>
    <row r="880">
      <c r="B880" s="16"/>
      <c r="C880" s="12"/>
      <c r="D880" s="12"/>
      <c r="E880" s="12"/>
      <c r="F880" s="25"/>
      <c r="G880" s="12"/>
      <c r="H880" s="12"/>
      <c r="I880" s="12"/>
      <c r="J880" s="16"/>
      <c r="N880" s="16"/>
      <c r="O880" s="16"/>
      <c r="P880" s="16" t="str">
        <f t="shared" si="1"/>
        <v/>
      </c>
    </row>
    <row r="881">
      <c r="B881" s="16"/>
      <c r="C881" s="12"/>
      <c r="D881" s="12"/>
      <c r="E881" s="12"/>
      <c r="F881" s="25"/>
      <c r="G881" s="12"/>
      <c r="H881" s="12"/>
      <c r="I881" s="12"/>
      <c r="J881" s="16"/>
      <c r="N881" s="16"/>
      <c r="O881" s="16"/>
      <c r="P881" s="16" t="str">
        <f t="shared" si="1"/>
        <v/>
      </c>
    </row>
    <row r="882">
      <c r="B882" s="16"/>
      <c r="C882" s="12"/>
      <c r="D882" s="12"/>
      <c r="E882" s="12"/>
      <c r="F882" s="25"/>
      <c r="G882" s="12"/>
      <c r="H882" s="12"/>
      <c r="I882" s="12"/>
      <c r="J882" s="16"/>
      <c r="N882" s="16"/>
      <c r="O882" s="16"/>
      <c r="P882" s="16" t="str">
        <f t="shared" si="1"/>
        <v/>
      </c>
    </row>
    <row r="883">
      <c r="B883" s="16"/>
      <c r="C883" s="12"/>
      <c r="D883" s="12"/>
      <c r="E883" s="12"/>
      <c r="F883" s="25"/>
      <c r="G883" s="12"/>
      <c r="H883" s="12"/>
      <c r="I883" s="12"/>
      <c r="J883" s="16"/>
      <c r="N883" s="16"/>
      <c r="O883" s="16"/>
      <c r="P883" s="16" t="str">
        <f t="shared" si="1"/>
        <v/>
      </c>
    </row>
    <row r="884">
      <c r="B884" s="16"/>
      <c r="C884" s="12"/>
      <c r="D884" s="12"/>
      <c r="E884" s="12"/>
      <c r="F884" s="25"/>
      <c r="G884" s="12"/>
      <c r="H884" s="12"/>
      <c r="I884" s="12"/>
      <c r="J884" s="16"/>
      <c r="N884" s="16"/>
      <c r="O884" s="16"/>
      <c r="P884" s="16" t="str">
        <f t="shared" si="1"/>
        <v/>
      </c>
    </row>
    <row r="885">
      <c r="B885" s="16"/>
      <c r="C885" s="12"/>
      <c r="D885" s="12"/>
      <c r="E885" s="12"/>
      <c r="F885" s="25"/>
      <c r="G885" s="12"/>
      <c r="H885" s="12"/>
      <c r="I885" s="12"/>
      <c r="J885" s="16"/>
      <c r="N885" s="16"/>
      <c r="O885" s="16"/>
      <c r="P885" s="16" t="str">
        <f t="shared" si="1"/>
        <v/>
      </c>
    </row>
    <row r="886">
      <c r="B886" s="16"/>
      <c r="C886" s="12"/>
      <c r="D886" s="12"/>
      <c r="E886" s="12"/>
      <c r="F886" s="25"/>
      <c r="G886" s="12"/>
      <c r="H886" s="12"/>
      <c r="I886" s="12"/>
      <c r="J886" s="16"/>
      <c r="N886" s="16"/>
      <c r="O886" s="16"/>
      <c r="P886" s="16" t="str">
        <f t="shared" si="1"/>
        <v/>
      </c>
    </row>
    <row r="887">
      <c r="B887" s="16"/>
      <c r="C887" s="12"/>
      <c r="D887" s="12"/>
      <c r="E887" s="12"/>
      <c r="F887" s="25"/>
      <c r="G887" s="12"/>
      <c r="H887" s="12"/>
      <c r="I887" s="12"/>
      <c r="J887" s="16"/>
      <c r="N887" s="16"/>
      <c r="O887" s="16"/>
      <c r="P887" s="16" t="str">
        <f t="shared" si="1"/>
        <v/>
      </c>
    </row>
    <row r="888">
      <c r="B888" s="16"/>
      <c r="C888" s="12"/>
      <c r="D888" s="12"/>
      <c r="E888" s="12"/>
      <c r="F888" s="25"/>
      <c r="G888" s="12"/>
      <c r="H888" s="12"/>
      <c r="I888" s="12"/>
      <c r="J888" s="16"/>
      <c r="N888" s="16"/>
      <c r="O888" s="16"/>
      <c r="P888" s="16" t="str">
        <f t="shared" si="1"/>
        <v/>
      </c>
    </row>
    <row r="889">
      <c r="B889" s="16"/>
      <c r="C889" s="12"/>
      <c r="D889" s="12"/>
      <c r="E889" s="12"/>
      <c r="F889" s="25"/>
      <c r="G889" s="12"/>
      <c r="H889" s="12"/>
      <c r="I889" s="12"/>
      <c r="J889" s="16"/>
      <c r="N889" s="16"/>
      <c r="O889" s="16"/>
      <c r="P889" s="16" t="str">
        <f t="shared" si="1"/>
        <v/>
      </c>
    </row>
    <row r="890">
      <c r="B890" s="16"/>
      <c r="C890" s="12"/>
      <c r="D890" s="12"/>
      <c r="E890" s="12"/>
      <c r="F890" s="25"/>
      <c r="G890" s="12"/>
      <c r="H890" s="12"/>
      <c r="I890" s="12"/>
      <c r="J890" s="16"/>
      <c r="N890" s="16"/>
      <c r="O890" s="16"/>
      <c r="P890" s="16" t="str">
        <f t="shared" si="1"/>
        <v/>
      </c>
    </row>
    <row r="891">
      <c r="B891" s="16"/>
      <c r="C891" s="12"/>
      <c r="D891" s="12"/>
      <c r="E891" s="12"/>
      <c r="F891" s="25"/>
      <c r="G891" s="12"/>
      <c r="H891" s="12"/>
      <c r="I891" s="12"/>
      <c r="J891" s="16"/>
      <c r="N891" s="16"/>
      <c r="O891" s="16"/>
      <c r="P891" s="16" t="str">
        <f t="shared" si="1"/>
        <v/>
      </c>
    </row>
    <row r="892">
      <c r="B892" s="16"/>
      <c r="C892" s="12"/>
      <c r="D892" s="12"/>
      <c r="E892" s="12"/>
      <c r="F892" s="25"/>
      <c r="G892" s="12"/>
      <c r="H892" s="12"/>
      <c r="I892" s="12"/>
      <c r="J892" s="16"/>
      <c r="N892" s="16"/>
      <c r="O892" s="16"/>
      <c r="P892" s="16" t="str">
        <f t="shared" si="1"/>
        <v/>
      </c>
    </row>
    <row r="893">
      <c r="B893" s="16"/>
      <c r="C893" s="12"/>
      <c r="D893" s="12"/>
      <c r="E893" s="12"/>
      <c r="F893" s="25"/>
      <c r="G893" s="12"/>
      <c r="H893" s="12"/>
      <c r="I893" s="12"/>
      <c r="J893" s="16"/>
      <c r="N893" s="16"/>
      <c r="O893" s="16"/>
      <c r="P893" s="16" t="str">
        <f t="shared" si="1"/>
        <v/>
      </c>
    </row>
    <row r="894">
      <c r="B894" s="16"/>
      <c r="C894" s="12"/>
      <c r="D894" s="12"/>
      <c r="E894" s="12"/>
      <c r="F894" s="25"/>
      <c r="G894" s="12"/>
      <c r="H894" s="12"/>
      <c r="I894" s="12"/>
      <c r="J894" s="16"/>
      <c r="N894" s="16"/>
      <c r="O894" s="16"/>
      <c r="P894" s="16" t="str">
        <f t="shared" si="1"/>
        <v/>
      </c>
    </row>
    <row r="895">
      <c r="B895" s="16"/>
      <c r="C895" s="12"/>
      <c r="D895" s="12"/>
      <c r="E895" s="12"/>
      <c r="F895" s="25"/>
      <c r="G895" s="12"/>
      <c r="H895" s="12"/>
      <c r="I895" s="12"/>
      <c r="J895" s="16"/>
      <c r="N895" s="16"/>
      <c r="O895" s="16"/>
      <c r="P895" s="16" t="str">
        <f t="shared" si="1"/>
        <v/>
      </c>
    </row>
    <row r="896">
      <c r="B896" s="16"/>
      <c r="C896" s="12"/>
      <c r="D896" s="12"/>
      <c r="E896" s="12"/>
      <c r="F896" s="25"/>
      <c r="G896" s="12"/>
      <c r="H896" s="12"/>
      <c r="I896" s="12"/>
      <c r="J896" s="16"/>
      <c r="N896" s="16"/>
      <c r="O896" s="16"/>
      <c r="P896" s="16" t="str">
        <f t="shared" si="1"/>
        <v/>
      </c>
    </row>
    <row r="897">
      <c r="B897" s="16"/>
      <c r="C897" s="12"/>
      <c r="D897" s="12"/>
      <c r="E897" s="12"/>
      <c r="F897" s="25"/>
      <c r="G897" s="12"/>
      <c r="H897" s="12"/>
      <c r="I897" s="12"/>
      <c r="J897" s="16"/>
      <c r="N897" s="16"/>
      <c r="O897" s="16"/>
      <c r="P897" s="16" t="str">
        <f t="shared" si="1"/>
        <v/>
      </c>
    </row>
    <row r="898">
      <c r="B898" s="16"/>
      <c r="C898" s="12"/>
      <c r="D898" s="12"/>
      <c r="E898" s="12"/>
      <c r="F898" s="25"/>
      <c r="G898" s="12"/>
      <c r="H898" s="12"/>
      <c r="I898" s="12"/>
      <c r="J898" s="16"/>
      <c r="N898" s="16"/>
      <c r="O898" s="16"/>
      <c r="P898" s="16" t="str">
        <f t="shared" si="1"/>
        <v/>
      </c>
    </row>
    <row r="899">
      <c r="B899" s="16"/>
      <c r="C899" s="12"/>
      <c r="D899" s="12"/>
      <c r="E899" s="12"/>
      <c r="F899" s="25"/>
      <c r="G899" s="12"/>
      <c r="H899" s="12"/>
      <c r="I899" s="12"/>
      <c r="J899" s="16"/>
      <c r="N899" s="16"/>
      <c r="O899" s="16"/>
      <c r="P899" s="16" t="str">
        <f t="shared" si="1"/>
        <v/>
      </c>
    </row>
    <row r="900">
      <c r="B900" s="16"/>
      <c r="C900" s="12"/>
      <c r="D900" s="12"/>
      <c r="E900" s="12"/>
      <c r="F900" s="25"/>
      <c r="G900" s="12"/>
      <c r="H900" s="12"/>
      <c r="I900" s="12"/>
      <c r="J900" s="16"/>
      <c r="N900" s="16"/>
      <c r="O900" s="16"/>
      <c r="P900" s="16" t="str">
        <f t="shared" si="1"/>
        <v/>
      </c>
    </row>
    <row r="901">
      <c r="B901" s="16"/>
      <c r="C901" s="12"/>
      <c r="D901" s="12"/>
      <c r="E901" s="12"/>
      <c r="F901" s="25"/>
      <c r="G901" s="12"/>
      <c r="H901" s="12"/>
      <c r="I901" s="12"/>
      <c r="J901" s="16"/>
      <c r="N901" s="16"/>
      <c r="O901" s="16"/>
      <c r="P901" s="16" t="str">
        <f t="shared" si="1"/>
        <v/>
      </c>
    </row>
    <row r="902">
      <c r="B902" s="16"/>
      <c r="C902" s="12"/>
      <c r="D902" s="12"/>
      <c r="E902" s="12"/>
      <c r="F902" s="25"/>
      <c r="G902" s="12"/>
      <c r="H902" s="12"/>
      <c r="I902" s="12"/>
      <c r="J902" s="16"/>
      <c r="N902" s="16"/>
      <c r="O902" s="16"/>
      <c r="P902" s="16" t="str">
        <f t="shared" si="1"/>
        <v/>
      </c>
    </row>
    <row r="903">
      <c r="B903" s="16"/>
      <c r="C903" s="12"/>
      <c r="D903" s="12"/>
      <c r="E903" s="12"/>
      <c r="F903" s="25"/>
      <c r="G903" s="12"/>
      <c r="H903" s="12"/>
      <c r="I903" s="12"/>
      <c r="J903" s="16"/>
      <c r="N903" s="16"/>
      <c r="O903" s="16"/>
      <c r="P903" s="16" t="str">
        <f t="shared" si="1"/>
        <v/>
      </c>
    </row>
    <row r="904">
      <c r="B904" s="16"/>
      <c r="C904" s="12"/>
      <c r="D904" s="12"/>
      <c r="E904" s="12"/>
      <c r="F904" s="25"/>
      <c r="G904" s="12"/>
      <c r="H904" s="12"/>
      <c r="I904" s="12"/>
      <c r="J904" s="16"/>
      <c r="N904" s="16"/>
      <c r="O904" s="16"/>
      <c r="P904" s="16" t="str">
        <f t="shared" si="1"/>
        <v/>
      </c>
    </row>
    <row r="905">
      <c r="B905" s="16"/>
      <c r="C905" s="12"/>
      <c r="D905" s="12"/>
      <c r="E905" s="12"/>
      <c r="F905" s="25"/>
      <c r="G905" s="12"/>
      <c r="H905" s="12"/>
      <c r="I905" s="12"/>
      <c r="J905" s="16"/>
      <c r="N905" s="16"/>
      <c r="O905" s="16"/>
      <c r="P905" s="16" t="str">
        <f t="shared" si="1"/>
        <v/>
      </c>
    </row>
    <row r="906">
      <c r="B906" s="16"/>
      <c r="C906" s="12"/>
      <c r="D906" s="12"/>
      <c r="E906" s="12"/>
      <c r="F906" s="25"/>
      <c r="G906" s="12"/>
      <c r="H906" s="12"/>
      <c r="I906" s="12"/>
      <c r="J906" s="16"/>
      <c r="N906" s="16"/>
      <c r="O906" s="16"/>
      <c r="P906" s="16" t="str">
        <f t="shared" si="1"/>
        <v/>
      </c>
    </row>
    <row r="907">
      <c r="B907" s="16"/>
      <c r="C907" s="12"/>
      <c r="D907" s="12"/>
      <c r="E907" s="12"/>
      <c r="F907" s="25"/>
      <c r="G907" s="12"/>
      <c r="H907" s="12"/>
      <c r="I907" s="12"/>
      <c r="J907" s="16"/>
      <c r="N907" s="16"/>
      <c r="O907" s="16"/>
      <c r="P907" s="16" t="str">
        <f t="shared" si="1"/>
        <v/>
      </c>
    </row>
    <row r="908">
      <c r="B908" s="16"/>
      <c r="C908" s="12"/>
      <c r="D908" s="12"/>
      <c r="E908" s="12"/>
      <c r="F908" s="25"/>
      <c r="G908" s="12"/>
      <c r="H908" s="12"/>
      <c r="I908" s="12"/>
      <c r="J908" s="16"/>
      <c r="N908" s="16"/>
      <c r="O908" s="16"/>
      <c r="P908" s="16" t="str">
        <f t="shared" si="1"/>
        <v/>
      </c>
    </row>
    <row r="909">
      <c r="B909" s="16"/>
      <c r="C909" s="12"/>
      <c r="D909" s="12"/>
      <c r="E909" s="12"/>
      <c r="F909" s="25"/>
      <c r="G909" s="12"/>
      <c r="H909" s="12"/>
      <c r="I909" s="12"/>
      <c r="J909" s="16"/>
      <c r="N909" s="16"/>
      <c r="O909" s="16"/>
      <c r="P909" s="16" t="str">
        <f t="shared" si="1"/>
        <v/>
      </c>
    </row>
    <row r="910">
      <c r="B910" s="16"/>
      <c r="C910" s="12"/>
      <c r="D910" s="12"/>
      <c r="E910" s="12"/>
      <c r="F910" s="25"/>
      <c r="G910" s="12"/>
      <c r="H910" s="12"/>
      <c r="I910" s="12"/>
      <c r="J910" s="16"/>
      <c r="N910" s="16"/>
      <c r="O910" s="16"/>
      <c r="P910" s="16" t="str">
        <f t="shared" si="1"/>
        <v/>
      </c>
    </row>
    <row r="911">
      <c r="B911" s="16"/>
      <c r="C911" s="12"/>
      <c r="D911" s="12"/>
      <c r="E911" s="12"/>
      <c r="F911" s="25"/>
      <c r="G911" s="12"/>
      <c r="H911" s="12"/>
      <c r="I911" s="12"/>
      <c r="J911" s="16"/>
      <c r="N911" s="16"/>
      <c r="O911" s="16"/>
      <c r="P911" s="16" t="str">
        <f t="shared" si="1"/>
        <v/>
      </c>
    </row>
    <row r="912">
      <c r="B912" s="16"/>
      <c r="C912" s="12"/>
      <c r="D912" s="12"/>
      <c r="E912" s="12"/>
      <c r="F912" s="25"/>
      <c r="G912" s="12"/>
      <c r="H912" s="12"/>
      <c r="I912" s="12"/>
      <c r="J912" s="16"/>
      <c r="N912" s="16"/>
      <c r="O912" s="16"/>
      <c r="P912" s="16" t="str">
        <f t="shared" si="1"/>
        <v/>
      </c>
    </row>
    <row r="913">
      <c r="B913" s="16"/>
      <c r="C913" s="12"/>
      <c r="D913" s="12"/>
      <c r="E913" s="12"/>
      <c r="F913" s="25"/>
      <c r="G913" s="12"/>
      <c r="H913" s="12"/>
      <c r="I913" s="12"/>
      <c r="J913" s="16"/>
      <c r="N913" s="16"/>
      <c r="O913" s="16"/>
      <c r="P913" s="16" t="str">
        <f t="shared" si="1"/>
        <v/>
      </c>
    </row>
    <row r="914">
      <c r="B914" s="16"/>
      <c r="C914" s="12"/>
      <c r="D914" s="12"/>
      <c r="E914" s="12"/>
      <c r="F914" s="25"/>
      <c r="G914" s="12"/>
      <c r="H914" s="12"/>
      <c r="I914" s="12"/>
      <c r="J914" s="16"/>
      <c r="N914" s="16"/>
      <c r="O914" s="16"/>
      <c r="P914" s="16" t="str">
        <f t="shared" si="1"/>
        <v/>
      </c>
    </row>
    <row r="915">
      <c r="B915" s="16"/>
      <c r="C915" s="12"/>
      <c r="D915" s="12"/>
      <c r="E915" s="12"/>
      <c r="F915" s="25"/>
      <c r="G915" s="12"/>
      <c r="H915" s="12"/>
      <c r="I915" s="12"/>
      <c r="J915" s="16"/>
      <c r="N915" s="16"/>
      <c r="O915" s="16"/>
      <c r="P915" s="16" t="str">
        <f t="shared" si="1"/>
        <v/>
      </c>
    </row>
    <row r="916">
      <c r="B916" s="16"/>
      <c r="C916" s="12"/>
      <c r="D916" s="12"/>
      <c r="E916" s="12"/>
      <c r="F916" s="25"/>
      <c r="G916" s="12"/>
      <c r="H916" s="12"/>
      <c r="I916" s="12"/>
      <c r="J916" s="16"/>
      <c r="N916" s="16"/>
      <c r="O916" s="16"/>
      <c r="P916" s="16" t="str">
        <f t="shared" si="1"/>
        <v/>
      </c>
    </row>
    <row r="917">
      <c r="B917" s="16"/>
      <c r="C917" s="12"/>
      <c r="D917" s="12"/>
      <c r="E917" s="12"/>
      <c r="F917" s="25"/>
      <c r="G917" s="12"/>
      <c r="H917" s="12"/>
      <c r="I917" s="12"/>
      <c r="J917" s="16"/>
      <c r="N917" s="16"/>
      <c r="O917" s="16"/>
      <c r="P917" s="16" t="str">
        <f t="shared" si="1"/>
        <v/>
      </c>
    </row>
    <row r="918">
      <c r="B918" s="16"/>
      <c r="C918" s="12"/>
      <c r="D918" s="12"/>
      <c r="E918" s="12"/>
      <c r="F918" s="25"/>
      <c r="G918" s="12"/>
      <c r="H918" s="12"/>
      <c r="I918" s="12"/>
      <c r="J918" s="16"/>
      <c r="N918" s="16"/>
      <c r="O918" s="16"/>
      <c r="P918" s="16" t="str">
        <f t="shared" si="1"/>
        <v/>
      </c>
    </row>
    <row r="919">
      <c r="B919" s="16"/>
      <c r="C919" s="12"/>
      <c r="D919" s="12"/>
      <c r="E919" s="12"/>
      <c r="F919" s="25"/>
      <c r="G919" s="12"/>
      <c r="H919" s="12"/>
      <c r="I919" s="12"/>
      <c r="J919" s="16"/>
      <c r="N919" s="16"/>
      <c r="O919" s="16"/>
      <c r="P919" s="16" t="str">
        <f t="shared" si="1"/>
        <v/>
      </c>
    </row>
    <row r="920">
      <c r="B920" s="16"/>
      <c r="C920" s="12"/>
      <c r="D920" s="12"/>
      <c r="E920" s="12"/>
      <c r="F920" s="25"/>
      <c r="G920" s="12"/>
      <c r="H920" s="12"/>
      <c r="I920" s="12"/>
      <c r="J920" s="16"/>
      <c r="N920" s="16"/>
      <c r="O920" s="16"/>
      <c r="P920" s="16" t="str">
        <f t="shared" si="1"/>
        <v/>
      </c>
    </row>
    <row r="921">
      <c r="B921" s="16"/>
      <c r="C921" s="12"/>
      <c r="D921" s="12"/>
      <c r="E921" s="12"/>
      <c r="F921" s="25"/>
      <c r="G921" s="12"/>
      <c r="H921" s="12"/>
      <c r="I921" s="12"/>
      <c r="J921" s="16"/>
      <c r="N921" s="16"/>
      <c r="O921" s="16"/>
      <c r="P921" s="16" t="str">
        <f t="shared" si="1"/>
        <v/>
      </c>
    </row>
    <row r="922">
      <c r="B922" s="16"/>
      <c r="C922" s="12"/>
      <c r="D922" s="12"/>
      <c r="E922" s="12"/>
      <c r="F922" s="25"/>
      <c r="G922" s="12"/>
      <c r="H922" s="12"/>
      <c r="I922" s="12"/>
      <c r="J922" s="16"/>
      <c r="N922" s="16"/>
      <c r="O922" s="16"/>
      <c r="P922" s="16" t="str">
        <f t="shared" si="1"/>
        <v/>
      </c>
    </row>
    <row r="923">
      <c r="B923" s="16"/>
      <c r="C923" s="12"/>
      <c r="D923" s="12"/>
      <c r="E923" s="12"/>
      <c r="F923" s="25"/>
      <c r="G923" s="12"/>
      <c r="H923" s="12"/>
      <c r="I923" s="12"/>
      <c r="J923" s="16"/>
      <c r="N923" s="16"/>
      <c r="O923" s="16"/>
      <c r="P923" s="16" t="str">
        <f t="shared" si="1"/>
        <v/>
      </c>
    </row>
    <row r="924">
      <c r="B924" s="16"/>
      <c r="C924" s="12"/>
      <c r="D924" s="12"/>
      <c r="E924" s="12"/>
      <c r="F924" s="25"/>
      <c r="G924" s="12"/>
      <c r="H924" s="12"/>
      <c r="I924" s="12"/>
      <c r="J924" s="16"/>
      <c r="N924" s="16"/>
      <c r="O924" s="16"/>
      <c r="P924" s="16" t="str">
        <f t="shared" si="1"/>
        <v/>
      </c>
    </row>
    <row r="925">
      <c r="B925" s="16"/>
      <c r="C925" s="12"/>
      <c r="D925" s="12"/>
      <c r="E925" s="12"/>
      <c r="F925" s="25"/>
      <c r="G925" s="12"/>
      <c r="H925" s="12"/>
      <c r="I925" s="12"/>
      <c r="J925" s="16"/>
      <c r="N925" s="16"/>
      <c r="O925" s="16"/>
      <c r="P925" s="16" t="str">
        <f t="shared" si="1"/>
        <v/>
      </c>
    </row>
    <row r="926">
      <c r="B926" s="16"/>
      <c r="C926" s="12"/>
      <c r="D926" s="12"/>
      <c r="E926" s="12"/>
      <c r="F926" s="25"/>
      <c r="G926" s="12"/>
      <c r="H926" s="12"/>
      <c r="I926" s="12"/>
      <c r="J926" s="16"/>
      <c r="N926" s="16"/>
      <c r="O926" s="16"/>
      <c r="P926" s="16" t="str">
        <f t="shared" si="1"/>
        <v/>
      </c>
    </row>
    <row r="927">
      <c r="B927" s="16"/>
      <c r="C927" s="12"/>
      <c r="D927" s="12"/>
      <c r="E927" s="12"/>
      <c r="F927" s="25"/>
      <c r="G927" s="12"/>
      <c r="H927" s="12"/>
      <c r="I927" s="12"/>
      <c r="J927" s="16"/>
      <c r="N927" s="16"/>
      <c r="O927" s="16"/>
      <c r="P927" s="16" t="str">
        <f t="shared" si="1"/>
        <v/>
      </c>
    </row>
    <row r="928">
      <c r="B928" s="16"/>
      <c r="C928" s="12"/>
      <c r="D928" s="12"/>
      <c r="E928" s="12"/>
      <c r="F928" s="25"/>
      <c r="G928" s="12"/>
      <c r="H928" s="12"/>
      <c r="I928" s="12"/>
      <c r="J928" s="16"/>
      <c r="N928" s="16"/>
      <c r="O928" s="16"/>
      <c r="P928" s="16" t="str">
        <f t="shared" si="1"/>
        <v/>
      </c>
    </row>
    <row r="929">
      <c r="B929" s="16"/>
      <c r="C929" s="12"/>
      <c r="D929" s="12"/>
      <c r="E929" s="12"/>
      <c r="F929" s="25"/>
      <c r="G929" s="12"/>
      <c r="H929" s="12"/>
      <c r="I929" s="12"/>
      <c r="J929" s="16"/>
      <c r="N929" s="16"/>
      <c r="O929" s="16"/>
      <c r="P929" s="16" t="str">
        <f t="shared" si="1"/>
        <v/>
      </c>
    </row>
    <row r="930">
      <c r="B930" s="16"/>
      <c r="C930" s="12"/>
      <c r="D930" s="12"/>
      <c r="E930" s="12"/>
      <c r="F930" s="25"/>
      <c r="G930" s="12"/>
      <c r="H930" s="12"/>
      <c r="I930" s="12"/>
      <c r="J930" s="16"/>
      <c r="N930" s="16"/>
      <c r="O930" s="16"/>
      <c r="P930" s="16" t="str">
        <f t="shared" si="1"/>
        <v/>
      </c>
    </row>
    <row r="931">
      <c r="B931" s="16"/>
      <c r="C931" s="12"/>
      <c r="D931" s="12"/>
      <c r="E931" s="12"/>
      <c r="F931" s="25"/>
      <c r="G931" s="12"/>
      <c r="H931" s="12"/>
      <c r="I931" s="12"/>
      <c r="J931" s="16"/>
      <c r="N931" s="16"/>
      <c r="O931" s="16"/>
      <c r="P931" s="16" t="str">
        <f t="shared" si="1"/>
        <v/>
      </c>
    </row>
    <row r="932">
      <c r="B932" s="16"/>
      <c r="C932" s="12"/>
      <c r="D932" s="12"/>
      <c r="E932" s="12"/>
      <c r="F932" s="25"/>
      <c r="G932" s="12"/>
      <c r="H932" s="12"/>
      <c r="I932" s="12"/>
      <c r="J932" s="16"/>
      <c r="N932" s="16"/>
      <c r="O932" s="16"/>
      <c r="P932" s="16" t="str">
        <f t="shared" si="1"/>
        <v/>
      </c>
    </row>
    <row r="933">
      <c r="B933" s="16"/>
      <c r="C933" s="12"/>
      <c r="D933" s="12"/>
      <c r="E933" s="12"/>
      <c r="F933" s="25"/>
      <c r="G933" s="12"/>
      <c r="H933" s="12"/>
      <c r="I933" s="12"/>
      <c r="J933" s="16"/>
      <c r="N933" s="16"/>
      <c r="O933" s="16"/>
      <c r="P933" s="16" t="str">
        <f t="shared" si="1"/>
        <v/>
      </c>
    </row>
    <row r="934">
      <c r="B934" s="16"/>
      <c r="C934" s="12"/>
      <c r="D934" s="12"/>
      <c r="E934" s="12"/>
      <c r="F934" s="25"/>
      <c r="G934" s="12"/>
      <c r="H934" s="12"/>
      <c r="I934" s="12"/>
      <c r="J934" s="16"/>
      <c r="N934" s="16"/>
      <c r="O934" s="16"/>
      <c r="P934" s="16" t="str">
        <f t="shared" si="1"/>
        <v/>
      </c>
    </row>
    <row r="935">
      <c r="B935" s="16"/>
      <c r="C935" s="12"/>
      <c r="D935" s="12"/>
      <c r="E935" s="12"/>
      <c r="F935" s="25"/>
      <c r="G935" s="12"/>
      <c r="H935" s="12"/>
      <c r="I935" s="12"/>
      <c r="J935" s="16"/>
      <c r="N935" s="16"/>
      <c r="O935" s="16"/>
      <c r="P935" s="16" t="str">
        <f t="shared" si="1"/>
        <v/>
      </c>
    </row>
    <row r="936">
      <c r="B936" s="16"/>
      <c r="C936" s="12"/>
      <c r="D936" s="12"/>
      <c r="E936" s="12"/>
      <c r="F936" s="25"/>
      <c r="G936" s="12"/>
      <c r="H936" s="12"/>
      <c r="I936" s="12"/>
      <c r="J936" s="16"/>
      <c r="N936" s="16"/>
      <c r="O936" s="16"/>
      <c r="P936" s="16" t="str">
        <f t="shared" si="1"/>
        <v/>
      </c>
    </row>
    <row r="937">
      <c r="B937" s="16"/>
      <c r="C937" s="12"/>
      <c r="D937" s="12"/>
      <c r="E937" s="12"/>
      <c r="F937" s="25"/>
      <c r="G937" s="12"/>
      <c r="H937" s="12"/>
      <c r="I937" s="12"/>
      <c r="J937" s="16"/>
      <c r="N937" s="16"/>
      <c r="O937" s="16"/>
      <c r="P937" s="16" t="str">
        <f t="shared" si="1"/>
        <v/>
      </c>
    </row>
    <row r="938">
      <c r="B938" s="16"/>
      <c r="C938" s="12"/>
      <c r="D938" s="12"/>
      <c r="E938" s="12"/>
      <c r="F938" s="25"/>
      <c r="G938" s="12"/>
      <c r="H938" s="12"/>
      <c r="I938" s="12"/>
      <c r="J938" s="16"/>
      <c r="N938" s="16"/>
      <c r="O938" s="16"/>
      <c r="P938" s="16" t="str">
        <f t="shared" si="1"/>
        <v/>
      </c>
    </row>
    <row r="939">
      <c r="B939" s="16"/>
      <c r="C939" s="12"/>
      <c r="D939" s="12"/>
      <c r="E939" s="12"/>
      <c r="F939" s="25"/>
      <c r="G939" s="12"/>
      <c r="H939" s="12"/>
      <c r="I939" s="12"/>
      <c r="J939" s="16"/>
      <c r="N939" s="16"/>
      <c r="O939" s="16"/>
      <c r="P939" s="16" t="str">
        <f t="shared" si="1"/>
        <v/>
      </c>
    </row>
    <row r="940">
      <c r="B940" s="16"/>
      <c r="C940" s="12"/>
      <c r="D940" s="12"/>
      <c r="E940" s="12"/>
      <c r="F940" s="25"/>
      <c r="G940" s="12"/>
      <c r="H940" s="12"/>
      <c r="I940" s="12"/>
      <c r="J940" s="16"/>
      <c r="N940" s="16"/>
      <c r="O940" s="16"/>
      <c r="P940" s="16" t="str">
        <f t="shared" si="1"/>
        <v/>
      </c>
    </row>
    <row r="941">
      <c r="B941" s="16"/>
      <c r="C941" s="12"/>
      <c r="D941" s="12"/>
      <c r="E941" s="12"/>
      <c r="F941" s="25"/>
      <c r="G941" s="12"/>
      <c r="H941" s="12"/>
      <c r="I941" s="12"/>
      <c r="J941" s="16"/>
      <c r="N941" s="16"/>
      <c r="O941" s="16"/>
      <c r="P941" s="16" t="str">
        <f t="shared" si="1"/>
        <v/>
      </c>
    </row>
    <row r="942">
      <c r="B942" s="16"/>
      <c r="C942" s="12"/>
      <c r="D942" s="12"/>
      <c r="E942" s="12"/>
      <c r="F942" s="25"/>
      <c r="G942" s="12"/>
      <c r="H942" s="12"/>
      <c r="I942" s="12"/>
      <c r="J942" s="16"/>
      <c r="N942" s="16"/>
      <c r="O942" s="16"/>
      <c r="P942" s="16" t="str">
        <f t="shared" si="1"/>
        <v/>
      </c>
    </row>
    <row r="943">
      <c r="B943" s="16"/>
      <c r="C943" s="12"/>
      <c r="D943" s="12"/>
      <c r="E943" s="12"/>
      <c r="F943" s="25"/>
      <c r="G943" s="12"/>
      <c r="H943" s="12"/>
      <c r="I943" s="12"/>
      <c r="J943" s="16"/>
      <c r="N943" s="16"/>
      <c r="O943" s="16"/>
      <c r="P943" s="16" t="str">
        <f t="shared" si="1"/>
        <v/>
      </c>
    </row>
    <row r="944">
      <c r="B944" s="16"/>
      <c r="C944" s="12"/>
      <c r="D944" s="12"/>
      <c r="E944" s="12"/>
      <c r="F944" s="25"/>
      <c r="G944" s="12"/>
      <c r="H944" s="12"/>
      <c r="I944" s="12"/>
      <c r="J944" s="16"/>
      <c r="N944" s="16"/>
      <c r="O944" s="16"/>
      <c r="P944" s="16" t="str">
        <f t="shared" si="1"/>
        <v/>
      </c>
    </row>
    <row r="945">
      <c r="B945" s="16"/>
      <c r="C945" s="12"/>
      <c r="D945" s="12"/>
      <c r="E945" s="12"/>
      <c r="F945" s="25"/>
      <c r="G945" s="12"/>
      <c r="H945" s="12"/>
      <c r="I945" s="12"/>
      <c r="J945" s="16"/>
      <c r="N945" s="16"/>
      <c r="O945" s="16"/>
      <c r="P945" s="16" t="str">
        <f t="shared" si="1"/>
        <v/>
      </c>
    </row>
    <row r="946">
      <c r="B946" s="16"/>
      <c r="C946" s="12"/>
      <c r="D946" s="12"/>
      <c r="E946" s="12"/>
      <c r="F946" s="25"/>
      <c r="G946" s="12"/>
      <c r="H946" s="12"/>
      <c r="I946" s="12"/>
      <c r="J946" s="16"/>
      <c r="N946" s="16"/>
      <c r="O946" s="16"/>
      <c r="P946" s="16" t="str">
        <f t="shared" si="1"/>
        <v/>
      </c>
    </row>
    <row r="947">
      <c r="B947" s="16"/>
      <c r="C947" s="12"/>
      <c r="D947" s="12"/>
      <c r="E947" s="12"/>
      <c r="F947" s="25"/>
      <c r="G947" s="12"/>
      <c r="H947" s="12"/>
      <c r="I947" s="12"/>
      <c r="J947" s="16"/>
      <c r="N947" s="16"/>
      <c r="O947" s="16"/>
      <c r="P947" s="16" t="str">
        <f t="shared" si="1"/>
        <v/>
      </c>
    </row>
    <row r="948">
      <c r="B948" s="16"/>
      <c r="C948" s="12"/>
      <c r="D948" s="12"/>
      <c r="E948" s="12"/>
      <c r="F948" s="25"/>
      <c r="G948" s="12"/>
      <c r="H948" s="12"/>
      <c r="I948" s="12"/>
      <c r="J948" s="16"/>
      <c r="N948" s="16"/>
      <c r="O948" s="16"/>
      <c r="P948" s="16" t="str">
        <f t="shared" si="1"/>
        <v/>
      </c>
    </row>
    <row r="949">
      <c r="B949" s="16"/>
      <c r="C949" s="12"/>
      <c r="D949" s="12"/>
      <c r="E949" s="12"/>
      <c r="F949" s="25"/>
      <c r="G949" s="12"/>
      <c r="H949" s="12"/>
      <c r="I949" s="12"/>
      <c r="J949" s="16"/>
      <c r="N949" s="16"/>
      <c r="O949" s="16"/>
      <c r="P949" s="16" t="str">
        <f t="shared" si="1"/>
        <v/>
      </c>
    </row>
    <row r="950">
      <c r="B950" s="16"/>
      <c r="C950" s="12"/>
      <c r="D950" s="12"/>
      <c r="E950" s="12"/>
      <c r="F950" s="25"/>
      <c r="G950" s="12"/>
      <c r="H950" s="12"/>
      <c r="I950" s="12"/>
      <c r="J950" s="16"/>
      <c r="N950" s="16"/>
      <c r="O950" s="16"/>
      <c r="P950" s="16" t="str">
        <f t="shared" si="1"/>
        <v/>
      </c>
    </row>
    <row r="951">
      <c r="B951" s="16"/>
      <c r="C951" s="12"/>
      <c r="D951" s="12"/>
      <c r="E951" s="12"/>
      <c r="F951" s="25"/>
      <c r="G951" s="12"/>
      <c r="H951" s="12"/>
      <c r="I951" s="12"/>
      <c r="J951" s="16"/>
      <c r="N951" s="16"/>
      <c r="O951" s="16"/>
      <c r="P951" s="16" t="str">
        <f t="shared" si="1"/>
        <v/>
      </c>
    </row>
    <row r="952">
      <c r="B952" s="16"/>
      <c r="C952" s="12"/>
      <c r="D952" s="12"/>
      <c r="E952" s="12"/>
      <c r="F952" s="25"/>
      <c r="G952" s="12"/>
      <c r="H952" s="12"/>
      <c r="I952" s="12"/>
      <c r="J952" s="16"/>
      <c r="N952" s="16"/>
      <c r="O952" s="16"/>
      <c r="P952" s="16" t="str">
        <f t="shared" si="1"/>
        <v/>
      </c>
    </row>
    <row r="953">
      <c r="B953" s="16"/>
      <c r="C953" s="12"/>
      <c r="D953" s="12"/>
      <c r="E953" s="12"/>
      <c r="F953" s="25"/>
      <c r="G953" s="12"/>
      <c r="H953" s="12"/>
      <c r="I953" s="12"/>
      <c r="J953" s="16"/>
      <c r="N953" s="16"/>
      <c r="O953" s="16"/>
      <c r="P953" s="16" t="str">
        <f t="shared" si="1"/>
        <v/>
      </c>
    </row>
    <row r="954">
      <c r="B954" s="16"/>
      <c r="C954" s="12"/>
      <c r="D954" s="12"/>
      <c r="E954" s="12"/>
      <c r="F954" s="25"/>
      <c r="G954" s="12"/>
      <c r="H954" s="12"/>
      <c r="I954" s="12"/>
      <c r="J954" s="16"/>
      <c r="N954" s="16"/>
      <c r="O954" s="16"/>
      <c r="P954" s="16" t="str">
        <f t="shared" si="1"/>
        <v/>
      </c>
    </row>
    <row r="955">
      <c r="B955" s="16"/>
      <c r="C955" s="12"/>
      <c r="D955" s="12"/>
      <c r="E955" s="12"/>
      <c r="F955" s="25"/>
      <c r="G955" s="12"/>
      <c r="H955" s="12"/>
      <c r="I955" s="12"/>
      <c r="J955" s="16"/>
      <c r="N955" s="16"/>
      <c r="O955" s="16"/>
      <c r="P955" s="16" t="str">
        <f t="shared" si="1"/>
        <v/>
      </c>
    </row>
    <row r="956">
      <c r="B956" s="16"/>
      <c r="C956" s="12"/>
      <c r="D956" s="12"/>
      <c r="E956" s="12"/>
      <c r="F956" s="25"/>
      <c r="G956" s="12"/>
      <c r="H956" s="12"/>
      <c r="I956" s="12"/>
      <c r="J956" s="16"/>
      <c r="N956" s="16"/>
      <c r="O956" s="16"/>
      <c r="P956" s="16" t="str">
        <f t="shared" si="1"/>
        <v/>
      </c>
    </row>
    <row r="957">
      <c r="B957" s="16"/>
      <c r="C957" s="12"/>
      <c r="D957" s="12"/>
      <c r="E957" s="12"/>
      <c r="F957" s="25"/>
      <c r="G957" s="12"/>
      <c r="H957" s="12"/>
      <c r="I957" s="12"/>
      <c r="J957" s="16"/>
      <c r="N957" s="16"/>
      <c r="O957" s="16"/>
      <c r="P957" s="16" t="str">
        <f t="shared" si="1"/>
        <v/>
      </c>
    </row>
    <row r="958">
      <c r="B958" s="16"/>
      <c r="C958" s="12"/>
      <c r="D958" s="12"/>
      <c r="E958" s="12"/>
      <c r="F958" s="25"/>
      <c r="G958" s="12"/>
      <c r="H958" s="12"/>
      <c r="I958" s="12"/>
      <c r="J958" s="16"/>
      <c r="N958" s="16"/>
      <c r="O958" s="16"/>
      <c r="P958" s="16" t="str">
        <f t="shared" si="1"/>
        <v/>
      </c>
    </row>
    <row r="959">
      <c r="B959" s="16"/>
      <c r="C959" s="12"/>
      <c r="D959" s="12"/>
      <c r="E959" s="12"/>
      <c r="F959" s="25"/>
      <c r="G959" s="12"/>
      <c r="H959" s="12"/>
      <c r="I959" s="12"/>
      <c r="J959" s="16"/>
      <c r="N959" s="16"/>
      <c r="O959" s="16"/>
      <c r="P959" s="16" t="str">
        <f t="shared" si="1"/>
        <v/>
      </c>
    </row>
    <row r="960">
      <c r="B960" s="16"/>
      <c r="C960" s="12"/>
      <c r="D960" s="12"/>
      <c r="E960" s="12"/>
      <c r="F960" s="25"/>
      <c r="G960" s="12"/>
      <c r="H960" s="12"/>
      <c r="I960" s="12"/>
      <c r="J960" s="16"/>
      <c r="N960" s="16"/>
      <c r="O960" s="16"/>
      <c r="P960" s="16" t="str">
        <f t="shared" si="1"/>
        <v/>
      </c>
    </row>
    <row r="961">
      <c r="B961" s="16"/>
      <c r="C961" s="12"/>
      <c r="D961" s="12"/>
      <c r="E961" s="12"/>
      <c r="F961" s="25"/>
      <c r="G961" s="12"/>
      <c r="H961" s="12"/>
      <c r="I961" s="12"/>
      <c r="J961" s="16"/>
      <c r="N961" s="16"/>
      <c r="O961" s="16"/>
      <c r="P961" s="16" t="str">
        <f t="shared" si="1"/>
        <v/>
      </c>
    </row>
    <row r="962">
      <c r="B962" s="16"/>
      <c r="C962" s="12"/>
      <c r="D962" s="12"/>
      <c r="E962" s="12"/>
      <c r="F962" s="25"/>
      <c r="G962" s="12"/>
      <c r="H962" s="12"/>
      <c r="I962" s="12"/>
      <c r="J962" s="16"/>
      <c r="N962" s="16"/>
      <c r="O962" s="16"/>
      <c r="P962" s="16" t="str">
        <f t="shared" si="1"/>
        <v/>
      </c>
    </row>
    <row r="963">
      <c r="B963" s="16"/>
      <c r="C963" s="12"/>
      <c r="D963" s="12"/>
      <c r="E963" s="12"/>
      <c r="F963" s="25"/>
      <c r="G963" s="12"/>
      <c r="H963" s="12"/>
      <c r="I963" s="12"/>
      <c r="J963" s="16"/>
      <c r="N963" s="16"/>
      <c r="O963" s="16"/>
      <c r="P963" s="16" t="str">
        <f t="shared" si="1"/>
        <v/>
      </c>
    </row>
    <row r="964">
      <c r="B964" s="16"/>
      <c r="C964" s="12"/>
      <c r="D964" s="12"/>
      <c r="E964" s="12"/>
      <c r="F964" s="25"/>
      <c r="G964" s="12"/>
      <c r="H964" s="12"/>
      <c r="I964" s="12"/>
      <c r="J964" s="16"/>
      <c r="N964" s="16"/>
      <c r="O964" s="16"/>
      <c r="P964" s="16" t="str">
        <f t="shared" si="1"/>
        <v/>
      </c>
    </row>
    <row r="965">
      <c r="B965" s="16"/>
      <c r="C965" s="12"/>
      <c r="D965" s="12"/>
      <c r="E965" s="12"/>
      <c r="F965" s="25"/>
      <c r="G965" s="12"/>
      <c r="H965" s="12"/>
      <c r="I965" s="12"/>
      <c r="J965" s="16"/>
      <c r="N965" s="16"/>
      <c r="O965" s="16"/>
      <c r="P965" s="16" t="str">
        <f t="shared" si="1"/>
        <v/>
      </c>
    </row>
    <row r="966">
      <c r="B966" s="16"/>
      <c r="C966" s="12"/>
      <c r="D966" s="12"/>
      <c r="E966" s="12"/>
      <c r="F966" s="25"/>
      <c r="G966" s="12"/>
      <c r="H966" s="12"/>
      <c r="I966" s="12"/>
      <c r="J966" s="16"/>
      <c r="N966" s="16"/>
      <c r="O966" s="16"/>
      <c r="P966" s="16" t="str">
        <f t="shared" si="1"/>
        <v/>
      </c>
    </row>
    <row r="967">
      <c r="B967" s="16"/>
      <c r="C967" s="12"/>
      <c r="D967" s="12"/>
      <c r="E967" s="12"/>
      <c r="F967" s="25"/>
      <c r="G967" s="12"/>
      <c r="H967" s="12"/>
      <c r="I967" s="12"/>
      <c r="J967" s="16"/>
      <c r="N967" s="16"/>
      <c r="O967" s="16"/>
      <c r="P967" s="16" t="str">
        <f t="shared" si="1"/>
        <v/>
      </c>
    </row>
    <row r="968">
      <c r="B968" s="16"/>
      <c r="C968" s="12"/>
      <c r="D968" s="12"/>
      <c r="E968" s="12"/>
      <c r="F968" s="25"/>
      <c r="G968" s="12"/>
      <c r="H968" s="12"/>
      <c r="I968" s="12"/>
      <c r="J968" s="16"/>
      <c r="N968" s="16"/>
      <c r="O968" s="16"/>
      <c r="P968" s="16" t="str">
        <f t="shared" si="1"/>
        <v/>
      </c>
    </row>
    <row r="969">
      <c r="B969" s="16"/>
      <c r="C969" s="12"/>
      <c r="D969" s="12"/>
      <c r="E969" s="12"/>
      <c r="F969" s="25"/>
      <c r="G969" s="12"/>
      <c r="H969" s="12"/>
      <c r="I969" s="12"/>
      <c r="J969" s="16"/>
      <c r="N969" s="16"/>
      <c r="O969" s="16"/>
      <c r="P969" s="16" t="str">
        <f t="shared" si="1"/>
        <v/>
      </c>
    </row>
    <row r="970">
      <c r="B970" s="16"/>
      <c r="C970" s="12"/>
      <c r="D970" s="12"/>
      <c r="E970" s="12"/>
      <c r="F970" s="25"/>
      <c r="G970" s="12"/>
      <c r="H970" s="12"/>
      <c r="I970" s="12"/>
      <c r="J970" s="16"/>
      <c r="N970" s="16"/>
      <c r="O970" s="16"/>
      <c r="P970" s="16" t="str">
        <f t="shared" si="1"/>
        <v/>
      </c>
    </row>
    <row r="971">
      <c r="B971" s="16"/>
      <c r="C971" s="12"/>
      <c r="D971" s="12"/>
      <c r="E971" s="12"/>
      <c r="F971" s="25"/>
      <c r="G971" s="12"/>
      <c r="H971" s="12"/>
      <c r="I971" s="12"/>
      <c r="J971" s="16"/>
      <c r="N971" s="16"/>
      <c r="O971" s="16"/>
      <c r="P971" s="16" t="str">
        <f t="shared" si="1"/>
        <v/>
      </c>
    </row>
    <row r="972">
      <c r="B972" s="16"/>
      <c r="C972" s="12"/>
      <c r="D972" s="12"/>
      <c r="E972" s="12"/>
      <c r="F972" s="25"/>
      <c r="G972" s="12"/>
      <c r="H972" s="12"/>
      <c r="I972" s="12"/>
      <c r="J972" s="16"/>
      <c r="N972" s="16"/>
      <c r="O972" s="16"/>
      <c r="P972" s="16" t="str">
        <f t="shared" si="1"/>
        <v/>
      </c>
    </row>
    <row r="973">
      <c r="B973" s="16"/>
      <c r="C973" s="12"/>
      <c r="D973" s="12"/>
      <c r="E973" s="12"/>
      <c r="F973" s="25"/>
      <c r="G973" s="12"/>
      <c r="H973" s="12"/>
      <c r="I973" s="12"/>
      <c r="J973" s="16"/>
      <c r="N973" s="16"/>
      <c r="O973" s="16"/>
      <c r="P973" s="16" t="str">
        <f t="shared" si="1"/>
        <v/>
      </c>
    </row>
    <row r="974">
      <c r="B974" s="16"/>
      <c r="C974" s="12"/>
      <c r="D974" s="12"/>
      <c r="E974" s="12"/>
      <c r="F974" s="25"/>
      <c r="G974" s="12"/>
      <c r="H974" s="12"/>
      <c r="I974" s="12"/>
      <c r="J974" s="16"/>
      <c r="N974" s="16"/>
      <c r="O974" s="16"/>
      <c r="P974" s="16" t="str">
        <f t="shared" si="1"/>
        <v/>
      </c>
    </row>
    <row r="975">
      <c r="B975" s="16"/>
      <c r="C975" s="12"/>
      <c r="D975" s="12"/>
      <c r="E975" s="12"/>
      <c r="F975" s="25"/>
      <c r="G975" s="12"/>
      <c r="H975" s="12"/>
      <c r="I975" s="12"/>
      <c r="J975" s="16"/>
      <c r="N975" s="16"/>
      <c r="O975" s="16"/>
      <c r="P975" s="16" t="str">
        <f t="shared" si="1"/>
        <v/>
      </c>
    </row>
    <row r="976">
      <c r="B976" s="16"/>
      <c r="C976" s="12"/>
      <c r="D976" s="12"/>
      <c r="E976" s="12"/>
      <c r="F976" s="25"/>
      <c r="G976" s="12"/>
      <c r="H976" s="12"/>
      <c r="I976" s="12"/>
      <c r="J976" s="16"/>
      <c r="N976" s="16"/>
      <c r="O976" s="16"/>
      <c r="P976" s="16" t="str">
        <f t="shared" si="1"/>
        <v/>
      </c>
    </row>
    <row r="977">
      <c r="B977" s="16"/>
      <c r="C977" s="12"/>
      <c r="D977" s="12"/>
      <c r="E977" s="12"/>
      <c r="F977" s="25"/>
      <c r="G977" s="12"/>
      <c r="H977" s="12"/>
      <c r="I977" s="12"/>
      <c r="J977" s="16"/>
      <c r="N977" s="16"/>
      <c r="O977" s="16"/>
      <c r="P977" s="16" t="str">
        <f t="shared" si="1"/>
        <v/>
      </c>
    </row>
    <row r="978">
      <c r="B978" s="16"/>
      <c r="C978" s="12"/>
      <c r="D978" s="12"/>
      <c r="E978" s="12"/>
      <c r="F978" s="25"/>
      <c r="G978" s="12"/>
      <c r="H978" s="12"/>
      <c r="I978" s="12"/>
      <c r="J978" s="16"/>
      <c r="N978" s="16"/>
      <c r="O978" s="16"/>
      <c r="P978" s="16" t="str">
        <f t="shared" si="1"/>
        <v/>
      </c>
    </row>
    <row r="979">
      <c r="B979" s="16"/>
      <c r="C979" s="12"/>
      <c r="D979" s="12"/>
      <c r="E979" s="12"/>
      <c r="F979" s="25"/>
      <c r="G979" s="12"/>
      <c r="H979" s="12"/>
      <c r="I979" s="12"/>
      <c r="J979" s="16"/>
      <c r="N979" s="16"/>
      <c r="O979" s="16"/>
      <c r="P979" s="16" t="str">
        <f t="shared" si="1"/>
        <v/>
      </c>
    </row>
    <row r="980">
      <c r="B980" s="16"/>
      <c r="C980" s="12"/>
      <c r="D980" s="12"/>
      <c r="E980" s="12"/>
      <c r="F980" s="25"/>
      <c r="G980" s="12"/>
      <c r="H980" s="12"/>
      <c r="I980" s="12"/>
      <c r="J980" s="16"/>
      <c r="N980" s="16"/>
      <c r="O980" s="16"/>
      <c r="P980" s="16" t="str">
        <f t="shared" si="1"/>
        <v/>
      </c>
    </row>
    <row r="981">
      <c r="B981" s="16"/>
      <c r="C981" s="12"/>
      <c r="D981" s="12"/>
      <c r="E981" s="12"/>
      <c r="F981" s="25"/>
      <c r="G981" s="12"/>
      <c r="H981" s="12"/>
      <c r="I981" s="12"/>
      <c r="J981" s="16"/>
      <c r="N981" s="16"/>
      <c r="O981" s="16"/>
      <c r="P981" s="16" t="str">
        <f t="shared" si="1"/>
        <v/>
      </c>
    </row>
    <row r="982">
      <c r="B982" s="16"/>
      <c r="C982" s="12"/>
      <c r="D982" s="12"/>
      <c r="E982" s="12"/>
      <c r="F982" s="25"/>
      <c r="G982" s="12"/>
      <c r="H982" s="12"/>
      <c r="I982" s="12"/>
      <c r="J982" s="16"/>
      <c r="N982" s="16"/>
      <c r="O982" s="16"/>
      <c r="P982" s="16" t="str">
        <f t="shared" si="1"/>
        <v/>
      </c>
    </row>
    <row r="983">
      <c r="B983" s="16"/>
      <c r="C983" s="12"/>
      <c r="D983" s="12"/>
      <c r="E983" s="12"/>
      <c r="F983" s="25"/>
      <c r="G983" s="12"/>
      <c r="H983" s="12"/>
      <c r="I983" s="12"/>
      <c r="J983" s="16"/>
      <c r="N983" s="16"/>
      <c r="O983" s="16"/>
      <c r="P983" s="16" t="str">
        <f t="shared" si="1"/>
        <v/>
      </c>
    </row>
    <row r="984">
      <c r="B984" s="16"/>
      <c r="C984" s="12"/>
      <c r="D984" s="12"/>
      <c r="E984" s="12"/>
      <c r="F984" s="25"/>
      <c r="G984" s="12"/>
      <c r="H984" s="12"/>
      <c r="I984" s="12"/>
      <c r="J984" s="16"/>
      <c r="N984" s="16"/>
      <c r="O984" s="16"/>
      <c r="P984" s="16" t="str">
        <f t="shared" si="1"/>
        <v/>
      </c>
    </row>
    <row r="985">
      <c r="B985" s="16"/>
      <c r="C985" s="12"/>
      <c r="D985" s="12"/>
      <c r="E985" s="12"/>
      <c r="F985" s="25"/>
      <c r="G985" s="12"/>
      <c r="H985" s="12"/>
      <c r="I985" s="12"/>
      <c r="J985" s="16"/>
      <c r="N985" s="16"/>
      <c r="O985" s="16"/>
      <c r="P985" s="16" t="str">
        <f t="shared" si="1"/>
        <v/>
      </c>
    </row>
    <row r="986">
      <c r="B986" s="16"/>
      <c r="C986" s="12"/>
      <c r="D986" s="12"/>
      <c r="E986" s="12"/>
      <c r="F986" s="25"/>
      <c r="G986" s="12"/>
      <c r="H986" s="12"/>
      <c r="I986" s="12"/>
      <c r="J986" s="16"/>
      <c r="N986" s="16"/>
      <c r="O986" s="16"/>
      <c r="P986" s="16" t="str">
        <f t="shared" si="1"/>
        <v/>
      </c>
    </row>
    <row r="987">
      <c r="B987" s="16"/>
      <c r="C987" s="12"/>
      <c r="D987" s="12"/>
      <c r="E987" s="12"/>
      <c r="F987" s="25"/>
      <c r="G987" s="12"/>
      <c r="H987" s="12"/>
      <c r="I987" s="12"/>
      <c r="J987" s="16"/>
      <c r="N987" s="16"/>
      <c r="O987" s="16"/>
      <c r="P987" s="16" t="str">
        <f t="shared" si="1"/>
        <v/>
      </c>
    </row>
    <row r="988">
      <c r="B988" s="16"/>
      <c r="C988" s="12"/>
      <c r="D988" s="12"/>
      <c r="E988" s="12"/>
      <c r="F988" s="25"/>
      <c r="G988" s="12"/>
      <c r="H988" s="12"/>
      <c r="I988" s="12"/>
      <c r="J988" s="16"/>
      <c r="N988" s="16"/>
      <c r="O988" s="16"/>
      <c r="P988" s="16" t="str">
        <f t="shared" si="1"/>
        <v/>
      </c>
    </row>
    <row r="989">
      <c r="B989" s="16"/>
      <c r="C989" s="12"/>
      <c r="D989" s="12"/>
      <c r="E989" s="12"/>
      <c r="F989" s="25"/>
      <c r="G989" s="12"/>
      <c r="H989" s="12"/>
      <c r="I989" s="12"/>
      <c r="J989" s="16"/>
      <c r="N989" s="16"/>
      <c r="O989" s="16"/>
      <c r="P989" s="16" t="str">
        <f t="shared" si="1"/>
        <v/>
      </c>
    </row>
    <row r="990">
      <c r="B990" s="16"/>
      <c r="C990" s="12"/>
      <c r="D990" s="12"/>
      <c r="E990" s="12"/>
      <c r="F990" s="25"/>
      <c r="G990" s="12"/>
      <c r="H990" s="12"/>
      <c r="I990" s="12"/>
      <c r="J990" s="16"/>
      <c r="N990" s="16"/>
      <c r="O990" s="16"/>
      <c r="P990" s="16" t="str">
        <f t="shared" si="1"/>
        <v/>
      </c>
    </row>
    <row r="991">
      <c r="B991" s="16"/>
      <c r="C991" s="12"/>
      <c r="D991" s="12"/>
      <c r="E991" s="12"/>
      <c r="F991" s="25"/>
      <c r="G991" s="12"/>
      <c r="H991" s="12"/>
      <c r="I991" s="12"/>
      <c r="J991" s="16"/>
      <c r="N991" s="16"/>
      <c r="O991" s="16"/>
      <c r="P991" s="16" t="str">
        <f t="shared" si="1"/>
        <v/>
      </c>
    </row>
    <row r="992">
      <c r="B992" s="16"/>
      <c r="C992" s="12"/>
      <c r="D992" s="12"/>
      <c r="E992" s="12"/>
      <c r="F992" s="25"/>
      <c r="G992" s="12"/>
      <c r="H992" s="12"/>
      <c r="I992" s="12"/>
      <c r="J992" s="16"/>
      <c r="N992" s="16"/>
      <c r="O992" s="16"/>
      <c r="P992" s="16" t="str">
        <f t="shared" si="1"/>
        <v/>
      </c>
    </row>
    <row r="993">
      <c r="B993" s="16"/>
      <c r="C993" s="12"/>
      <c r="D993" s="12"/>
      <c r="E993" s="12"/>
      <c r="F993" s="25"/>
      <c r="G993" s="12"/>
      <c r="H993" s="12"/>
      <c r="I993" s="12"/>
      <c r="J993" s="16"/>
      <c r="N993" s="16"/>
      <c r="O993" s="16"/>
      <c r="P993" s="16" t="str">
        <f t="shared" si="1"/>
        <v/>
      </c>
    </row>
    <row r="994">
      <c r="B994" s="16"/>
      <c r="C994" s="12"/>
      <c r="D994" s="12"/>
      <c r="E994" s="12"/>
      <c r="F994" s="25"/>
      <c r="G994" s="12"/>
      <c r="H994" s="12"/>
      <c r="I994" s="12"/>
      <c r="J994" s="16"/>
      <c r="N994" s="16"/>
      <c r="O994" s="16"/>
      <c r="P994" s="16" t="str">
        <f t="shared" si="1"/>
        <v/>
      </c>
    </row>
    <row r="995">
      <c r="B995" s="16"/>
      <c r="C995" s="12"/>
      <c r="D995" s="12"/>
      <c r="E995" s="12"/>
      <c r="F995" s="25"/>
      <c r="G995" s="12"/>
      <c r="H995" s="12"/>
      <c r="I995" s="12"/>
      <c r="J995" s="16"/>
      <c r="N995" s="16"/>
      <c r="O995" s="16"/>
      <c r="P995" s="16" t="str">
        <f t="shared" si="1"/>
        <v/>
      </c>
    </row>
  </sheetData>
  <mergeCells count="2">
    <mergeCell ref="A1:C1"/>
    <mergeCell ref="A2:C2"/>
  </mergeCells>
  <conditionalFormatting sqref="A3:Q3">
    <cfRule type="notContainsBlanks" dxfId="0" priority="1">
      <formula>LEN(TRIM(A3))&gt;0</formula>
    </cfRule>
  </conditionalFormatting>
  <conditionalFormatting sqref="P4:P995">
    <cfRule type="containsText" dxfId="1" priority="2" operator="containsText" text="Igual">
      <formula>NOT(ISERROR(SEARCH(("Igual"),(P4))))</formula>
    </cfRule>
  </conditionalFormatting>
  <conditionalFormatting sqref="P4:P995">
    <cfRule type="containsText" dxfId="2" priority="3" operator="containsText" text="Diferente">
      <formula>NOT(ISERROR(SEARCH(("Diferente"),(P4))))</formula>
    </cfRule>
  </conditionalFormatting>
  <dataValidations>
    <dataValidation type="list" allowBlank="1" showErrorMessage="1" sqref="N4:O995">
      <formula1>"Sim,Não,Parcialmente"</formula1>
    </dataValidation>
    <dataValidation type="list" allowBlank="1" showErrorMessage="1" sqref="J4:J995">
      <formula1>"RQ1,RQ2,RQ3,RQ4,RQ5,RQ6,RQ7,RQ8,RQ9"</formula1>
    </dataValidation>
    <dataValidation type="list" allowBlank="1" showErrorMessage="1" sqref="B4:B995">
      <formula1>"Conference,Journal"</formula1>
    </dataValidation>
  </dataValidations>
  <hyperlinks>
    <hyperlink r:id="rId1" ref="E4"/>
    <hyperlink r:id="rId2" ref="E5"/>
    <hyperlink r:id="rId3" ref="E6"/>
    <hyperlink r:id="rId4" ref="E13"/>
    <hyperlink r:id="rId5" ref="E14"/>
    <hyperlink r:id="rId6" ref="E15"/>
    <hyperlink r:id="rId7" ref="E16"/>
    <hyperlink r:id="rId8" ref="E17"/>
    <hyperlink r:id="rId9" ref="E18"/>
    <hyperlink r:id="rId10" ref="E19"/>
    <hyperlink r:id="rId11" ref="E20"/>
    <hyperlink r:id="rId12" ref="E21"/>
    <hyperlink r:id="rId13" ref="E22"/>
    <hyperlink r:id="rId14" ref="E23"/>
    <hyperlink r:id="rId15" ref="E24"/>
    <hyperlink r:id="rId16" ref="E25"/>
    <hyperlink r:id="rId17" ref="E26"/>
    <hyperlink r:id="rId18" ref="E27"/>
    <hyperlink r:id="rId19" ref="E28"/>
    <hyperlink r:id="rId20" ref="E29"/>
    <hyperlink r:id="rId21" ref="E30"/>
    <hyperlink r:id="rId22" ref="E31"/>
    <hyperlink r:id="rId23" ref="E32"/>
    <hyperlink r:id="rId24" ref="E33"/>
    <hyperlink r:id="rId25" ref="E34"/>
    <hyperlink r:id="rId26" ref="E35"/>
    <hyperlink r:id="rId27" ref="E36"/>
    <hyperlink r:id="rId28" ref="E37"/>
    <hyperlink r:id="rId29" ref="E38"/>
    <hyperlink r:id="rId30" ref="E39"/>
    <hyperlink r:id="rId31" ref="E40"/>
    <hyperlink r:id="rId32" ref="E41"/>
    <hyperlink r:id="rId33" ref="E42"/>
    <hyperlink r:id="rId34" ref="E43"/>
    <hyperlink r:id="rId35" ref="E44"/>
    <hyperlink r:id="rId36" ref="E45"/>
    <hyperlink r:id="rId37" ref="E46"/>
    <hyperlink r:id="rId38" ref="E47"/>
    <hyperlink r:id="rId39" ref="E48"/>
    <hyperlink r:id="rId40" ref="E49"/>
    <hyperlink r:id="rId41" ref="E50"/>
    <hyperlink r:id="rId42" ref="E51"/>
    <hyperlink r:id="rId43" ref="E52"/>
    <hyperlink r:id="rId44" ref="E53"/>
    <hyperlink r:id="rId45" ref="E54"/>
    <hyperlink r:id="rId46" ref="E55"/>
    <hyperlink r:id="rId47" ref="E56"/>
    <hyperlink r:id="rId48" ref="E57"/>
    <hyperlink r:id="rId49" ref="E58"/>
    <hyperlink r:id="rId50" ref="E59"/>
    <hyperlink r:id="rId51" ref="E60"/>
    <hyperlink r:id="rId52" ref="E61"/>
    <hyperlink r:id="rId53" ref="E62"/>
    <hyperlink r:id="rId54" ref="E63"/>
    <hyperlink r:id="rId55" ref="E64"/>
    <hyperlink r:id="rId56" ref="E65"/>
    <hyperlink r:id="rId57" ref="E66"/>
    <hyperlink r:id="rId58" ref="E67"/>
    <hyperlink r:id="rId59" ref="E68"/>
    <hyperlink r:id="rId60" ref="E69"/>
    <hyperlink r:id="rId61" ref="E70"/>
    <hyperlink r:id="rId62" ref="E71"/>
    <hyperlink r:id="rId63" ref="E72"/>
    <hyperlink r:id="rId64" ref="E73"/>
    <hyperlink r:id="rId65" ref="E74"/>
    <hyperlink r:id="rId66" ref="E75"/>
    <hyperlink r:id="rId67" ref="E76"/>
    <hyperlink r:id="rId68" ref="E77"/>
    <hyperlink r:id="rId69" ref="E78"/>
    <hyperlink r:id="rId70" ref="E79"/>
    <hyperlink r:id="rId71" ref="E80"/>
    <hyperlink r:id="rId72" ref="E81"/>
    <hyperlink r:id="rId73" ref="E82"/>
    <hyperlink r:id="rId74" ref="E83"/>
    <hyperlink r:id="rId75" ref="E84"/>
    <hyperlink r:id="rId76" ref="E85"/>
    <hyperlink r:id="rId77" ref="E86"/>
    <hyperlink r:id="rId78" ref="E87"/>
    <hyperlink r:id="rId79" ref="E88"/>
    <hyperlink r:id="rId80" ref="E89"/>
    <hyperlink r:id="rId81" ref="E90"/>
    <hyperlink r:id="rId82" ref="E91"/>
    <hyperlink r:id="rId83" ref="E92"/>
    <hyperlink r:id="rId84" ref="E93"/>
    <hyperlink r:id="rId85" ref="E94"/>
    <hyperlink r:id="rId86" ref="E95"/>
    <hyperlink r:id="rId87" ref="E96"/>
    <hyperlink r:id="rId88" ref="E97"/>
    <hyperlink r:id="rId89" ref="E98"/>
    <hyperlink r:id="rId90" ref="E99"/>
    <hyperlink r:id="rId91" ref="E100"/>
    <hyperlink r:id="rId92" ref="E101"/>
    <hyperlink r:id="rId93" ref="E102"/>
    <hyperlink r:id="rId94" ref="E103"/>
    <hyperlink r:id="rId95" ref="E104"/>
    <hyperlink r:id="rId96" ref="E105"/>
    <hyperlink r:id="rId97" ref="E106"/>
    <hyperlink r:id="rId98" ref="E107"/>
    <hyperlink r:id="rId99" ref="E108"/>
    <hyperlink r:id="rId100" ref="E109"/>
    <hyperlink r:id="rId101" ref="E110"/>
    <hyperlink r:id="rId102" ref="E111"/>
    <hyperlink r:id="rId103" ref="E112"/>
    <hyperlink r:id="rId104" ref="E113"/>
    <hyperlink r:id="rId105" ref="E114"/>
    <hyperlink r:id="rId106" ref="E115"/>
    <hyperlink r:id="rId107" ref="E116"/>
    <hyperlink r:id="rId108" ref="E117"/>
    <hyperlink r:id="rId109" ref="E118"/>
    <hyperlink r:id="rId110" ref="E119"/>
    <hyperlink r:id="rId111" ref="E120"/>
    <hyperlink r:id="rId112" ref="E121"/>
    <hyperlink r:id="rId113" ref="E122"/>
    <hyperlink r:id="rId114" ref="E123"/>
  </hyperlinks>
  <drawing r:id="rId1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25"/>
    <col customWidth="1" min="2" max="2" width="13.63"/>
    <col customWidth="1" min="3" max="3" width="11.88"/>
    <col customWidth="1" min="4" max="4" width="19.5"/>
    <col customWidth="1" min="5" max="5" width="24.88"/>
    <col customWidth="1" min="6" max="6" width="22.25"/>
    <col customWidth="1" min="7" max="7" width="6.0"/>
    <col customWidth="1" min="8" max="8" width="11.25"/>
    <col customWidth="1" min="9" max="9" width="11.38"/>
    <col customWidth="1" min="10" max="12" width="13.0"/>
    <col customWidth="1" min="13" max="13" width="28.75"/>
    <col customWidth="1" min="14" max="14" width="27.13"/>
    <col customWidth="1" min="15" max="15" width="25.38"/>
  </cols>
  <sheetData>
    <row r="1">
      <c r="A1" s="1" t="s">
        <v>524</v>
      </c>
      <c r="E1" s="2"/>
      <c r="F1" s="2"/>
      <c r="G1" s="2"/>
      <c r="H1" s="2"/>
      <c r="I1" s="1"/>
      <c r="J1" s="2"/>
      <c r="K1" s="2"/>
      <c r="L1" s="3"/>
      <c r="M1" s="26"/>
      <c r="N1" s="26"/>
      <c r="O1" s="3"/>
      <c r="P1" s="3"/>
      <c r="Q1" s="3"/>
      <c r="R1" s="3"/>
      <c r="S1" s="3"/>
    </row>
    <row r="2">
      <c r="A2" s="1" t="s">
        <v>1</v>
      </c>
      <c r="E2" s="2"/>
      <c r="F2" s="2"/>
      <c r="G2" s="2"/>
      <c r="H2" s="2"/>
      <c r="I2" s="1"/>
      <c r="J2" s="2"/>
      <c r="K2" s="2"/>
      <c r="L2" s="3"/>
      <c r="M2" s="26"/>
      <c r="N2" s="26"/>
      <c r="O2" s="3"/>
      <c r="P2" s="3"/>
      <c r="Q2" s="3"/>
      <c r="R2" s="3"/>
      <c r="S2" s="3"/>
    </row>
    <row r="3" ht="45.75" customHeight="1">
      <c r="A3" s="4" t="s">
        <v>2</v>
      </c>
      <c r="B3" s="4" t="s">
        <v>3</v>
      </c>
      <c r="C3" s="5" t="s">
        <v>525</v>
      </c>
      <c r="D3" s="5" t="s">
        <v>4</v>
      </c>
      <c r="E3" s="5" t="s">
        <v>5</v>
      </c>
      <c r="F3" s="5" t="s">
        <v>6</v>
      </c>
      <c r="G3" s="6" t="s">
        <v>7</v>
      </c>
      <c r="H3" s="5" t="s">
        <v>8</v>
      </c>
      <c r="I3" s="4" t="s">
        <v>9</v>
      </c>
      <c r="J3" s="4" t="s">
        <v>526</v>
      </c>
      <c r="K3" s="5" t="s">
        <v>10</v>
      </c>
      <c r="L3" s="4" t="s">
        <v>11</v>
      </c>
      <c r="M3" s="27" t="s">
        <v>12</v>
      </c>
      <c r="N3" s="27" t="s">
        <v>13</v>
      </c>
      <c r="O3" s="4" t="s">
        <v>14</v>
      </c>
      <c r="P3" s="4" t="s">
        <v>15</v>
      </c>
      <c r="Q3" s="4" t="s">
        <v>16</v>
      </c>
      <c r="R3" s="4" t="s">
        <v>17</v>
      </c>
      <c r="S3" s="4" t="s">
        <v>18</v>
      </c>
    </row>
    <row r="4">
      <c r="A4" s="7" t="s">
        <v>19</v>
      </c>
      <c r="B4" s="7" t="s">
        <v>20</v>
      </c>
      <c r="C4" s="28" t="s">
        <v>527</v>
      </c>
      <c r="D4" s="28" t="s">
        <v>21</v>
      </c>
      <c r="E4" s="9" t="s">
        <v>22</v>
      </c>
      <c r="F4" s="10" t="s">
        <v>23</v>
      </c>
      <c r="G4" s="11">
        <v>2020.0</v>
      </c>
      <c r="H4" s="9" t="s">
        <v>24</v>
      </c>
      <c r="I4" s="29" t="s">
        <v>528</v>
      </c>
      <c r="J4" s="13" t="s">
        <v>529</v>
      </c>
      <c r="K4" s="13" t="s">
        <v>23</v>
      </c>
      <c r="L4" s="14" t="s">
        <v>25</v>
      </c>
      <c r="M4" s="30" t="s">
        <v>530</v>
      </c>
      <c r="N4" s="30" t="s">
        <v>531</v>
      </c>
      <c r="O4" s="29" t="s">
        <v>532</v>
      </c>
      <c r="P4" s="14" t="s">
        <v>533</v>
      </c>
      <c r="Q4" s="14" t="s">
        <v>533</v>
      </c>
      <c r="R4" s="16" t="str">
        <f t="shared" ref="R4:R242" si="1">IF(OR(P4="",Q4=""),"",IF(P4=Q4,"Igual","Diferente"))</f>
        <v>Igual</v>
      </c>
      <c r="S4" s="14" t="s">
        <v>534</v>
      </c>
    </row>
    <row r="5">
      <c r="A5" s="7"/>
      <c r="B5" s="14"/>
      <c r="C5" s="17"/>
      <c r="D5" s="17"/>
      <c r="E5" s="9"/>
      <c r="F5" s="10"/>
      <c r="G5" s="11"/>
      <c r="H5" s="9"/>
      <c r="I5" s="29" t="s">
        <v>535</v>
      </c>
      <c r="J5" s="13"/>
      <c r="K5" s="13"/>
      <c r="L5" s="14" t="s">
        <v>31</v>
      </c>
      <c r="M5" s="30" t="s">
        <v>536</v>
      </c>
      <c r="N5" s="30" t="s">
        <v>537</v>
      </c>
      <c r="O5" s="29" t="s">
        <v>538</v>
      </c>
      <c r="P5" s="14" t="s">
        <v>533</v>
      </c>
      <c r="Q5" s="14" t="s">
        <v>533</v>
      </c>
      <c r="R5" s="16" t="str">
        <f t="shared" si="1"/>
        <v>Igual</v>
      </c>
    </row>
    <row r="6">
      <c r="A6" s="7"/>
      <c r="B6" s="14"/>
      <c r="C6" s="17"/>
      <c r="D6" s="17"/>
      <c r="F6" s="10"/>
      <c r="G6" s="11"/>
      <c r="H6" s="9"/>
      <c r="I6" s="31"/>
      <c r="J6" s="13"/>
      <c r="K6" s="13"/>
      <c r="L6" s="14" t="s">
        <v>36</v>
      </c>
      <c r="M6" s="30" t="s">
        <v>539</v>
      </c>
      <c r="N6" s="30" t="s">
        <v>540</v>
      </c>
      <c r="O6" s="29" t="s">
        <v>541</v>
      </c>
      <c r="P6" s="14" t="s">
        <v>533</v>
      </c>
      <c r="Q6" s="14" t="s">
        <v>542</v>
      </c>
      <c r="R6" s="16" t="str">
        <f t="shared" si="1"/>
        <v>Diferente</v>
      </c>
      <c r="S6" s="14" t="s">
        <v>543</v>
      </c>
    </row>
    <row r="7">
      <c r="A7" s="7"/>
      <c r="B7" s="14"/>
      <c r="C7" s="17"/>
      <c r="D7" s="17"/>
      <c r="E7" s="9"/>
      <c r="F7" s="10"/>
      <c r="G7" s="11"/>
      <c r="H7" s="9"/>
      <c r="I7" s="31"/>
      <c r="J7" s="13"/>
      <c r="K7" s="13"/>
      <c r="L7" s="14" t="s">
        <v>41</v>
      </c>
      <c r="M7" s="30" t="s">
        <v>544</v>
      </c>
      <c r="N7" s="30" t="s">
        <v>545</v>
      </c>
      <c r="O7" s="29" t="s">
        <v>546</v>
      </c>
      <c r="P7" s="14" t="s">
        <v>533</v>
      </c>
      <c r="Q7" s="14" t="s">
        <v>542</v>
      </c>
      <c r="R7" s="16" t="str">
        <f t="shared" si="1"/>
        <v>Diferente</v>
      </c>
      <c r="S7" s="14" t="s">
        <v>543</v>
      </c>
    </row>
    <row r="8">
      <c r="A8" s="7"/>
      <c r="B8" s="14"/>
      <c r="C8" s="17"/>
      <c r="D8" s="17"/>
      <c r="E8" s="9"/>
      <c r="F8" s="10"/>
      <c r="G8" s="11"/>
      <c r="H8" s="9"/>
      <c r="I8" s="31"/>
      <c r="J8" s="13"/>
      <c r="K8" s="13"/>
      <c r="L8" s="14" t="s">
        <v>47</v>
      </c>
      <c r="M8" s="30" t="s">
        <v>547</v>
      </c>
      <c r="N8" s="30" t="s">
        <v>548</v>
      </c>
      <c r="O8" s="29" t="s">
        <v>549</v>
      </c>
      <c r="P8" s="14" t="s">
        <v>533</v>
      </c>
      <c r="Q8" s="14" t="s">
        <v>533</v>
      </c>
      <c r="R8" s="16" t="str">
        <f t="shared" si="1"/>
        <v>Igual</v>
      </c>
    </row>
    <row r="9">
      <c r="A9" s="7"/>
      <c r="B9" s="14"/>
      <c r="C9" s="17"/>
      <c r="D9" s="17"/>
      <c r="E9" s="9"/>
      <c r="F9" s="10"/>
      <c r="G9" s="11"/>
      <c r="H9" s="9"/>
      <c r="I9" s="31"/>
      <c r="J9" s="13"/>
      <c r="K9" s="13"/>
      <c r="L9" s="14" t="s">
        <v>53</v>
      </c>
      <c r="M9" s="30" t="s">
        <v>550</v>
      </c>
      <c r="N9" s="30" t="s">
        <v>551</v>
      </c>
      <c r="O9" s="29" t="s">
        <v>552</v>
      </c>
      <c r="P9" s="14" t="s">
        <v>533</v>
      </c>
      <c r="Q9" s="14" t="s">
        <v>533</v>
      </c>
      <c r="R9" s="16" t="str">
        <f t="shared" si="1"/>
        <v>Igual</v>
      </c>
    </row>
    <row r="10">
      <c r="A10" s="7"/>
      <c r="B10" s="14"/>
      <c r="C10" s="17"/>
      <c r="D10" s="17"/>
      <c r="E10" s="9"/>
      <c r="F10" s="10"/>
      <c r="G10" s="11"/>
      <c r="H10" s="9"/>
      <c r="I10" s="31"/>
      <c r="J10" s="13"/>
      <c r="K10" s="13"/>
      <c r="L10" s="14" t="s">
        <v>59</v>
      </c>
      <c r="M10" s="30" t="s">
        <v>553</v>
      </c>
      <c r="N10" s="30" t="s">
        <v>554</v>
      </c>
      <c r="O10" s="29" t="s">
        <v>555</v>
      </c>
      <c r="P10" s="14" t="s">
        <v>533</v>
      </c>
      <c r="Q10" s="14" t="s">
        <v>533</v>
      </c>
      <c r="R10" s="16" t="str">
        <f t="shared" si="1"/>
        <v>Igual</v>
      </c>
    </row>
    <row r="11">
      <c r="A11" s="7"/>
      <c r="B11" s="14"/>
      <c r="C11" s="17"/>
      <c r="D11" s="17"/>
      <c r="E11" s="9"/>
      <c r="F11" s="10"/>
      <c r="G11" s="11"/>
      <c r="H11" s="9"/>
      <c r="I11" s="31"/>
      <c r="J11" s="13"/>
      <c r="K11" s="13"/>
      <c r="L11" s="14" t="s">
        <v>65</v>
      </c>
      <c r="M11" s="30" t="s">
        <v>556</v>
      </c>
      <c r="N11" s="30" t="s">
        <v>557</v>
      </c>
      <c r="O11" s="29" t="s">
        <v>558</v>
      </c>
      <c r="P11" s="14" t="s">
        <v>533</v>
      </c>
      <c r="Q11" s="14" t="s">
        <v>533</v>
      </c>
      <c r="R11" s="16" t="str">
        <f t="shared" si="1"/>
        <v>Igual</v>
      </c>
    </row>
    <row r="12">
      <c r="A12" s="7"/>
      <c r="B12" s="14"/>
      <c r="C12" s="17"/>
      <c r="D12" s="17"/>
      <c r="E12" s="9"/>
      <c r="F12" s="10"/>
      <c r="G12" s="11"/>
      <c r="H12" s="9"/>
      <c r="I12" s="31"/>
      <c r="J12" s="13"/>
      <c r="K12" s="13"/>
      <c r="L12" s="14" t="s">
        <v>71</v>
      </c>
      <c r="M12" s="30" t="s">
        <v>559</v>
      </c>
      <c r="N12" s="30" t="s">
        <v>560</v>
      </c>
      <c r="O12" s="29" t="s">
        <v>561</v>
      </c>
      <c r="P12" s="14" t="s">
        <v>533</v>
      </c>
      <c r="Q12" s="14" t="s">
        <v>562</v>
      </c>
      <c r="R12" s="16" t="str">
        <f t="shared" si="1"/>
        <v>Diferente</v>
      </c>
      <c r="S12" s="14" t="s">
        <v>563</v>
      </c>
    </row>
    <row r="13">
      <c r="A13" s="7" t="s">
        <v>27</v>
      </c>
      <c r="B13" s="14" t="s">
        <v>20</v>
      </c>
      <c r="C13" s="17" t="s">
        <v>564</v>
      </c>
      <c r="D13" s="17" t="s">
        <v>28</v>
      </c>
      <c r="E13" s="18" t="s">
        <v>29</v>
      </c>
      <c r="F13" s="10" t="s">
        <v>23</v>
      </c>
      <c r="G13" s="11">
        <v>2020.0</v>
      </c>
      <c r="H13" s="9" t="s">
        <v>30</v>
      </c>
      <c r="I13" s="29" t="s">
        <v>565</v>
      </c>
      <c r="J13" s="13" t="s">
        <v>566</v>
      </c>
      <c r="K13" s="13" t="s">
        <v>23</v>
      </c>
      <c r="L13" s="14" t="s">
        <v>25</v>
      </c>
      <c r="M13" s="30" t="s">
        <v>567</v>
      </c>
      <c r="N13" s="30" t="s">
        <v>568</v>
      </c>
      <c r="O13" s="29" t="s">
        <v>569</v>
      </c>
      <c r="P13" s="14" t="s">
        <v>542</v>
      </c>
      <c r="Q13" s="14" t="s">
        <v>542</v>
      </c>
      <c r="R13" s="16" t="str">
        <f t="shared" si="1"/>
        <v>Igual</v>
      </c>
      <c r="S13" s="14" t="s">
        <v>570</v>
      </c>
    </row>
    <row r="14">
      <c r="A14" s="7"/>
      <c r="B14" s="14"/>
      <c r="C14" s="17"/>
      <c r="D14" s="17"/>
      <c r="E14" s="9"/>
      <c r="F14" s="10"/>
      <c r="G14" s="11"/>
      <c r="H14" s="9"/>
      <c r="I14" s="31"/>
      <c r="J14" s="13"/>
      <c r="K14" s="13"/>
      <c r="L14" s="14" t="s">
        <v>31</v>
      </c>
      <c r="M14" s="30" t="s">
        <v>571</v>
      </c>
      <c r="N14" s="30" t="s">
        <v>572</v>
      </c>
      <c r="O14" s="29" t="s">
        <v>573</v>
      </c>
      <c r="P14" s="14" t="s">
        <v>533</v>
      </c>
      <c r="Q14" s="14" t="s">
        <v>533</v>
      </c>
      <c r="R14" s="16" t="str">
        <f t="shared" si="1"/>
        <v>Igual</v>
      </c>
    </row>
    <row r="15">
      <c r="A15" s="7"/>
      <c r="B15" s="14"/>
      <c r="C15" s="17"/>
      <c r="D15" s="17"/>
      <c r="E15" s="9"/>
      <c r="F15" s="10"/>
      <c r="G15" s="11"/>
      <c r="H15" s="9"/>
      <c r="I15" s="31"/>
      <c r="J15" s="13"/>
      <c r="K15" s="13"/>
      <c r="L15" s="14" t="s">
        <v>36</v>
      </c>
      <c r="M15" s="30" t="s">
        <v>574</v>
      </c>
      <c r="N15" s="30" t="s">
        <v>575</v>
      </c>
      <c r="O15" s="29" t="s">
        <v>576</v>
      </c>
      <c r="P15" s="14" t="s">
        <v>542</v>
      </c>
      <c r="Q15" s="14" t="s">
        <v>542</v>
      </c>
      <c r="R15" s="16" t="str">
        <f t="shared" si="1"/>
        <v>Igual</v>
      </c>
      <c r="S15" s="14" t="s">
        <v>577</v>
      </c>
    </row>
    <row r="16">
      <c r="A16" s="7"/>
      <c r="B16" s="14"/>
      <c r="C16" s="17"/>
      <c r="D16" s="17"/>
      <c r="E16" s="9"/>
      <c r="F16" s="10"/>
      <c r="G16" s="11"/>
      <c r="H16" s="9"/>
      <c r="I16" s="31"/>
      <c r="J16" s="13"/>
      <c r="K16" s="13"/>
      <c r="L16" s="14" t="s">
        <v>41</v>
      </c>
      <c r="M16" s="30" t="s">
        <v>578</v>
      </c>
      <c r="N16" s="30" t="s">
        <v>579</v>
      </c>
      <c r="O16" s="29" t="s">
        <v>580</v>
      </c>
      <c r="P16" s="14" t="s">
        <v>533</v>
      </c>
      <c r="Q16" s="14" t="s">
        <v>542</v>
      </c>
      <c r="R16" s="16" t="str">
        <f t="shared" si="1"/>
        <v>Diferente</v>
      </c>
    </row>
    <row r="17">
      <c r="A17" s="7"/>
      <c r="B17" s="14"/>
      <c r="C17" s="17"/>
      <c r="D17" s="17"/>
      <c r="E17" s="9"/>
      <c r="F17" s="10"/>
      <c r="G17" s="11"/>
      <c r="H17" s="9"/>
      <c r="I17" s="31"/>
      <c r="J17" s="13"/>
      <c r="K17" s="13"/>
      <c r="L17" s="14" t="s">
        <v>47</v>
      </c>
      <c r="M17" s="30" t="s">
        <v>581</v>
      </c>
      <c r="N17" s="30" t="s">
        <v>582</v>
      </c>
      <c r="O17" s="29" t="s">
        <v>583</v>
      </c>
      <c r="P17" s="14" t="s">
        <v>533</v>
      </c>
      <c r="Q17" s="14" t="s">
        <v>542</v>
      </c>
      <c r="R17" s="16" t="str">
        <f t="shared" si="1"/>
        <v>Diferente</v>
      </c>
    </row>
    <row r="18">
      <c r="A18" s="7"/>
      <c r="B18" s="14"/>
      <c r="C18" s="17"/>
      <c r="D18" s="17"/>
      <c r="E18" s="9"/>
      <c r="F18" s="10"/>
      <c r="G18" s="11"/>
      <c r="H18" s="9"/>
      <c r="I18" s="31"/>
      <c r="J18" s="13"/>
      <c r="K18" s="13"/>
      <c r="L18" s="14" t="s">
        <v>53</v>
      </c>
      <c r="M18" s="30" t="s">
        <v>584</v>
      </c>
      <c r="N18" s="30" t="s">
        <v>585</v>
      </c>
      <c r="O18" s="29" t="s">
        <v>586</v>
      </c>
      <c r="P18" s="14" t="s">
        <v>533</v>
      </c>
      <c r="Q18" s="14" t="s">
        <v>533</v>
      </c>
      <c r="R18" s="16" t="str">
        <f t="shared" si="1"/>
        <v>Igual</v>
      </c>
    </row>
    <row r="19">
      <c r="A19" s="7"/>
      <c r="B19" s="14"/>
      <c r="C19" s="17"/>
      <c r="D19" s="17"/>
      <c r="E19" s="9"/>
      <c r="F19" s="10"/>
      <c r="G19" s="11"/>
      <c r="H19" s="9"/>
      <c r="I19" s="31"/>
      <c r="J19" s="13"/>
      <c r="K19" s="13"/>
      <c r="L19" s="14" t="s">
        <v>59</v>
      </c>
      <c r="M19" s="30" t="s">
        <v>587</v>
      </c>
      <c r="N19" s="30" t="s">
        <v>588</v>
      </c>
      <c r="O19" s="29" t="s">
        <v>589</v>
      </c>
      <c r="P19" s="14" t="s">
        <v>533</v>
      </c>
      <c r="Q19" s="14" t="s">
        <v>533</v>
      </c>
      <c r="R19" s="16" t="str">
        <f t="shared" si="1"/>
        <v>Igual</v>
      </c>
    </row>
    <row r="20">
      <c r="A20" s="7"/>
      <c r="B20" s="14"/>
      <c r="C20" s="17"/>
      <c r="D20" s="17"/>
      <c r="E20" s="9"/>
      <c r="F20" s="10"/>
      <c r="G20" s="11"/>
      <c r="H20" s="9"/>
      <c r="I20" s="31"/>
      <c r="J20" s="13"/>
      <c r="K20" s="13"/>
      <c r="L20" s="14" t="s">
        <v>65</v>
      </c>
      <c r="M20" s="30" t="s">
        <v>590</v>
      </c>
      <c r="N20" s="30" t="s">
        <v>591</v>
      </c>
      <c r="O20" s="29" t="s">
        <v>558</v>
      </c>
      <c r="P20" s="14" t="s">
        <v>533</v>
      </c>
      <c r="Q20" s="14" t="s">
        <v>533</v>
      </c>
      <c r="R20" s="16" t="str">
        <f t="shared" si="1"/>
        <v>Igual</v>
      </c>
    </row>
    <row r="21">
      <c r="A21" s="7"/>
      <c r="B21" s="14"/>
      <c r="C21" s="17"/>
      <c r="D21" s="17"/>
      <c r="E21" s="9"/>
      <c r="F21" s="10"/>
      <c r="G21" s="11"/>
      <c r="H21" s="9"/>
      <c r="I21" s="31"/>
      <c r="J21" s="13"/>
      <c r="K21" s="13"/>
      <c r="L21" s="14" t="s">
        <v>71</v>
      </c>
      <c r="M21" s="30" t="s">
        <v>592</v>
      </c>
      <c r="N21" s="30" t="s">
        <v>593</v>
      </c>
      <c r="O21" s="29" t="s">
        <v>594</v>
      </c>
      <c r="P21" s="14" t="s">
        <v>533</v>
      </c>
      <c r="Q21" s="14" t="s">
        <v>562</v>
      </c>
      <c r="R21" s="16" t="str">
        <f t="shared" si="1"/>
        <v>Diferente</v>
      </c>
      <c r="S21" s="14" t="s">
        <v>595</v>
      </c>
    </row>
    <row r="22">
      <c r="A22" s="7" t="s">
        <v>32</v>
      </c>
      <c r="B22" s="14" t="s">
        <v>20</v>
      </c>
      <c r="C22" s="17" t="s">
        <v>596</v>
      </c>
      <c r="D22" s="17" t="s">
        <v>33</v>
      </c>
      <c r="E22" s="9" t="s">
        <v>34</v>
      </c>
      <c r="F22" s="10" t="s">
        <v>23</v>
      </c>
      <c r="G22" s="11">
        <v>2025.0</v>
      </c>
      <c r="H22" s="9" t="s">
        <v>35</v>
      </c>
      <c r="I22" s="29" t="s">
        <v>528</v>
      </c>
      <c r="J22" s="13"/>
      <c r="K22" s="13" t="s">
        <v>23</v>
      </c>
      <c r="L22" s="32" t="s">
        <v>25</v>
      </c>
      <c r="M22" s="30" t="s">
        <v>597</v>
      </c>
      <c r="N22" s="30" t="s">
        <v>598</v>
      </c>
      <c r="O22" s="29" t="s">
        <v>599</v>
      </c>
      <c r="P22" s="14" t="s">
        <v>533</v>
      </c>
      <c r="Q22" s="14" t="s">
        <v>533</v>
      </c>
      <c r="R22" s="16" t="str">
        <f t="shared" si="1"/>
        <v>Igual</v>
      </c>
    </row>
    <row r="23">
      <c r="A23" s="7"/>
      <c r="B23" s="16"/>
      <c r="C23" s="12"/>
      <c r="D23" s="12"/>
      <c r="E23" s="9"/>
      <c r="F23" s="9"/>
      <c r="G23" s="11"/>
      <c r="H23" s="9"/>
      <c r="I23" s="31"/>
      <c r="J23" s="13"/>
      <c r="K23" s="13"/>
      <c r="L23" s="32" t="s">
        <v>31</v>
      </c>
      <c r="M23" s="30" t="s">
        <v>600</v>
      </c>
      <c r="N23" s="30" t="s">
        <v>601</v>
      </c>
      <c r="O23" s="29" t="s">
        <v>602</v>
      </c>
      <c r="P23" s="14" t="s">
        <v>533</v>
      </c>
      <c r="Q23" s="14" t="s">
        <v>533</v>
      </c>
      <c r="R23" s="16" t="str">
        <f t="shared" si="1"/>
        <v>Igual</v>
      </c>
    </row>
    <row r="24">
      <c r="A24" s="7"/>
      <c r="B24" s="16"/>
      <c r="C24" s="12"/>
      <c r="D24" s="12"/>
      <c r="E24" s="9"/>
      <c r="F24" s="9"/>
      <c r="G24" s="11"/>
      <c r="H24" s="9"/>
      <c r="I24" s="31"/>
      <c r="J24" s="13"/>
      <c r="K24" s="13"/>
      <c r="L24" s="32" t="s">
        <v>36</v>
      </c>
      <c r="M24" s="30" t="s">
        <v>603</v>
      </c>
      <c r="N24" s="30" t="s">
        <v>604</v>
      </c>
      <c r="O24" s="29" t="s">
        <v>605</v>
      </c>
      <c r="P24" s="14" t="s">
        <v>533</v>
      </c>
      <c r="Q24" s="14" t="s">
        <v>542</v>
      </c>
      <c r="R24" s="16" t="str">
        <f t="shared" si="1"/>
        <v>Diferente</v>
      </c>
    </row>
    <row r="25">
      <c r="A25" s="7"/>
      <c r="B25" s="16"/>
      <c r="C25" s="12"/>
      <c r="D25" s="12"/>
      <c r="E25" s="9"/>
      <c r="F25" s="9"/>
      <c r="G25" s="11"/>
      <c r="H25" s="9"/>
      <c r="I25" s="31"/>
      <c r="J25" s="13"/>
      <c r="K25" s="13"/>
      <c r="L25" s="32" t="s">
        <v>41</v>
      </c>
      <c r="M25" s="30" t="s">
        <v>606</v>
      </c>
      <c r="N25" s="30" t="s">
        <v>607</v>
      </c>
      <c r="O25" s="29" t="s">
        <v>608</v>
      </c>
      <c r="P25" s="14" t="s">
        <v>533</v>
      </c>
      <c r="Q25" s="14" t="s">
        <v>533</v>
      </c>
      <c r="R25" s="16" t="str">
        <f t="shared" si="1"/>
        <v>Igual</v>
      </c>
    </row>
    <row r="26">
      <c r="A26" s="7"/>
      <c r="B26" s="16"/>
      <c r="C26" s="12"/>
      <c r="D26" s="12"/>
      <c r="E26" s="9"/>
      <c r="F26" s="9"/>
      <c r="G26" s="11"/>
      <c r="H26" s="9"/>
      <c r="I26" s="31"/>
      <c r="J26" s="13"/>
      <c r="K26" s="13"/>
      <c r="L26" s="32" t="s">
        <v>47</v>
      </c>
      <c r="M26" s="30" t="s">
        <v>609</v>
      </c>
      <c r="N26" s="30" t="s">
        <v>610</v>
      </c>
      <c r="O26" s="29" t="s">
        <v>611</v>
      </c>
      <c r="P26" s="14" t="s">
        <v>533</v>
      </c>
      <c r="Q26" s="14" t="s">
        <v>533</v>
      </c>
      <c r="R26" s="16" t="str">
        <f t="shared" si="1"/>
        <v>Igual</v>
      </c>
    </row>
    <row r="27">
      <c r="A27" s="7"/>
      <c r="B27" s="16"/>
      <c r="C27" s="12"/>
      <c r="D27" s="12"/>
      <c r="E27" s="9"/>
      <c r="F27" s="9"/>
      <c r="G27" s="11"/>
      <c r="H27" s="9"/>
      <c r="I27" s="31"/>
      <c r="J27" s="13"/>
      <c r="K27" s="13"/>
      <c r="L27" s="32" t="s">
        <v>53</v>
      </c>
      <c r="M27" s="30" t="s">
        <v>612</v>
      </c>
      <c r="N27" s="30" t="s">
        <v>613</v>
      </c>
      <c r="O27" s="29" t="s">
        <v>586</v>
      </c>
      <c r="P27" s="14" t="s">
        <v>533</v>
      </c>
      <c r="Q27" s="14" t="s">
        <v>533</v>
      </c>
      <c r="R27" s="16" t="str">
        <f t="shared" si="1"/>
        <v>Igual</v>
      </c>
    </row>
    <row r="28">
      <c r="A28" s="7"/>
      <c r="B28" s="16"/>
      <c r="C28" s="12"/>
      <c r="D28" s="12"/>
      <c r="E28" s="9"/>
      <c r="F28" s="9"/>
      <c r="G28" s="11"/>
      <c r="H28" s="9"/>
      <c r="I28" s="31"/>
      <c r="J28" s="13"/>
      <c r="K28" s="13"/>
      <c r="L28" s="32" t="s">
        <v>59</v>
      </c>
      <c r="M28" s="30" t="s">
        <v>614</v>
      </c>
      <c r="N28" s="30" t="s">
        <v>615</v>
      </c>
      <c r="O28" s="29" t="s">
        <v>555</v>
      </c>
      <c r="P28" s="14" t="s">
        <v>533</v>
      </c>
      <c r="Q28" s="14" t="s">
        <v>562</v>
      </c>
      <c r="R28" s="16" t="str">
        <f t="shared" si="1"/>
        <v>Diferente</v>
      </c>
    </row>
    <row r="29">
      <c r="A29" s="7"/>
      <c r="B29" s="16"/>
      <c r="C29" s="12"/>
      <c r="D29" s="12"/>
      <c r="E29" s="9"/>
      <c r="F29" s="9"/>
      <c r="G29" s="11"/>
      <c r="H29" s="9"/>
      <c r="I29" s="31"/>
      <c r="J29" s="13"/>
      <c r="K29" s="13"/>
      <c r="L29" s="32" t="s">
        <v>65</v>
      </c>
      <c r="M29" s="30" t="s">
        <v>616</v>
      </c>
      <c r="N29" s="30" t="s">
        <v>617</v>
      </c>
      <c r="O29" s="29" t="s">
        <v>558</v>
      </c>
      <c r="P29" s="14" t="s">
        <v>533</v>
      </c>
      <c r="Q29" s="14" t="s">
        <v>533</v>
      </c>
      <c r="R29" s="16" t="str">
        <f t="shared" si="1"/>
        <v>Igual</v>
      </c>
    </row>
    <row r="30">
      <c r="A30" s="7"/>
      <c r="B30" s="16"/>
      <c r="C30" s="12"/>
      <c r="D30" s="12"/>
      <c r="E30" s="9"/>
      <c r="F30" s="9"/>
      <c r="G30" s="11"/>
      <c r="H30" s="9"/>
      <c r="I30" s="31"/>
      <c r="J30" s="13"/>
      <c r="K30" s="13"/>
      <c r="L30" s="32" t="s">
        <v>71</v>
      </c>
      <c r="M30" s="30" t="s">
        <v>618</v>
      </c>
      <c r="N30" s="30" t="s">
        <v>619</v>
      </c>
      <c r="O30" s="29" t="s">
        <v>620</v>
      </c>
      <c r="P30" s="14" t="s">
        <v>533</v>
      </c>
      <c r="Q30" s="14" t="s">
        <v>533</v>
      </c>
      <c r="R30" s="16" t="str">
        <f t="shared" si="1"/>
        <v>Igual</v>
      </c>
    </row>
    <row r="31">
      <c r="A31" s="7" t="s">
        <v>37</v>
      </c>
      <c r="B31" s="14" t="s">
        <v>20</v>
      </c>
      <c r="C31" s="17" t="s">
        <v>621</v>
      </c>
      <c r="D31" s="17" t="s">
        <v>622</v>
      </c>
      <c r="E31" s="9" t="s">
        <v>38</v>
      </c>
      <c r="F31" s="33" t="s">
        <v>623</v>
      </c>
      <c r="G31" s="11">
        <v>2024.0</v>
      </c>
      <c r="H31" s="9" t="s">
        <v>40</v>
      </c>
      <c r="I31" s="29" t="s">
        <v>535</v>
      </c>
      <c r="J31" s="13"/>
      <c r="K31" s="13" t="s">
        <v>23</v>
      </c>
      <c r="L31" s="32" t="s">
        <v>25</v>
      </c>
      <c r="M31" s="34" t="s">
        <v>624</v>
      </c>
      <c r="N31" s="35" t="s">
        <v>625</v>
      </c>
      <c r="O31" s="29" t="s">
        <v>626</v>
      </c>
      <c r="P31" s="14" t="s">
        <v>562</v>
      </c>
      <c r="Q31" s="14" t="s">
        <v>533</v>
      </c>
      <c r="R31" s="16" t="str">
        <f t="shared" si="1"/>
        <v>Diferente</v>
      </c>
    </row>
    <row r="32">
      <c r="A32" s="7"/>
      <c r="B32" s="14"/>
      <c r="C32" s="17"/>
      <c r="D32" s="17"/>
      <c r="E32" s="9"/>
      <c r="F32" s="9"/>
      <c r="G32" s="11"/>
      <c r="H32" s="9"/>
      <c r="I32" s="31"/>
      <c r="J32" s="13"/>
      <c r="K32" s="13"/>
      <c r="L32" s="32" t="s">
        <v>31</v>
      </c>
      <c r="M32" s="36" t="s">
        <v>627</v>
      </c>
      <c r="N32" s="37" t="s">
        <v>628</v>
      </c>
      <c r="O32" s="29" t="s">
        <v>629</v>
      </c>
      <c r="P32" s="14" t="s">
        <v>533</v>
      </c>
      <c r="Q32" s="14" t="s">
        <v>533</v>
      </c>
      <c r="R32" s="16" t="str">
        <f t="shared" si="1"/>
        <v>Igual</v>
      </c>
    </row>
    <row r="33">
      <c r="A33" s="7"/>
      <c r="B33" s="14"/>
      <c r="C33" s="17"/>
      <c r="D33" s="17"/>
      <c r="E33" s="9"/>
      <c r="F33" s="9"/>
      <c r="G33" s="11"/>
      <c r="H33" s="9"/>
      <c r="I33" s="31"/>
      <c r="J33" s="13"/>
      <c r="K33" s="13"/>
      <c r="L33" s="32" t="s">
        <v>36</v>
      </c>
      <c r="M33" s="36" t="s">
        <v>630</v>
      </c>
      <c r="N33" s="37" t="s">
        <v>631</v>
      </c>
      <c r="O33" s="29" t="s">
        <v>632</v>
      </c>
      <c r="P33" s="14" t="s">
        <v>562</v>
      </c>
      <c r="Q33" s="14" t="s">
        <v>533</v>
      </c>
      <c r="R33" s="16" t="str">
        <f t="shared" si="1"/>
        <v>Diferente</v>
      </c>
    </row>
    <row r="34">
      <c r="A34" s="7"/>
      <c r="B34" s="14"/>
      <c r="C34" s="17"/>
      <c r="D34" s="17"/>
      <c r="E34" s="9"/>
      <c r="F34" s="9"/>
      <c r="G34" s="11"/>
      <c r="H34" s="9"/>
      <c r="I34" s="31"/>
      <c r="J34" s="13"/>
      <c r="K34" s="13"/>
      <c r="L34" s="32" t="s">
        <v>41</v>
      </c>
      <c r="M34" s="36" t="s">
        <v>633</v>
      </c>
      <c r="N34" s="37" t="s">
        <v>634</v>
      </c>
      <c r="O34" s="29" t="s">
        <v>635</v>
      </c>
      <c r="P34" s="14" t="s">
        <v>562</v>
      </c>
      <c r="Q34" s="14" t="s">
        <v>533</v>
      </c>
      <c r="R34" s="16" t="str">
        <f t="shared" si="1"/>
        <v>Diferente</v>
      </c>
    </row>
    <row r="35">
      <c r="A35" s="7"/>
      <c r="B35" s="14"/>
      <c r="C35" s="17"/>
      <c r="D35" s="17"/>
      <c r="E35" s="9"/>
      <c r="F35" s="9"/>
      <c r="G35" s="11"/>
      <c r="H35" s="9"/>
      <c r="I35" s="31"/>
      <c r="J35" s="13"/>
      <c r="K35" s="13"/>
      <c r="L35" s="32" t="s">
        <v>47</v>
      </c>
      <c r="M35" s="36" t="s">
        <v>636</v>
      </c>
      <c r="N35" s="37" t="s">
        <v>637</v>
      </c>
      <c r="O35" s="29" t="s">
        <v>638</v>
      </c>
      <c r="P35" s="14" t="s">
        <v>562</v>
      </c>
      <c r="Q35" s="14" t="s">
        <v>533</v>
      </c>
      <c r="R35" s="16" t="str">
        <f t="shared" si="1"/>
        <v>Diferente</v>
      </c>
    </row>
    <row r="36">
      <c r="A36" s="7"/>
      <c r="B36" s="14"/>
      <c r="C36" s="17"/>
      <c r="D36" s="17"/>
      <c r="E36" s="9"/>
      <c r="F36" s="9"/>
      <c r="G36" s="11"/>
      <c r="H36" s="9"/>
      <c r="I36" s="31"/>
      <c r="J36" s="13"/>
      <c r="K36" s="13"/>
      <c r="L36" s="32" t="s">
        <v>53</v>
      </c>
      <c r="M36" s="36" t="s">
        <v>639</v>
      </c>
      <c r="N36" s="37" t="s">
        <v>640</v>
      </c>
      <c r="O36" s="29" t="s">
        <v>641</v>
      </c>
      <c r="P36" s="14" t="s">
        <v>533</v>
      </c>
      <c r="Q36" s="14" t="s">
        <v>533</v>
      </c>
      <c r="R36" s="16" t="str">
        <f t="shared" si="1"/>
        <v>Igual</v>
      </c>
    </row>
    <row r="37">
      <c r="A37" s="7"/>
      <c r="B37" s="14"/>
      <c r="C37" s="17"/>
      <c r="D37" s="17"/>
      <c r="E37" s="9"/>
      <c r="F37" s="9"/>
      <c r="G37" s="11"/>
      <c r="H37" s="9"/>
      <c r="I37" s="31"/>
      <c r="J37" s="13"/>
      <c r="K37" s="13"/>
      <c r="L37" s="32" t="s">
        <v>59</v>
      </c>
      <c r="M37" s="36" t="s">
        <v>642</v>
      </c>
      <c r="N37" s="37" t="s">
        <v>643</v>
      </c>
      <c r="O37" s="29" t="s">
        <v>644</v>
      </c>
      <c r="P37" s="14" t="s">
        <v>562</v>
      </c>
      <c r="Q37" s="14" t="s">
        <v>533</v>
      </c>
      <c r="R37" s="16" t="str">
        <f t="shared" si="1"/>
        <v>Diferente</v>
      </c>
    </row>
    <row r="38">
      <c r="A38" s="7"/>
      <c r="B38" s="14"/>
      <c r="C38" s="17"/>
      <c r="D38" s="17"/>
      <c r="E38" s="9"/>
      <c r="F38" s="9"/>
      <c r="G38" s="11"/>
      <c r="H38" s="9"/>
      <c r="I38" s="31"/>
      <c r="J38" s="13"/>
      <c r="K38" s="13"/>
      <c r="L38" s="32" t="s">
        <v>65</v>
      </c>
      <c r="M38" s="36" t="s">
        <v>645</v>
      </c>
      <c r="N38" s="37" t="s">
        <v>646</v>
      </c>
      <c r="O38" s="29" t="s">
        <v>647</v>
      </c>
      <c r="P38" s="14" t="s">
        <v>533</v>
      </c>
      <c r="Q38" s="14" t="s">
        <v>533</v>
      </c>
      <c r="R38" s="16" t="str">
        <f t="shared" si="1"/>
        <v>Igual</v>
      </c>
    </row>
    <row r="39">
      <c r="A39" s="7"/>
      <c r="B39" s="14"/>
      <c r="C39" s="17"/>
      <c r="D39" s="17"/>
      <c r="E39" s="9"/>
      <c r="F39" s="9"/>
      <c r="G39" s="11"/>
      <c r="H39" s="9"/>
      <c r="I39" s="31"/>
      <c r="J39" s="13"/>
      <c r="K39" s="13"/>
      <c r="L39" s="32" t="s">
        <v>71</v>
      </c>
      <c r="M39" s="36" t="s">
        <v>648</v>
      </c>
      <c r="N39" s="37" t="s">
        <v>649</v>
      </c>
      <c r="O39" s="29" t="s">
        <v>650</v>
      </c>
      <c r="P39" s="14" t="s">
        <v>562</v>
      </c>
      <c r="Q39" s="14" t="s">
        <v>533</v>
      </c>
      <c r="R39" s="16" t="str">
        <f t="shared" si="1"/>
        <v>Diferente</v>
      </c>
    </row>
    <row r="40">
      <c r="A40" s="7" t="s">
        <v>42</v>
      </c>
      <c r="B40" s="14" t="s">
        <v>20</v>
      </c>
      <c r="C40" s="17" t="s">
        <v>651</v>
      </c>
      <c r="D40" s="17" t="s">
        <v>43</v>
      </c>
      <c r="E40" s="9" t="s">
        <v>44</v>
      </c>
      <c r="F40" s="33" t="s">
        <v>652</v>
      </c>
      <c r="G40" s="11">
        <v>2023.0</v>
      </c>
      <c r="H40" s="9" t="s">
        <v>46</v>
      </c>
      <c r="I40" s="29" t="s">
        <v>653</v>
      </c>
      <c r="J40" s="13"/>
      <c r="K40" s="13" t="s">
        <v>23</v>
      </c>
      <c r="L40" s="32" t="s">
        <v>25</v>
      </c>
      <c r="M40" s="38" t="s">
        <v>654</v>
      </c>
      <c r="N40" s="39" t="s">
        <v>654</v>
      </c>
      <c r="O40" s="29" t="s">
        <v>655</v>
      </c>
      <c r="P40" s="14" t="s">
        <v>562</v>
      </c>
      <c r="Q40" s="14" t="s">
        <v>562</v>
      </c>
      <c r="R40" s="16" t="str">
        <f t="shared" si="1"/>
        <v>Igual</v>
      </c>
      <c r="S40" s="14" t="s">
        <v>656</v>
      </c>
    </row>
    <row r="41">
      <c r="A41" s="7"/>
      <c r="B41" s="14"/>
      <c r="C41" s="17"/>
      <c r="D41" s="17"/>
      <c r="E41" s="9"/>
      <c r="F41" s="9"/>
      <c r="G41" s="11"/>
      <c r="H41" s="9"/>
      <c r="I41" s="31"/>
      <c r="J41" s="13"/>
      <c r="K41" s="13"/>
      <c r="L41" s="32" t="s">
        <v>31</v>
      </c>
      <c r="M41" s="38" t="s">
        <v>654</v>
      </c>
      <c r="N41" s="39" t="s">
        <v>654</v>
      </c>
      <c r="O41" s="29" t="s">
        <v>657</v>
      </c>
      <c r="P41" s="14" t="s">
        <v>533</v>
      </c>
      <c r="Q41" s="14" t="s">
        <v>533</v>
      </c>
      <c r="R41" s="16" t="str">
        <f t="shared" si="1"/>
        <v>Igual</v>
      </c>
    </row>
    <row r="42">
      <c r="A42" s="7"/>
      <c r="B42" s="14"/>
      <c r="C42" s="17"/>
      <c r="D42" s="17"/>
      <c r="E42" s="9"/>
      <c r="F42" s="9"/>
      <c r="G42" s="11"/>
      <c r="H42" s="9"/>
      <c r="I42" s="31"/>
      <c r="J42" s="13"/>
      <c r="K42" s="13"/>
      <c r="L42" s="32" t="s">
        <v>36</v>
      </c>
      <c r="M42" s="30" t="s">
        <v>658</v>
      </c>
      <c r="N42" s="39" t="s">
        <v>654</v>
      </c>
      <c r="O42" s="29" t="s">
        <v>659</v>
      </c>
      <c r="P42" s="14" t="s">
        <v>533</v>
      </c>
      <c r="Q42" s="14" t="s">
        <v>562</v>
      </c>
      <c r="R42" s="16" t="str">
        <f t="shared" si="1"/>
        <v>Diferente</v>
      </c>
    </row>
    <row r="43">
      <c r="A43" s="7"/>
      <c r="B43" s="14"/>
      <c r="C43" s="17"/>
      <c r="D43" s="17"/>
      <c r="E43" s="9"/>
      <c r="F43" s="9"/>
      <c r="G43" s="11"/>
      <c r="H43" s="9"/>
      <c r="I43" s="31"/>
      <c r="J43" s="13"/>
      <c r="K43" s="13"/>
      <c r="L43" s="32" t="s">
        <v>41</v>
      </c>
      <c r="M43" s="30" t="s">
        <v>654</v>
      </c>
      <c r="N43" s="39" t="s">
        <v>654</v>
      </c>
      <c r="O43" s="29" t="s">
        <v>660</v>
      </c>
      <c r="P43" s="14" t="s">
        <v>562</v>
      </c>
      <c r="Q43" s="14" t="s">
        <v>562</v>
      </c>
      <c r="R43" s="16" t="str">
        <f t="shared" si="1"/>
        <v>Igual</v>
      </c>
    </row>
    <row r="44">
      <c r="A44" s="7"/>
      <c r="B44" s="14"/>
      <c r="C44" s="17"/>
      <c r="D44" s="17"/>
      <c r="E44" s="9"/>
      <c r="F44" s="9"/>
      <c r="G44" s="11"/>
      <c r="H44" s="9"/>
      <c r="I44" s="31"/>
      <c r="J44" s="13"/>
      <c r="K44" s="13"/>
      <c r="L44" s="32" t="s">
        <v>47</v>
      </c>
      <c r="M44" s="30" t="s">
        <v>654</v>
      </c>
      <c r="N44" s="39" t="s">
        <v>654</v>
      </c>
      <c r="O44" s="29" t="s">
        <v>611</v>
      </c>
      <c r="P44" s="14" t="s">
        <v>533</v>
      </c>
      <c r="Q44" s="14" t="s">
        <v>533</v>
      </c>
      <c r="R44" s="16" t="str">
        <f t="shared" si="1"/>
        <v>Igual</v>
      </c>
    </row>
    <row r="45">
      <c r="A45" s="7"/>
      <c r="B45" s="14"/>
      <c r="C45" s="17"/>
      <c r="D45" s="17"/>
      <c r="E45" s="9"/>
      <c r="F45" s="9"/>
      <c r="G45" s="11"/>
      <c r="H45" s="9"/>
      <c r="I45" s="31"/>
      <c r="J45" s="13"/>
      <c r="K45" s="13"/>
      <c r="L45" s="32" t="s">
        <v>53</v>
      </c>
      <c r="M45" s="30" t="s">
        <v>654</v>
      </c>
      <c r="N45" s="39" t="s">
        <v>654</v>
      </c>
      <c r="O45" s="29" t="s">
        <v>586</v>
      </c>
      <c r="P45" s="14" t="s">
        <v>533</v>
      </c>
      <c r="Q45" s="14" t="s">
        <v>533</v>
      </c>
      <c r="R45" s="16" t="str">
        <f t="shared" si="1"/>
        <v>Igual</v>
      </c>
    </row>
    <row r="46">
      <c r="A46" s="7"/>
      <c r="B46" s="14"/>
      <c r="C46" s="17"/>
      <c r="D46" s="17"/>
      <c r="E46" s="9"/>
      <c r="F46" s="9"/>
      <c r="G46" s="11"/>
      <c r="H46" s="9"/>
      <c r="I46" s="31"/>
      <c r="J46" s="13"/>
      <c r="K46" s="13"/>
      <c r="L46" s="32" t="s">
        <v>59</v>
      </c>
      <c r="M46" s="30" t="s">
        <v>661</v>
      </c>
      <c r="N46" s="30" t="s">
        <v>662</v>
      </c>
      <c r="O46" s="29" t="s">
        <v>663</v>
      </c>
      <c r="P46" s="14" t="s">
        <v>533</v>
      </c>
      <c r="Q46" s="14" t="s">
        <v>533</v>
      </c>
      <c r="R46" s="16" t="str">
        <f t="shared" si="1"/>
        <v>Igual</v>
      </c>
    </row>
    <row r="47">
      <c r="A47" s="7"/>
      <c r="B47" s="14"/>
      <c r="C47" s="17"/>
      <c r="D47" s="17"/>
      <c r="E47" s="9"/>
      <c r="F47" s="9"/>
      <c r="G47" s="11"/>
      <c r="H47" s="9"/>
      <c r="I47" s="31"/>
      <c r="J47" s="13"/>
      <c r="K47" s="13"/>
      <c r="L47" s="32" t="s">
        <v>65</v>
      </c>
      <c r="M47" s="30" t="s">
        <v>654</v>
      </c>
      <c r="N47" s="30" t="s">
        <v>654</v>
      </c>
      <c r="O47" s="29" t="s">
        <v>558</v>
      </c>
      <c r="P47" s="14" t="s">
        <v>533</v>
      </c>
      <c r="Q47" s="14" t="s">
        <v>533</v>
      </c>
      <c r="R47" s="16" t="str">
        <f t="shared" si="1"/>
        <v>Igual</v>
      </c>
    </row>
    <row r="48">
      <c r="A48" s="7"/>
      <c r="B48" s="14"/>
      <c r="C48" s="17"/>
      <c r="D48" s="17"/>
      <c r="E48" s="9"/>
      <c r="F48" s="9"/>
      <c r="G48" s="11"/>
      <c r="H48" s="9"/>
      <c r="I48" s="31"/>
      <c r="J48" s="13"/>
      <c r="K48" s="13"/>
      <c r="L48" s="32" t="s">
        <v>71</v>
      </c>
      <c r="M48" s="30" t="s">
        <v>664</v>
      </c>
      <c r="N48" s="30" t="s">
        <v>654</v>
      </c>
      <c r="O48" s="29" t="s">
        <v>665</v>
      </c>
      <c r="P48" s="14" t="s">
        <v>542</v>
      </c>
      <c r="Q48" s="14" t="s">
        <v>562</v>
      </c>
      <c r="R48" s="16" t="str">
        <f t="shared" si="1"/>
        <v>Diferente</v>
      </c>
    </row>
    <row r="49">
      <c r="A49" s="7" t="s">
        <v>48</v>
      </c>
      <c r="B49" s="14" t="s">
        <v>20</v>
      </c>
      <c r="C49" s="17" t="s">
        <v>666</v>
      </c>
      <c r="D49" s="17" t="s">
        <v>49</v>
      </c>
      <c r="E49" s="9" t="s">
        <v>50</v>
      </c>
      <c r="F49" s="33" t="s">
        <v>667</v>
      </c>
      <c r="G49" s="11">
        <v>2025.0</v>
      </c>
      <c r="H49" s="9" t="s">
        <v>52</v>
      </c>
      <c r="I49" s="29" t="s">
        <v>668</v>
      </c>
      <c r="J49" s="13"/>
      <c r="K49" s="13" t="s">
        <v>23</v>
      </c>
      <c r="L49" s="32" t="s">
        <v>25</v>
      </c>
      <c r="M49" s="30" t="s">
        <v>654</v>
      </c>
      <c r="N49" s="30" t="s">
        <v>654</v>
      </c>
      <c r="O49" s="29" t="s">
        <v>669</v>
      </c>
      <c r="P49" s="14" t="s">
        <v>562</v>
      </c>
      <c r="Q49" s="14" t="s">
        <v>562</v>
      </c>
      <c r="R49" s="16" t="str">
        <f t="shared" si="1"/>
        <v>Igual</v>
      </c>
    </row>
    <row r="50">
      <c r="A50" s="7"/>
      <c r="B50" s="14"/>
      <c r="C50" s="17"/>
      <c r="D50" s="17"/>
      <c r="E50" s="9"/>
      <c r="F50" s="9"/>
      <c r="G50" s="11"/>
      <c r="H50" s="9"/>
      <c r="I50" s="29" t="s">
        <v>670</v>
      </c>
      <c r="J50" s="13"/>
      <c r="K50" s="13"/>
      <c r="L50" s="32" t="s">
        <v>31</v>
      </c>
      <c r="M50" s="30" t="s">
        <v>654</v>
      </c>
      <c r="N50" s="30" t="s">
        <v>654</v>
      </c>
      <c r="O50" s="29" t="s">
        <v>671</v>
      </c>
      <c r="P50" s="14" t="s">
        <v>562</v>
      </c>
      <c r="Q50" s="14" t="s">
        <v>562</v>
      </c>
      <c r="R50" s="16" t="str">
        <f t="shared" si="1"/>
        <v>Igual</v>
      </c>
    </row>
    <row r="51">
      <c r="A51" s="7"/>
      <c r="B51" s="14"/>
      <c r="C51" s="17"/>
      <c r="D51" s="17"/>
      <c r="E51" s="9"/>
      <c r="F51" s="9"/>
      <c r="G51" s="11"/>
      <c r="H51" s="9"/>
      <c r="I51" s="31"/>
      <c r="J51" s="13"/>
      <c r="K51" s="13"/>
      <c r="L51" s="32" t="s">
        <v>36</v>
      </c>
      <c r="M51" s="30" t="s">
        <v>654</v>
      </c>
      <c r="N51" s="30" t="s">
        <v>654</v>
      </c>
      <c r="O51" s="29" t="s">
        <v>672</v>
      </c>
      <c r="P51" s="14" t="s">
        <v>562</v>
      </c>
      <c r="Q51" s="14" t="s">
        <v>562</v>
      </c>
      <c r="R51" s="16" t="str">
        <f t="shared" si="1"/>
        <v>Igual</v>
      </c>
    </row>
    <row r="52">
      <c r="A52" s="7"/>
      <c r="B52" s="14"/>
      <c r="C52" s="17"/>
      <c r="D52" s="17"/>
      <c r="E52" s="9"/>
      <c r="F52" s="9"/>
      <c r="G52" s="11"/>
      <c r="H52" s="9"/>
      <c r="I52" s="31"/>
      <c r="J52" s="13"/>
      <c r="K52" s="13"/>
      <c r="L52" s="32" t="s">
        <v>41</v>
      </c>
      <c r="M52" s="30" t="s">
        <v>654</v>
      </c>
      <c r="N52" s="30" t="s">
        <v>654</v>
      </c>
      <c r="O52" s="29" t="s">
        <v>673</v>
      </c>
      <c r="P52" s="14" t="s">
        <v>542</v>
      </c>
      <c r="Q52" s="14" t="s">
        <v>542</v>
      </c>
      <c r="R52" s="16" t="str">
        <f t="shared" si="1"/>
        <v>Igual</v>
      </c>
    </row>
    <row r="53">
      <c r="A53" s="7"/>
      <c r="B53" s="14"/>
      <c r="C53" s="17"/>
      <c r="D53" s="17"/>
      <c r="E53" s="9"/>
      <c r="F53" s="9"/>
      <c r="G53" s="11"/>
      <c r="H53" s="9"/>
      <c r="I53" s="31"/>
      <c r="J53" s="13"/>
      <c r="K53" s="13"/>
      <c r="L53" s="32" t="s">
        <v>47</v>
      </c>
      <c r="M53" s="30" t="s">
        <v>654</v>
      </c>
      <c r="N53" s="30" t="s">
        <v>674</v>
      </c>
      <c r="O53" s="29" t="s">
        <v>675</v>
      </c>
      <c r="P53" s="14" t="s">
        <v>562</v>
      </c>
      <c r="Q53" s="14" t="s">
        <v>533</v>
      </c>
      <c r="R53" s="16" t="str">
        <f t="shared" si="1"/>
        <v>Diferente</v>
      </c>
    </row>
    <row r="54">
      <c r="A54" s="7"/>
      <c r="B54" s="14"/>
      <c r="C54" s="17"/>
      <c r="D54" s="17"/>
      <c r="E54" s="9"/>
      <c r="F54" s="9"/>
      <c r="G54" s="11"/>
      <c r="H54" s="9"/>
      <c r="I54" s="31"/>
      <c r="J54" s="13"/>
      <c r="K54" s="13"/>
      <c r="L54" s="32" t="s">
        <v>53</v>
      </c>
      <c r="M54" s="30" t="s">
        <v>654</v>
      </c>
      <c r="N54" s="30" t="s">
        <v>654</v>
      </c>
      <c r="O54" s="29" t="s">
        <v>641</v>
      </c>
      <c r="P54" s="14" t="s">
        <v>533</v>
      </c>
      <c r="Q54" s="14" t="s">
        <v>533</v>
      </c>
      <c r="R54" s="16" t="str">
        <f t="shared" si="1"/>
        <v>Igual</v>
      </c>
    </row>
    <row r="55">
      <c r="A55" s="7"/>
      <c r="B55" s="14"/>
      <c r="C55" s="17"/>
      <c r="D55" s="17"/>
      <c r="E55" s="9"/>
      <c r="F55" s="9"/>
      <c r="G55" s="11"/>
      <c r="H55" s="9"/>
      <c r="I55" s="31"/>
      <c r="J55" s="13"/>
      <c r="K55" s="13"/>
      <c r="L55" s="32" t="s">
        <v>59</v>
      </c>
      <c r="M55" s="30" t="s">
        <v>654</v>
      </c>
      <c r="N55" s="30" t="s">
        <v>654</v>
      </c>
      <c r="O55" s="29" t="s">
        <v>676</v>
      </c>
      <c r="P55" s="14" t="s">
        <v>533</v>
      </c>
      <c r="Q55" s="14" t="s">
        <v>533</v>
      </c>
      <c r="R55" s="16" t="str">
        <f t="shared" si="1"/>
        <v>Igual</v>
      </c>
    </row>
    <row r="56">
      <c r="A56" s="7"/>
      <c r="B56" s="14"/>
      <c r="C56" s="17"/>
      <c r="D56" s="17"/>
      <c r="E56" s="9"/>
      <c r="F56" s="9"/>
      <c r="G56" s="11"/>
      <c r="H56" s="9"/>
      <c r="I56" s="31"/>
      <c r="J56" s="13"/>
      <c r="K56" s="13"/>
      <c r="L56" s="32" t="s">
        <v>65</v>
      </c>
      <c r="M56" s="30" t="s">
        <v>654</v>
      </c>
      <c r="N56" s="30" t="s">
        <v>654</v>
      </c>
      <c r="O56" s="29" t="s">
        <v>558</v>
      </c>
      <c r="P56" s="14" t="s">
        <v>533</v>
      </c>
      <c r="Q56" s="14" t="s">
        <v>533</v>
      </c>
      <c r="R56" s="16" t="str">
        <f t="shared" si="1"/>
        <v>Igual</v>
      </c>
    </row>
    <row r="57">
      <c r="A57" s="7"/>
      <c r="B57" s="14"/>
      <c r="C57" s="17"/>
      <c r="D57" s="17"/>
      <c r="E57" s="9"/>
      <c r="F57" s="9"/>
      <c r="G57" s="11"/>
      <c r="H57" s="9"/>
      <c r="I57" s="31"/>
      <c r="J57" s="13"/>
      <c r="K57" s="13"/>
      <c r="L57" s="32" t="s">
        <v>71</v>
      </c>
      <c r="M57" s="30" t="s">
        <v>654</v>
      </c>
      <c r="N57" s="30" t="s">
        <v>654</v>
      </c>
      <c r="O57" s="29" t="s">
        <v>677</v>
      </c>
      <c r="P57" s="14" t="s">
        <v>562</v>
      </c>
      <c r="Q57" s="14" t="s">
        <v>562</v>
      </c>
      <c r="R57" s="16" t="str">
        <f t="shared" si="1"/>
        <v>Igual</v>
      </c>
    </row>
    <row r="58">
      <c r="A58" s="7" t="s">
        <v>54</v>
      </c>
      <c r="B58" s="14" t="s">
        <v>20</v>
      </c>
      <c r="C58" s="17" t="s">
        <v>678</v>
      </c>
      <c r="D58" s="17" t="s">
        <v>55</v>
      </c>
      <c r="E58" s="9" t="s">
        <v>56</v>
      </c>
      <c r="F58" s="33" t="s">
        <v>679</v>
      </c>
      <c r="G58" s="11">
        <v>2024.0</v>
      </c>
      <c r="H58" s="9" t="s">
        <v>58</v>
      </c>
      <c r="I58" s="29" t="s">
        <v>680</v>
      </c>
      <c r="J58" s="13"/>
      <c r="K58" s="13" t="s">
        <v>23</v>
      </c>
      <c r="L58" s="32" t="s">
        <v>25</v>
      </c>
      <c r="M58" s="30" t="s">
        <v>654</v>
      </c>
      <c r="N58" s="30" t="s">
        <v>654</v>
      </c>
      <c r="O58" s="29" t="s">
        <v>681</v>
      </c>
      <c r="P58" s="14" t="s">
        <v>562</v>
      </c>
      <c r="Q58" s="14" t="s">
        <v>562</v>
      </c>
      <c r="R58" s="16" t="str">
        <f t="shared" si="1"/>
        <v>Igual</v>
      </c>
    </row>
    <row r="59">
      <c r="A59" s="7"/>
      <c r="B59" s="14"/>
      <c r="C59" s="17"/>
      <c r="D59" s="17"/>
      <c r="E59" s="9"/>
      <c r="F59" s="9"/>
      <c r="G59" s="11"/>
      <c r="H59" s="9"/>
      <c r="I59" s="31"/>
      <c r="J59" s="13"/>
      <c r="K59" s="13"/>
      <c r="L59" s="32" t="s">
        <v>31</v>
      </c>
      <c r="M59" s="30" t="s">
        <v>654</v>
      </c>
      <c r="N59" s="30" t="s">
        <v>654</v>
      </c>
      <c r="O59" s="29" t="s">
        <v>682</v>
      </c>
      <c r="P59" s="14" t="s">
        <v>533</v>
      </c>
      <c r="Q59" s="14" t="s">
        <v>533</v>
      </c>
      <c r="R59" s="16" t="str">
        <f t="shared" si="1"/>
        <v>Igual</v>
      </c>
    </row>
    <row r="60">
      <c r="A60" s="7"/>
      <c r="B60" s="14"/>
      <c r="C60" s="17"/>
      <c r="D60" s="17"/>
      <c r="E60" s="9"/>
      <c r="F60" s="9"/>
      <c r="G60" s="11"/>
      <c r="H60" s="9"/>
      <c r="I60" s="31"/>
      <c r="J60" s="13"/>
      <c r="K60" s="13"/>
      <c r="L60" s="32" t="s">
        <v>36</v>
      </c>
      <c r="M60" s="30" t="s">
        <v>654</v>
      </c>
      <c r="N60" s="30" t="s">
        <v>683</v>
      </c>
      <c r="O60" s="29" t="s">
        <v>684</v>
      </c>
      <c r="P60" s="14" t="s">
        <v>562</v>
      </c>
      <c r="Q60" s="14" t="s">
        <v>533</v>
      </c>
      <c r="R60" s="16" t="str">
        <f t="shared" si="1"/>
        <v>Diferente</v>
      </c>
    </row>
    <row r="61">
      <c r="A61" s="7"/>
      <c r="B61" s="14"/>
      <c r="C61" s="17"/>
      <c r="D61" s="17"/>
      <c r="E61" s="9"/>
      <c r="F61" s="9"/>
      <c r="G61" s="11"/>
      <c r="H61" s="9"/>
      <c r="I61" s="31"/>
      <c r="J61" s="13"/>
      <c r="K61" s="13"/>
      <c r="L61" s="32" t="s">
        <v>41</v>
      </c>
      <c r="M61" s="30" t="s">
        <v>654</v>
      </c>
      <c r="N61" s="30" t="s">
        <v>685</v>
      </c>
      <c r="O61" s="29" t="s">
        <v>686</v>
      </c>
      <c r="P61" s="14" t="s">
        <v>562</v>
      </c>
      <c r="Q61" s="14" t="s">
        <v>533</v>
      </c>
      <c r="R61" s="16" t="str">
        <f t="shared" si="1"/>
        <v>Diferente</v>
      </c>
    </row>
    <row r="62">
      <c r="A62" s="7"/>
      <c r="B62" s="14"/>
      <c r="C62" s="17"/>
      <c r="D62" s="17"/>
      <c r="E62" s="9"/>
      <c r="F62" s="9"/>
      <c r="G62" s="11"/>
      <c r="H62" s="9"/>
      <c r="I62" s="31"/>
      <c r="J62" s="13"/>
      <c r="K62" s="13"/>
      <c r="L62" s="32" t="s">
        <v>47</v>
      </c>
      <c r="M62" s="30" t="s">
        <v>654</v>
      </c>
      <c r="N62" s="30" t="s">
        <v>687</v>
      </c>
      <c r="O62" s="29" t="s">
        <v>688</v>
      </c>
      <c r="P62" s="14" t="s">
        <v>562</v>
      </c>
      <c r="Q62" s="14" t="s">
        <v>533</v>
      </c>
      <c r="R62" s="16" t="str">
        <f t="shared" si="1"/>
        <v>Diferente</v>
      </c>
    </row>
    <row r="63">
      <c r="A63" s="7"/>
      <c r="B63" s="14"/>
      <c r="C63" s="17"/>
      <c r="D63" s="17"/>
      <c r="E63" s="9"/>
      <c r="F63" s="9"/>
      <c r="G63" s="11"/>
      <c r="H63" s="9"/>
      <c r="I63" s="31"/>
      <c r="J63" s="13"/>
      <c r="K63" s="13"/>
      <c r="L63" s="32" t="s">
        <v>53</v>
      </c>
      <c r="M63" s="30" t="s">
        <v>654</v>
      </c>
      <c r="N63" s="30" t="s">
        <v>689</v>
      </c>
      <c r="O63" s="29" t="s">
        <v>690</v>
      </c>
      <c r="P63" s="14" t="s">
        <v>562</v>
      </c>
      <c r="Q63" s="14" t="s">
        <v>533</v>
      </c>
      <c r="R63" s="16" t="str">
        <f t="shared" si="1"/>
        <v>Diferente</v>
      </c>
    </row>
    <row r="64">
      <c r="A64" s="7"/>
      <c r="B64" s="14"/>
      <c r="C64" s="17"/>
      <c r="D64" s="17"/>
      <c r="E64" s="9"/>
      <c r="F64" s="9"/>
      <c r="G64" s="11"/>
      <c r="H64" s="9"/>
      <c r="I64" s="31"/>
      <c r="J64" s="13"/>
      <c r="K64" s="13"/>
      <c r="L64" s="32" t="s">
        <v>59</v>
      </c>
      <c r="M64" s="30" t="s">
        <v>654</v>
      </c>
      <c r="N64" s="30" t="s">
        <v>691</v>
      </c>
      <c r="O64" s="29" t="s">
        <v>692</v>
      </c>
      <c r="P64" s="14" t="s">
        <v>562</v>
      </c>
      <c r="Q64" s="14" t="s">
        <v>533</v>
      </c>
      <c r="R64" s="16" t="str">
        <f t="shared" si="1"/>
        <v>Diferente</v>
      </c>
    </row>
    <row r="65">
      <c r="A65" s="7"/>
      <c r="B65" s="14"/>
      <c r="C65" s="17"/>
      <c r="D65" s="17"/>
      <c r="E65" s="9"/>
      <c r="F65" s="9"/>
      <c r="G65" s="11"/>
      <c r="H65" s="9"/>
      <c r="I65" s="31"/>
      <c r="J65" s="13"/>
      <c r="K65" s="13"/>
      <c r="L65" s="32" t="s">
        <v>65</v>
      </c>
      <c r="M65" s="30" t="s">
        <v>654</v>
      </c>
      <c r="N65" s="30" t="s">
        <v>654</v>
      </c>
      <c r="O65" s="29" t="s">
        <v>693</v>
      </c>
      <c r="P65" s="14" t="s">
        <v>533</v>
      </c>
      <c r="Q65" s="14" t="s">
        <v>533</v>
      </c>
      <c r="R65" s="16" t="str">
        <f t="shared" si="1"/>
        <v>Igual</v>
      </c>
    </row>
    <row r="66">
      <c r="A66" s="7"/>
      <c r="B66" s="14"/>
      <c r="C66" s="17"/>
      <c r="D66" s="17"/>
      <c r="E66" s="9"/>
      <c r="F66" s="9"/>
      <c r="G66" s="11"/>
      <c r="H66" s="9"/>
      <c r="I66" s="31"/>
      <c r="J66" s="13"/>
      <c r="K66" s="13"/>
      <c r="L66" s="32" t="s">
        <v>71</v>
      </c>
      <c r="M66" s="30" t="s">
        <v>654</v>
      </c>
      <c r="N66" s="30" t="s">
        <v>694</v>
      </c>
      <c r="O66" s="29" t="s">
        <v>695</v>
      </c>
      <c r="P66" s="14" t="s">
        <v>562</v>
      </c>
      <c r="Q66" s="14" t="s">
        <v>533</v>
      </c>
      <c r="R66" s="16" t="str">
        <f t="shared" si="1"/>
        <v>Diferente</v>
      </c>
    </row>
    <row r="67">
      <c r="A67" s="7" t="s">
        <v>60</v>
      </c>
      <c r="B67" s="14" t="s">
        <v>20</v>
      </c>
      <c r="C67" s="17" t="s">
        <v>696</v>
      </c>
      <c r="D67" s="17" t="s">
        <v>61</v>
      </c>
      <c r="E67" s="9" t="s">
        <v>62</v>
      </c>
      <c r="F67" s="33" t="s">
        <v>697</v>
      </c>
      <c r="G67" s="11">
        <v>2023.0</v>
      </c>
      <c r="H67" s="9" t="s">
        <v>64</v>
      </c>
      <c r="I67" s="29" t="s">
        <v>698</v>
      </c>
      <c r="J67" s="13"/>
      <c r="K67" s="13" t="s">
        <v>23</v>
      </c>
      <c r="L67" s="32" t="s">
        <v>25</v>
      </c>
      <c r="M67" s="30" t="s">
        <v>654</v>
      </c>
      <c r="N67" s="30" t="s">
        <v>654</v>
      </c>
      <c r="O67" s="29" t="s">
        <v>699</v>
      </c>
      <c r="P67" s="14" t="s">
        <v>562</v>
      </c>
      <c r="Q67" s="14" t="s">
        <v>562</v>
      </c>
      <c r="R67" s="16" t="str">
        <f t="shared" si="1"/>
        <v>Igual</v>
      </c>
    </row>
    <row r="68">
      <c r="A68" s="7"/>
      <c r="B68" s="14"/>
      <c r="C68" s="17"/>
      <c r="D68" s="17"/>
      <c r="E68" s="9"/>
      <c r="F68" s="9"/>
      <c r="G68" s="11"/>
      <c r="H68" s="9"/>
      <c r="I68" s="31"/>
      <c r="J68" s="13"/>
      <c r="K68" s="13"/>
      <c r="L68" s="32" t="s">
        <v>31</v>
      </c>
      <c r="M68" s="30" t="s">
        <v>654</v>
      </c>
      <c r="N68" s="30" t="s">
        <v>700</v>
      </c>
      <c r="O68" s="29" t="s">
        <v>701</v>
      </c>
      <c r="P68" s="14" t="s">
        <v>542</v>
      </c>
      <c r="Q68" s="14" t="s">
        <v>533</v>
      </c>
      <c r="R68" s="16" t="str">
        <f t="shared" si="1"/>
        <v>Diferente</v>
      </c>
    </row>
    <row r="69">
      <c r="A69" s="7"/>
      <c r="B69" s="14"/>
      <c r="C69" s="17"/>
      <c r="D69" s="17"/>
      <c r="E69" s="9"/>
      <c r="F69" s="9"/>
      <c r="G69" s="11"/>
      <c r="H69" s="9"/>
      <c r="I69" s="31"/>
      <c r="J69" s="13"/>
      <c r="K69" s="13"/>
      <c r="L69" s="32" t="s">
        <v>36</v>
      </c>
      <c r="M69" s="30" t="s">
        <v>654</v>
      </c>
      <c r="N69" s="30" t="s">
        <v>702</v>
      </c>
      <c r="O69" s="29" t="s">
        <v>703</v>
      </c>
      <c r="P69" s="14" t="s">
        <v>562</v>
      </c>
      <c r="Q69" s="14" t="s">
        <v>533</v>
      </c>
      <c r="R69" s="16" t="str">
        <f t="shared" si="1"/>
        <v>Diferente</v>
      </c>
    </row>
    <row r="70">
      <c r="A70" s="7"/>
      <c r="B70" s="14"/>
      <c r="C70" s="17"/>
      <c r="D70" s="17"/>
      <c r="E70" s="9"/>
      <c r="F70" s="9"/>
      <c r="G70" s="11"/>
      <c r="H70" s="9"/>
      <c r="I70" s="31"/>
      <c r="J70" s="13"/>
      <c r="K70" s="13"/>
      <c r="L70" s="32" t="s">
        <v>41</v>
      </c>
      <c r="M70" s="30" t="s">
        <v>654</v>
      </c>
      <c r="N70" s="30" t="s">
        <v>704</v>
      </c>
      <c r="O70" s="29" t="s">
        <v>705</v>
      </c>
      <c r="P70" s="14" t="s">
        <v>562</v>
      </c>
      <c r="Q70" s="14" t="s">
        <v>533</v>
      </c>
      <c r="R70" s="16" t="str">
        <f t="shared" si="1"/>
        <v>Diferente</v>
      </c>
    </row>
    <row r="71">
      <c r="A71" s="7"/>
      <c r="B71" s="14"/>
      <c r="C71" s="17"/>
      <c r="D71" s="17"/>
      <c r="E71" s="9"/>
      <c r="F71" s="9"/>
      <c r="G71" s="11"/>
      <c r="H71" s="9"/>
      <c r="I71" s="31"/>
      <c r="J71" s="13"/>
      <c r="K71" s="13"/>
      <c r="L71" s="32" t="s">
        <v>47</v>
      </c>
      <c r="M71" s="30" t="s">
        <v>654</v>
      </c>
      <c r="N71" s="30" t="s">
        <v>706</v>
      </c>
      <c r="O71" s="29" t="s">
        <v>707</v>
      </c>
      <c r="P71" s="14" t="s">
        <v>562</v>
      </c>
      <c r="Q71" s="14" t="s">
        <v>542</v>
      </c>
      <c r="R71" s="16" t="str">
        <f t="shared" si="1"/>
        <v>Diferente</v>
      </c>
    </row>
    <row r="72">
      <c r="A72" s="7"/>
      <c r="B72" s="14"/>
      <c r="C72" s="17"/>
      <c r="D72" s="17"/>
      <c r="E72" s="9"/>
      <c r="F72" s="9"/>
      <c r="G72" s="11"/>
      <c r="H72" s="9"/>
      <c r="I72" s="31"/>
      <c r="J72" s="13"/>
      <c r="K72" s="13"/>
      <c r="L72" s="32" t="s">
        <v>53</v>
      </c>
      <c r="M72" s="30" t="s">
        <v>654</v>
      </c>
      <c r="N72" s="30" t="s">
        <v>654</v>
      </c>
      <c r="O72" s="29" t="s">
        <v>641</v>
      </c>
      <c r="P72" s="14" t="s">
        <v>533</v>
      </c>
      <c r="Q72" s="14" t="s">
        <v>533</v>
      </c>
      <c r="R72" s="16" t="str">
        <f t="shared" si="1"/>
        <v>Igual</v>
      </c>
    </row>
    <row r="73">
      <c r="A73" s="7"/>
      <c r="B73" s="14"/>
      <c r="C73" s="17"/>
      <c r="D73" s="17"/>
      <c r="E73" s="9"/>
      <c r="F73" s="9"/>
      <c r="G73" s="11"/>
      <c r="H73" s="9"/>
      <c r="I73" s="31"/>
      <c r="J73" s="13"/>
      <c r="K73" s="13"/>
      <c r="L73" s="32" t="s">
        <v>59</v>
      </c>
      <c r="M73" s="30" t="s">
        <v>654</v>
      </c>
      <c r="N73" s="30" t="s">
        <v>654</v>
      </c>
      <c r="O73" s="29" t="s">
        <v>708</v>
      </c>
      <c r="P73" s="14" t="s">
        <v>533</v>
      </c>
      <c r="Q73" s="14" t="s">
        <v>533</v>
      </c>
      <c r="R73" s="16" t="str">
        <f t="shared" si="1"/>
        <v>Igual</v>
      </c>
    </row>
    <row r="74">
      <c r="A74" s="7"/>
      <c r="B74" s="14"/>
      <c r="C74" s="17"/>
      <c r="D74" s="17"/>
      <c r="E74" s="9"/>
      <c r="F74" s="9"/>
      <c r="G74" s="11"/>
      <c r="H74" s="9"/>
      <c r="I74" s="31"/>
      <c r="J74" s="13"/>
      <c r="K74" s="13"/>
      <c r="L74" s="40" t="s">
        <v>65</v>
      </c>
      <c r="M74" s="30" t="s">
        <v>654</v>
      </c>
      <c r="N74" s="30" t="s">
        <v>654</v>
      </c>
      <c r="O74" s="29" t="s">
        <v>709</v>
      </c>
      <c r="P74" s="14" t="s">
        <v>533</v>
      </c>
      <c r="Q74" s="14" t="s">
        <v>533</v>
      </c>
      <c r="R74" s="16" t="str">
        <f t="shared" si="1"/>
        <v>Igual</v>
      </c>
    </row>
    <row r="75">
      <c r="A75" s="7"/>
      <c r="B75" s="14"/>
      <c r="C75" s="17"/>
      <c r="D75" s="17"/>
      <c r="E75" s="9"/>
      <c r="F75" s="9"/>
      <c r="G75" s="11"/>
      <c r="H75" s="9"/>
      <c r="I75" s="31"/>
      <c r="J75" s="13"/>
      <c r="K75" s="13"/>
      <c r="L75" s="40" t="s">
        <v>71</v>
      </c>
      <c r="M75" s="30" t="s">
        <v>654</v>
      </c>
      <c r="N75" s="30" t="s">
        <v>710</v>
      </c>
      <c r="O75" s="29" t="s">
        <v>711</v>
      </c>
      <c r="P75" s="14" t="s">
        <v>562</v>
      </c>
      <c r="Q75" s="14" t="s">
        <v>533</v>
      </c>
      <c r="R75" s="16" t="str">
        <f t="shared" si="1"/>
        <v>Diferente</v>
      </c>
    </row>
    <row r="76">
      <c r="A76" s="7" t="s">
        <v>66</v>
      </c>
      <c r="B76" s="14" t="s">
        <v>20</v>
      </c>
      <c r="C76" s="41" t="s">
        <v>712</v>
      </c>
      <c r="D76" s="17" t="s">
        <v>713</v>
      </c>
      <c r="E76" s="9" t="s">
        <v>68</v>
      </c>
      <c r="F76" s="33" t="s">
        <v>714</v>
      </c>
      <c r="G76" s="11">
        <v>2025.0</v>
      </c>
      <c r="H76" s="9" t="s">
        <v>70</v>
      </c>
      <c r="I76" s="29" t="s">
        <v>715</v>
      </c>
      <c r="J76" s="13"/>
      <c r="K76" s="13" t="s">
        <v>23</v>
      </c>
      <c r="L76" s="32" t="s">
        <v>25</v>
      </c>
      <c r="M76" s="30" t="s">
        <v>654</v>
      </c>
      <c r="N76" s="30" t="s">
        <v>654</v>
      </c>
      <c r="O76" s="42" t="s">
        <v>716</v>
      </c>
      <c r="P76" s="16"/>
      <c r="Q76" s="16"/>
      <c r="R76" s="16" t="str">
        <f t="shared" si="1"/>
        <v/>
      </c>
    </row>
    <row r="77">
      <c r="A77" s="7"/>
      <c r="B77" s="14"/>
      <c r="C77" s="17"/>
      <c r="D77" s="17"/>
      <c r="E77" s="18"/>
      <c r="F77" s="43"/>
      <c r="G77" s="20"/>
      <c r="H77" s="18"/>
      <c r="I77" s="31"/>
      <c r="J77" s="21"/>
      <c r="K77" s="21"/>
      <c r="L77" s="21" t="s">
        <v>31</v>
      </c>
      <c r="M77" s="30" t="s">
        <v>654</v>
      </c>
      <c r="N77" s="30" t="s">
        <v>654</v>
      </c>
      <c r="O77" s="31"/>
      <c r="P77" s="16"/>
      <c r="Q77" s="16"/>
      <c r="R77" s="16" t="str">
        <f t="shared" si="1"/>
        <v/>
      </c>
    </row>
    <row r="78">
      <c r="A78" s="7"/>
      <c r="B78" s="14"/>
      <c r="C78" s="17"/>
      <c r="D78" s="17"/>
      <c r="E78" s="18"/>
      <c r="F78" s="43"/>
      <c r="G78" s="20"/>
      <c r="H78" s="18"/>
      <c r="I78" s="31"/>
      <c r="J78" s="21"/>
      <c r="K78" s="21"/>
      <c r="L78" s="21" t="s">
        <v>36</v>
      </c>
      <c r="M78" s="30" t="s">
        <v>654</v>
      </c>
      <c r="N78" s="30" t="s">
        <v>654</v>
      </c>
      <c r="O78" s="31"/>
      <c r="P78" s="16"/>
      <c r="Q78" s="16"/>
      <c r="R78" s="16" t="str">
        <f t="shared" si="1"/>
        <v/>
      </c>
    </row>
    <row r="79">
      <c r="A79" s="7"/>
      <c r="B79" s="14"/>
      <c r="C79" s="17"/>
      <c r="D79" s="17"/>
      <c r="E79" s="18"/>
      <c r="F79" s="43"/>
      <c r="G79" s="20"/>
      <c r="H79" s="18"/>
      <c r="I79" s="31"/>
      <c r="J79" s="21"/>
      <c r="K79" s="21"/>
      <c r="L79" s="21" t="s">
        <v>41</v>
      </c>
      <c r="M79" s="30" t="s">
        <v>654</v>
      </c>
      <c r="N79" s="30" t="s">
        <v>654</v>
      </c>
      <c r="O79" s="31"/>
      <c r="P79" s="16"/>
      <c r="Q79" s="16"/>
      <c r="R79" s="16" t="str">
        <f t="shared" si="1"/>
        <v/>
      </c>
    </row>
    <row r="80">
      <c r="A80" s="7"/>
      <c r="B80" s="14"/>
      <c r="C80" s="17"/>
      <c r="D80" s="17"/>
      <c r="E80" s="18"/>
      <c r="F80" s="43"/>
      <c r="G80" s="20"/>
      <c r="H80" s="18"/>
      <c r="I80" s="31"/>
      <c r="J80" s="21"/>
      <c r="K80" s="21"/>
      <c r="L80" s="21" t="s">
        <v>47</v>
      </c>
      <c r="M80" s="30" t="s">
        <v>654</v>
      </c>
      <c r="N80" s="30" t="s">
        <v>654</v>
      </c>
      <c r="O80" s="31"/>
      <c r="P80" s="16"/>
      <c r="Q80" s="16"/>
      <c r="R80" s="16" t="str">
        <f t="shared" si="1"/>
        <v/>
      </c>
    </row>
    <row r="81">
      <c r="A81" s="7"/>
      <c r="B81" s="14"/>
      <c r="C81" s="17"/>
      <c r="D81" s="17"/>
      <c r="E81" s="18"/>
      <c r="F81" s="43"/>
      <c r="G81" s="20"/>
      <c r="H81" s="18"/>
      <c r="I81" s="31"/>
      <c r="J81" s="21"/>
      <c r="K81" s="21"/>
      <c r="L81" s="21" t="s">
        <v>53</v>
      </c>
      <c r="M81" s="30" t="s">
        <v>654</v>
      </c>
      <c r="N81" s="30" t="s">
        <v>654</v>
      </c>
      <c r="O81" s="31"/>
      <c r="P81" s="16"/>
      <c r="Q81" s="16"/>
      <c r="R81" s="16" t="str">
        <f t="shared" si="1"/>
        <v/>
      </c>
    </row>
    <row r="82">
      <c r="A82" s="7"/>
      <c r="B82" s="14"/>
      <c r="C82" s="17"/>
      <c r="D82" s="17"/>
      <c r="E82" s="18"/>
      <c r="F82" s="43"/>
      <c r="G82" s="20"/>
      <c r="H82" s="18"/>
      <c r="I82" s="31"/>
      <c r="J82" s="21"/>
      <c r="K82" s="21"/>
      <c r="L82" s="21" t="s">
        <v>59</v>
      </c>
      <c r="M82" s="30" t="s">
        <v>654</v>
      </c>
      <c r="N82" s="30" t="s">
        <v>654</v>
      </c>
      <c r="O82" s="31"/>
      <c r="P82" s="16"/>
      <c r="Q82" s="16"/>
      <c r="R82" s="16" t="str">
        <f t="shared" si="1"/>
        <v/>
      </c>
    </row>
    <row r="83">
      <c r="A83" s="7"/>
      <c r="B83" s="14"/>
      <c r="C83" s="17"/>
      <c r="D83" s="17"/>
      <c r="E83" s="18"/>
      <c r="F83" s="43"/>
      <c r="G83" s="20"/>
      <c r="H83" s="18"/>
      <c r="I83" s="31"/>
      <c r="J83" s="21"/>
      <c r="K83" s="21"/>
      <c r="L83" s="21" t="s">
        <v>65</v>
      </c>
      <c r="M83" s="30" t="s">
        <v>654</v>
      </c>
      <c r="N83" s="30" t="s">
        <v>654</v>
      </c>
      <c r="O83" s="31"/>
      <c r="P83" s="16"/>
      <c r="Q83" s="16"/>
      <c r="R83" s="16" t="str">
        <f t="shared" si="1"/>
        <v/>
      </c>
    </row>
    <row r="84">
      <c r="A84" s="7"/>
      <c r="B84" s="14"/>
      <c r="C84" s="17"/>
      <c r="D84" s="17"/>
      <c r="E84" s="18"/>
      <c r="F84" s="43"/>
      <c r="G84" s="20"/>
      <c r="H84" s="18"/>
      <c r="I84" s="31"/>
      <c r="J84" s="21"/>
      <c r="K84" s="21"/>
      <c r="L84" s="21" t="s">
        <v>71</v>
      </c>
      <c r="M84" s="30" t="s">
        <v>654</v>
      </c>
      <c r="N84" s="30" t="s">
        <v>654</v>
      </c>
      <c r="O84" s="31"/>
      <c r="P84" s="16"/>
      <c r="Q84" s="16"/>
      <c r="R84" s="16" t="str">
        <f t="shared" si="1"/>
        <v/>
      </c>
    </row>
    <row r="85">
      <c r="A85" s="7" t="s">
        <v>72</v>
      </c>
      <c r="B85" s="14" t="s">
        <v>20</v>
      </c>
      <c r="C85" s="17" t="s">
        <v>717</v>
      </c>
      <c r="D85" s="17" t="s">
        <v>21</v>
      </c>
      <c r="E85" s="18" t="s">
        <v>22</v>
      </c>
      <c r="F85" s="44" t="s">
        <v>718</v>
      </c>
      <c r="G85" s="20" t="s">
        <v>74</v>
      </c>
      <c r="H85" s="18" t="s">
        <v>75</v>
      </c>
      <c r="I85" s="29" t="s">
        <v>535</v>
      </c>
      <c r="J85" s="21"/>
      <c r="K85" s="21" t="s">
        <v>76</v>
      </c>
      <c r="L85" s="21" t="s">
        <v>25</v>
      </c>
      <c r="M85" s="30" t="s">
        <v>719</v>
      </c>
      <c r="N85" s="30" t="s">
        <v>654</v>
      </c>
      <c r="O85" s="29" t="s">
        <v>720</v>
      </c>
      <c r="P85" s="14" t="s">
        <v>533</v>
      </c>
      <c r="Q85" s="14" t="s">
        <v>562</v>
      </c>
      <c r="R85" s="16" t="str">
        <f t="shared" si="1"/>
        <v>Diferente</v>
      </c>
      <c r="S85" s="14" t="s">
        <v>721</v>
      </c>
    </row>
    <row r="86">
      <c r="A86" s="7"/>
      <c r="B86" s="14"/>
      <c r="C86" s="17"/>
      <c r="D86" s="17"/>
      <c r="E86" s="18"/>
      <c r="F86" s="43"/>
      <c r="G86" s="20"/>
      <c r="H86" s="18"/>
      <c r="I86" s="31"/>
      <c r="J86" s="21"/>
      <c r="K86" s="21"/>
      <c r="L86" s="21" t="s">
        <v>31</v>
      </c>
      <c r="M86" s="30" t="s">
        <v>722</v>
      </c>
      <c r="N86" s="30" t="s">
        <v>723</v>
      </c>
      <c r="O86" s="29" t="s">
        <v>724</v>
      </c>
      <c r="P86" s="14" t="s">
        <v>542</v>
      </c>
      <c r="Q86" s="14" t="s">
        <v>533</v>
      </c>
      <c r="R86" s="16" t="str">
        <f t="shared" si="1"/>
        <v>Diferente</v>
      </c>
    </row>
    <row r="87">
      <c r="A87" s="7"/>
      <c r="B87" s="14"/>
      <c r="C87" s="17"/>
      <c r="D87" s="17"/>
      <c r="E87" s="18"/>
      <c r="F87" s="43"/>
      <c r="G87" s="20"/>
      <c r="H87" s="18"/>
      <c r="I87" s="31"/>
      <c r="J87" s="21"/>
      <c r="K87" s="21"/>
      <c r="L87" s="21" t="s">
        <v>36</v>
      </c>
      <c r="M87" s="30" t="s">
        <v>725</v>
      </c>
      <c r="N87" s="30" t="s">
        <v>726</v>
      </c>
      <c r="O87" s="29" t="s">
        <v>727</v>
      </c>
      <c r="P87" s="14" t="s">
        <v>533</v>
      </c>
      <c r="Q87" s="14" t="s">
        <v>533</v>
      </c>
      <c r="R87" s="16" t="str">
        <f t="shared" si="1"/>
        <v>Igual</v>
      </c>
    </row>
    <row r="88">
      <c r="A88" s="7"/>
      <c r="B88" s="14"/>
      <c r="C88" s="17"/>
      <c r="D88" s="17"/>
      <c r="E88" s="18"/>
      <c r="F88" s="43"/>
      <c r="G88" s="20"/>
      <c r="H88" s="18"/>
      <c r="I88" s="31"/>
      <c r="J88" s="21"/>
      <c r="K88" s="21"/>
      <c r="L88" s="21" t="s">
        <v>41</v>
      </c>
      <c r="M88" s="30" t="s">
        <v>654</v>
      </c>
      <c r="N88" s="30" t="s">
        <v>728</v>
      </c>
      <c r="O88" s="29" t="s">
        <v>729</v>
      </c>
      <c r="P88" s="14" t="s">
        <v>562</v>
      </c>
      <c r="Q88" s="14" t="s">
        <v>533</v>
      </c>
      <c r="R88" s="16" t="str">
        <f t="shared" si="1"/>
        <v>Diferente</v>
      </c>
    </row>
    <row r="89">
      <c r="A89" s="7"/>
      <c r="B89" s="14"/>
      <c r="C89" s="17"/>
      <c r="D89" s="17"/>
      <c r="E89" s="18"/>
      <c r="F89" s="43"/>
      <c r="G89" s="20"/>
      <c r="H89" s="18"/>
      <c r="I89" s="31"/>
      <c r="J89" s="21"/>
      <c r="K89" s="21"/>
      <c r="L89" s="21" t="s">
        <v>47</v>
      </c>
      <c r="M89" s="30" t="s">
        <v>730</v>
      </c>
      <c r="N89" s="30" t="s">
        <v>731</v>
      </c>
      <c r="O89" s="29" t="s">
        <v>732</v>
      </c>
      <c r="P89" s="14" t="s">
        <v>533</v>
      </c>
      <c r="Q89" s="14" t="s">
        <v>533</v>
      </c>
      <c r="R89" s="16" t="str">
        <f t="shared" si="1"/>
        <v>Igual</v>
      </c>
    </row>
    <row r="90">
      <c r="A90" s="7"/>
      <c r="B90" s="14"/>
      <c r="C90" s="17"/>
      <c r="D90" s="17"/>
      <c r="E90" s="18"/>
      <c r="F90" s="43"/>
      <c r="G90" s="20"/>
      <c r="H90" s="18"/>
      <c r="I90" s="31"/>
      <c r="J90" s="21"/>
      <c r="K90" s="21"/>
      <c r="L90" s="21" t="s">
        <v>53</v>
      </c>
      <c r="M90" s="30" t="s">
        <v>733</v>
      </c>
      <c r="N90" s="30" t="s">
        <v>654</v>
      </c>
      <c r="O90" s="29" t="s">
        <v>641</v>
      </c>
      <c r="P90" s="14" t="s">
        <v>562</v>
      </c>
      <c r="Q90" s="14" t="s">
        <v>533</v>
      </c>
      <c r="R90" s="16" t="str">
        <f t="shared" si="1"/>
        <v>Diferente</v>
      </c>
    </row>
    <row r="91">
      <c r="A91" s="7"/>
      <c r="B91" s="14"/>
      <c r="C91" s="17"/>
      <c r="D91" s="17"/>
      <c r="E91" s="18"/>
      <c r="F91" s="43"/>
      <c r="G91" s="20"/>
      <c r="H91" s="18"/>
      <c r="I91" s="31"/>
      <c r="J91" s="21"/>
      <c r="K91" s="21"/>
      <c r="L91" s="21" t="s">
        <v>59</v>
      </c>
      <c r="M91" s="30" t="s">
        <v>654</v>
      </c>
      <c r="N91" s="30" t="s">
        <v>654</v>
      </c>
      <c r="O91" s="29" t="s">
        <v>589</v>
      </c>
      <c r="P91" s="14" t="s">
        <v>533</v>
      </c>
      <c r="Q91" s="14" t="s">
        <v>533</v>
      </c>
      <c r="R91" s="16" t="str">
        <f t="shared" si="1"/>
        <v>Igual</v>
      </c>
    </row>
    <row r="92">
      <c r="A92" s="7"/>
      <c r="B92" s="14"/>
      <c r="C92" s="17"/>
      <c r="D92" s="17"/>
      <c r="E92" s="18"/>
      <c r="F92" s="43"/>
      <c r="G92" s="20"/>
      <c r="H92" s="18"/>
      <c r="I92" s="31"/>
      <c r="J92" s="21"/>
      <c r="K92" s="21"/>
      <c r="L92" s="21" t="s">
        <v>65</v>
      </c>
      <c r="M92" s="30" t="s">
        <v>654</v>
      </c>
      <c r="N92" s="30" t="s">
        <v>654</v>
      </c>
      <c r="O92" s="29" t="s">
        <v>558</v>
      </c>
      <c r="P92" s="14" t="s">
        <v>533</v>
      </c>
      <c r="Q92" s="14" t="s">
        <v>533</v>
      </c>
      <c r="R92" s="16" t="str">
        <f t="shared" si="1"/>
        <v>Igual</v>
      </c>
    </row>
    <row r="93">
      <c r="A93" s="7"/>
      <c r="B93" s="14"/>
      <c r="C93" s="17"/>
      <c r="D93" s="17"/>
      <c r="E93" s="18"/>
      <c r="F93" s="43"/>
      <c r="G93" s="20"/>
      <c r="H93" s="18"/>
      <c r="I93" s="31"/>
      <c r="J93" s="21"/>
      <c r="K93" s="21"/>
      <c r="L93" s="21" t="s">
        <v>71</v>
      </c>
      <c r="M93" s="30" t="s">
        <v>734</v>
      </c>
      <c r="N93" s="30" t="s">
        <v>735</v>
      </c>
      <c r="O93" s="29" t="s">
        <v>736</v>
      </c>
      <c r="P93" s="14" t="s">
        <v>533</v>
      </c>
      <c r="Q93" s="14" t="s">
        <v>533</v>
      </c>
      <c r="R93" s="16" t="str">
        <f t="shared" si="1"/>
        <v>Igual</v>
      </c>
    </row>
    <row r="94">
      <c r="A94" s="7" t="s">
        <v>77</v>
      </c>
      <c r="B94" s="14" t="s">
        <v>20</v>
      </c>
      <c r="C94" s="17" t="s">
        <v>737</v>
      </c>
      <c r="D94" s="17" t="s">
        <v>78</v>
      </c>
      <c r="E94" s="18" t="s">
        <v>79</v>
      </c>
      <c r="F94" s="44" t="s">
        <v>738</v>
      </c>
      <c r="G94" s="20" t="s">
        <v>74</v>
      </c>
      <c r="H94" s="18" t="s">
        <v>81</v>
      </c>
      <c r="I94" s="29" t="s">
        <v>739</v>
      </c>
      <c r="J94" s="21"/>
      <c r="K94" s="21" t="s">
        <v>76</v>
      </c>
      <c r="L94" s="21" t="s">
        <v>25</v>
      </c>
      <c r="M94" s="30" t="s">
        <v>740</v>
      </c>
      <c r="N94" s="30" t="s">
        <v>741</v>
      </c>
      <c r="O94" s="29" t="s">
        <v>742</v>
      </c>
      <c r="P94" s="14" t="s">
        <v>533</v>
      </c>
      <c r="Q94" s="14" t="s">
        <v>533</v>
      </c>
      <c r="R94" s="16" t="str">
        <f t="shared" si="1"/>
        <v>Igual</v>
      </c>
    </row>
    <row r="95">
      <c r="A95" s="7"/>
      <c r="B95" s="14"/>
      <c r="C95" s="17"/>
      <c r="D95" s="17"/>
      <c r="E95" s="18"/>
      <c r="F95" s="43"/>
      <c r="G95" s="20"/>
      <c r="H95" s="18"/>
      <c r="I95" s="31"/>
      <c r="J95" s="21"/>
      <c r="K95" s="21"/>
      <c r="L95" s="21" t="s">
        <v>31</v>
      </c>
      <c r="M95" s="30" t="s">
        <v>743</v>
      </c>
      <c r="N95" s="30" t="s">
        <v>744</v>
      </c>
      <c r="O95" s="29" t="s">
        <v>745</v>
      </c>
      <c r="P95" s="14" t="s">
        <v>533</v>
      </c>
      <c r="Q95" s="14" t="s">
        <v>533</v>
      </c>
      <c r="R95" s="16" t="str">
        <f t="shared" si="1"/>
        <v>Igual</v>
      </c>
    </row>
    <row r="96">
      <c r="A96" s="7"/>
      <c r="B96" s="14"/>
      <c r="C96" s="17"/>
      <c r="D96" s="17"/>
      <c r="E96" s="18"/>
      <c r="F96" s="43"/>
      <c r="G96" s="20"/>
      <c r="H96" s="18"/>
      <c r="I96" s="31"/>
      <c r="J96" s="21"/>
      <c r="K96" s="21"/>
      <c r="L96" s="21" t="s">
        <v>36</v>
      </c>
      <c r="M96" s="30" t="s">
        <v>746</v>
      </c>
      <c r="N96" s="30" t="s">
        <v>747</v>
      </c>
      <c r="O96" s="29" t="s">
        <v>748</v>
      </c>
      <c r="P96" s="14" t="s">
        <v>533</v>
      </c>
      <c r="Q96" s="14" t="s">
        <v>533</v>
      </c>
      <c r="R96" s="16" t="str">
        <f t="shared" si="1"/>
        <v>Igual</v>
      </c>
    </row>
    <row r="97">
      <c r="A97" s="7"/>
      <c r="B97" s="14"/>
      <c r="C97" s="17"/>
      <c r="D97" s="17"/>
      <c r="E97" s="18"/>
      <c r="F97" s="43"/>
      <c r="G97" s="20"/>
      <c r="H97" s="18"/>
      <c r="I97" s="31"/>
      <c r="J97" s="21"/>
      <c r="K97" s="21"/>
      <c r="L97" s="21" t="s">
        <v>41</v>
      </c>
      <c r="M97" s="30" t="s">
        <v>749</v>
      </c>
      <c r="N97" s="30" t="s">
        <v>750</v>
      </c>
      <c r="O97" s="29" t="s">
        <v>751</v>
      </c>
      <c r="P97" s="14" t="s">
        <v>533</v>
      </c>
      <c r="Q97" s="14" t="s">
        <v>533</v>
      </c>
      <c r="R97" s="16" t="str">
        <f t="shared" si="1"/>
        <v>Igual</v>
      </c>
    </row>
    <row r="98">
      <c r="A98" s="7"/>
      <c r="B98" s="14"/>
      <c r="C98" s="17"/>
      <c r="D98" s="17"/>
      <c r="E98" s="18"/>
      <c r="F98" s="43"/>
      <c r="G98" s="20"/>
      <c r="H98" s="18"/>
      <c r="I98" s="31"/>
      <c r="J98" s="21"/>
      <c r="K98" s="21"/>
      <c r="L98" s="21" t="s">
        <v>47</v>
      </c>
      <c r="M98" s="30" t="s">
        <v>752</v>
      </c>
      <c r="N98" s="30" t="s">
        <v>654</v>
      </c>
      <c r="O98" s="29" t="s">
        <v>753</v>
      </c>
      <c r="P98" s="14" t="s">
        <v>533</v>
      </c>
      <c r="Q98" s="14" t="s">
        <v>562</v>
      </c>
      <c r="R98" s="16" t="str">
        <f t="shared" si="1"/>
        <v>Diferente</v>
      </c>
    </row>
    <row r="99">
      <c r="A99" s="7"/>
      <c r="B99" s="14"/>
      <c r="C99" s="17"/>
      <c r="D99" s="17"/>
      <c r="E99" s="18"/>
      <c r="F99" s="43"/>
      <c r="G99" s="20"/>
      <c r="H99" s="18"/>
      <c r="I99" s="31"/>
      <c r="J99" s="21"/>
      <c r="K99" s="21"/>
      <c r="L99" s="21" t="s">
        <v>53</v>
      </c>
      <c r="M99" s="30" t="s">
        <v>654</v>
      </c>
      <c r="N99" s="30" t="s">
        <v>654</v>
      </c>
      <c r="O99" s="29" t="s">
        <v>641</v>
      </c>
      <c r="P99" s="14" t="s">
        <v>533</v>
      </c>
      <c r="Q99" s="14" t="s">
        <v>533</v>
      </c>
      <c r="R99" s="16" t="str">
        <f t="shared" si="1"/>
        <v>Igual</v>
      </c>
    </row>
    <row r="100">
      <c r="A100" s="7"/>
      <c r="B100" s="14"/>
      <c r="C100" s="17"/>
      <c r="D100" s="17"/>
      <c r="E100" s="18"/>
      <c r="F100" s="43"/>
      <c r="G100" s="20"/>
      <c r="H100" s="18"/>
      <c r="I100" s="31"/>
      <c r="J100" s="21"/>
      <c r="K100" s="21"/>
      <c r="L100" s="21" t="s">
        <v>59</v>
      </c>
      <c r="M100" s="30" t="s">
        <v>654</v>
      </c>
      <c r="N100" s="30" t="s">
        <v>654</v>
      </c>
      <c r="O100" s="29" t="s">
        <v>754</v>
      </c>
      <c r="P100" s="14" t="s">
        <v>533</v>
      </c>
      <c r="Q100" s="14" t="s">
        <v>533</v>
      </c>
      <c r="R100" s="16" t="str">
        <f t="shared" si="1"/>
        <v>Igual</v>
      </c>
    </row>
    <row r="101">
      <c r="A101" s="7"/>
      <c r="B101" s="14"/>
      <c r="C101" s="17"/>
      <c r="D101" s="17"/>
      <c r="E101" s="18"/>
      <c r="F101" s="43"/>
      <c r="G101" s="20"/>
      <c r="H101" s="18"/>
      <c r="I101" s="31"/>
      <c r="J101" s="21"/>
      <c r="K101" s="21"/>
      <c r="L101" s="21" t="s">
        <v>65</v>
      </c>
      <c r="M101" s="30" t="s">
        <v>654</v>
      </c>
      <c r="N101" s="30" t="s">
        <v>654</v>
      </c>
      <c r="O101" s="29" t="s">
        <v>558</v>
      </c>
      <c r="P101" s="14" t="s">
        <v>533</v>
      </c>
      <c r="Q101" s="14" t="s">
        <v>533</v>
      </c>
      <c r="R101" s="16" t="str">
        <f t="shared" si="1"/>
        <v>Igual</v>
      </c>
    </row>
    <row r="102">
      <c r="A102" s="7"/>
      <c r="B102" s="14"/>
      <c r="C102" s="17"/>
      <c r="D102" s="17"/>
      <c r="E102" s="18"/>
      <c r="F102" s="43"/>
      <c r="G102" s="20"/>
      <c r="H102" s="18"/>
      <c r="I102" s="31"/>
      <c r="J102" s="21"/>
      <c r="K102" s="21"/>
      <c r="L102" s="21" t="s">
        <v>71</v>
      </c>
      <c r="M102" s="30" t="s">
        <v>755</v>
      </c>
      <c r="N102" s="30" t="s">
        <v>654</v>
      </c>
      <c r="O102" s="29" t="s">
        <v>756</v>
      </c>
      <c r="P102" s="14" t="s">
        <v>533</v>
      </c>
      <c r="Q102" s="14" t="s">
        <v>562</v>
      </c>
      <c r="R102" s="16" t="str">
        <f t="shared" si="1"/>
        <v>Diferente</v>
      </c>
    </row>
    <row r="103">
      <c r="A103" s="7" t="s">
        <v>82</v>
      </c>
      <c r="B103" s="14" t="s">
        <v>20</v>
      </c>
      <c r="C103" s="17" t="s">
        <v>757</v>
      </c>
      <c r="D103" s="17" t="s">
        <v>83</v>
      </c>
      <c r="E103" s="18" t="s">
        <v>84</v>
      </c>
      <c r="F103" s="44" t="s">
        <v>758</v>
      </c>
      <c r="G103" s="20" t="s">
        <v>86</v>
      </c>
      <c r="H103" s="18" t="s">
        <v>87</v>
      </c>
      <c r="I103" s="29" t="s">
        <v>680</v>
      </c>
      <c r="J103" s="21"/>
      <c r="K103" s="21" t="s">
        <v>76</v>
      </c>
      <c r="L103" s="21" t="s">
        <v>25</v>
      </c>
      <c r="M103" s="30" t="s">
        <v>759</v>
      </c>
      <c r="N103" s="30" t="s">
        <v>760</v>
      </c>
      <c r="O103" s="29" t="s">
        <v>761</v>
      </c>
      <c r="P103" s="14" t="s">
        <v>533</v>
      </c>
      <c r="Q103" s="14" t="s">
        <v>533</v>
      </c>
      <c r="R103" s="16" t="str">
        <f t="shared" si="1"/>
        <v>Igual</v>
      </c>
    </row>
    <row r="104">
      <c r="A104" s="7"/>
      <c r="B104" s="14"/>
      <c r="C104" s="17"/>
      <c r="D104" s="17"/>
      <c r="E104" s="18"/>
      <c r="F104" s="43"/>
      <c r="G104" s="20"/>
      <c r="H104" s="18"/>
      <c r="I104" s="31"/>
      <c r="J104" s="21"/>
      <c r="K104" s="21"/>
      <c r="L104" s="21" t="s">
        <v>31</v>
      </c>
      <c r="M104" s="30" t="s">
        <v>762</v>
      </c>
      <c r="N104" s="30" t="s">
        <v>763</v>
      </c>
      <c r="O104" s="29" t="s">
        <v>764</v>
      </c>
      <c r="P104" s="14" t="s">
        <v>533</v>
      </c>
      <c r="Q104" s="14" t="s">
        <v>533</v>
      </c>
      <c r="R104" s="16" t="str">
        <f t="shared" si="1"/>
        <v>Igual</v>
      </c>
    </row>
    <row r="105">
      <c r="A105" s="7"/>
      <c r="B105" s="14"/>
      <c r="C105" s="17"/>
      <c r="D105" s="17"/>
      <c r="E105" s="18"/>
      <c r="F105" s="43"/>
      <c r="G105" s="20"/>
      <c r="H105" s="18"/>
      <c r="I105" s="31"/>
      <c r="J105" s="21"/>
      <c r="K105" s="21"/>
      <c r="L105" s="21" t="s">
        <v>36</v>
      </c>
      <c r="M105" s="30" t="s">
        <v>765</v>
      </c>
      <c r="N105" s="30" t="s">
        <v>766</v>
      </c>
      <c r="O105" s="29" t="s">
        <v>767</v>
      </c>
      <c r="P105" s="14" t="s">
        <v>533</v>
      </c>
      <c r="Q105" s="14" t="s">
        <v>533</v>
      </c>
      <c r="R105" s="16" t="str">
        <f t="shared" si="1"/>
        <v>Igual</v>
      </c>
    </row>
    <row r="106">
      <c r="A106" s="7"/>
      <c r="B106" s="14"/>
      <c r="C106" s="17"/>
      <c r="D106" s="17"/>
      <c r="E106" s="18"/>
      <c r="F106" s="43"/>
      <c r="G106" s="20"/>
      <c r="H106" s="18"/>
      <c r="I106" s="31"/>
      <c r="J106" s="21"/>
      <c r="K106" s="21"/>
      <c r="L106" s="21" t="s">
        <v>41</v>
      </c>
      <c r="M106" s="30" t="s">
        <v>654</v>
      </c>
      <c r="N106" s="30" t="s">
        <v>768</v>
      </c>
      <c r="O106" s="29" t="s">
        <v>769</v>
      </c>
      <c r="P106" s="14" t="s">
        <v>533</v>
      </c>
      <c r="Q106" s="14" t="s">
        <v>533</v>
      </c>
      <c r="R106" s="16" t="str">
        <f t="shared" si="1"/>
        <v>Igual</v>
      </c>
    </row>
    <row r="107">
      <c r="A107" s="7"/>
      <c r="B107" s="14"/>
      <c r="C107" s="17"/>
      <c r="D107" s="17"/>
      <c r="E107" s="18"/>
      <c r="F107" s="43"/>
      <c r="G107" s="20"/>
      <c r="H107" s="18"/>
      <c r="I107" s="31"/>
      <c r="J107" s="21"/>
      <c r="K107" s="21"/>
      <c r="L107" s="21" t="s">
        <v>47</v>
      </c>
      <c r="M107" s="30" t="s">
        <v>770</v>
      </c>
      <c r="N107" s="30" t="s">
        <v>771</v>
      </c>
      <c r="O107" s="29" t="s">
        <v>772</v>
      </c>
      <c r="P107" s="14" t="s">
        <v>533</v>
      </c>
      <c r="Q107" s="14" t="s">
        <v>533</v>
      </c>
      <c r="R107" s="16" t="str">
        <f t="shared" si="1"/>
        <v>Igual</v>
      </c>
    </row>
    <row r="108">
      <c r="A108" s="7"/>
      <c r="B108" s="14"/>
      <c r="C108" s="17"/>
      <c r="D108" s="17"/>
      <c r="E108" s="18"/>
      <c r="F108" s="43"/>
      <c r="G108" s="20"/>
      <c r="H108" s="18"/>
      <c r="I108" s="31"/>
      <c r="J108" s="21"/>
      <c r="K108" s="21"/>
      <c r="L108" s="21" t="s">
        <v>53</v>
      </c>
      <c r="M108" s="30" t="s">
        <v>654</v>
      </c>
      <c r="N108" s="30" t="s">
        <v>654</v>
      </c>
      <c r="O108" s="29" t="s">
        <v>641</v>
      </c>
      <c r="P108" s="14" t="s">
        <v>533</v>
      </c>
      <c r="Q108" s="14" t="s">
        <v>533</v>
      </c>
      <c r="R108" s="16" t="str">
        <f t="shared" si="1"/>
        <v>Igual</v>
      </c>
    </row>
    <row r="109">
      <c r="A109" s="7"/>
      <c r="B109" s="14"/>
      <c r="C109" s="17"/>
      <c r="D109" s="17"/>
      <c r="E109" s="18"/>
      <c r="F109" s="43"/>
      <c r="G109" s="20"/>
      <c r="H109" s="18"/>
      <c r="I109" s="31"/>
      <c r="J109" s="21"/>
      <c r="K109" s="21"/>
      <c r="L109" s="21" t="s">
        <v>59</v>
      </c>
      <c r="M109" s="30" t="s">
        <v>773</v>
      </c>
      <c r="N109" s="30" t="s">
        <v>774</v>
      </c>
      <c r="O109" s="29" t="s">
        <v>775</v>
      </c>
      <c r="P109" s="14" t="s">
        <v>533</v>
      </c>
      <c r="Q109" s="14" t="s">
        <v>533</v>
      </c>
      <c r="R109" s="16" t="str">
        <f t="shared" si="1"/>
        <v>Igual</v>
      </c>
    </row>
    <row r="110">
      <c r="A110" s="7"/>
      <c r="B110" s="14"/>
      <c r="C110" s="17"/>
      <c r="D110" s="17"/>
      <c r="E110" s="18"/>
      <c r="F110" s="43"/>
      <c r="G110" s="20"/>
      <c r="H110" s="18"/>
      <c r="I110" s="31"/>
      <c r="J110" s="21"/>
      <c r="K110" s="21"/>
      <c r="L110" s="21" t="s">
        <v>65</v>
      </c>
      <c r="M110" s="30" t="s">
        <v>654</v>
      </c>
      <c r="N110" s="30" t="s">
        <v>654</v>
      </c>
      <c r="O110" s="29" t="s">
        <v>558</v>
      </c>
      <c r="P110" s="14" t="s">
        <v>533</v>
      </c>
      <c r="Q110" s="14" t="s">
        <v>533</v>
      </c>
      <c r="R110" s="16" t="str">
        <f t="shared" si="1"/>
        <v>Igual</v>
      </c>
    </row>
    <row r="111">
      <c r="A111" s="7"/>
      <c r="B111" s="14"/>
      <c r="C111" s="17"/>
      <c r="D111" s="17"/>
      <c r="E111" s="18"/>
      <c r="F111" s="43"/>
      <c r="G111" s="20"/>
      <c r="H111" s="18"/>
      <c r="I111" s="31"/>
      <c r="J111" s="21"/>
      <c r="K111" s="21"/>
      <c r="L111" s="21" t="s">
        <v>71</v>
      </c>
      <c r="M111" s="30" t="s">
        <v>776</v>
      </c>
      <c r="N111" s="30" t="s">
        <v>777</v>
      </c>
      <c r="O111" s="29" t="s">
        <v>778</v>
      </c>
      <c r="P111" s="14" t="s">
        <v>533</v>
      </c>
      <c r="Q111" s="14" t="s">
        <v>533</v>
      </c>
      <c r="R111" s="16" t="str">
        <f t="shared" si="1"/>
        <v>Igual</v>
      </c>
    </row>
    <row r="112">
      <c r="A112" s="7" t="s">
        <v>88</v>
      </c>
      <c r="B112" s="14" t="s">
        <v>20</v>
      </c>
      <c r="C112" s="17" t="s">
        <v>779</v>
      </c>
      <c r="D112" s="17" t="s">
        <v>55</v>
      </c>
      <c r="E112" s="18" t="s">
        <v>89</v>
      </c>
      <c r="F112" s="44" t="s">
        <v>780</v>
      </c>
      <c r="G112" s="20" t="s">
        <v>91</v>
      </c>
      <c r="H112" s="18" t="s">
        <v>92</v>
      </c>
      <c r="I112" s="29" t="s">
        <v>680</v>
      </c>
      <c r="J112" s="21"/>
      <c r="K112" s="21" t="s">
        <v>76</v>
      </c>
      <c r="L112" s="21" t="s">
        <v>25</v>
      </c>
      <c r="M112" s="30" t="s">
        <v>781</v>
      </c>
      <c r="N112" s="30" t="s">
        <v>654</v>
      </c>
      <c r="O112" s="45" t="s">
        <v>782</v>
      </c>
      <c r="P112" s="16"/>
      <c r="Q112" s="16"/>
      <c r="R112" s="16" t="str">
        <f t="shared" si="1"/>
        <v/>
      </c>
    </row>
    <row r="113">
      <c r="A113" s="7"/>
      <c r="B113" s="14"/>
      <c r="C113" s="17"/>
      <c r="D113" s="17"/>
      <c r="E113" s="18"/>
      <c r="F113" s="43"/>
      <c r="G113" s="20"/>
      <c r="H113" s="18"/>
      <c r="I113" s="31"/>
      <c r="J113" s="21"/>
      <c r="K113" s="21"/>
      <c r="L113" s="21" t="s">
        <v>31</v>
      </c>
      <c r="M113" s="30" t="s">
        <v>783</v>
      </c>
      <c r="N113" s="30" t="s">
        <v>654</v>
      </c>
      <c r="O113" s="29" t="s">
        <v>784</v>
      </c>
      <c r="P113" s="16"/>
      <c r="Q113" s="16"/>
      <c r="R113" s="16" t="str">
        <f t="shared" si="1"/>
        <v/>
      </c>
    </row>
    <row r="114">
      <c r="A114" s="7"/>
      <c r="B114" s="14"/>
      <c r="C114" s="17"/>
      <c r="D114" s="17"/>
      <c r="E114" s="18"/>
      <c r="F114" s="43"/>
      <c r="G114" s="20"/>
      <c r="H114" s="18"/>
      <c r="I114" s="31"/>
      <c r="J114" s="21"/>
      <c r="K114" s="21"/>
      <c r="L114" s="21" t="s">
        <v>36</v>
      </c>
      <c r="M114" s="30" t="s">
        <v>785</v>
      </c>
      <c r="N114" s="30" t="s">
        <v>786</v>
      </c>
      <c r="O114" s="29" t="s">
        <v>684</v>
      </c>
      <c r="P114" s="16"/>
      <c r="Q114" s="16"/>
      <c r="R114" s="16" t="str">
        <f t="shared" si="1"/>
        <v/>
      </c>
    </row>
    <row r="115">
      <c r="A115" s="7"/>
      <c r="B115" s="14"/>
      <c r="C115" s="17"/>
      <c r="D115" s="17"/>
      <c r="E115" s="18"/>
      <c r="F115" s="43"/>
      <c r="G115" s="20"/>
      <c r="H115" s="18"/>
      <c r="I115" s="31"/>
      <c r="J115" s="21"/>
      <c r="K115" s="21"/>
      <c r="L115" s="21" t="s">
        <v>41</v>
      </c>
      <c r="M115" s="30" t="s">
        <v>654</v>
      </c>
      <c r="N115" s="30" t="s">
        <v>787</v>
      </c>
      <c r="O115" s="29" t="s">
        <v>788</v>
      </c>
      <c r="P115" s="16"/>
      <c r="Q115" s="16"/>
      <c r="R115" s="16" t="str">
        <f t="shared" si="1"/>
        <v/>
      </c>
    </row>
    <row r="116">
      <c r="A116" s="7"/>
      <c r="B116" s="14"/>
      <c r="C116" s="17"/>
      <c r="D116" s="17"/>
      <c r="E116" s="18"/>
      <c r="F116" s="43"/>
      <c r="G116" s="20"/>
      <c r="H116" s="18"/>
      <c r="I116" s="31"/>
      <c r="J116" s="21"/>
      <c r="K116" s="21"/>
      <c r="L116" s="21" t="s">
        <v>47</v>
      </c>
      <c r="M116" s="30" t="s">
        <v>789</v>
      </c>
      <c r="N116" s="30" t="s">
        <v>790</v>
      </c>
      <c r="O116" s="29" t="s">
        <v>791</v>
      </c>
      <c r="P116" s="16"/>
      <c r="Q116" s="16"/>
      <c r="R116" s="16" t="str">
        <f t="shared" si="1"/>
        <v/>
      </c>
    </row>
    <row r="117">
      <c r="A117" s="7"/>
      <c r="B117" s="14"/>
      <c r="C117" s="17"/>
      <c r="D117" s="17"/>
      <c r="E117" s="18"/>
      <c r="F117" s="43"/>
      <c r="G117" s="20"/>
      <c r="H117" s="18"/>
      <c r="I117" s="31"/>
      <c r="J117" s="21"/>
      <c r="K117" s="21"/>
      <c r="L117" s="21" t="s">
        <v>53</v>
      </c>
      <c r="M117" s="30" t="s">
        <v>654</v>
      </c>
      <c r="N117" s="30" t="s">
        <v>792</v>
      </c>
      <c r="O117" s="29" t="s">
        <v>793</v>
      </c>
      <c r="P117" s="16"/>
      <c r="Q117" s="16"/>
      <c r="R117" s="16" t="str">
        <f t="shared" si="1"/>
        <v/>
      </c>
    </row>
    <row r="118">
      <c r="A118" s="7"/>
      <c r="B118" s="14"/>
      <c r="C118" s="17"/>
      <c r="D118" s="17"/>
      <c r="E118" s="18"/>
      <c r="F118" s="43"/>
      <c r="G118" s="20"/>
      <c r="H118" s="18"/>
      <c r="I118" s="31"/>
      <c r="J118" s="21"/>
      <c r="K118" s="21"/>
      <c r="L118" s="21" t="s">
        <v>59</v>
      </c>
      <c r="M118" s="30" t="s">
        <v>794</v>
      </c>
      <c r="N118" s="30" t="s">
        <v>795</v>
      </c>
      <c r="O118" s="31"/>
      <c r="P118" s="16"/>
      <c r="Q118" s="16"/>
      <c r="R118" s="16" t="str">
        <f t="shared" si="1"/>
        <v/>
      </c>
    </row>
    <row r="119">
      <c r="A119" s="7"/>
      <c r="B119" s="14"/>
      <c r="C119" s="17"/>
      <c r="D119" s="17"/>
      <c r="E119" s="18"/>
      <c r="F119" s="43"/>
      <c r="G119" s="20"/>
      <c r="H119" s="18"/>
      <c r="I119" s="31"/>
      <c r="J119" s="21"/>
      <c r="K119" s="21"/>
      <c r="L119" s="21" t="s">
        <v>65</v>
      </c>
      <c r="M119" s="30" t="s">
        <v>654</v>
      </c>
      <c r="N119" s="30" t="s">
        <v>654</v>
      </c>
      <c r="O119" s="31"/>
      <c r="P119" s="16"/>
      <c r="Q119" s="16"/>
      <c r="R119" s="16" t="str">
        <f t="shared" si="1"/>
        <v/>
      </c>
    </row>
    <row r="120">
      <c r="A120" s="7"/>
      <c r="B120" s="14"/>
      <c r="C120" s="17"/>
      <c r="D120" s="17"/>
      <c r="E120" s="18"/>
      <c r="F120" s="43"/>
      <c r="G120" s="20"/>
      <c r="H120" s="18"/>
      <c r="I120" s="31"/>
      <c r="J120" s="21"/>
      <c r="K120" s="21"/>
      <c r="L120" s="21" t="s">
        <v>71</v>
      </c>
      <c r="M120" s="30" t="s">
        <v>796</v>
      </c>
      <c r="N120" s="30" t="s">
        <v>797</v>
      </c>
      <c r="O120" s="31"/>
      <c r="P120" s="16"/>
      <c r="Q120" s="16"/>
      <c r="R120" s="16" t="str">
        <f t="shared" si="1"/>
        <v/>
      </c>
    </row>
    <row r="121">
      <c r="A121" s="7" t="s">
        <v>93</v>
      </c>
      <c r="B121" s="14" t="s">
        <v>20</v>
      </c>
      <c r="C121" s="17" t="s">
        <v>798</v>
      </c>
      <c r="D121" s="17" t="s">
        <v>94</v>
      </c>
      <c r="E121" s="18" t="s">
        <v>95</v>
      </c>
      <c r="F121" s="44" t="s">
        <v>799</v>
      </c>
      <c r="G121" s="20" t="s">
        <v>97</v>
      </c>
      <c r="H121" s="18" t="s">
        <v>98</v>
      </c>
      <c r="I121" s="29" t="s">
        <v>680</v>
      </c>
      <c r="J121" s="21"/>
      <c r="K121" s="21" t="s">
        <v>76</v>
      </c>
      <c r="L121" s="21" t="s">
        <v>25</v>
      </c>
      <c r="M121" s="30" t="s">
        <v>800</v>
      </c>
      <c r="N121" s="30" t="s">
        <v>801</v>
      </c>
      <c r="O121" s="29" t="s">
        <v>802</v>
      </c>
      <c r="P121" s="14" t="s">
        <v>533</v>
      </c>
      <c r="Q121" s="14" t="s">
        <v>533</v>
      </c>
      <c r="R121" s="16" t="str">
        <f t="shared" si="1"/>
        <v>Igual</v>
      </c>
    </row>
    <row r="122">
      <c r="A122" s="7"/>
      <c r="B122" s="16"/>
      <c r="C122" s="12"/>
      <c r="D122" s="12"/>
      <c r="E122" s="18"/>
      <c r="F122" s="43"/>
      <c r="G122" s="20"/>
      <c r="H122" s="18"/>
      <c r="I122" s="31"/>
      <c r="J122" s="21"/>
      <c r="K122" s="21"/>
      <c r="L122" s="21" t="s">
        <v>31</v>
      </c>
      <c r="M122" s="30" t="s">
        <v>803</v>
      </c>
      <c r="N122" s="30" t="s">
        <v>804</v>
      </c>
      <c r="O122" s="29" t="s">
        <v>805</v>
      </c>
      <c r="P122" s="14" t="s">
        <v>533</v>
      </c>
      <c r="Q122" s="14" t="s">
        <v>533</v>
      </c>
      <c r="R122" s="16" t="str">
        <f t="shared" si="1"/>
        <v>Igual</v>
      </c>
    </row>
    <row r="123">
      <c r="A123" s="7"/>
      <c r="B123" s="16"/>
      <c r="C123" s="12"/>
      <c r="D123" s="12"/>
      <c r="E123" s="18"/>
      <c r="F123" s="43"/>
      <c r="G123" s="20"/>
      <c r="H123" s="18"/>
      <c r="I123" s="31"/>
      <c r="J123" s="21"/>
      <c r="K123" s="21"/>
      <c r="L123" s="21" t="s">
        <v>36</v>
      </c>
      <c r="M123" s="30" t="s">
        <v>806</v>
      </c>
      <c r="N123" s="30" t="s">
        <v>807</v>
      </c>
      <c r="O123" s="29" t="s">
        <v>808</v>
      </c>
      <c r="P123" s="14" t="s">
        <v>533</v>
      </c>
      <c r="Q123" s="14" t="s">
        <v>533</v>
      </c>
      <c r="R123" s="16" t="str">
        <f t="shared" si="1"/>
        <v>Igual</v>
      </c>
    </row>
    <row r="124">
      <c r="A124" s="7"/>
      <c r="B124" s="16"/>
      <c r="C124" s="12"/>
      <c r="D124" s="12"/>
      <c r="E124" s="18"/>
      <c r="F124" s="43"/>
      <c r="G124" s="20"/>
      <c r="H124" s="18"/>
      <c r="I124" s="31"/>
      <c r="J124" s="21"/>
      <c r="K124" s="21"/>
      <c r="L124" s="21" t="s">
        <v>41</v>
      </c>
      <c r="M124" s="30" t="s">
        <v>809</v>
      </c>
      <c r="N124" s="30" t="s">
        <v>654</v>
      </c>
      <c r="O124" s="29" t="s">
        <v>810</v>
      </c>
      <c r="P124" s="14" t="s">
        <v>542</v>
      </c>
      <c r="Q124" s="14" t="s">
        <v>562</v>
      </c>
      <c r="R124" s="16" t="str">
        <f t="shared" si="1"/>
        <v>Diferente</v>
      </c>
    </row>
    <row r="125">
      <c r="A125" s="7"/>
      <c r="B125" s="16"/>
      <c r="C125" s="12"/>
      <c r="D125" s="12"/>
      <c r="E125" s="18"/>
      <c r="F125" s="43"/>
      <c r="G125" s="20"/>
      <c r="H125" s="18"/>
      <c r="I125" s="31"/>
      <c r="J125" s="21"/>
      <c r="K125" s="21"/>
      <c r="L125" s="21" t="s">
        <v>47</v>
      </c>
      <c r="M125" s="30" t="s">
        <v>811</v>
      </c>
      <c r="N125" s="30" t="s">
        <v>812</v>
      </c>
      <c r="O125" s="29" t="s">
        <v>813</v>
      </c>
      <c r="P125" s="14" t="s">
        <v>542</v>
      </c>
      <c r="Q125" s="14" t="s">
        <v>542</v>
      </c>
      <c r="R125" s="16" t="str">
        <f t="shared" si="1"/>
        <v>Igual</v>
      </c>
    </row>
    <row r="126">
      <c r="A126" s="7"/>
      <c r="B126" s="16"/>
      <c r="C126" s="12"/>
      <c r="D126" s="12"/>
      <c r="E126" s="18"/>
      <c r="F126" s="43"/>
      <c r="G126" s="20"/>
      <c r="H126" s="18"/>
      <c r="I126" s="31"/>
      <c r="J126" s="21"/>
      <c r="K126" s="21"/>
      <c r="L126" s="21" t="s">
        <v>53</v>
      </c>
      <c r="M126" s="30" t="s">
        <v>654</v>
      </c>
      <c r="N126" s="30" t="s">
        <v>654</v>
      </c>
      <c r="O126" s="29" t="s">
        <v>641</v>
      </c>
      <c r="P126" s="14" t="s">
        <v>533</v>
      </c>
      <c r="Q126" s="14" t="s">
        <v>533</v>
      </c>
      <c r="R126" s="16" t="str">
        <f t="shared" si="1"/>
        <v>Igual</v>
      </c>
    </row>
    <row r="127">
      <c r="A127" s="7"/>
      <c r="B127" s="16"/>
      <c r="C127" s="12"/>
      <c r="D127" s="12"/>
      <c r="E127" s="18"/>
      <c r="F127" s="43"/>
      <c r="G127" s="20"/>
      <c r="H127" s="18"/>
      <c r="I127" s="31"/>
      <c r="J127" s="21"/>
      <c r="K127" s="21"/>
      <c r="L127" s="21" t="s">
        <v>59</v>
      </c>
      <c r="M127" s="30" t="s">
        <v>814</v>
      </c>
      <c r="N127" s="30" t="s">
        <v>815</v>
      </c>
      <c r="O127" s="29" t="s">
        <v>816</v>
      </c>
      <c r="P127" s="14" t="s">
        <v>533</v>
      </c>
      <c r="Q127" s="14" t="s">
        <v>533</v>
      </c>
      <c r="R127" s="16" t="str">
        <f t="shared" si="1"/>
        <v>Igual</v>
      </c>
    </row>
    <row r="128">
      <c r="A128" s="7"/>
      <c r="B128" s="16"/>
      <c r="C128" s="12"/>
      <c r="D128" s="12"/>
      <c r="E128" s="18"/>
      <c r="F128" s="43"/>
      <c r="G128" s="20"/>
      <c r="H128" s="18"/>
      <c r="I128" s="31"/>
      <c r="J128" s="21"/>
      <c r="K128" s="21"/>
      <c r="L128" s="21" t="s">
        <v>65</v>
      </c>
      <c r="M128" s="30" t="s">
        <v>654</v>
      </c>
      <c r="N128" s="30" t="s">
        <v>654</v>
      </c>
      <c r="O128" s="29" t="s">
        <v>558</v>
      </c>
      <c r="P128" s="14" t="s">
        <v>533</v>
      </c>
      <c r="Q128" s="14" t="s">
        <v>533</v>
      </c>
      <c r="R128" s="16" t="str">
        <f t="shared" si="1"/>
        <v>Igual</v>
      </c>
    </row>
    <row r="129">
      <c r="A129" s="7"/>
      <c r="B129" s="16"/>
      <c r="C129" s="12"/>
      <c r="D129" s="12"/>
      <c r="E129" s="18"/>
      <c r="F129" s="43"/>
      <c r="G129" s="20"/>
      <c r="H129" s="18"/>
      <c r="I129" s="31"/>
      <c r="J129" s="21"/>
      <c r="K129" s="21"/>
      <c r="L129" s="21" t="s">
        <v>71</v>
      </c>
      <c r="M129" s="30" t="s">
        <v>817</v>
      </c>
      <c r="N129" s="30" t="s">
        <v>818</v>
      </c>
      <c r="O129" s="29" t="s">
        <v>819</v>
      </c>
      <c r="P129" s="14" t="s">
        <v>533</v>
      </c>
      <c r="Q129" s="14" t="s">
        <v>533</v>
      </c>
      <c r="R129" s="16" t="str">
        <f t="shared" si="1"/>
        <v>Igual</v>
      </c>
    </row>
    <row r="130">
      <c r="A130" s="7" t="s">
        <v>99</v>
      </c>
      <c r="B130" s="14" t="s">
        <v>20</v>
      </c>
      <c r="C130" s="17" t="s">
        <v>820</v>
      </c>
      <c r="D130" s="17" t="s">
        <v>821</v>
      </c>
      <c r="E130" s="18" t="s">
        <v>100</v>
      </c>
      <c r="F130" s="44" t="s">
        <v>822</v>
      </c>
      <c r="G130" s="20" t="s">
        <v>97</v>
      </c>
      <c r="H130" s="18" t="s">
        <v>102</v>
      </c>
      <c r="I130" s="29" t="s">
        <v>823</v>
      </c>
      <c r="J130" s="21"/>
      <c r="K130" s="21" t="s">
        <v>76</v>
      </c>
      <c r="L130" s="21" t="s">
        <v>25</v>
      </c>
      <c r="M130" s="30" t="s">
        <v>824</v>
      </c>
      <c r="N130" s="30" t="s">
        <v>825</v>
      </c>
      <c r="O130" s="29" t="s">
        <v>826</v>
      </c>
      <c r="P130" s="14" t="s">
        <v>533</v>
      </c>
      <c r="Q130" s="14" t="s">
        <v>533</v>
      </c>
      <c r="R130" s="16" t="str">
        <f t="shared" si="1"/>
        <v>Igual</v>
      </c>
    </row>
    <row r="131">
      <c r="A131" s="7"/>
      <c r="B131" s="16"/>
      <c r="C131" s="12"/>
      <c r="D131" s="12"/>
      <c r="E131" s="18"/>
      <c r="F131" s="43"/>
      <c r="G131" s="20"/>
      <c r="H131" s="18"/>
      <c r="I131" s="29" t="s">
        <v>565</v>
      </c>
      <c r="J131" s="21"/>
      <c r="K131" s="21"/>
      <c r="L131" s="21" t="s">
        <v>31</v>
      </c>
      <c r="M131" s="30" t="s">
        <v>827</v>
      </c>
      <c r="N131" s="30" t="s">
        <v>828</v>
      </c>
      <c r="O131" s="29" t="s">
        <v>829</v>
      </c>
      <c r="P131" s="14" t="s">
        <v>533</v>
      </c>
      <c r="Q131" s="14" t="s">
        <v>533</v>
      </c>
      <c r="R131" s="16" t="str">
        <f t="shared" si="1"/>
        <v>Igual</v>
      </c>
    </row>
    <row r="132">
      <c r="A132" s="7"/>
      <c r="B132" s="16"/>
      <c r="C132" s="12"/>
      <c r="D132" s="12"/>
      <c r="E132" s="18"/>
      <c r="F132" s="43"/>
      <c r="G132" s="20"/>
      <c r="H132" s="18"/>
      <c r="I132" s="31"/>
      <c r="J132" s="21"/>
      <c r="K132" s="21"/>
      <c r="L132" s="21" t="s">
        <v>36</v>
      </c>
      <c r="M132" s="30" t="s">
        <v>830</v>
      </c>
      <c r="N132" s="30" t="s">
        <v>831</v>
      </c>
      <c r="O132" s="29" t="s">
        <v>832</v>
      </c>
      <c r="P132" s="14" t="s">
        <v>533</v>
      </c>
      <c r="Q132" s="14" t="s">
        <v>533</v>
      </c>
      <c r="R132" s="16" t="str">
        <f t="shared" si="1"/>
        <v>Igual</v>
      </c>
    </row>
    <row r="133">
      <c r="A133" s="7"/>
      <c r="B133" s="16"/>
      <c r="C133" s="12"/>
      <c r="D133" s="12"/>
      <c r="E133" s="18"/>
      <c r="F133" s="43"/>
      <c r="G133" s="20"/>
      <c r="H133" s="18"/>
      <c r="I133" s="31"/>
      <c r="J133" s="21"/>
      <c r="K133" s="21"/>
      <c r="L133" s="21" t="s">
        <v>41</v>
      </c>
      <c r="M133" s="30" t="s">
        <v>833</v>
      </c>
      <c r="N133" s="30" t="s">
        <v>834</v>
      </c>
      <c r="O133" s="29" t="s">
        <v>835</v>
      </c>
      <c r="P133" s="14" t="s">
        <v>542</v>
      </c>
      <c r="Q133" s="14" t="s">
        <v>533</v>
      </c>
      <c r="R133" s="16" t="str">
        <f t="shared" si="1"/>
        <v>Diferente</v>
      </c>
    </row>
    <row r="134">
      <c r="A134" s="7"/>
      <c r="B134" s="16"/>
      <c r="C134" s="12"/>
      <c r="D134" s="12"/>
      <c r="E134" s="18"/>
      <c r="F134" s="43"/>
      <c r="G134" s="20"/>
      <c r="H134" s="18"/>
      <c r="I134" s="31"/>
      <c r="J134" s="21"/>
      <c r="K134" s="21"/>
      <c r="L134" s="21" t="s">
        <v>47</v>
      </c>
      <c r="M134" s="30" t="s">
        <v>836</v>
      </c>
      <c r="N134" s="30" t="s">
        <v>837</v>
      </c>
      <c r="O134" s="29" t="s">
        <v>838</v>
      </c>
      <c r="P134" s="14" t="s">
        <v>533</v>
      </c>
      <c r="Q134" s="14" t="s">
        <v>533</v>
      </c>
      <c r="R134" s="16" t="str">
        <f t="shared" si="1"/>
        <v>Igual</v>
      </c>
    </row>
    <row r="135">
      <c r="A135" s="7"/>
      <c r="B135" s="16"/>
      <c r="C135" s="12"/>
      <c r="D135" s="12"/>
      <c r="E135" s="18"/>
      <c r="F135" s="43"/>
      <c r="G135" s="20"/>
      <c r="H135" s="18"/>
      <c r="I135" s="31"/>
      <c r="J135" s="21"/>
      <c r="K135" s="21"/>
      <c r="L135" s="21" t="s">
        <v>53</v>
      </c>
      <c r="M135" s="30" t="s">
        <v>654</v>
      </c>
      <c r="N135" s="30" t="s">
        <v>839</v>
      </c>
      <c r="O135" s="29" t="s">
        <v>840</v>
      </c>
      <c r="P135" s="14" t="s">
        <v>562</v>
      </c>
      <c r="Q135" s="14" t="s">
        <v>533</v>
      </c>
      <c r="R135" s="16" t="str">
        <f t="shared" si="1"/>
        <v>Diferente</v>
      </c>
    </row>
    <row r="136">
      <c r="A136" s="7"/>
      <c r="B136" s="16"/>
      <c r="C136" s="12"/>
      <c r="D136" s="12"/>
      <c r="E136" s="18"/>
      <c r="F136" s="43"/>
      <c r="G136" s="20"/>
      <c r="H136" s="18"/>
      <c r="I136" s="31"/>
      <c r="J136" s="21"/>
      <c r="K136" s="21"/>
      <c r="L136" s="21" t="s">
        <v>59</v>
      </c>
      <c r="M136" s="30" t="s">
        <v>654</v>
      </c>
      <c r="N136" s="30" t="s">
        <v>841</v>
      </c>
      <c r="O136" s="29" t="s">
        <v>842</v>
      </c>
      <c r="P136" s="14" t="s">
        <v>562</v>
      </c>
      <c r="Q136" s="14" t="s">
        <v>533</v>
      </c>
      <c r="R136" s="16" t="str">
        <f t="shared" si="1"/>
        <v>Diferente</v>
      </c>
    </row>
    <row r="137">
      <c r="A137" s="7"/>
      <c r="B137" s="16"/>
      <c r="C137" s="12"/>
      <c r="D137" s="12"/>
      <c r="E137" s="18"/>
      <c r="F137" s="43"/>
      <c r="G137" s="20"/>
      <c r="H137" s="18"/>
      <c r="I137" s="31"/>
      <c r="J137" s="21"/>
      <c r="K137" s="21"/>
      <c r="L137" s="21" t="s">
        <v>65</v>
      </c>
      <c r="M137" s="30" t="s">
        <v>654</v>
      </c>
      <c r="N137" s="30" t="s">
        <v>654</v>
      </c>
      <c r="O137" s="29" t="s">
        <v>693</v>
      </c>
      <c r="P137" s="14" t="s">
        <v>533</v>
      </c>
      <c r="Q137" s="14" t="s">
        <v>533</v>
      </c>
      <c r="R137" s="16" t="str">
        <f t="shared" si="1"/>
        <v>Igual</v>
      </c>
    </row>
    <row r="138">
      <c r="A138" s="7"/>
      <c r="B138" s="16"/>
      <c r="C138" s="12"/>
      <c r="D138" s="12"/>
      <c r="E138" s="18"/>
      <c r="F138" s="43"/>
      <c r="G138" s="20"/>
      <c r="H138" s="18"/>
      <c r="I138" s="31"/>
      <c r="J138" s="21"/>
      <c r="K138" s="21"/>
      <c r="L138" s="21" t="s">
        <v>71</v>
      </c>
      <c r="M138" s="30" t="s">
        <v>843</v>
      </c>
      <c r="N138" s="30" t="s">
        <v>844</v>
      </c>
      <c r="O138" s="29" t="s">
        <v>845</v>
      </c>
      <c r="P138" s="14" t="s">
        <v>533</v>
      </c>
      <c r="Q138" s="14" t="s">
        <v>542</v>
      </c>
      <c r="R138" s="16" t="str">
        <f t="shared" si="1"/>
        <v>Diferente</v>
      </c>
    </row>
    <row r="139">
      <c r="A139" s="7" t="s">
        <v>103</v>
      </c>
      <c r="B139" s="16"/>
      <c r="C139" s="17" t="s">
        <v>846</v>
      </c>
      <c r="D139" s="17" t="s">
        <v>847</v>
      </c>
      <c r="E139" s="18" t="s">
        <v>104</v>
      </c>
      <c r="F139" s="44" t="s">
        <v>848</v>
      </c>
      <c r="G139" s="20" t="s">
        <v>97</v>
      </c>
      <c r="H139" s="18" t="s">
        <v>106</v>
      </c>
      <c r="I139" s="29" t="s">
        <v>849</v>
      </c>
      <c r="J139" s="21"/>
      <c r="K139" s="21" t="s">
        <v>76</v>
      </c>
      <c r="L139" s="21" t="s">
        <v>25</v>
      </c>
      <c r="M139" s="30" t="s">
        <v>654</v>
      </c>
      <c r="N139" s="30" t="s">
        <v>850</v>
      </c>
      <c r="O139" s="29" t="s">
        <v>851</v>
      </c>
      <c r="P139" s="14" t="s">
        <v>562</v>
      </c>
      <c r="Q139" s="14" t="s">
        <v>542</v>
      </c>
      <c r="R139" s="16" t="str">
        <f t="shared" si="1"/>
        <v>Diferente</v>
      </c>
    </row>
    <row r="140">
      <c r="A140" s="7"/>
      <c r="B140" s="16"/>
      <c r="C140" s="12"/>
      <c r="D140" s="12"/>
      <c r="E140" s="18"/>
      <c r="F140" s="43"/>
      <c r="G140" s="20"/>
      <c r="H140" s="18"/>
      <c r="I140" s="31"/>
      <c r="J140" s="21"/>
      <c r="K140" s="21"/>
      <c r="L140" s="21" t="s">
        <v>31</v>
      </c>
      <c r="M140" s="30" t="s">
        <v>852</v>
      </c>
      <c r="N140" s="30" t="s">
        <v>853</v>
      </c>
      <c r="O140" s="29" t="s">
        <v>854</v>
      </c>
      <c r="P140" s="14" t="s">
        <v>533</v>
      </c>
      <c r="Q140" s="14" t="s">
        <v>533</v>
      </c>
      <c r="R140" s="16" t="str">
        <f t="shared" si="1"/>
        <v>Igual</v>
      </c>
    </row>
    <row r="141">
      <c r="A141" s="7"/>
      <c r="B141" s="16"/>
      <c r="C141" s="12"/>
      <c r="D141" s="12"/>
      <c r="E141" s="18"/>
      <c r="F141" s="43"/>
      <c r="G141" s="20"/>
      <c r="H141" s="18"/>
      <c r="I141" s="31"/>
      <c r="J141" s="21"/>
      <c r="K141" s="21"/>
      <c r="L141" s="21" t="s">
        <v>36</v>
      </c>
      <c r="M141" s="30" t="s">
        <v>855</v>
      </c>
      <c r="N141" s="30" t="s">
        <v>856</v>
      </c>
      <c r="O141" s="29" t="s">
        <v>857</v>
      </c>
      <c r="P141" s="14" t="s">
        <v>533</v>
      </c>
      <c r="Q141" s="14" t="s">
        <v>533</v>
      </c>
      <c r="R141" s="16" t="str">
        <f t="shared" si="1"/>
        <v>Igual</v>
      </c>
    </row>
    <row r="142">
      <c r="A142" s="7"/>
      <c r="B142" s="16"/>
      <c r="C142" s="12"/>
      <c r="D142" s="12"/>
      <c r="E142" s="18"/>
      <c r="F142" s="43"/>
      <c r="G142" s="20"/>
      <c r="H142" s="18"/>
      <c r="I142" s="31"/>
      <c r="J142" s="21"/>
      <c r="K142" s="21"/>
      <c r="L142" s="21" t="s">
        <v>41</v>
      </c>
      <c r="M142" s="30" t="s">
        <v>858</v>
      </c>
      <c r="N142" s="30" t="s">
        <v>859</v>
      </c>
      <c r="O142" s="29" t="s">
        <v>860</v>
      </c>
      <c r="P142" s="14" t="s">
        <v>533</v>
      </c>
      <c r="Q142" s="14" t="s">
        <v>542</v>
      </c>
      <c r="R142" s="16" t="str">
        <f t="shared" si="1"/>
        <v>Diferente</v>
      </c>
    </row>
    <row r="143">
      <c r="A143" s="7"/>
      <c r="B143" s="16"/>
      <c r="C143" s="12"/>
      <c r="D143" s="12"/>
      <c r="E143" s="18"/>
      <c r="F143" s="43"/>
      <c r="G143" s="20"/>
      <c r="H143" s="18"/>
      <c r="I143" s="31"/>
      <c r="J143" s="21"/>
      <c r="K143" s="21"/>
      <c r="L143" s="21" t="s">
        <v>47</v>
      </c>
      <c r="M143" s="30" t="s">
        <v>861</v>
      </c>
      <c r="N143" s="30" t="s">
        <v>862</v>
      </c>
      <c r="O143" s="29" t="s">
        <v>863</v>
      </c>
      <c r="P143" s="14" t="s">
        <v>533</v>
      </c>
      <c r="Q143" s="14" t="s">
        <v>533</v>
      </c>
      <c r="R143" s="16" t="str">
        <f t="shared" si="1"/>
        <v>Igual</v>
      </c>
    </row>
    <row r="144">
      <c r="A144" s="7"/>
      <c r="B144" s="16"/>
      <c r="C144" s="12"/>
      <c r="D144" s="12"/>
      <c r="E144" s="18"/>
      <c r="F144" s="43"/>
      <c r="G144" s="20"/>
      <c r="H144" s="18"/>
      <c r="I144" s="31"/>
      <c r="J144" s="21"/>
      <c r="K144" s="21"/>
      <c r="L144" s="21" t="s">
        <v>53</v>
      </c>
      <c r="M144" s="30" t="s">
        <v>654</v>
      </c>
      <c r="N144" s="30" t="s">
        <v>864</v>
      </c>
      <c r="O144" s="29" t="s">
        <v>865</v>
      </c>
      <c r="P144" s="14" t="s">
        <v>562</v>
      </c>
      <c r="Q144" s="14" t="s">
        <v>533</v>
      </c>
      <c r="R144" s="16" t="str">
        <f t="shared" si="1"/>
        <v>Diferente</v>
      </c>
    </row>
    <row r="145">
      <c r="A145" s="7"/>
      <c r="B145" s="16"/>
      <c r="C145" s="12"/>
      <c r="D145" s="12"/>
      <c r="E145" s="18"/>
      <c r="F145" s="43"/>
      <c r="G145" s="20"/>
      <c r="H145" s="18"/>
      <c r="I145" s="31"/>
      <c r="J145" s="21"/>
      <c r="K145" s="21"/>
      <c r="L145" s="21" t="s">
        <v>59</v>
      </c>
      <c r="M145" s="30" t="s">
        <v>866</v>
      </c>
      <c r="N145" s="30" t="s">
        <v>867</v>
      </c>
      <c r="O145" s="29" t="s">
        <v>868</v>
      </c>
      <c r="P145" s="14" t="s">
        <v>533</v>
      </c>
      <c r="Q145" s="14" t="s">
        <v>533</v>
      </c>
      <c r="R145" s="16" t="str">
        <f t="shared" si="1"/>
        <v>Igual</v>
      </c>
    </row>
    <row r="146">
      <c r="A146" s="7"/>
      <c r="B146" s="16"/>
      <c r="C146" s="12"/>
      <c r="D146" s="12"/>
      <c r="E146" s="18"/>
      <c r="F146" s="43"/>
      <c r="G146" s="20"/>
      <c r="H146" s="18"/>
      <c r="I146" s="31"/>
      <c r="J146" s="21"/>
      <c r="K146" s="21"/>
      <c r="L146" s="21" t="s">
        <v>65</v>
      </c>
      <c r="M146" s="30" t="s">
        <v>654</v>
      </c>
      <c r="N146" s="30" t="s">
        <v>654</v>
      </c>
      <c r="O146" s="29" t="s">
        <v>693</v>
      </c>
      <c r="P146" s="14" t="s">
        <v>533</v>
      </c>
      <c r="Q146" s="14" t="s">
        <v>533</v>
      </c>
      <c r="R146" s="16" t="str">
        <f t="shared" si="1"/>
        <v>Igual</v>
      </c>
    </row>
    <row r="147">
      <c r="A147" s="7"/>
      <c r="B147" s="16"/>
      <c r="C147" s="12"/>
      <c r="D147" s="12"/>
      <c r="E147" s="18"/>
      <c r="F147" s="43"/>
      <c r="G147" s="20"/>
      <c r="H147" s="18"/>
      <c r="I147" s="31"/>
      <c r="J147" s="21"/>
      <c r="K147" s="21"/>
      <c r="L147" s="21" t="s">
        <v>71</v>
      </c>
      <c r="M147" s="30" t="s">
        <v>869</v>
      </c>
      <c r="N147" s="30" t="s">
        <v>870</v>
      </c>
      <c r="O147" s="29" t="s">
        <v>871</v>
      </c>
      <c r="P147" s="14" t="s">
        <v>533</v>
      </c>
      <c r="Q147" s="14" t="s">
        <v>533</v>
      </c>
      <c r="R147" s="16" t="str">
        <f t="shared" si="1"/>
        <v>Igual</v>
      </c>
    </row>
    <row r="148">
      <c r="A148" s="7" t="s">
        <v>107</v>
      </c>
      <c r="B148" s="14" t="s">
        <v>20</v>
      </c>
      <c r="C148" s="12"/>
      <c r="D148" s="17" t="s">
        <v>872</v>
      </c>
      <c r="E148" s="18" t="s">
        <v>108</v>
      </c>
      <c r="F148" s="44" t="s">
        <v>873</v>
      </c>
      <c r="G148" s="20" t="s">
        <v>110</v>
      </c>
      <c r="H148" s="18" t="s">
        <v>111</v>
      </c>
      <c r="I148" s="29" t="s">
        <v>680</v>
      </c>
      <c r="J148" s="21"/>
      <c r="K148" s="21" t="s">
        <v>76</v>
      </c>
      <c r="L148" s="21" t="s">
        <v>25</v>
      </c>
      <c r="M148" s="30" t="s">
        <v>654</v>
      </c>
      <c r="N148" s="30" t="s">
        <v>874</v>
      </c>
      <c r="O148" s="29" t="s">
        <v>875</v>
      </c>
      <c r="P148" s="14" t="s">
        <v>562</v>
      </c>
      <c r="Q148" s="14" t="s">
        <v>533</v>
      </c>
      <c r="R148" s="16" t="str">
        <f t="shared" si="1"/>
        <v>Diferente</v>
      </c>
    </row>
    <row r="149">
      <c r="A149" s="7"/>
      <c r="B149" s="16"/>
      <c r="C149" s="12"/>
      <c r="D149" s="12"/>
      <c r="E149" s="18"/>
      <c r="F149" s="43"/>
      <c r="G149" s="20"/>
      <c r="H149" s="18"/>
      <c r="I149" s="31"/>
      <c r="J149" s="21"/>
      <c r="K149" s="21"/>
      <c r="L149" s="21" t="s">
        <v>31</v>
      </c>
      <c r="M149" s="30" t="s">
        <v>876</v>
      </c>
      <c r="N149" s="30" t="s">
        <v>877</v>
      </c>
      <c r="O149" s="29" t="s">
        <v>878</v>
      </c>
      <c r="P149" s="14" t="s">
        <v>562</v>
      </c>
      <c r="Q149" s="14" t="s">
        <v>562</v>
      </c>
      <c r="R149" s="16" t="str">
        <f t="shared" si="1"/>
        <v>Igual</v>
      </c>
    </row>
    <row r="150">
      <c r="A150" s="7"/>
      <c r="B150" s="16"/>
      <c r="C150" s="12"/>
      <c r="D150" s="12"/>
      <c r="E150" s="18"/>
      <c r="F150" s="43"/>
      <c r="G150" s="20"/>
      <c r="H150" s="18"/>
      <c r="I150" s="31"/>
      <c r="J150" s="21"/>
      <c r="K150" s="21"/>
      <c r="L150" s="21" t="s">
        <v>36</v>
      </c>
      <c r="M150" s="30" t="s">
        <v>879</v>
      </c>
      <c r="N150" s="30" t="s">
        <v>880</v>
      </c>
      <c r="O150" s="29" t="s">
        <v>881</v>
      </c>
      <c r="P150" s="14" t="s">
        <v>542</v>
      </c>
      <c r="Q150" s="14" t="s">
        <v>542</v>
      </c>
      <c r="R150" s="16" t="str">
        <f t="shared" si="1"/>
        <v>Igual</v>
      </c>
    </row>
    <row r="151">
      <c r="A151" s="7"/>
      <c r="B151" s="16"/>
      <c r="C151" s="12"/>
      <c r="D151" s="12"/>
      <c r="E151" s="18"/>
      <c r="F151" s="43"/>
      <c r="G151" s="20"/>
      <c r="H151" s="18"/>
      <c r="I151" s="31"/>
      <c r="J151" s="21"/>
      <c r="K151" s="21"/>
      <c r="L151" s="21" t="s">
        <v>41</v>
      </c>
      <c r="M151" s="30" t="s">
        <v>654</v>
      </c>
      <c r="N151" s="30" t="s">
        <v>882</v>
      </c>
      <c r="O151" s="29" t="s">
        <v>883</v>
      </c>
      <c r="P151" s="14" t="s">
        <v>562</v>
      </c>
      <c r="Q151" s="14" t="s">
        <v>562</v>
      </c>
      <c r="R151" s="16" t="str">
        <f t="shared" si="1"/>
        <v>Igual</v>
      </c>
    </row>
    <row r="152">
      <c r="A152" s="7"/>
      <c r="B152" s="16"/>
      <c r="C152" s="12"/>
      <c r="D152" s="12"/>
      <c r="E152" s="18"/>
      <c r="F152" s="43"/>
      <c r="G152" s="20"/>
      <c r="H152" s="18"/>
      <c r="I152" s="31"/>
      <c r="J152" s="21"/>
      <c r="K152" s="21"/>
      <c r="L152" s="21" t="s">
        <v>47</v>
      </c>
      <c r="M152" s="30" t="s">
        <v>654</v>
      </c>
      <c r="N152" s="30" t="s">
        <v>884</v>
      </c>
      <c r="O152" s="29" t="s">
        <v>885</v>
      </c>
      <c r="P152" s="14" t="s">
        <v>562</v>
      </c>
      <c r="Q152" s="14" t="s">
        <v>533</v>
      </c>
      <c r="R152" s="16" t="str">
        <f t="shared" si="1"/>
        <v>Diferente</v>
      </c>
    </row>
    <row r="153">
      <c r="A153" s="7"/>
      <c r="B153" s="16"/>
      <c r="C153" s="12"/>
      <c r="D153" s="12"/>
      <c r="E153" s="18"/>
      <c r="F153" s="43"/>
      <c r="G153" s="20"/>
      <c r="H153" s="18"/>
      <c r="I153" s="31"/>
      <c r="J153" s="21"/>
      <c r="K153" s="21"/>
      <c r="L153" s="21" t="s">
        <v>53</v>
      </c>
      <c r="M153" s="30" t="s">
        <v>654</v>
      </c>
      <c r="N153" s="30" t="s">
        <v>654</v>
      </c>
      <c r="O153" s="29" t="s">
        <v>886</v>
      </c>
      <c r="P153" s="14" t="s">
        <v>533</v>
      </c>
      <c r="Q153" s="14" t="s">
        <v>533</v>
      </c>
      <c r="R153" s="16" t="str">
        <f t="shared" si="1"/>
        <v>Igual</v>
      </c>
    </row>
    <row r="154">
      <c r="A154" s="7"/>
      <c r="B154" s="16"/>
      <c r="C154" s="12"/>
      <c r="D154" s="12"/>
      <c r="E154" s="18"/>
      <c r="F154" s="43"/>
      <c r="G154" s="20"/>
      <c r="H154" s="18"/>
      <c r="I154" s="31"/>
      <c r="J154" s="21"/>
      <c r="K154" s="21"/>
      <c r="L154" s="21" t="s">
        <v>59</v>
      </c>
      <c r="M154" s="30" t="s">
        <v>654</v>
      </c>
      <c r="N154" s="30" t="s">
        <v>654</v>
      </c>
      <c r="O154" s="29" t="s">
        <v>887</v>
      </c>
      <c r="P154" s="14" t="s">
        <v>562</v>
      </c>
      <c r="Q154" s="14" t="s">
        <v>562</v>
      </c>
      <c r="R154" s="16" t="str">
        <f t="shared" si="1"/>
        <v>Igual</v>
      </c>
    </row>
    <row r="155">
      <c r="A155" s="7"/>
      <c r="B155" s="16"/>
      <c r="C155" s="12"/>
      <c r="D155" s="12"/>
      <c r="E155" s="18"/>
      <c r="F155" s="43"/>
      <c r="G155" s="20"/>
      <c r="H155" s="18"/>
      <c r="I155" s="31"/>
      <c r="J155" s="21"/>
      <c r="K155" s="21"/>
      <c r="L155" s="21" t="s">
        <v>65</v>
      </c>
      <c r="M155" s="30" t="s">
        <v>654</v>
      </c>
      <c r="N155" s="30" t="s">
        <v>888</v>
      </c>
      <c r="O155" s="29" t="s">
        <v>889</v>
      </c>
      <c r="P155" s="14" t="s">
        <v>533</v>
      </c>
      <c r="Q155" s="14" t="s">
        <v>562</v>
      </c>
      <c r="R155" s="16" t="str">
        <f t="shared" si="1"/>
        <v>Diferente</v>
      </c>
    </row>
    <row r="156">
      <c r="A156" s="7"/>
      <c r="B156" s="16"/>
      <c r="C156" s="12"/>
      <c r="D156" s="12"/>
      <c r="E156" s="18"/>
      <c r="F156" s="43"/>
      <c r="G156" s="20"/>
      <c r="H156" s="18"/>
      <c r="I156" s="31"/>
      <c r="J156" s="21"/>
      <c r="K156" s="21"/>
      <c r="L156" s="21" t="s">
        <v>71</v>
      </c>
      <c r="M156" s="30" t="s">
        <v>890</v>
      </c>
      <c r="N156" s="30" t="s">
        <v>891</v>
      </c>
      <c r="O156" s="29" t="s">
        <v>892</v>
      </c>
      <c r="P156" s="14" t="s">
        <v>533</v>
      </c>
      <c r="Q156" s="14" t="s">
        <v>562</v>
      </c>
      <c r="R156" s="16" t="str">
        <f t="shared" si="1"/>
        <v>Diferente</v>
      </c>
    </row>
    <row r="157">
      <c r="A157" s="7" t="s">
        <v>112</v>
      </c>
      <c r="B157" s="14" t="s">
        <v>20</v>
      </c>
      <c r="C157" s="17" t="s">
        <v>893</v>
      </c>
      <c r="D157" s="17" t="s">
        <v>894</v>
      </c>
      <c r="E157" s="18" t="s">
        <v>113</v>
      </c>
      <c r="F157" s="44" t="s">
        <v>895</v>
      </c>
      <c r="G157" s="20" t="s">
        <v>115</v>
      </c>
      <c r="H157" s="18" t="s">
        <v>116</v>
      </c>
      <c r="I157" s="29" t="s">
        <v>528</v>
      </c>
      <c r="J157" s="21"/>
      <c r="K157" s="21" t="s">
        <v>76</v>
      </c>
      <c r="L157" s="21" t="s">
        <v>25</v>
      </c>
      <c r="M157" s="30" t="s">
        <v>896</v>
      </c>
      <c r="N157" s="46"/>
      <c r="O157" s="29" t="s">
        <v>897</v>
      </c>
      <c r="P157" s="14" t="s">
        <v>533</v>
      </c>
      <c r="Q157" s="14" t="s">
        <v>562</v>
      </c>
      <c r="R157" s="16" t="str">
        <f t="shared" si="1"/>
        <v>Diferente</v>
      </c>
    </row>
    <row r="158">
      <c r="A158" s="7"/>
      <c r="B158" s="16"/>
      <c r="C158" s="12"/>
      <c r="D158" s="12"/>
      <c r="E158" s="18"/>
      <c r="F158" s="43"/>
      <c r="G158" s="20"/>
      <c r="H158" s="18"/>
      <c r="I158" s="29" t="s">
        <v>898</v>
      </c>
      <c r="J158" s="21"/>
      <c r="K158" s="21"/>
      <c r="L158" s="21" t="s">
        <v>31</v>
      </c>
      <c r="M158" s="30" t="s">
        <v>899</v>
      </c>
      <c r="N158" s="30" t="s">
        <v>900</v>
      </c>
      <c r="O158" s="29" t="s">
        <v>901</v>
      </c>
      <c r="P158" s="14" t="s">
        <v>542</v>
      </c>
      <c r="Q158" s="14" t="s">
        <v>533</v>
      </c>
      <c r="R158" s="16" t="str">
        <f t="shared" si="1"/>
        <v>Diferente</v>
      </c>
    </row>
    <row r="159">
      <c r="A159" s="7"/>
      <c r="B159" s="16"/>
      <c r="C159" s="12"/>
      <c r="D159" s="12"/>
      <c r="E159" s="18"/>
      <c r="F159" s="43"/>
      <c r="G159" s="20"/>
      <c r="H159" s="18"/>
      <c r="I159" s="31"/>
      <c r="J159" s="21"/>
      <c r="K159" s="21"/>
      <c r="L159" s="21" t="s">
        <v>36</v>
      </c>
      <c r="M159" s="30" t="s">
        <v>902</v>
      </c>
      <c r="N159" s="30" t="s">
        <v>903</v>
      </c>
      <c r="O159" s="29" t="s">
        <v>904</v>
      </c>
      <c r="P159" s="14" t="s">
        <v>542</v>
      </c>
      <c r="Q159" s="14" t="s">
        <v>533</v>
      </c>
      <c r="R159" s="16" t="str">
        <f t="shared" si="1"/>
        <v>Diferente</v>
      </c>
    </row>
    <row r="160">
      <c r="A160" s="7"/>
      <c r="B160" s="16"/>
      <c r="C160" s="12"/>
      <c r="D160" s="12"/>
      <c r="E160" s="18"/>
      <c r="F160" s="43"/>
      <c r="G160" s="20"/>
      <c r="H160" s="18"/>
      <c r="I160" s="31"/>
      <c r="J160" s="21"/>
      <c r="K160" s="21"/>
      <c r="L160" s="21" t="s">
        <v>41</v>
      </c>
      <c r="M160" s="30" t="s">
        <v>905</v>
      </c>
      <c r="N160" s="30" t="s">
        <v>654</v>
      </c>
      <c r="O160" s="29" t="s">
        <v>906</v>
      </c>
      <c r="P160" s="14" t="s">
        <v>562</v>
      </c>
      <c r="Q160" s="14" t="s">
        <v>533</v>
      </c>
      <c r="R160" s="16" t="str">
        <f t="shared" si="1"/>
        <v>Diferente</v>
      </c>
    </row>
    <row r="161">
      <c r="A161" s="7"/>
      <c r="B161" s="16"/>
      <c r="C161" s="12"/>
      <c r="D161" s="12"/>
      <c r="E161" s="18"/>
      <c r="F161" s="43"/>
      <c r="G161" s="20"/>
      <c r="H161" s="18"/>
      <c r="I161" s="31"/>
      <c r="J161" s="21"/>
      <c r="K161" s="21"/>
      <c r="L161" s="21" t="s">
        <v>47</v>
      </c>
      <c r="M161" s="30" t="s">
        <v>907</v>
      </c>
      <c r="N161" s="30" t="s">
        <v>908</v>
      </c>
      <c r="O161" s="29" t="s">
        <v>909</v>
      </c>
      <c r="P161" s="14" t="s">
        <v>533</v>
      </c>
      <c r="Q161" s="14" t="s">
        <v>533</v>
      </c>
      <c r="R161" s="16" t="str">
        <f t="shared" si="1"/>
        <v>Igual</v>
      </c>
    </row>
    <row r="162">
      <c r="A162" s="7"/>
      <c r="B162" s="16"/>
      <c r="C162" s="12"/>
      <c r="D162" s="12"/>
      <c r="E162" s="18"/>
      <c r="F162" s="43"/>
      <c r="G162" s="20"/>
      <c r="H162" s="18"/>
      <c r="I162" s="31"/>
      <c r="J162" s="21"/>
      <c r="K162" s="21"/>
      <c r="L162" s="21" t="s">
        <v>53</v>
      </c>
      <c r="M162" s="30" t="s">
        <v>654</v>
      </c>
      <c r="N162" s="30" t="s">
        <v>910</v>
      </c>
      <c r="O162" s="29" t="s">
        <v>911</v>
      </c>
      <c r="P162" s="14" t="s">
        <v>542</v>
      </c>
      <c r="Q162" s="14" t="s">
        <v>542</v>
      </c>
      <c r="R162" s="16" t="str">
        <f t="shared" si="1"/>
        <v>Igual</v>
      </c>
    </row>
    <row r="163">
      <c r="A163" s="7"/>
      <c r="B163" s="16"/>
      <c r="C163" s="12"/>
      <c r="D163" s="12"/>
      <c r="E163" s="18"/>
      <c r="F163" s="43"/>
      <c r="G163" s="20"/>
      <c r="H163" s="18"/>
      <c r="I163" s="31"/>
      <c r="J163" s="21"/>
      <c r="K163" s="21"/>
      <c r="L163" s="21" t="s">
        <v>59</v>
      </c>
      <c r="M163" s="30" t="s">
        <v>654</v>
      </c>
      <c r="N163" s="30" t="s">
        <v>912</v>
      </c>
      <c r="O163" s="29" t="s">
        <v>913</v>
      </c>
      <c r="P163" s="14" t="s">
        <v>562</v>
      </c>
      <c r="Q163" s="14" t="s">
        <v>562</v>
      </c>
      <c r="R163" s="16" t="str">
        <f t="shared" si="1"/>
        <v>Igual</v>
      </c>
    </row>
    <row r="164">
      <c r="A164" s="7"/>
      <c r="B164" s="16"/>
      <c r="C164" s="12"/>
      <c r="D164" s="12"/>
      <c r="E164" s="18"/>
      <c r="F164" s="43"/>
      <c r="G164" s="20"/>
      <c r="H164" s="18"/>
      <c r="I164" s="31"/>
      <c r="J164" s="21"/>
      <c r="K164" s="21"/>
      <c r="L164" s="21" t="s">
        <v>65</v>
      </c>
      <c r="M164" s="30" t="s">
        <v>654</v>
      </c>
      <c r="N164" s="30" t="s">
        <v>654</v>
      </c>
      <c r="O164" s="29" t="s">
        <v>693</v>
      </c>
      <c r="P164" s="14" t="s">
        <v>533</v>
      </c>
      <c r="Q164" s="14" t="s">
        <v>533</v>
      </c>
      <c r="R164" s="16" t="str">
        <f t="shared" si="1"/>
        <v>Igual</v>
      </c>
    </row>
    <row r="165">
      <c r="A165" s="7"/>
      <c r="B165" s="16"/>
      <c r="C165" s="12"/>
      <c r="D165" s="12"/>
      <c r="E165" s="18"/>
      <c r="F165" s="43"/>
      <c r="G165" s="20"/>
      <c r="H165" s="18"/>
      <c r="I165" s="31"/>
      <c r="J165" s="21"/>
      <c r="K165" s="21"/>
      <c r="L165" s="21" t="s">
        <v>71</v>
      </c>
      <c r="M165" s="30" t="s">
        <v>914</v>
      </c>
      <c r="N165" s="30" t="s">
        <v>915</v>
      </c>
      <c r="O165" s="29" t="s">
        <v>916</v>
      </c>
      <c r="P165" s="14" t="s">
        <v>533</v>
      </c>
      <c r="Q165" s="14" t="s">
        <v>542</v>
      </c>
      <c r="R165" s="16" t="str">
        <f t="shared" si="1"/>
        <v>Diferente</v>
      </c>
    </row>
    <row r="166">
      <c r="A166" s="7" t="s">
        <v>117</v>
      </c>
      <c r="B166" s="14" t="s">
        <v>20</v>
      </c>
      <c r="C166" s="17" t="s">
        <v>917</v>
      </c>
      <c r="D166" s="17" t="s">
        <v>918</v>
      </c>
      <c r="E166" s="18" t="s">
        <v>118</v>
      </c>
      <c r="F166" s="44" t="s">
        <v>919</v>
      </c>
      <c r="G166" s="20" t="s">
        <v>91</v>
      </c>
      <c r="H166" s="18" t="s">
        <v>120</v>
      </c>
      <c r="I166" s="29" t="s">
        <v>528</v>
      </c>
      <c r="J166" s="21"/>
      <c r="K166" s="21" t="s">
        <v>76</v>
      </c>
      <c r="L166" s="21" t="s">
        <v>25</v>
      </c>
      <c r="M166" s="30" t="s">
        <v>920</v>
      </c>
      <c r="N166" s="30" t="s">
        <v>654</v>
      </c>
      <c r="O166" s="29" t="s">
        <v>921</v>
      </c>
      <c r="P166" s="14" t="s">
        <v>533</v>
      </c>
      <c r="Q166" s="14" t="s">
        <v>562</v>
      </c>
      <c r="R166" s="16" t="str">
        <f t="shared" si="1"/>
        <v>Diferente</v>
      </c>
    </row>
    <row r="167">
      <c r="A167" s="7"/>
      <c r="B167" s="16"/>
      <c r="C167" s="12"/>
      <c r="D167" s="12"/>
      <c r="E167" s="18"/>
      <c r="F167" s="43"/>
      <c r="G167" s="20"/>
      <c r="H167" s="18"/>
      <c r="I167" s="31"/>
      <c r="J167" s="21"/>
      <c r="K167" s="21"/>
      <c r="L167" s="21" t="s">
        <v>31</v>
      </c>
      <c r="M167" s="30" t="s">
        <v>922</v>
      </c>
      <c r="N167" s="30" t="s">
        <v>654</v>
      </c>
      <c r="O167" s="29" t="s">
        <v>923</v>
      </c>
      <c r="P167" s="14" t="s">
        <v>542</v>
      </c>
      <c r="Q167" s="14" t="s">
        <v>562</v>
      </c>
      <c r="R167" s="16" t="str">
        <f t="shared" si="1"/>
        <v>Diferente</v>
      </c>
    </row>
    <row r="168">
      <c r="A168" s="7"/>
      <c r="B168" s="16"/>
      <c r="C168" s="12"/>
      <c r="D168" s="12"/>
      <c r="E168" s="18"/>
      <c r="F168" s="43"/>
      <c r="G168" s="20"/>
      <c r="H168" s="18"/>
      <c r="I168" s="31"/>
      <c r="J168" s="21"/>
      <c r="K168" s="21"/>
      <c r="L168" s="21" t="s">
        <v>36</v>
      </c>
      <c r="M168" s="30" t="s">
        <v>924</v>
      </c>
      <c r="N168" s="30" t="s">
        <v>925</v>
      </c>
      <c r="O168" s="29" t="s">
        <v>926</v>
      </c>
      <c r="P168" s="14" t="s">
        <v>533</v>
      </c>
      <c r="Q168" s="14" t="s">
        <v>533</v>
      </c>
      <c r="R168" s="16" t="str">
        <f t="shared" si="1"/>
        <v>Igual</v>
      </c>
    </row>
    <row r="169">
      <c r="A169" s="7"/>
      <c r="B169" s="16"/>
      <c r="C169" s="12"/>
      <c r="D169" s="12"/>
      <c r="E169" s="18"/>
      <c r="F169" s="43"/>
      <c r="G169" s="20"/>
      <c r="H169" s="18"/>
      <c r="I169" s="31"/>
      <c r="J169" s="21"/>
      <c r="K169" s="21"/>
      <c r="L169" s="21" t="s">
        <v>41</v>
      </c>
      <c r="M169" s="30" t="s">
        <v>927</v>
      </c>
      <c r="N169" s="30" t="s">
        <v>654</v>
      </c>
      <c r="O169" s="29" t="s">
        <v>928</v>
      </c>
      <c r="P169" s="14" t="s">
        <v>562</v>
      </c>
      <c r="Q169" s="14" t="s">
        <v>562</v>
      </c>
      <c r="R169" s="16" t="str">
        <f t="shared" si="1"/>
        <v>Igual</v>
      </c>
    </row>
    <row r="170">
      <c r="A170" s="7"/>
      <c r="B170" s="16"/>
      <c r="C170" s="12"/>
      <c r="D170" s="12"/>
      <c r="E170" s="18"/>
      <c r="F170" s="43"/>
      <c r="G170" s="20"/>
      <c r="H170" s="18"/>
      <c r="I170" s="31"/>
      <c r="J170" s="21"/>
      <c r="K170" s="21"/>
      <c r="L170" s="21" t="s">
        <v>47</v>
      </c>
      <c r="M170" s="30" t="s">
        <v>929</v>
      </c>
      <c r="N170" s="30" t="s">
        <v>654</v>
      </c>
      <c r="O170" s="29" t="s">
        <v>930</v>
      </c>
      <c r="P170" s="14" t="s">
        <v>533</v>
      </c>
      <c r="Q170" s="14" t="s">
        <v>562</v>
      </c>
      <c r="R170" s="16" t="str">
        <f t="shared" si="1"/>
        <v>Diferente</v>
      </c>
    </row>
    <row r="171">
      <c r="A171" s="7"/>
      <c r="B171" s="16"/>
      <c r="C171" s="12"/>
      <c r="D171" s="12"/>
      <c r="E171" s="18"/>
      <c r="F171" s="43"/>
      <c r="G171" s="20"/>
      <c r="H171" s="18"/>
      <c r="I171" s="31"/>
      <c r="J171" s="21"/>
      <c r="K171" s="21"/>
      <c r="L171" s="21" t="s">
        <v>53</v>
      </c>
      <c r="M171" s="30" t="s">
        <v>654</v>
      </c>
      <c r="N171" s="30" t="s">
        <v>654</v>
      </c>
      <c r="O171" s="29" t="s">
        <v>931</v>
      </c>
      <c r="P171" s="14" t="s">
        <v>562</v>
      </c>
      <c r="Q171" s="14" t="s">
        <v>562</v>
      </c>
      <c r="R171" s="16" t="str">
        <f t="shared" si="1"/>
        <v>Igual</v>
      </c>
    </row>
    <row r="172">
      <c r="A172" s="7"/>
      <c r="B172" s="16"/>
      <c r="C172" s="12"/>
      <c r="D172" s="12"/>
      <c r="E172" s="18"/>
      <c r="F172" s="43"/>
      <c r="G172" s="20"/>
      <c r="H172" s="18"/>
      <c r="I172" s="31"/>
      <c r="J172" s="21"/>
      <c r="K172" s="21"/>
      <c r="L172" s="21" t="s">
        <v>59</v>
      </c>
      <c r="M172" s="30" t="s">
        <v>654</v>
      </c>
      <c r="N172" s="30" t="s">
        <v>654</v>
      </c>
      <c r="O172" s="29" t="s">
        <v>932</v>
      </c>
      <c r="P172" s="14" t="s">
        <v>533</v>
      </c>
      <c r="Q172" s="14" t="s">
        <v>533</v>
      </c>
      <c r="R172" s="16" t="str">
        <f t="shared" si="1"/>
        <v>Igual</v>
      </c>
    </row>
    <row r="173">
      <c r="A173" s="7"/>
      <c r="B173" s="16"/>
      <c r="C173" s="12"/>
      <c r="D173" s="12"/>
      <c r="E173" s="18"/>
      <c r="F173" s="43"/>
      <c r="G173" s="20"/>
      <c r="H173" s="18"/>
      <c r="I173" s="31"/>
      <c r="J173" s="21"/>
      <c r="K173" s="21"/>
      <c r="L173" s="21" t="s">
        <v>65</v>
      </c>
      <c r="M173" s="30" t="s">
        <v>654</v>
      </c>
      <c r="N173" s="30" t="s">
        <v>654</v>
      </c>
      <c r="O173" s="29" t="s">
        <v>693</v>
      </c>
      <c r="P173" s="14" t="s">
        <v>533</v>
      </c>
      <c r="Q173" s="14" t="s">
        <v>533</v>
      </c>
      <c r="R173" s="16" t="str">
        <f t="shared" si="1"/>
        <v>Igual</v>
      </c>
    </row>
    <row r="174">
      <c r="A174" s="7"/>
      <c r="B174" s="16"/>
      <c r="C174" s="12"/>
      <c r="D174" s="12"/>
      <c r="E174" s="18"/>
      <c r="F174" s="43"/>
      <c r="G174" s="20"/>
      <c r="H174" s="18"/>
      <c r="I174" s="31"/>
      <c r="J174" s="21"/>
      <c r="K174" s="21"/>
      <c r="L174" s="21" t="s">
        <v>71</v>
      </c>
      <c r="M174" s="30" t="s">
        <v>933</v>
      </c>
      <c r="N174" s="30" t="s">
        <v>934</v>
      </c>
      <c r="O174" s="29" t="s">
        <v>935</v>
      </c>
      <c r="P174" s="14" t="s">
        <v>533</v>
      </c>
      <c r="Q174" s="14" t="s">
        <v>533</v>
      </c>
      <c r="R174" s="16" t="str">
        <f t="shared" si="1"/>
        <v>Igual</v>
      </c>
    </row>
    <row r="175">
      <c r="A175" s="7" t="s">
        <v>121</v>
      </c>
      <c r="B175" s="14" t="s">
        <v>20</v>
      </c>
      <c r="C175" s="17" t="s">
        <v>936</v>
      </c>
      <c r="D175" s="17" t="s">
        <v>937</v>
      </c>
      <c r="E175" s="18" t="s">
        <v>122</v>
      </c>
      <c r="F175" s="44" t="s">
        <v>938</v>
      </c>
      <c r="G175" s="20" t="s">
        <v>97</v>
      </c>
      <c r="H175" s="18" t="s">
        <v>124</v>
      </c>
      <c r="I175" s="29" t="s">
        <v>715</v>
      </c>
      <c r="J175" s="21"/>
      <c r="K175" s="21" t="s">
        <v>76</v>
      </c>
      <c r="L175" s="21" t="s">
        <v>25</v>
      </c>
      <c r="M175" s="30" t="s">
        <v>939</v>
      </c>
      <c r="N175" s="30" t="s">
        <v>940</v>
      </c>
      <c r="O175" s="29" t="s">
        <v>941</v>
      </c>
      <c r="P175" s="14" t="s">
        <v>533</v>
      </c>
      <c r="Q175" s="14" t="s">
        <v>533</v>
      </c>
      <c r="R175" s="16" t="str">
        <f t="shared" si="1"/>
        <v>Igual</v>
      </c>
    </row>
    <row r="176">
      <c r="A176" s="7"/>
      <c r="B176" s="16"/>
      <c r="C176" s="12"/>
      <c r="D176" s="12"/>
      <c r="E176" s="18"/>
      <c r="F176" s="43"/>
      <c r="G176" s="20"/>
      <c r="H176" s="18"/>
      <c r="I176" s="29" t="s">
        <v>668</v>
      </c>
      <c r="J176" s="21"/>
      <c r="K176" s="21"/>
      <c r="L176" s="21" t="s">
        <v>31</v>
      </c>
      <c r="M176" s="30" t="s">
        <v>942</v>
      </c>
      <c r="N176" s="30" t="s">
        <v>943</v>
      </c>
      <c r="O176" s="29" t="s">
        <v>944</v>
      </c>
      <c r="P176" s="14" t="s">
        <v>533</v>
      </c>
      <c r="Q176" s="14" t="s">
        <v>533</v>
      </c>
      <c r="R176" s="16" t="str">
        <f t="shared" si="1"/>
        <v>Igual</v>
      </c>
    </row>
    <row r="177">
      <c r="A177" s="7"/>
      <c r="B177" s="16"/>
      <c r="C177" s="12"/>
      <c r="D177" s="12"/>
      <c r="E177" s="18"/>
      <c r="F177" s="43"/>
      <c r="G177" s="20"/>
      <c r="H177" s="18"/>
      <c r="I177" s="31"/>
      <c r="J177" s="21"/>
      <c r="K177" s="21"/>
      <c r="L177" s="21" t="s">
        <v>36</v>
      </c>
      <c r="M177" s="30" t="s">
        <v>945</v>
      </c>
      <c r="N177" s="30" t="s">
        <v>946</v>
      </c>
      <c r="O177" s="29" t="s">
        <v>947</v>
      </c>
      <c r="P177" s="14" t="s">
        <v>533</v>
      </c>
      <c r="Q177" s="14" t="s">
        <v>533</v>
      </c>
      <c r="R177" s="16" t="str">
        <f t="shared" si="1"/>
        <v>Igual</v>
      </c>
    </row>
    <row r="178">
      <c r="A178" s="7"/>
      <c r="B178" s="16"/>
      <c r="C178" s="12"/>
      <c r="D178" s="12"/>
      <c r="E178" s="18"/>
      <c r="F178" s="43"/>
      <c r="G178" s="20"/>
      <c r="H178" s="18"/>
      <c r="I178" s="31"/>
      <c r="J178" s="21"/>
      <c r="K178" s="21"/>
      <c r="L178" s="21" t="s">
        <v>41</v>
      </c>
      <c r="M178" s="30" t="s">
        <v>948</v>
      </c>
      <c r="N178" s="30" t="s">
        <v>949</v>
      </c>
      <c r="O178" s="29" t="s">
        <v>950</v>
      </c>
      <c r="P178" s="14" t="s">
        <v>542</v>
      </c>
      <c r="Q178" s="14" t="s">
        <v>533</v>
      </c>
      <c r="R178" s="16" t="str">
        <f t="shared" si="1"/>
        <v>Diferente</v>
      </c>
    </row>
    <row r="179">
      <c r="A179" s="7"/>
      <c r="B179" s="16"/>
      <c r="C179" s="12"/>
      <c r="D179" s="12"/>
      <c r="E179" s="18"/>
      <c r="F179" s="43"/>
      <c r="G179" s="20"/>
      <c r="H179" s="18"/>
      <c r="I179" s="31"/>
      <c r="J179" s="21"/>
      <c r="K179" s="21"/>
      <c r="L179" s="21" t="s">
        <v>47</v>
      </c>
      <c r="M179" s="30" t="s">
        <v>951</v>
      </c>
      <c r="N179" s="30" t="s">
        <v>952</v>
      </c>
      <c r="O179" s="29" t="s">
        <v>953</v>
      </c>
      <c r="P179" s="14" t="s">
        <v>533</v>
      </c>
      <c r="Q179" s="14" t="s">
        <v>533</v>
      </c>
      <c r="R179" s="16" t="str">
        <f t="shared" si="1"/>
        <v>Igual</v>
      </c>
    </row>
    <row r="180">
      <c r="A180" s="7"/>
      <c r="B180" s="16"/>
      <c r="C180" s="12"/>
      <c r="D180" s="12"/>
      <c r="E180" s="18"/>
      <c r="F180" s="43"/>
      <c r="G180" s="20"/>
      <c r="H180" s="18"/>
      <c r="I180" s="31"/>
      <c r="J180" s="21"/>
      <c r="K180" s="21"/>
      <c r="L180" s="21" t="s">
        <v>53</v>
      </c>
      <c r="M180" s="30" t="s">
        <v>954</v>
      </c>
      <c r="N180" s="30" t="s">
        <v>955</v>
      </c>
      <c r="O180" s="29" t="s">
        <v>956</v>
      </c>
      <c r="P180" s="14" t="s">
        <v>533</v>
      </c>
      <c r="Q180" s="14" t="s">
        <v>533</v>
      </c>
      <c r="R180" s="16" t="str">
        <f t="shared" si="1"/>
        <v>Igual</v>
      </c>
    </row>
    <row r="181">
      <c r="A181" s="7"/>
      <c r="B181" s="16"/>
      <c r="C181" s="12"/>
      <c r="D181" s="12"/>
      <c r="E181" s="18"/>
      <c r="F181" s="43"/>
      <c r="G181" s="20"/>
      <c r="H181" s="18"/>
      <c r="I181" s="31"/>
      <c r="J181" s="21"/>
      <c r="K181" s="21"/>
      <c r="L181" s="21" t="s">
        <v>59</v>
      </c>
      <c r="M181" s="30" t="s">
        <v>957</v>
      </c>
      <c r="N181" s="30" t="s">
        <v>958</v>
      </c>
      <c r="O181" s="29" t="s">
        <v>959</v>
      </c>
      <c r="P181" s="14" t="s">
        <v>533</v>
      </c>
      <c r="Q181" s="14" t="s">
        <v>533</v>
      </c>
      <c r="R181" s="16" t="str">
        <f t="shared" si="1"/>
        <v>Igual</v>
      </c>
    </row>
    <row r="182">
      <c r="A182" s="7"/>
      <c r="B182" s="16"/>
      <c r="C182" s="12"/>
      <c r="D182" s="12"/>
      <c r="E182" s="18"/>
      <c r="F182" s="43"/>
      <c r="G182" s="20"/>
      <c r="H182" s="18"/>
      <c r="I182" s="31"/>
      <c r="J182" s="21"/>
      <c r="K182" s="21"/>
      <c r="L182" s="21" t="s">
        <v>65</v>
      </c>
      <c r="M182" s="30" t="s">
        <v>960</v>
      </c>
      <c r="N182" s="30" t="s">
        <v>961</v>
      </c>
      <c r="O182" s="29" t="s">
        <v>962</v>
      </c>
      <c r="P182" s="14" t="s">
        <v>562</v>
      </c>
      <c r="Q182" s="14" t="s">
        <v>533</v>
      </c>
      <c r="R182" s="16" t="str">
        <f t="shared" si="1"/>
        <v>Diferente</v>
      </c>
    </row>
    <row r="183">
      <c r="A183" s="7"/>
      <c r="B183" s="16"/>
      <c r="C183" s="12"/>
      <c r="D183" s="12"/>
      <c r="E183" s="18"/>
      <c r="F183" s="43"/>
      <c r="G183" s="20"/>
      <c r="H183" s="18"/>
      <c r="I183" s="31"/>
      <c r="J183" s="21"/>
      <c r="K183" s="21"/>
      <c r="L183" s="21" t="s">
        <v>71</v>
      </c>
      <c r="M183" s="30" t="s">
        <v>963</v>
      </c>
      <c r="N183" s="30" t="s">
        <v>964</v>
      </c>
      <c r="O183" s="29" t="s">
        <v>965</v>
      </c>
      <c r="P183" s="14" t="s">
        <v>533</v>
      </c>
      <c r="Q183" s="14" t="s">
        <v>533</v>
      </c>
      <c r="R183" s="16" t="str">
        <f t="shared" si="1"/>
        <v>Igual</v>
      </c>
    </row>
    <row r="184">
      <c r="A184" s="7" t="s">
        <v>125</v>
      </c>
      <c r="B184" s="16"/>
      <c r="C184" s="17" t="s">
        <v>966</v>
      </c>
      <c r="D184" s="17" t="s">
        <v>967</v>
      </c>
      <c r="E184" s="18" t="s">
        <v>126</v>
      </c>
      <c r="F184" s="44" t="s">
        <v>968</v>
      </c>
      <c r="G184" s="20" t="s">
        <v>91</v>
      </c>
      <c r="H184" s="18" t="s">
        <v>128</v>
      </c>
      <c r="I184" s="29" t="s">
        <v>528</v>
      </c>
      <c r="J184" s="21"/>
      <c r="K184" s="21" t="s">
        <v>76</v>
      </c>
      <c r="L184" s="21" t="s">
        <v>25</v>
      </c>
      <c r="M184" s="30" t="s">
        <v>969</v>
      </c>
      <c r="N184" s="30" t="s">
        <v>970</v>
      </c>
      <c r="O184" s="29" t="s">
        <v>971</v>
      </c>
      <c r="P184" s="14" t="s">
        <v>533</v>
      </c>
      <c r="Q184" s="14" t="s">
        <v>533</v>
      </c>
      <c r="R184" s="16" t="str">
        <f t="shared" si="1"/>
        <v>Igual</v>
      </c>
    </row>
    <row r="185">
      <c r="A185" s="7"/>
      <c r="B185" s="16"/>
      <c r="C185" s="12"/>
      <c r="D185" s="12"/>
      <c r="E185" s="18"/>
      <c r="F185" s="43"/>
      <c r="G185" s="20"/>
      <c r="H185" s="18"/>
      <c r="I185" s="29" t="s">
        <v>972</v>
      </c>
      <c r="J185" s="21"/>
      <c r="K185" s="21"/>
      <c r="L185" s="21" t="s">
        <v>31</v>
      </c>
      <c r="M185" s="30" t="s">
        <v>973</v>
      </c>
      <c r="N185" s="30" t="s">
        <v>974</v>
      </c>
      <c r="O185" s="29" t="s">
        <v>975</v>
      </c>
      <c r="P185" s="14" t="s">
        <v>533</v>
      </c>
      <c r="Q185" s="14" t="s">
        <v>533</v>
      </c>
      <c r="R185" s="16" t="str">
        <f t="shared" si="1"/>
        <v>Igual</v>
      </c>
    </row>
    <row r="186">
      <c r="A186" s="7"/>
      <c r="B186" s="16"/>
      <c r="C186" s="12"/>
      <c r="D186" s="12"/>
      <c r="E186" s="18"/>
      <c r="F186" s="43"/>
      <c r="G186" s="20"/>
      <c r="H186" s="18"/>
      <c r="I186" s="31"/>
      <c r="J186" s="21"/>
      <c r="K186" s="21"/>
      <c r="L186" s="21" t="s">
        <v>36</v>
      </c>
      <c r="M186" s="30" t="s">
        <v>976</v>
      </c>
      <c r="N186" s="30" t="s">
        <v>977</v>
      </c>
      <c r="O186" s="29" t="s">
        <v>978</v>
      </c>
      <c r="P186" s="14" t="s">
        <v>533</v>
      </c>
      <c r="Q186" s="14" t="s">
        <v>533</v>
      </c>
      <c r="R186" s="16" t="str">
        <f t="shared" si="1"/>
        <v>Igual</v>
      </c>
    </row>
    <row r="187">
      <c r="A187" s="7"/>
      <c r="B187" s="16"/>
      <c r="C187" s="12"/>
      <c r="D187" s="12"/>
      <c r="E187" s="18"/>
      <c r="F187" s="43"/>
      <c r="G187" s="20"/>
      <c r="H187" s="18"/>
      <c r="I187" s="31"/>
      <c r="J187" s="21"/>
      <c r="K187" s="21"/>
      <c r="L187" s="21" t="s">
        <v>41</v>
      </c>
      <c r="M187" s="30" t="s">
        <v>979</v>
      </c>
      <c r="N187" s="30" t="s">
        <v>980</v>
      </c>
      <c r="O187" s="29" t="s">
        <v>981</v>
      </c>
      <c r="P187" s="14" t="s">
        <v>533</v>
      </c>
      <c r="Q187" s="14" t="s">
        <v>533</v>
      </c>
      <c r="R187" s="16" t="str">
        <f t="shared" si="1"/>
        <v>Igual</v>
      </c>
    </row>
    <row r="188">
      <c r="A188" s="7"/>
      <c r="B188" s="16"/>
      <c r="C188" s="12"/>
      <c r="D188" s="12"/>
      <c r="E188" s="18"/>
      <c r="F188" s="43"/>
      <c r="G188" s="20"/>
      <c r="H188" s="18"/>
      <c r="I188" s="31"/>
      <c r="J188" s="21"/>
      <c r="K188" s="21"/>
      <c r="L188" s="21" t="s">
        <v>47</v>
      </c>
      <c r="M188" s="30" t="s">
        <v>982</v>
      </c>
      <c r="N188" s="30" t="s">
        <v>983</v>
      </c>
      <c r="O188" s="29" t="s">
        <v>984</v>
      </c>
      <c r="P188" s="14" t="s">
        <v>533</v>
      </c>
      <c r="Q188" s="14" t="s">
        <v>533</v>
      </c>
      <c r="R188" s="16" t="str">
        <f t="shared" si="1"/>
        <v>Igual</v>
      </c>
    </row>
    <row r="189">
      <c r="A189" s="7"/>
      <c r="B189" s="16"/>
      <c r="C189" s="12"/>
      <c r="D189" s="12"/>
      <c r="E189" s="18"/>
      <c r="F189" s="43"/>
      <c r="G189" s="20"/>
      <c r="H189" s="18"/>
      <c r="I189" s="31"/>
      <c r="J189" s="21"/>
      <c r="K189" s="21"/>
      <c r="L189" s="21" t="s">
        <v>53</v>
      </c>
      <c r="M189" s="30" t="s">
        <v>985</v>
      </c>
      <c r="N189" s="30" t="s">
        <v>654</v>
      </c>
      <c r="O189" s="29" t="s">
        <v>986</v>
      </c>
      <c r="P189" s="14" t="s">
        <v>542</v>
      </c>
      <c r="Q189" s="14" t="s">
        <v>562</v>
      </c>
      <c r="R189" s="16" t="str">
        <f t="shared" si="1"/>
        <v>Diferente</v>
      </c>
    </row>
    <row r="190">
      <c r="A190" s="7"/>
      <c r="B190" s="16"/>
      <c r="C190" s="12"/>
      <c r="D190" s="12"/>
      <c r="E190" s="18"/>
      <c r="F190" s="43"/>
      <c r="G190" s="20"/>
      <c r="H190" s="18"/>
      <c r="I190" s="31"/>
      <c r="J190" s="21"/>
      <c r="K190" s="21"/>
      <c r="L190" s="21" t="s">
        <v>59</v>
      </c>
      <c r="M190" s="30" t="s">
        <v>987</v>
      </c>
      <c r="N190" s="30" t="s">
        <v>988</v>
      </c>
      <c r="O190" s="29" t="s">
        <v>989</v>
      </c>
      <c r="P190" s="14" t="s">
        <v>533</v>
      </c>
      <c r="Q190" s="14" t="s">
        <v>533</v>
      </c>
      <c r="R190" s="16" t="str">
        <f t="shared" si="1"/>
        <v>Igual</v>
      </c>
    </row>
    <row r="191">
      <c r="A191" s="7"/>
      <c r="B191" s="16"/>
      <c r="C191" s="12"/>
      <c r="D191" s="12"/>
      <c r="E191" s="18"/>
      <c r="F191" s="43"/>
      <c r="G191" s="20"/>
      <c r="H191" s="18"/>
      <c r="I191" s="31"/>
      <c r="J191" s="21"/>
      <c r="K191" s="21"/>
      <c r="L191" s="21" t="s">
        <v>65</v>
      </c>
      <c r="M191" s="30" t="s">
        <v>990</v>
      </c>
      <c r="N191" s="30" t="s">
        <v>654</v>
      </c>
      <c r="O191" s="29" t="s">
        <v>991</v>
      </c>
      <c r="P191" s="14" t="s">
        <v>542</v>
      </c>
      <c r="Q191" s="14" t="s">
        <v>533</v>
      </c>
      <c r="R191" s="16" t="str">
        <f t="shared" si="1"/>
        <v>Diferente</v>
      </c>
    </row>
    <row r="192">
      <c r="A192" s="7"/>
      <c r="B192" s="16"/>
      <c r="C192" s="12"/>
      <c r="D192" s="12"/>
      <c r="E192" s="18"/>
      <c r="F192" s="43"/>
      <c r="G192" s="20"/>
      <c r="H192" s="18"/>
      <c r="I192" s="31"/>
      <c r="J192" s="21"/>
      <c r="K192" s="21"/>
      <c r="L192" s="21" t="s">
        <v>71</v>
      </c>
      <c r="M192" s="30" t="s">
        <v>992</v>
      </c>
      <c r="N192" s="30" t="s">
        <v>993</v>
      </c>
      <c r="O192" s="29" t="s">
        <v>994</v>
      </c>
      <c r="P192" s="14" t="s">
        <v>533</v>
      </c>
      <c r="Q192" s="14" t="s">
        <v>533</v>
      </c>
      <c r="R192" s="16" t="str">
        <f t="shared" si="1"/>
        <v>Igual</v>
      </c>
    </row>
    <row r="193">
      <c r="A193" s="7" t="s">
        <v>129</v>
      </c>
      <c r="B193" s="14" t="s">
        <v>20</v>
      </c>
      <c r="C193" s="17" t="s">
        <v>995</v>
      </c>
      <c r="D193" s="17" t="s">
        <v>996</v>
      </c>
      <c r="E193" s="18" t="s">
        <v>130</v>
      </c>
      <c r="F193" s="44" t="s">
        <v>997</v>
      </c>
      <c r="G193" s="20" t="s">
        <v>97</v>
      </c>
      <c r="H193" s="18" t="s">
        <v>132</v>
      </c>
      <c r="I193" s="29" t="s">
        <v>998</v>
      </c>
      <c r="J193" s="21"/>
      <c r="K193" s="21" t="s">
        <v>76</v>
      </c>
      <c r="L193" s="21" t="s">
        <v>25</v>
      </c>
      <c r="M193" s="30" t="s">
        <v>999</v>
      </c>
      <c r="N193" s="30" t="s">
        <v>654</v>
      </c>
      <c r="O193" s="29" t="s">
        <v>1000</v>
      </c>
      <c r="P193" s="14" t="s">
        <v>533</v>
      </c>
      <c r="Q193" s="14" t="s">
        <v>562</v>
      </c>
      <c r="R193" s="16" t="str">
        <f t="shared" si="1"/>
        <v>Diferente</v>
      </c>
    </row>
    <row r="194">
      <c r="A194" s="7"/>
      <c r="B194" s="16"/>
      <c r="C194" s="12"/>
      <c r="D194" s="12"/>
      <c r="E194" s="18"/>
      <c r="F194" s="43"/>
      <c r="G194" s="20"/>
      <c r="H194" s="18"/>
      <c r="I194" s="31"/>
      <c r="J194" s="21"/>
      <c r="K194" s="21"/>
      <c r="L194" s="21" t="s">
        <v>31</v>
      </c>
      <c r="M194" s="30" t="s">
        <v>1001</v>
      </c>
      <c r="N194" s="30" t="s">
        <v>1002</v>
      </c>
      <c r="O194" s="29" t="s">
        <v>1003</v>
      </c>
      <c r="P194" s="14" t="s">
        <v>533</v>
      </c>
      <c r="Q194" s="14" t="s">
        <v>533</v>
      </c>
      <c r="R194" s="16" t="str">
        <f t="shared" si="1"/>
        <v>Igual</v>
      </c>
    </row>
    <row r="195">
      <c r="A195" s="7"/>
      <c r="B195" s="16"/>
      <c r="C195" s="12"/>
      <c r="D195" s="12"/>
      <c r="E195" s="18"/>
      <c r="F195" s="43"/>
      <c r="G195" s="20"/>
      <c r="H195" s="18"/>
      <c r="I195" s="31"/>
      <c r="J195" s="21"/>
      <c r="K195" s="21"/>
      <c r="L195" s="21" t="s">
        <v>36</v>
      </c>
      <c r="M195" s="30" t="s">
        <v>1004</v>
      </c>
      <c r="N195" s="30" t="s">
        <v>1005</v>
      </c>
      <c r="O195" s="29" t="s">
        <v>1006</v>
      </c>
      <c r="P195" s="14" t="s">
        <v>533</v>
      </c>
      <c r="Q195" s="14" t="s">
        <v>533</v>
      </c>
      <c r="R195" s="16" t="str">
        <f t="shared" si="1"/>
        <v>Igual</v>
      </c>
    </row>
    <row r="196">
      <c r="A196" s="7"/>
      <c r="B196" s="16"/>
      <c r="C196" s="12"/>
      <c r="D196" s="12"/>
      <c r="E196" s="18"/>
      <c r="F196" s="43"/>
      <c r="G196" s="20"/>
      <c r="H196" s="18"/>
      <c r="I196" s="31"/>
      <c r="J196" s="21"/>
      <c r="K196" s="21"/>
      <c r="L196" s="21" t="s">
        <v>41</v>
      </c>
      <c r="M196" s="30" t="s">
        <v>1007</v>
      </c>
      <c r="N196" s="30" t="s">
        <v>654</v>
      </c>
      <c r="O196" s="29" t="s">
        <v>1008</v>
      </c>
      <c r="P196" s="14" t="s">
        <v>542</v>
      </c>
      <c r="Q196" s="14" t="s">
        <v>562</v>
      </c>
      <c r="R196" s="16" t="str">
        <f t="shared" si="1"/>
        <v>Diferente</v>
      </c>
    </row>
    <row r="197">
      <c r="A197" s="7"/>
      <c r="B197" s="16"/>
      <c r="C197" s="12"/>
      <c r="D197" s="12"/>
      <c r="E197" s="18"/>
      <c r="F197" s="43"/>
      <c r="G197" s="20"/>
      <c r="H197" s="18"/>
      <c r="I197" s="31"/>
      <c r="J197" s="21"/>
      <c r="K197" s="21"/>
      <c r="L197" s="21" t="s">
        <v>47</v>
      </c>
      <c r="M197" s="30" t="s">
        <v>1009</v>
      </c>
      <c r="N197" s="30" t="s">
        <v>1010</v>
      </c>
      <c r="O197" s="29" t="s">
        <v>1011</v>
      </c>
      <c r="P197" s="14" t="s">
        <v>533</v>
      </c>
      <c r="Q197" s="14" t="s">
        <v>533</v>
      </c>
      <c r="R197" s="16" t="str">
        <f t="shared" si="1"/>
        <v>Igual</v>
      </c>
    </row>
    <row r="198">
      <c r="A198" s="7"/>
      <c r="B198" s="16"/>
      <c r="C198" s="12"/>
      <c r="D198" s="12"/>
      <c r="E198" s="18"/>
      <c r="F198" s="43"/>
      <c r="G198" s="20"/>
      <c r="H198" s="18"/>
      <c r="I198" s="31"/>
      <c r="J198" s="21"/>
      <c r="K198" s="21"/>
      <c r="L198" s="21" t="s">
        <v>53</v>
      </c>
      <c r="M198" s="30" t="s">
        <v>654</v>
      </c>
      <c r="N198" s="30" t="s">
        <v>1012</v>
      </c>
      <c r="O198" s="29" t="s">
        <v>1013</v>
      </c>
      <c r="P198" s="14" t="s">
        <v>562</v>
      </c>
      <c r="Q198" s="14" t="s">
        <v>533</v>
      </c>
      <c r="R198" s="16" t="str">
        <f t="shared" si="1"/>
        <v>Diferente</v>
      </c>
    </row>
    <row r="199">
      <c r="A199" s="7"/>
      <c r="B199" s="16"/>
      <c r="C199" s="12"/>
      <c r="D199" s="12"/>
      <c r="E199" s="18"/>
      <c r="F199" s="43"/>
      <c r="G199" s="20"/>
      <c r="H199" s="18"/>
      <c r="I199" s="31"/>
      <c r="J199" s="21"/>
      <c r="K199" s="21"/>
      <c r="L199" s="21" t="s">
        <v>59</v>
      </c>
      <c r="M199" s="30" t="s">
        <v>654</v>
      </c>
      <c r="N199" s="30" t="s">
        <v>654</v>
      </c>
      <c r="O199" s="29" t="s">
        <v>1014</v>
      </c>
      <c r="P199" s="14" t="s">
        <v>562</v>
      </c>
      <c r="Q199" s="14" t="s">
        <v>562</v>
      </c>
      <c r="R199" s="16" t="str">
        <f t="shared" si="1"/>
        <v>Igual</v>
      </c>
    </row>
    <row r="200">
      <c r="A200" s="7"/>
      <c r="B200" s="16"/>
      <c r="C200" s="12"/>
      <c r="D200" s="12"/>
      <c r="E200" s="18"/>
      <c r="F200" s="43"/>
      <c r="G200" s="20"/>
      <c r="H200" s="18"/>
      <c r="I200" s="31"/>
      <c r="J200" s="21"/>
      <c r="K200" s="21"/>
      <c r="L200" s="21" t="s">
        <v>65</v>
      </c>
      <c r="M200" s="30" t="s">
        <v>654</v>
      </c>
      <c r="N200" s="30" t="s">
        <v>654</v>
      </c>
      <c r="O200" s="29" t="s">
        <v>693</v>
      </c>
      <c r="P200" s="14" t="s">
        <v>533</v>
      </c>
      <c r="Q200" s="14" t="s">
        <v>533</v>
      </c>
      <c r="R200" s="16" t="str">
        <f t="shared" si="1"/>
        <v>Igual</v>
      </c>
    </row>
    <row r="201">
      <c r="A201" s="7"/>
      <c r="B201" s="16"/>
      <c r="C201" s="12"/>
      <c r="D201" s="12"/>
      <c r="E201" s="18"/>
      <c r="F201" s="43"/>
      <c r="G201" s="20"/>
      <c r="H201" s="18"/>
      <c r="I201" s="31"/>
      <c r="J201" s="21"/>
      <c r="K201" s="21"/>
      <c r="L201" s="21" t="s">
        <v>71</v>
      </c>
      <c r="M201" s="30" t="s">
        <v>1015</v>
      </c>
      <c r="N201" s="30" t="s">
        <v>1016</v>
      </c>
      <c r="O201" s="29" t="s">
        <v>1017</v>
      </c>
      <c r="P201" s="14" t="s">
        <v>533</v>
      </c>
      <c r="Q201" s="14" t="s">
        <v>533</v>
      </c>
      <c r="R201" s="16" t="str">
        <f t="shared" si="1"/>
        <v>Igual</v>
      </c>
    </row>
    <row r="202">
      <c r="A202" s="7" t="s">
        <v>133</v>
      </c>
      <c r="B202" s="14" t="s">
        <v>20</v>
      </c>
      <c r="C202" s="17" t="s">
        <v>1018</v>
      </c>
      <c r="D202" s="17" t="s">
        <v>1019</v>
      </c>
      <c r="E202" s="18" t="s">
        <v>134</v>
      </c>
      <c r="F202" s="44" t="s">
        <v>1020</v>
      </c>
      <c r="G202" s="20" t="s">
        <v>97</v>
      </c>
      <c r="H202" s="18" t="s">
        <v>136</v>
      </c>
      <c r="I202" s="29" t="s">
        <v>1021</v>
      </c>
      <c r="J202" s="21"/>
      <c r="K202" s="21" t="s">
        <v>76</v>
      </c>
      <c r="L202" s="21" t="s">
        <v>25</v>
      </c>
      <c r="M202" s="30" t="s">
        <v>654</v>
      </c>
      <c r="N202" s="30" t="s">
        <v>654</v>
      </c>
      <c r="O202" s="29" t="s">
        <v>1022</v>
      </c>
      <c r="P202" s="14" t="s">
        <v>562</v>
      </c>
      <c r="Q202" s="14" t="s">
        <v>562</v>
      </c>
      <c r="R202" s="16" t="str">
        <f t="shared" si="1"/>
        <v>Igual</v>
      </c>
    </row>
    <row r="203">
      <c r="A203" s="7"/>
      <c r="B203" s="16"/>
      <c r="C203" s="12"/>
      <c r="D203" s="12"/>
      <c r="E203" s="18"/>
      <c r="F203" s="43"/>
      <c r="G203" s="20"/>
      <c r="H203" s="18"/>
      <c r="I203" s="31"/>
      <c r="J203" s="21"/>
      <c r="K203" s="21"/>
      <c r="L203" s="21" t="s">
        <v>31</v>
      </c>
      <c r="M203" s="30" t="s">
        <v>654</v>
      </c>
      <c r="N203" s="30" t="s">
        <v>654</v>
      </c>
      <c r="O203" s="29" t="s">
        <v>1023</v>
      </c>
      <c r="P203" s="14" t="s">
        <v>562</v>
      </c>
      <c r="Q203" s="14" t="s">
        <v>562</v>
      </c>
      <c r="R203" s="16" t="str">
        <f t="shared" si="1"/>
        <v>Igual</v>
      </c>
    </row>
    <row r="204">
      <c r="A204" s="7"/>
      <c r="B204" s="16"/>
      <c r="C204" s="12"/>
      <c r="D204" s="12"/>
      <c r="E204" s="18"/>
      <c r="F204" s="43"/>
      <c r="G204" s="20"/>
      <c r="H204" s="18"/>
      <c r="I204" s="31"/>
      <c r="J204" s="21"/>
      <c r="K204" s="21"/>
      <c r="L204" s="21" t="s">
        <v>36</v>
      </c>
      <c r="M204" s="30" t="s">
        <v>1024</v>
      </c>
      <c r="N204" s="30" t="s">
        <v>1025</v>
      </c>
      <c r="O204" s="29" t="s">
        <v>1026</v>
      </c>
      <c r="P204" s="14" t="s">
        <v>533</v>
      </c>
      <c r="Q204" s="14" t="s">
        <v>533</v>
      </c>
      <c r="R204" s="16" t="str">
        <f t="shared" si="1"/>
        <v>Igual</v>
      </c>
    </row>
    <row r="205">
      <c r="A205" s="7"/>
      <c r="B205" s="16"/>
      <c r="C205" s="12"/>
      <c r="D205" s="12"/>
      <c r="E205" s="18"/>
      <c r="F205" s="43"/>
      <c r="G205" s="20"/>
      <c r="H205" s="18"/>
      <c r="I205" s="31"/>
      <c r="J205" s="21"/>
      <c r="K205" s="21"/>
      <c r="L205" s="21" t="s">
        <v>41</v>
      </c>
      <c r="M205" s="30" t="s">
        <v>654</v>
      </c>
      <c r="N205" s="30" t="s">
        <v>1027</v>
      </c>
      <c r="O205" s="29" t="s">
        <v>1028</v>
      </c>
      <c r="P205" s="14" t="s">
        <v>562</v>
      </c>
      <c r="Q205" s="14" t="s">
        <v>533</v>
      </c>
      <c r="R205" s="16" t="str">
        <f t="shared" si="1"/>
        <v>Diferente</v>
      </c>
    </row>
    <row r="206">
      <c r="A206" s="7"/>
      <c r="B206" s="16"/>
      <c r="C206" s="12"/>
      <c r="D206" s="12"/>
      <c r="E206" s="18"/>
      <c r="F206" s="43"/>
      <c r="G206" s="20"/>
      <c r="H206" s="18"/>
      <c r="I206" s="31"/>
      <c r="J206" s="21"/>
      <c r="K206" s="21"/>
      <c r="L206" s="21" t="s">
        <v>47</v>
      </c>
      <c r="M206" s="30" t="s">
        <v>654</v>
      </c>
      <c r="N206" s="30" t="s">
        <v>654</v>
      </c>
      <c r="O206" s="29" t="s">
        <v>1029</v>
      </c>
      <c r="P206" s="14" t="s">
        <v>562</v>
      </c>
      <c r="Q206" s="14" t="s">
        <v>562</v>
      </c>
      <c r="R206" s="16" t="str">
        <f t="shared" si="1"/>
        <v>Igual</v>
      </c>
    </row>
    <row r="207">
      <c r="A207" s="7"/>
      <c r="B207" s="16"/>
      <c r="C207" s="12"/>
      <c r="D207" s="12"/>
      <c r="E207" s="18"/>
      <c r="F207" s="43"/>
      <c r="G207" s="20"/>
      <c r="H207" s="18"/>
      <c r="I207" s="31"/>
      <c r="J207" s="21"/>
      <c r="K207" s="21"/>
      <c r="L207" s="21" t="s">
        <v>53</v>
      </c>
      <c r="M207" s="30" t="s">
        <v>654</v>
      </c>
      <c r="N207" s="30" t="s">
        <v>654</v>
      </c>
      <c r="O207" s="29" t="s">
        <v>1030</v>
      </c>
      <c r="P207" s="14" t="s">
        <v>562</v>
      </c>
      <c r="Q207" s="14" t="s">
        <v>562</v>
      </c>
      <c r="R207" s="16" t="str">
        <f t="shared" si="1"/>
        <v>Igual</v>
      </c>
    </row>
    <row r="208">
      <c r="A208" s="7"/>
      <c r="B208" s="16"/>
      <c r="C208" s="12"/>
      <c r="D208" s="12"/>
      <c r="E208" s="18"/>
      <c r="F208" s="43"/>
      <c r="G208" s="20"/>
      <c r="H208" s="18"/>
      <c r="I208" s="31"/>
      <c r="J208" s="21"/>
      <c r="K208" s="21"/>
      <c r="L208" s="21" t="s">
        <v>59</v>
      </c>
      <c r="M208" s="30" t="s">
        <v>654</v>
      </c>
      <c r="N208" s="30" t="s">
        <v>1031</v>
      </c>
      <c r="O208" s="29" t="s">
        <v>1032</v>
      </c>
      <c r="P208" s="14" t="s">
        <v>562</v>
      </c>
      <c r="Q208" s="14" t="s">
        <v>542</v>
      </c>
      <c r="R208" s="16" t="str">
        <f t="shared" si="1"/>
        <v>Diferente</v>
      </c>
    </row>
    <row r="209">
      <c r="A209" s="7"/>
      <c r="B209" s="16"/>
      <c r="C209" s="12"/>
      <c r="D209" s="12"/>
      <c r="E209" s="18"/>
      <c r="F209" s="43"/>
      <c r="G209" s="20"/>
      <c r="H209" s="18"/>
      <c r="I209" s="31"/>
      <c r="J209" s="21"/>
      <c r="K209" s="21"/>
      <c r="L209" s="21" t="s">
        <v>65</v>
      </c>
      <c r="M209" s="30" t="s">
        <v>654</v>
      </c>
      <c r="N209" s="30" t="s">
        <v>654</v>
      </c>
      <c r="O209" s="29" t="s">
        <v>1033</v>
      </c>
      <c r="P209" s="14" t="s">
        <v>533</v>
      </c>
      <c r="Q209" s="14" t="s">
        <v>533</v>
      </c>
      <c r="R209" s="16" t="str">
        <f t="shared" si="1"/>
        <v>Igual</v>
      </c>
    </row>
    <row r="210">
      <c r="A210" s="7"/>
      <c r="B210" s="16"/>
      <c r="C210" s="12"/>
      <c r="D210" s="12"/>
      <c r="E210" s="18"/>
      <c r="F210" s="43"/>
      <c r="G210" s="20"/>
      <c r="H210" s="18"/>
      <c r="I210" s="31"/>
      <c r="J210" s="21"/>
      <c r="K210" s="21"/>
      <c r="L210" s="21" t="s">
        <v>71</v>
      </c>
      <c r="M210" s="30" t="s">
        <v>1034</v>
      </c>
      <c r="N210" s="30" t="s">
        <v>654</v>
      </c>
      <c r="O210" s="29" t="s">
        <v>1035</v>
      </c>
      <c r="P210" s="14" t="s">
        <v>533</v>
      </c>
      <c r="Q210" s="14" t="s">
        <v>562</v>
      </c>
      <c r="R210" s="16" t="str">
        <f t="shared" si="1"/>
        <v>Diferente</v>
      </c>
    </row>
    <row r="211">
      <c r="A211" s="7" t="s">
        <v>137</v>
      </c>
      <c r="B211" s="14" t="s">
        <v>20</v>
      </c>
      <c r="C211" s="17" t="s">
        <v>1036</v>
      </c>
      <c r="D211" s="17" t="s">
        <v>1037</v>
      </c>
      <c r="E211" s="18" t="s">
        <v>138</v>
      </c>
      <c r="F211" s="44" t="s">
        <v>1038</v>
      </c>
      <c r="G211" s="20" t="s">
        <v>91</v>
      </c>
      <c r="H211" s="18" t="s">
        <v>140</v>
      </c>
      <c r="I211" s="29" t="s">
        <v>680</v>
      </c>
      <c r="J211" s="21"/>
      <c r="K211" s="21" t="s">
        <v>76</v>
      </c>
      <c r="L211" s="21" t="s">
        <v>25</v>
      </c>
      <c r="M211" s="30" t="s">
        <v>654</v>
      </c>
      <c r="N211" s="30" t="s">
        <v>654</v>
      </c>
      <c r="O211" s="29" t="s">
        <v>1039</v>
      </c>
      <c r="P211" s="14" t="s">
        <v>562</v>
      </c>
      <c r="Q211" s="14" t="s">
        <v>562</v>
      </c>
      <c r="R211" s="16" t="str">
        <f t="shared" si="1"/>
        <v>Igual</v>
      </c>
    </row>
    <row r="212">
      <c r="A212" s="7"/>
      <c r="B212" s="16"/>
      <c r="C212" s="12"/>
      <c r="D212" s="12"/>
      <c r="E212" s="18"/>
      <c r="F212" s="43"/>
      <c r="G212" s="20"/>
      <c r="H212" s="18"/>
      <c r="I212" s="31"/>
      <c r="J212" s="21"/>
      <c r="K212" s="21"/>
      <c r="L212" s="21" t="s">
        <v>31</v>
      </c>
      <c r="M212" s="30" t="s">
        <v>654</v>
      </c>
      <c r="N212" s="30" t="s">
        <v>1040</v>
      </c>
      <c r="O212" s="29" t="s">
        <v>1041</v>
      </c>
      <c r="P212" s="14" t="s">
        <v>562</v>
      </c>
      <c r="Q212" s="14" t="s">
        <v>533</v>
      </c>
      <c r="R212" s="16" t="str">
        <f t="shared" si="1"/>
        <v>Diferente</v>
      </c>
    </row>
    <row r="213">
      <c r="A213" s="7"/>
      <c r="B213" s="16"/>
      <c r="C213" s="12"/>
      <c r="D213" s="12"/>
      <c r="E213" s="18"/>
      <c r="F213" s="43"/>
      <c r="G213" s="20"/>
      <c r="H213" s="18"/>
      <c r="I213" s="31"/>
      <c r="J213" s="21"/>
      <c r="K213" s="21"/>
      <c r="L213" s="21" t="s">
        <v>36</v>
      </c>
      <c r="M213" s="30" t="s">
        <v>654</v>
      </c>
      <c r="N213" s="30" t="s">
        <v>1042</v>
      </c>
      <c r="O213" s="29" t="s">
        <v>1043</v>
      </c>
      <c r="P213" s="14" t="s">
        <v>562</v>
      </c>
      <c r="Q213" s="14" t="s">
        <v>533</v>
      </c>
      <c r="R213" s="16" t="str">
        <f t="shared" si="1"/>
        <v>Diferente</v>
      </c>
    </row>
    <row r="214">
      <c r="A214" s="7"/>
      <c r="B214" s="16"/>
      <c r="C214" s="12"/>
      <c r="D214" s="12"/>
      <c r="E214" s="18"/>
      <c r="F214" s="43"/>
      <c r="G214" s="20"/>
      <c r="H214" s="18"/>
      <c r="I214" s="31"/>
      <c r="J214" s="21"/>
      <c r="K214" s="21"/>
      <c r="L214" s="21" t="s">
        <v>41</v>
      </c>
      <c r="M214" s="30" t="s">
        <v>654</v>
      </c>
      <c r="N214" s="30" t="s">
        <v>1044</v>
      </c>
      <c r="O214" s="29" t="s">
        <v>1045</v>
      </c>
      <c r="P214" s="14" t="s">
        <v>562</v>
      </c>
      <c r="Q214" s="14" t="s">
        <v>533</v>
      </c>
      <c r="R214" s="16" t="str">
        <f t="shared" si="1"/>
        <v>Diferente</v>
      </c>
    </row>
    <row r="215">
      <c r="A215" s="7"/>
      <c r="B215" s="16"/>
      <c r="C215" s="12"/>
      <c r="D215" s="12"/>
      <c r="E215" s="18"/>
      <c r="F215" s="43"/>
      <c r="G215" s="20"/>
      <c r="H215" s="18"/>
      <c r="I215" s="31"/>
      <c r="J215" s="21"/>
      <c r="K215" s="21"/>
      <c r="L215" s="21" t="s">
        <v>47</v>
      </c>
      <c r="M215" s="30" t="s">
        <v>654</v>
      </c>
      <c r="N215" s="30" t="s">
        <v>1046</v>
      </c>
      <c r="O215" s="29" t="s">
        <v>1047</v>
      </c>
      <c r="P215" s="14" t="s">
        <v>562</v>
      </c>
      <c r="Q215" s="14" t="s">
        <v>533</v>
      </c>
      <c r="R215" s="16" t="str">
        <f t="shared" si="1"/>
        <v>Diferente</v>
      </c>
    </row>
    <row r="216">
      <c r="A216" s="7"/>
      <c r="B216" s="16"/>
      <c r="C216" s="12"/>
      <c r="D216" s="12"/>
      <c r="E216" s="18"/>
      <c r="F216" s="43"/>
      <c r="G216" s="20"/>
      <c r="H216" s="18"/>
      <c r="I216" s="31"/>
      <c r="J216" s="21"/>
      <c r="K216" s="21"/>
      <c r="L216" s="21" t="s">
        <v>53</v>
      </c>
      <c r="M216" s="30" t="s">
        <v>654</v>
      </c>
      <c r="N216" s="30" t="s">
        <v>654</v>
      </c>
      <c r="O216" s="29" t="s">
        <v>1048</v>
      </c>
      <c r="P216" s="14" t="s">
        <v>562</v>
      </c>
      <c r="Q216" s="14" t="s">
        <v>562</v>
      </c>
      <c r="R216" s="16" t="str">
        <f t="shared" si="1"/>
        <v>Igual</v>
      </c>
    </row>
    <row r="217">
      <c r="A217" s="7"/>
      <c r="B217" s="16"/>
      <c r="C217" s="12"/>
      <c r="D217" s="12"/>
      <c r="E217" s="18"/>
      <c r="F217" s="43"/>
      <c r="G217" s="20"/>
      <c r="H217" s="18"/>
      <c r="I217" s="31"/>
      <c r="J217" s="21"/>
      <c r="K217" s="21"/>
      <c r="L217" s="21" t="s">
        <v>59</v>
      </c>
      <c r="M217" s="30" t="s">
        <v>1049</v>
      </c>
      <c r="N217" s="30" t="s">
        <v>654</v>
      </c>
      <c r="O217" s="29" t="s">
        <v>1050</v>
      </c>
      <c r="P217" s="14" t="s">
        <v>533</v>
      </c>
      <c r="Q217" s="14" t="s">
        <v>562</v>
      </c>
      <c r="R217" s="16" t="str">
        <f t="shared" si="1"/>
        <v>Diferente</v>
      </c>
    </row>
    <row r="218">
      <c r="A218" s="7"/>
      <c r="B218" s="16"/>
      <c r="C218" s="12"/>
      <c r="D218" s="12"/>
      <c r="E218" s="18"/>
      <c r="F218" s="43"/>
      <c r="G218" s="20"/>
      <c r="H218" s="18"/>
      <c r="I218" s="31"/>
      <c r="J218" s="21"/>
      <c r="K218" s="21"/>
      <c r="L218" s="21" t="s">
        <v>65</v>
      </c>
      <c r="M218" s="30" t="s">
        <v>654</v>
      </c>
      <c r="N218" s="30" t="s">
        <v>654</v>
      </c>
      <c r="O218" s="29" t="s">
        <v>1051</v>
      </c>
      <c r="P218" s="14" t="s">
        <v>533</v>
      </c>
      <c r="Q218" s="14" t="s">
        <v>533</v>
      </c>
      <c r="R218" s="16" t="str">
        <f t="shared" si="1"/>
        <v>Igual</v>
      </c>
    </row>
    <row r="219">
      <c r="A219" s="7"/>
      <c r="B219" s="16"/>
      <c r="C219" s="12"/>
      <c r="D219" s="12"/>
      <c r="E219" s="18"/>
      <c r="F219" s="43"/>
      <c r="G219" s="20"/>
      <c r="H219" s="18"/>
      <c r="I219" s="31"/>
      <c r="J219" s="21"/>
      <c r="K219" s="21"/>
      <c r="L219" s="21" t="s">
        <v>71</v>
      </c>
      <c r="M219" s="30" t="s">
        <v>654</v>
      </c>
      <c r="N219" s="30" t="s">
        <v>1052</v>
      </c>
      <c r="O219" s="29" t="s">
        <v>1053</v>
      </c>
      <c r="P219" s="14" t="s">
        <v>562</v>
      </c>
      <c r="Q219" s="14" t="s">
        <v>533</v>
      </c>
      <c r="R219" s="16" t="str">
        <f t="shared" si="1"/>
        <v>Diferente</v>
      </c>
    </row>
    <row r="220">
      <c r="A220" s="7" t="s">
        <v>141</v>
      </c>
      <c r="B220" s="14" t="s">
        <v>20</v>
      </c>
      <c r="C220" s="12"/>
      <c r="D220" s="17" t="s">
        <v>1054</v>
      </c>
      <c r="E220" s="18" t="s">
        <v>142</v>
      </c>
      <c r="F220" s="44" t="s">
        <v>1055</v>
      </c>
      <c r="G220" s="20" t="s">
        <v>91</v>
      </c>
      <c r="H220" s="18" t="s">
        <v>144</v>
      </c>
      <c r="I220" s="29" t="s">
        <v>680</v>
      </c>
      <c r="J220" s="21"/>
      <c r="K220" s="21" t="s">
        <v>76</v>
      </c>
      <c r="L220" s="21" t="s">
        <v>25</v>
      </c>
      <c r="M220" s="30"/>
      <c r="N220" s="46"/>
      <c r="O220" s="31"/>
      <c r="P220" s="16"/>
      <c r="Q220" s="16"/>
      <c r="R220" s="16" t="str">
        <f t="shared" si="1"/>
        <v/>
      </c>
    </row>
    <row r="221">
      <c r="A221" s="7"/>
      <c r="B221" s="16"/>
      <c r="C221" s="12"/>
      <c r="D221" s="12"/>
      <c r="E221" s="18"/>
      <c r="F221" s="43"/>
      <c r="G221" s="20"/>
      <c r="H221" s="18"/>
      <c r="I221" s="31"/>
      <c r="J221" s="21"/>
      <c r="K221" s="21"/>
      <c r="L221" s="21" t="s">
        <v>31</v>
      </c>
      <c r="M221" s="30"/>
      <c r="N221" s="46"/>
      <c r="O221" s="31"/>
      <c r="P221" s="16"/>
      <c r="Q221" s="16"/>
      <c r="R221" s="16" t="str">
        <f t="shared" si="1"/>
        <v/>
      </c>
    </row>
    <row r="222">
      <c r="A222" s="7"/>
      <c r="B222" s="16"/>
      <c r="C222" s="12"/>
      <c r="D222" s="12"/>
      <c r="E222" s="18"/>
      <c r="F222" s="43"/>
      <c r="G222" s="20"/>
      <c r="H222" s="18"/>
      <c r="I222" s="31"/>
      <c r="J222" s="21"/>
      <c r="K222" s="21"/>
      <c r="L222" s="21" t="s">
        <v>36</v>
      </c>
      <c r="M222" s="30"/>
      <c r="N222" s="46"/>
      <c r="O222" s="31"/>
      <c r="P222" s="16"/>
      <c r="Q222" s="16"/>
      <c r="R222" s="16" t="str">
        <f t="shared" si="1"/>
        <v/>
      </c>
    </row>
    <row r="223">
      <c r="A223" s="7"/>
      <c r="B223" s="16"/>
      <c r="C223" s="12"/>
      <c r="D223" s="12"/>
      <c r="E223" s="18"/>
      <c r="F223" s="43"/>
      <c r="G223" s="20"/>
      <c r="H223" s="18"/>
      <c r="I223" s="31"/>
      <c r="J223" s="21"/>
      <c r="K223" s="21"/>
      <c r="L223" s="21" t="s">
        <v>41</v>
      </c>
      <c r="M223" s="30"/>
      <c r="N223" s="46"/>
      <c r="O223" s="31"/>
      <c r="P223" s="16"/>
      <c r="Q223" s="16"/>
      <c r="R223" s="16" t="str">
        <f t="shared" si="1"/>
        <v/>
      </c>
    </row>
    <row r="224">
      <c r="A224" s="7"/>
      <c r="B224" s="16"/>
      <c r="C224" s="12"/>
      <c r="D224" s="12"/>
      <c r="E224" s="18"/>
      <c r="F224" s="43"/>
      <c r="G224" s="20"/>
      <c r="H224" s="18"/>
      <c r="I224" s="31"/>
      <c r="J224" s="21"/>
      <c r="K224" s="21"/>
      <c r="L224" s="21" t="s">
        <v>47</v>
      </c>
      <c r="M224" s="30"/>
      <c r="N224" s="46"/>
      <c r="O224" s="31"/>
      <c r="P224" s="16"/>
      <c r="Q224" s="16"/>
      <c r="R224" s="16" t="str">
        <f t="shared" si="1"/>
        <v/>
      </c>
    </row>
    <row r="225">
      <c r="A225" s="7"/>
      <c r="B225" s="16"/>
      <c r="C225" s="12"/>
      <c r="D225" s="12"/>
      <c r="E225" s="18"/>
      <c r="F225" s="43"/>
      <c r="G225" s="20"/>
      <c r="H225" s="18"/>
      <c r="I225" s="31"/>
      <c r="J225" s="21"/>
      <c r="K225" s="21"/>
      <c r="L225" s="21" t="s">
        <v>53</v>
      </c>
      <c r="M225" s="30"/>
      <c r="N225" s="46"/>
      <c r="O225" s="31"/>
      <c r="P225" s="16"/>
      <c r="Q225" s="16"/>
      <c r="R225" s="16" t="str">
        <f t="shared" si="1"/>
        <v/>
      </c>
    </row>
    <row r="226">
      <c r="A226" s="7"/>
      <c r="B226" s="16"/>
      <c r="C226" s="12"/>
      <c r="D226" s="12"/>
      <c r="E226" s="18"/>
      <c r="F226" s="43"/>
      <c r="G226" s="20"/>
      <c r="H226" s="18"/>
      <c r="I226" s="31"/>
      <c r="J226" s="21"/>
      <c r="K226" s="21"/>
      <c r="L226" s="21" t="s">
        <v>59</v>
      </c>
      <c r="M226" s="30"/>
      <c r="N226" s="46"/>
      <c r="O226" s="31"/>
      <c r="P226" s="16"/>
      <c r="Q226" s="16"/>
      <c r="R226" s="16" t="str">
        <f t="shared" si="1"/>
        <v/>
      </c>
    </row>
    <row r="227">
      <c r="A227" s="7"/>
      <c r="B227" s="16"/>
      <c r="C227" s="12"/>
      <c r="D227" s="12"/>
      <c r="E227" s="18"/>
      <c r="F227" s="43"/>
      <c r="G227" s="20"/>
      <c r="H227" s="18"/>
      <c r="I227" s="31"/>
      <c r="J227" s="21"/>
      <c r="K227" s="21"/>
      <c r="L227" s="21" t="s">
        <v>65</v>
      </c>
      <c r="M227" s="30"/>
      <c r="N227" s="46"/>
      <c r="O227" s="31"/>
      <c r="P227" s="16"/>
      <c r="Q227" s="16"/>
      <c r="R227" s="16" t="str">
        <f t="shared" si="1"/>
        <v/>
      </c>
    </row>
    <row r="228">
      <c r="A228" s="7"/>
      <c r="B228" s="16"/>
      <c r="C228" s="12"/>
      <c r="D228" s="12"/>
      <c r="E228" s="18"/>
      <c r="F228" s="43"/>
      <c r="G228" s="20"/>
      <c r="H228" s="18"/>
      <c r="I228" s="31"/>
      <c r="J228" s="21"/>
      <c r="K228" s="21"/>
      <c r="L228" s="21" t="s">
        <v>71</v>
      </c>
      <c r="M228" s="30"/>
      <c r="N228" s="46"/>
      <c r="O228" s="31"/>
      <c r="P228" s="16"/>
      <c r="Q228" s="16"/>
      <c r="R228" s="16" t="str">
        <f t="shared" si="1"/>
        <v/>
      </c>
    </row>
    <row r="229">
      <c r="A229" s="7" t="s">
        <v>145</v>
      </c>
      <c r="B229" s="14" t="s">
        <v>20</v>
      </c>
      <c r="C229" s="12"/>
      <c r="D229" s="17" t="s">
        <v>49</v>
      </c>
      <c r="E229" s="18" t="s">
        <v>50</v>
      </c>
      <c r="F229" s="44" t="s">
        <v>1056</v>
      </c>
      <c r="G229" s="20" t="s">
        <v>115</v>
      </c>
      <c r="H229" s="18" t="s">
        <v>147</v>
      </c>
      <c r="I229" s="29" t="s">
        <v>528</v>
      </c>
      <c r="J229" s="21"/>
      <c r="K229" s="21" t="s">
        <v>76</v>
      </c>
      <c r="L229" s="21" t="s">
        <v>25</v>
      </c>
      <c r="M229" s="30"/>
      <c r="N229" s="46"/>
      <c r="O229" s="31"/>
      <c r="P229" s="16"/>
      <c r="Q229" s="16"/>
      <c r="R229" s="16" t="str">
        <f t="shared" si="1"/>
        <v/>
      </c>
    </row>
    <row r="230">
      <c r="A230" s="7"/>
      <c r="B230" s="16"/>
      <c r="C230" s="12"/>
      <c r="D230" s="12"/>
      <c r="E230" s="9"/>
      <c r="F230" s="10"/>
      <c r="G230" s="11"/>
      <c r="H230" s="9"/>
      <c r="I230" s="29" t="s">
        <v>972</v>
      </c>
      <c r="J230" s="9"/>
      <c r="K230" s="9"/>
      <c r="L230" s="21" t="s">
        <v>31</v>
      </c>
      <c r="M230" s="30"/>
      <c r="N230" s="46"/>
      <c r="O230" s="31"/>
      <c r="P230" s="16"/>
      <c r="Q230" s="16"/>
      <c r="R230" s="16" t="str">
        <f t="shared" si="1"/>
        <v/>
      </c>
    </row>
    <row r="231">
      <c r="A231" s="7"/>
      <c r="B231" s="16"/>
      <c r="C231" s="12"/>
      <c r="D231" s="12"/>
      <c r="E231" s="9"/>
      <c r="F231" s="10"/>
      <c r="G231" s="11"/>
      <c r="H231" s="9"/>
      <c r="I231" s="31"/>
      <c r="J231" s="9"/>
      <c r="K231" s="9"/>
      <c r="L231" s="21" t="s">
        <v>36</v>
      </c>
      <c r="M231" s="30"/>
      <c r="N231" s="46"/>
      <c r="O231" s="31"/>
      <c r="P231" s="16"/>
      <c r="Q231" s="16"/>
      <c r="R231" s="16" t="str">
        <f t="shared" si="1"/>
        <v/>
      </c>
    </row>
    <row r="232">
      <c r="A232" s="7"/>
      <c r="B232" s="16"/>
      <c r="C232" s="12"/>
      <c r="D232" s="12"/>
      <c r="E232" s="9"/>
      <c r="F232" s="10"/>
      <c r="G232" s="11"/>
      <c r="H232" s="9"/>
      <c r="I232" s="31"/>
      <c r="J232" s="9"/>
      <c r="K232" s="9"/>
      <c r="L232" s="21" t="s">
        <v>41</v>
      </c>
      <c r="M232" s="30"/>
      <c r="N232" s="46"/>
      <c r="O232" s="31"/>
      <c r="P232" s="16"/>
      <c r="Q232" s="16"/>
      <c r="R232" s="16" t="str">
        <f t="shared" si="1"/>
        <v/>
      </c>
    </row>
    <row r="233">
      <c r="A233" s="7"/>
      <c r="B233" s="16"/>
      <c r="C233" s="12"/>
      <c r="D233" s="12"/>
      <c r="E233" s="9"/>
      <c r="F233" s="10"/>
      <c r="G233" s="11"/>
      <c r="H233" s="9"/>
      <c r="I233" s="31"/>
      <c r="J233" s="9"/>
      <c r="K233" s="9"/>
      <c r="L233" s="21" t="s">
        <v>47</v>
      </c>
      <c r="M233" s="30"/>
      <c r="N233" s="46"/>
      <c r="O233" s="31"/>
      <c r="P233" s="16"/>
      <c r="Q233" s="16"/>
      <c r="R233" s="16" t="str">
        <f t="shared" si="1"/>
        <v/>
      </c>
    </row>
    <row r="234">
      <c r="A234" s="7"/>
      <c r="B234" s="16"/>
      <c r="C234" s="12"/>
      <c r="D234" s="12"/>
      <c r="E234" s="9"/>
      <c r="F234" s="10"/>
      <c r="G234" s="11"/>
      <c r="H234" s="9"/>
      <c r="I234" s="31"/>
      <c r="J234" s="9"/>
      <c r="K234" s="9"/>
      <c r="L234" s="21" t="s">
        <v>53</v>
      </c>
      <c r="M234" s="30"/>
      <c r="N234" s="46"/>
      <c r="O234" s="31"/>
      <c r="P234" s="16"/>
      <c r="Q234" s="16"/>
      <c r="R234" s="16" t="str">
        <f t="shared" si="1"/>
        <v/>
      </c>
    </row>
    <row r="235">
      <c r="A235" s="7"/>
      <c r="B235" s="16"/>
      <c r="C235" s="12"/>
      <c r="D235" s="12"/>
      <c r="E235" s="9"/>
      <c r="F235" s="10"/>
      <c r="G235" s="11"/>
      <c r="H235" s="9"/>
      <c r="I235" s="31"/>
      <c r="J235" s="9"/>
      <c r="K235" s="9"/>
      <c r="L235" s="21" t="s">
        <v>59</v>
      </c>
      <c r="M235" s="30"/>
      <c r="N235" s="46"/>
      <c r="O235" s="31"/>
      <c r="P235" s="16"/>
      <c r="Q235" s="16"/>
      <c r="R235" s="16" t="str">
        <f t="shared" si="1"/>
        <v/>
      </c>
    </row>
    <row r="236">
      <c r="A236" s="7"/>
      <c r="B236" s="16"/>
      <c r="C236" s="12"/>
      <c r="D236" s="12"/>
      <c r="E236" s="9"/>
      <c r="F236" s="10"/>
      <c r="G236" s="11"/>
      <c r="H236" s="9"/>
      <c r="I236" s="31"/>
      <c r="J236" s="9"/>
      <c r="K236" s="9"/>
      <c r="L236" s="21" t="s">
        <v>65</v>
      </c>
      <c r="M236" s="30"/>
      <c r="N236" s="46"/>
      <c r="O236" s="31"/>
      <c r="P236" s="16"/>
      <c r="Q236" s="16"/>
      <c r="R236" s="16" t="str">
        <f t="shared" si="1"/>
        <v/>
      </c>
    </row>
    <row r="237">
      <c r="A237" s="7"/>
      <c r="B237" s="16"/>
      <c r="C237" s="12"/>
      <c r="D237" s="12"/>
      <c r="E237" s="9"/>
      <c r="F237" s="10"/>
      <c r="G237" s="11"/>
      <c r="H237" s="9"/>
      <c r="I237" s="31"/>
      <c r="J237" s="9"/>
      <c r="K237" s="9"/>
      <c r="L237" s="21" t="s">
        <v>71</v>
      </c>
      <c r="M237" s="30"/>
      <c r="N237" s="46"/>
      <c r="O237" s="31"/>
      <c r="P237" s="16"/>
      <c r="Q237" s="16"/>
      <c r="R237" s="16" t="str">
        <f t="shared" si="1"/>
        <v/>
      </c>
    </row>
    <row r="238">
      <c r="A238" s="7" t="s">
        <v>148</v>
      </c>
      <c r="B238" s="14" t="s">
        <v>1057</v>
      </c>
      <c r="C238" s="12"/>
      <c r="D238" s="17" t="s">
        <v>1058</v>
      </c>
      <c r="E238" s="9" t="s">
        <v>149</v>
      </c>
      <c r="F238" s="10" t="s">
        <v>150</v>
      </c>
      <c r="G238" s="11">
        <v>2020.0</v>
      </c>
      <c r="H238" s="9" t="s">
        <v>151</v>
      </c>
      <c r="I238" s="29" t="s">
        <v>1059</v>
      </c>
      <c r="J238" s="9"/>
      <c r="K238" s="9" t="s">
        <v>152</v>
      </c>
      <c r="L238" s="21" t="s">
        <v>25</v>
      </c>
      <c r="M238" s="30" t="s">
        <v>1060</v>
      </c>
      <c r="N238" s="30" t="s">
        <v>1061</v>
      </c>
      <c r="O238" s="29" t="s">
        <v>1062</v>
      </c>
      <c r="P238" s="14" t="s">
        <v>533</v>
      </c>
      <c r="Q238" s="14" t="s">
        <v>562</v>
      </c>
      <c r="R238" s="16" t="str">
        <f t="shared" si="1"/>
        <v>Diferente</v>
      </c>
      <c r="S238" s="14" t="s">
        <v>1063</v>
      </c>
    </row>
    <row r="239">
      <c r="A239" s="7"/>
      <c r="B239" s="16"/>
      <c r="C239" s="12"/>
      <c r="D239" s="12"/>
      <c r="E239" s="9"/>
      <c r="F239" s="10"/>
      <c r="G239" s="11"/>
      <c r="H239" s="9"/>
      <c r="I239" s="31"/>
      <c r="J239" s="9"/>
      <c r="K239" s="9"/>
      <c r="L239" s="21" t="s">
        <v>31</v>
      </c>
      <c r="M239" s="30" t="s">
        <v>1064</v>
      </c>
      <c r="N239" s="30" t="s">
        <v>1065</v>
      </c>
      <c r="O239" s="29" t="s">
        <v>1066</v>
      </c>
      <c r="P239" s="14" t="s">
        <v>533</v>
      </c>
      <c r="Q239" s="14" t="s">
        <v>533</v>
      </c>
      <c r="R239" s="16" t="str">
        <f t="shared" si="1"/>
        <v>Igual</v>
      </c>
    </row>
    <row r="240">
      <c r="A240" s="7"/>
      <c r="B240" s="16"/>
      <c r="C240" s="12"/>
      <c r="D240" s="12"/>
      <c r="E240" s="9"/>
      <c r="F240" s="10"/>
      <c r="G240" s="11"/>
      <c r="H240" s="9"/>
      <c r="I240" s="31"/>
      <c r="J240" s="9"/>
      <c r="K240" s="9"/>
      <c r="L240" s="21" t="s">
        <v>36</v>
      </c>
      <c r="M240" s="30" t="s">
        <v>1067</v>
      </c>
      <c r="N240" s="30" t="s">
        <v>1068</v>
      </c>
      <c r="O240" s="29" t="s">
        <v>1069</v>
      </c>
      <c r="P240" s="14" t="s">
        <v>533</v>
      </c>
      <c r="Q240" s="14" t="s">
        <v>533</v>
      </c>
      <c r="R240" s="16" t="str">
        <f t="shared" si="1"/>
        <v>Igual</v>
      </c>
    </row>
    <row r="241">
      <c r="A241" s="7"/>
      <c r="B241" s="16"/>
      <c r="C241" s="12"/>
      <c r="D241" s="12"/>
      <c r="E241" s="9"/>
      <c r="F241" s="10"/>
      <c r="G241" s="11"/>
      <c r="H241" s="9"/>
      <c r="I241" s="31"/>
      <c r="J241" s="9"/>
      <c r="K241" s="9"/>
      <c r="L241" s="21" t="s">
        <v>41</v>
      </c>
      <c r="M241" s="30" t="s">
        <v>1070</v>
      </c>
      <c r="N241" s="30" t="s">
        <v>1071</v>
      </c>
      <c r="O241" s="29" t="s">
        <v>1072</v>
      </c>
      <c r="P241" s="14" t="s">
        <v>533</v>
      </c>
      <c r="Q241" s="14" t="s">
        <v>533</v>
      </c>
      <c r="R241" s="16" t="str">
        <f t="shared" si="1"/>
        <v>Igual</v>
      </c>
    </row>
    <row r="242">
      <c r="A242" s="7"/>
      <c r="B242" s="16"/>
      <c r="C242" s="12"/>
      <c r="D242" s="12"/>
      <c r="E242" s="9"/>
      <c r="F242" s="10"/>
      <c r="G242" s="11"/>
      <c r="H242" s="9"/>
      <c r="I242" s="31"/>
      <c r="J242" s="9"/>
      <c r="K242" s="9"/>
      <c r="L242" s="21" t="s">
        <v>47</v>
      </c>
      <c r="M242" s="30" t="s">
        <v>1073</v>
      </c>
      <c r="N242" s="30" t="s">
        <v>1073</v>
      </c>
      <c r="O242" s="29" t="s">
        <v>1073</v>
      </c>
      <c r="P242" s="14" t="s">
        <v>533</v>
      </c>
      <c r="Q242" s="14" t="s">
        <v>533</v>
      </c>
      <c r="R242" s="16" t="str">
        <f t="shared" si="1"/>
        <v>Igual</v>
      </c>
    </row>
    <row r="243">
      <c r="A243" s="7"/>
      <c r="B243" s="16"/>
      <c r="C243" s="12"/>
      <c r="D243" s="12"/>
      <c r="E243" s="9"/>
      <c r="F243" s="10"/>
      <c r="G243" s="11"/>
      <c r="H243" s="9"/>
      <c r="I243" s="31"/>
      <c r="J243" s="9"/>
      <c r="K243" s="9"/>
      <c r="L243" s="21" t="s">
        <v>53</v>
      </c>
      <c r="M243" s="30" t="s">
        <v>1073</v>
      </c>
      <c r="N243" s="30" t="s">
        <v>1073</v>
      </c>
      <c r="O243" s="29" t="s">
        <v>1073</v>
      </c>
      <c r="P243" s="14" t="s">
        <v>533</v>
      </c>
      <c r="Q243" s="14" t="s">
        <v>533</v>
      </c>
      <c r="R243" s="14" t="s">
        <v>1074</v>
      </c>
    </row>
    <row r="244">
      <c r="A244" s="7"/>
      <c r="B244" s="16"/>
      <c r="C244" s="12"/>
      <c r="D244" s="12"/>
      <c r="E244" s="9"/>
      <c r="F244" s="10"/>
      <c r="G244" s="11"/>
      <c r="H244" s="9"/>
      <c r="I244" s="31"/>
      <c r="J244" s="9"/>
      <c r="K244" s="9"/>
      <c r="L244" s="21" t="s">
        <v>59</v>
      </c>
      <c r="M244" s="30" t="s">
        <v>1073</v>
      </c>
      <c r="N244" s="30" t="s">
        <v>1073</v>
      </c>
      <c r="O244" s="29" t="s">
        <v>1073</v>
      </c>
      <c r="P244" s="14" t="s">
        <v>533</v>
      </c>
      <c r="Q244" s="14" t="s">
        <v>533</v>
      </c>
      <c r="R244" s="14" t="s">
        <v>1074</v>
      </c>
    </row>
    <row r="245">
      <c r="A245" s="7"/>
      <c r="B245" s="16"/>
      <c r="C245" s="12"/>
      <c r="D245" s="12"/>
      <c r="E245" s="9"/>
      <c r="F245" s="10"/>
      <c r="G245" s="11"/>
      <c r="H245" s="9"/>
      <c r="I245" s="31"/>
      <c r="J245" s="9"/>
      <c r="K245" s="9"/>
      <c r="L245" s="21" t="s">
        <v>65</v>
      </c>
      <c r="M245" s="30" t="s">
        <v>1073</v>
      </c>
      <c r="N245" s="30" t="s">
        <v>1073</v>
      </c>
      <c r="O245" s="29" t="s">
        <v>1073</v>
      </c>
      <c r="P245" s="14" t="s">
        <v>533</v>
      </c>
      <c r="Q245" s="14" t="s">
        <v>533</v>
      </c>
      <c r="R245" s="14" t="s">
        <v>1074</v>
      </c>
    </row>
    <row r="246">
      <c r="A246" s="7"/>
      <c r="B246" s="16"/>
      <c r="C246" s="12"/>
      <c r="D246" s="12"/>
      <c r="E246" s="9"/>
      <c r="F246" s="10"/>
      <c r="G246" s="11"/>
      <c r="H246" s="9"/>
      <c r="I246" s="31"/>
      <c r="J246" s="9"/>
      <c r="K246" s="9"/>
      <c r="L246" s="21" t="s">
        <v>71</v>
      </c>
      <c r="M246" s="30" t="s">
        <v>1075</v>
      </c>
      <c r="N246" s="30" t="s">
        <v>1073</v>
      </c>
      <c r="O246" s="29" t="s">
        <v>1073</v>
      </c>
      <c r="P246" s="14" t="s">
        <v>562</v>
      </c>
      <c r="Q246" s="14" t="s">
        <v>533</v>
      </c>
      <c r="R246" s="14" t="s">
        <v>1076</v>
      </c>
    </row>
    <row r="247">
      <c r="A247" s="7" t="s">
        <v>153</v>
      </c>
      <c r="B247" s="14" t="s">
        <v>1057</v>
      </c>
      <c r="C247" s="12"/>
      <c r="D247" s="17" t="s">
        <v>1077</v>
      </c>
      <c r="E247" s="9" t="s">
        <v>154</v>
      </c>
      <c r="F247" s="10" t="s">
        <v>155</v>
      </c>
      <c r="G247" s="11">
        <v>2024.0</v>
      </c>
      <c r="H247" s="9" t="s">
        <v>156</v>
      </c>
      <c r="I247" s="29" t="s">
        <v>528</v>
      </c>
      <c r="J247" s="9"/>
      <c r="K247" s="9" t="s">
        <v>152</v>
      </c>
      <c r="L247" s="21" t="s">
        <v>25</v>
      </c>
      <c r="M247" s="30" t="s">
        <v>1078</v>
      </c>
      <c r="N247" s="30" t="s">
        <v>1079</v>
      </c>
      <c r="O247" s="29" t="s">
        <v>1080</v>
      </c>
      <c r="P247" s="14" t="s">
        <v>533</v>
      </c>
      <c r="Q247" s="14" t="s">
        <v>533</v>
      </c>
      <c r="R247" s="16" t="str">
        <f>IF(OR(P247="",Q247=""),"",IF(P247=Q247,"Igual","Diferente"))</f>
        <v>Igual</v>
      </c>
    </row>
    <row r="248">
      <c r="A248" s="7"/>
      <c r="B248" s="16"/>
      <c r="C248" s="12"/>
      <c r="D248" s="12"/>
      <c r="E248" s="9"/>
      <c r="F248" s="10"/>
      <c r="G248" s="11"/>
      <c r="H248" s="9"/>
      <c r="I248" s="31"/>
      <c r="J248" s="9"/>
      <c r="K248" s="9"/>
      <c r="L248" s="21" t="s">
        <v>31</v>
      </c>
      <c r="M248" s="30" t="s">
        <v>1081</v>
      </c>
      <c r="N248" s="30" t="s">
        <v>1082</v>
      </c>
      <c r="O248" s="29" t="s">
        <v>1083</v>
      </c>
      <c r="P248" s="14" t="s">
        <v>533</v>
      </c>
      <c r="Q248" s="14" t="s">
        <v>533</v>
      </c>
      <c r="R248" s="14" t="s">
        <v>1076</v>
      </c>
    </row>
    <row r="249">
      <c r="A249" s="7"/>
      <c r="B249" s="16"/>
      <c r="C249" s="12"/>
      <c r="D249" s="12"/>
      <c r="E249" s="9"/>
      <c r="F249" s="10"/>
      <c r="G249" s="11"/>
      <c r="H249" s="9"/>
      <c r="I249" s="31"/>
      <c r="J249" s="9"/>
      <c r="K249" s="9"/>
      <c r="L249" s="21" t="s">
        <v>36</v>
      </c>
      <c r="M249" s="30" t="s">
        <v>1084</v>
      </c>
      <c r="N249" s="30" t="s">
        <v>1085</v>
      </c>
      <c r="O249" s="29" t="s">
        <v>1086</v>
      </c>
      <c r="P249" s="14" t="s">
        <v>533</v>
      </c>
      <c r="Q249" s="14" t="s">
        <v>562</v>
      </c>
      <c r="R249" s="14" t="s">
        <v>1076</v>
      </c>
    </row>
    <row r="250">
      <c r="A250" s="7"/>
      <c r="B250" s="16"/>
      <c r="C250" s="12"/>
      <c r="D250" s="12"/>
      <c r="E250" s="9"/>
      <c r="F250" s="10"/>
      <c r="G250" s="11"/>
      <c r="H250" s="9"/>
      <c r="I250" s="31"/>
      <c r="J250" s="9"/>
      <c r="K250" s="9"/>
      <c r="L250" s="21" t="s">
        <v>41</v>
      </c>
      <c r="M250" s="30" t="s">
        <v>1087</v>
      </c>
      <c r="N250" s="30" t="s">
        <v>1088</v>
      </c>
      <c r="O250" s="29" t="s">
        <v>1089</v>
      </c>
      <c r="P250" s="14" t="s">
        <v>562</v>
      </c>
      <c r="Q250" s="14" t="s">
        <v>533</v>
      </c>
      <c r="R250" s="14" t="s">
        <v>1076</v>
      </c>
    </row>
    <row r="251">
      <c r="A251" s="7"/>
      <c r="B251" s="16"/>
      <c r="C251" s="12"/>
      <c r="D251" s="12"/>
      <c r="E251" s="9"/>
      <c r="F251" s="10"/>
      <c r="G251" s="11"/>
      <c r="H251" s="9"/>
      <c r="I251" s="31"/>
      <c r="J251" s="9"/>
      <c r="K251" s="9"/>
      <c r="L251" s="21" t="s">
        <v>47</v>
      </c>
      <c r="M251" s="30" t="s">
        <v>1073</v>
      </c>
      <c r="N251" s="30" t="s">
        <v>1090</v>
      </c>
      <c r="O251" s="29" t="s">
        <v>1091</v>
      </c>
      <c r="P251" s="14" t="s">
        <v>562</v>
      </c>
      <c r="Q251" s="14" t="s">
        <v>533</v>
      </c>
      <c r="R251" s="14" t="s">
        <v>1076</v>
      </c>
    </row>
    <row r="252">
      <c r="A252" s="7"/>
      <c r="B252" s="16"/>
      <c r="C252" s="12"/>
      <c r="D252" s="12"/>
      <c r="E252" s="9"/>
      <c r="F252" s="10"/>
      <c r="G252" s="11"/>
      <c r="H252" s="9"/>
      <c r="I252" s="31"/>
      <c r="J252" s="9"/>
      <c r="K252" s="9"/>
      <c r="L252" s="21" t="s">
        <v>53</v>
      </c>
      <c r="M252" s="30" t="s">
        <v>1073</v>
      </c>
      <c r="N252" s="30" t="s">
        <v>1092</v>
      </c>
      <c r="O252" s="29" t="s">
        <v>1073</v>
      </c>
      <c r="P252" s="14" t="s">
        <v>533</v>
      </c>
      <c r="Q252" s="14" t="s">
        <v>533</v>
      </c>
      <c r="R252" s="14" t="s">
        <v>1074</v>
      </c>
    </row>
    <row r="253">
      <c r="A253" s="7"/>
      <c r="B253" s="16"/>
      <c r="C253" s="12"/>
      <c r="D253" s="12"/>
      <c r="E253" s="9"/>
      <c r="F253" s="10"/>
      <c r="G253" s="11"/>
      <c r="H253" s="9"/>
      <c r="I253" s="31"/>
      <c r="J253" s="9"/>
      <c r="K253" s="9"/>
      <c r="L253" s="21" t="s">
        <v>59</v>
      </c>
      <c r="M253" s="30" t="s">
        <v>1093</v>
      </c>
      <c r="N253" s="30" t="s">
        <v>1094</v>
      </c>
      <c r="O253" s="29" t="s">
        <v>1095</v>
      </c>
      <c r="P253" s="14" t="s">
        <v>533</v>
      </c>
      <c r="Q253" s="14" t="s">
        <v>562</v>
      </c>
      <c r="R253" s="14" t="s">
        <v>1076</v>
      </c>
    </row>
    <row r="254">
      <c r="A254" s="7"/>
      <c r="B254" s="16"/>
      <c r="C254" s="12"/>
      <c r="D254" s="12"/>
      <c r="E254" s="9"/>
      <c r="F254" s="10"/>
      <c r="G254" s="11"/>
      <c r="H254" s="9"/>
      <c r="I254" s="31"/>
      <c r="J254" s="9"/>
      <c r="K254" s="9"/>
      <c r="L254" s="21" t="s">
        <v>65</v>
      </c>
      <c r="M254" s="30" t="s">
        <v>1073</v>
      </c>
      <c r="N254" s="30" t="s">
        <v>1096</v>
      </c>
      <c r="O254" s="29" t="s">
        <v>1073</v>
      </c>
      <c r="P254" s="14" t="s">
        <v>533</v>
      </c>
      <c r="Q254" s="14" t="s">
        <v>533</v>
      </c>
      <c r="R254" s="14" t="s">
        <v>1074</v>
      </c>
    </row>
    <row r="255">
      <c r="A255" s="7"/>
      <c r="B255" s="16"/>
      <c r="C255" s="12"/>
      <c r="D255" s="12"/>
      <c r="E255" s="9"/>
      <c r="F255" s="10"/>
      <c r="G255" s="11"/>
      <c r="H255" s="9"/>
      <c r="I255" s="31"/>
      <c r="J255" s="9"/>
      <c r="K255" s="9"/>
      <c r="L255" s="21" t="s">
        <v>71</v>
      </c>
      <c r="M255" s="30" t="s">
        <v>1097</v>
      </c>
      <c r="N255" s="30" t="s">
        <v>1098</v>
      </c>
      <c r="O255" s="29" t="s">
        <v>1099</v>
      </c>
      <c r="P255" s="14" t="s">
        <v>533</v>
      </c>
      <c r="Q255" s="14" t="s">
        <v>533</v>
      </c>
      <c r="R255" s="14" t="s">
        <v>1074</v>
      </c>
    </row>
    <row r="256">
      <c r="A256" s="7" t="s">
        <v>157</v>
      </c>
      <c r="B256" s="14" t="s">
        <v>1057</v>
      </c>
      <c r="C256" s="12"/>
      <c r="D256" s="17" t="s">
        <v>1100</v>
      </c>
      <c r="E256" s="9" t="s">
        <v>158</v>
      </c>
      <c r="F256" s="10" t="s">
        <v>159</v>
      </c>
      <c r="G256" s="11">
        <v>2025.0</v>
      </c>
      <c r="H256" s="9" t="s">
        <v>160</v>
      </c>
      <c r="I256" s="29" t="s">
        <v>1021</v>
      </c>
      <c r="J256" s="9"/>
      <c r="K256" s="9" t="s">
        <v>152</v>
      </c>
      <c r="L256" s="21" t="s">
        <v>25</v>
      </c>
      <c r="M256" s="30" t="s">
        <v>1101</v>
      </c>
      <c r="N256" s="30" t="s">
        <v>1102</v>
      </c>
      <c r="O256" s="29" t="s">
        <v>1103</v>
      </c>
      <c r="P256" s="14" t="s">
        <v>533</v>
      </c>
      <c r="Q256" s="14" t="s">
        <v>533</v>
      </c>
      <c r="R256" s="16" t="str">
        <f>IF(OR(P256="",Q256=""),"",IF(P256=Q256,"Igual","Diferente"))</f>
        <v>Igual</v>
      </c>
    </row>
    <row r="257">
      <c r="A257" s="7"/>
      <c r="B257" s="16"/>
      <c r="C257" s="12"/>
      <c r="D257" s="12"/>
      <c r="E257" s="9"/>
      <c r="F257" s="10"/>
      <c r="G257" s="11"/>
      <c r="H257" s="9"/>
      <c r="I257" s="31"/>
      <c r="J257" s="9"/>
      <c r="K257" s="9"/>
      <c r="L257" s="21" t="s">
        <v>31</v>
      </c>
      <c r="M257" s="30" t="s">
        <v>1104</v>
      </c>
      <c r="N257" s="30" t="s">
        <v>1105</v>
      </c>
      <c r="O257" s="29" t="s">
        <v>1106</v>
      </c>
      <c r="P257" s="14" t="s">
        <v>533</v>
      </c>
      <c r="Q257" s="14" t="s">
        <v>533</v>
      </c>
      <c r="R257" s="14" t="s">
        <v>1074</v>
      </c>
    </row>
    <row r="258">
      <c r="A258" s="7"/>
      <c r="B258" s="16"/>
      <c r="C258" s="12"/>
      <c r="D258" s="12"/>
      <c r="E258" s="9"/>
      <c r="F258" s="10"/>
      <c r="G258" s="11"/>
      <c r="H258" s="9"/>
      <c r="I258" s="31"/>
      <c r="J258" s="9"/>
      <c r="K258" s="9"/>
      <c r="L258" s="21" t="s">
        <v>36</v>
      </c>
      <c r="M258" s="30" t="s">
        <v>1107</v>
      </c>
      <c r="N258" s="30" t="s">
        <v>1108</v>
      </c>
      <c r="O258" s="29" t="s">
        <v>1073</v>
      </c>
      <c r="P258" s="14" t="s">
        <v>533</v>
      </c>
      <c r="Q258" s="14" t="s">
        <v>533</v>
      </c>
      <c r="R258" s="14" t="s">
        <v>1074</v>
      </c>
    </row>
    <row r="259">
      <c r="A259" s="7"/>
      <c r="B259" s="16"/>
      <c r="C259" s="12"/>
      <c r="D259" s="12"/>
      <c r="E259" s="9"/>
      <c r="F259" s="10"/>
      <c r="G259" s="11"/>
      <c r="H259" s="9"/>
      <c r="I259" s="31"/>
      <c r="J259" s="9"/>
      <c r="K259" s="9"/>
      <c r="L259" s="21" t="s">
        <v>41</v>
      </c>
      <c r="M259" s="30" t="s">
        <v>1109</v>
      </c>
      <c r="N259" s="30" t="s">
        <v>1110</v>
      </c>
      <c r="O259" s="29" t="s">
        <v>1111</v>
      </c>
      <c r="P259" s="14" t="s">
        <v>562</v>
      </c>
      <c r="Q259" s="14" t="s">
        <v>533</v>
      </c>
      <c r="R259" s="14" t="s">
        <v>1076</v>
      </c>
    </row>
    <row r="260">
      <c r="A260" s="7"/>
      <c r="B260" s="16"/>
      <c r="C260" s="12"/>
      <c r="D260" s="12"/>
      <c r="E260" s="9"/>
      <c r="F260" s="10"/>
      <c r="G260" s="11"/>
      <c r="H260" s="9"/>
      <c r="I260" s="31"/>
      <c r="J260" s="9"/>
      <c r="K260" s="9"/>
      <c r="L260" s="21" t="s">
        <v>47</v>
      </c>
      <c r="M260" s="30" t="s">
        <v>1112</v>
      </c>
      <c r="N260" s="30" t="s">
        <v>1113</v>
      </c>
      <c r="O260" s="29" t="s">
        <v>1114</v>
      </c>
      <c r="P260" s="14" t="s">
        <v>533</v>
      </c>
      <c r="Q260" s="14" t="s">
        <v>533</v>
      </c>
      <c r="R260" s="14" t="s">
        <v>1074</v>
      </c>
    </row>
    <row r="261">
      <c r="A261" s="7"/>
      <c r="B261" s="16"/>
      <c r="C261" s="12"/>
      <c r="D261" s="12"/>
      <c r="E261" s="9"/>
      <c r="F261" s="10"/>
      <c r="G261" s="11"/>
      <c r="H261" s="9"/>
      <c r="I261" s="31"/>
      <c r="J261" s="9"/>
      <c r="K261" s="9"/>
      <c r="L261" s="21" t="s">
        <v>53</v>
      </c>
      <c r="M261" s="30" t="s">
        <v>1115</v>
      </c>
      <c r="N261" s="30" t="s">
        <v>1116</v>
      </c>
      <c r="O261" s="29" t="s">
        <v>1117</v>
      </c>
      <c r="P261" s="14" t="s">
        <v>533</v>
      </c>
      <c r="Q261" s="14" t="s">
        <v>562</v>
      </c>
      <c r="R261" s="14" t="s">
        <v>1076</v>
      </c>
    </row>
    <row r="262">
      <c r="A262" s="7"/>
      <c r="B262" s="16"/>
      <c r="C262" s="12"/>
      <c r="D262" s="12"/>
      <c r="E262" s="9"/>
      <c r="F262" s="10"/>
      <c r="G262" s="11"/>
      <c r="H262" s="9"/>
      <c r="I262" s="31"/>
      <c r="J262" s="9"/>
      <c r="K262" s="9"/>
      <c r="L262" s="21" t="s">
        <v>59</v>
      </c>
      <c r="M262" s="30" t="s">
        <v>1118</v>
      </c>
      <c r="N262" s="30" t="s">
        <v>1119</v>
      </c>
      <c r="O262" s="29" t="s">
        <v>1120</v>
      </c>
      <c r="P262" s="14" t="s">
        <v>533</v>
      </c>
      <c r="Q262" s="14" t="s">
        <v>533</v>
      </c>
      <c r="R262" s="14" t="s">
        <v>1074</v>
      </c>
    </row>
    <row r="263">
      <c r="A263" s="7"/>
      <c r="B263" s="16"/>
      <c r="C263" s="12"/>
      <c r="D263" s="12"/>
      <c r="E263" s="9"/>
      <c r="F263" s="10"/>
      <c r="G263" s="11"/>
      <c r="H263" s="9"/>
      <c r="I263" s="31"/>
      <c r="J263" s="9"/>
      <c r="K263" s="9"/>
      <c r="L263" s="21" t="s">
        <v>65</v>
      </c>
      <c r="M263" s="30" t="s">
        <v>1121</v>
      </c>
      <c r="N263" s="30" t="s">
        <v>1122</v>
      </c>
      <c r="O263" s="29" t="s">
        <v>1117</v>
      </c>
      <c r="P263" s="14" t="s">
        <v>533</v>
      </c>
      <c r="Q263" s="14" t="s">
        <v>533</v>
      </c>
      <c r="R263" s="14" t="s">
        <v>1074</v>
      </c>
    </row>
    <row r="264">
      <c r="A264" s="7"/>
      <c r="B264" s="16"/>
      <c r="C264" s="12"/>
      <c r="D264" s="12"/>
      <c r="E264" s="9"/>
      <c r="F264" s="10"/>
      <c r="G264" s="11"/>
      <c r="H264" s="9"/>
      <c r="I264" s="31"/>
      <c r="J264" s="9"/>
      <c r="K264" s="9"/>
      <c r="L264" s="21" t="s">
        <v>71</v>
      </c>
      <c r="M264" s="30" t="s">
        <v>1123</v>
      </c>
      <c r="N264" s="30" t="s">
        <v>1124</v>
      </c>
      <c r="O264" s="29" t="s">
        <v>1125</v>
      </c>
      <c r="P264" s="14" t="s">
        <v>533</v>
      </c>
      <c r="Q264" s="14" t="s">
        <v>533</v>
      </c>
      <c r="R264" s="14" t="s">
        <v>1074</v>
      </c>
    </row>
    <row r="265">
      <c r="A265" s="7" t="s">
        <v>161</v>
      </c>
      <c r="B265" s="14" t="s">
        <v>1057</v>
      </c>
      <c r="C265" s="12"/>
      <c r="D265" s="17" t="s">
        <v>1126</v>
      </c>
      <c r="E265" s="9" t="s">
        <v>162</v>
      </c>
      <c r="F265" s="10" t="s">
        <v>163</v>
      </c>
      <c r="G265" s="11">
        <v>2021.0</v>
      </c>
      <c r="H265" s="9" t="s">
        <v>164</v>
      </c>
      <c r="I265" s="29" t="s">
        <v>1021</v>
      </c>
      <c r="J265" s="9"/>
      <c r="K265" s="9" t="s">
        <v>152</v>
      </c>
      <c r="L265" s="21" t="s">
        <v>25</v>
      </c>
      <c r="M265" s="30" t="s">
        <v>1127</v>
      </c>
      <c r="N265" s="30" t="s">
        <v>1128</v>
      </c>
      <c r="O265" s="29" t="s">
        <v>1129</v>
      </c>
      <c r="P265" s="14" t="s">
        <v>533</v>
      </c>
      <c r="Q265" s="14" t="s">
        <v>533</v>
      </c>
      <c r="R265" s="16" t="str">
        <f>IF(OR(P265="",Q265=""),"",IF(P265=Q265,"Igual","Diferente"))</f>
        <v>Igual</v>
      </c>
    </row>
    <row r="266">
      <c r="A266" s="7"/>
      <c r="B266" s="16"/>
      <c r="C266" s="12"/>
      <c r="D266" s="12"/>
      <c r="E266" s="9"/>
      <c r="F266" s="10"/>
      <c r="G266" s="11"/>
      <c r="H266" s="9"/>
      <c r="I266" s="31"/>
      <c r="J266" s="9"/>
      <c r="K266" s="9"/>
      <c r="L266" s="21" t="s">
        <v>31</v>
      </c>
      <c r="M266" s="30" t="s">
        <v>1130</v>
      </c>
      <c r="N266" s="30" t="s">
        <v>1131</v>
      </c>
      <c r="O266" s="29" t="s">
        <v>1132</v>
      </c>
      <c r="P266" s="14" t="s">
        <v>533</v>
      </c>
      <c r="Q266" s="14" t="s">
        <v>533</v>
      </c>
      <c r="R266" s="14" t="s">
        <v>1074</v>
      </c>
    </row>
    <row r="267">
      <c r="A267" s="7"/>
      <c r="B267" s="16"/>
      <c r="C267" s="12"/>
      <c r="D267" s="12"/>
      <c r="E267" s="9"/>
      <c r="F267" s="10"/>
      <c r="G267" s="11"/>
      <c r="H267" s="9"/>
      <c r="I267" s="31"/>
      <c r="J267" s="9"/>
      <c r="K267" s="9"/>
      <c r="L267" s="21" t="s">
        <v>36</v>
      </c>
      <c r="M267" s="30" t="s">
        <v>1133</v>
      </c>
      <c r="N267" s="30" t="s">
        <v>1134</v>
      </c>
      <c r="O267" s="29" t="s">
        <v>1135</v>
      </c>
      <c r="P267" s="14" t="s">
        <v>533</v>
      </c>
      <c r="Q267" s="14" t="s">
        <v>533</v>
      </c>
      <c r="R267" s="14" t="s">
        <v>1074</v>
      </c>
    </row>
    <row r="268">
      <c r="A268" s="7"/>
      <c r="B268" s="16"/>
      <c r="C268" s="12"/>
      <c r="D268" s="12"/>
      <c r="E268" s="9"/>
      <c r="F268" s="10"/>
      <c r="G268" s="11"/>
      <c r="H268" s="9"/>
      <c r="I268" s="31"/>
      <c r="J268" s="9"/>
      <c r="K268" s="9"/>
      <c r="L268" s="21" t="s">
        <v>41</v>
      </c>
      <c r="M268" s="30" t="s">
        <v>1136</v>
      </c>
      <c r="N268" s="30" t="s">
        <v>1137</v>
      </c>
      <c r="O268" s="29" t="s">
        <v>1138</v>
      </c>
      <c r="P268" s="14" t="s">
        <v>533</v>
      </c>
      <c r="Q268" s="14" t="s">
        <v>533</v>
      </c>
      <c r="R268" s="14" t="s">
        <v>1074</v>
      </c>
    </row>
    <row r="269">
      <c r="A269" s="7"/>
      <c r="B269" s="16"/>
      <c r="C269" s="12"/>
      <c r="D269" s="12"/>
      <c r="E269" s="9"/>
      <c r="F269" s="10"/>
      <c r="G269" s="11"/>
      <c r="H269" s="9"/>
      <c r="I269" s="31"/>
      <c r="J269" s="9"/>
      <c r="K269" s="9"/>
      <c r="L269" s="21" t="s">
        <v>47</v>
      </c>
      <c r="M269" s="30" t="s">
        <v>1139</v>
      </c>
      <c r="N269" s="30" t="s">
        <v>1140</v>
      </c>
      <c r="O269" s="29" t="s">
        <v>1135</v>
      </c>
      <c r="P269" s="14" t="s">
        <v>562</v>
      </c>
      <c r="Q269" s="14" t="s">
        <v>533</v>
      </c>
      <c r="R269" s="14" t="s">
        <v>1076</v>
      </c>
    </row>
    <row r="270">
      <c r="A270" s="7"/>
      <c r="B270" s="16"/>
      <c r="C270" s="12"/>
      <c r="D270" s="12"/>
      <c r="E270" s="9"/>
      <c r="F270" s="10"/>
      <c r="G270" s="11"/>
      <c r="H270" s="9"/>
      <c r="I270" s="31"/>
      <c r="J270" s="9"/>
      <c r="K270" s="9"/>
      <c r="L270" s="21" t="s">
        <v>53</v>
      </c>
      <c r="M270" s="30" t="s">
        <v>1141</v>
      </c>
      <c r="N270" s="30" t="s">
        <v>1142</v>
      </c>
      <c r="O270" s="29" t="s">
        <v>1135</v>
      </c>
      <c r="P270" s="14" t="s">
        <v>533</v>
      </c>
      <c r="Q270" s="14" t="s">
        <v>533</v>
      </c>
      <c r="R270" s="14" t="s">
        <v>1074</v>
      </c>
    </row>
    <row r="271">
      <c r="A271" s="7"/>
      <c r="B271" s="16"/>
      <c r="C271" s="12"/>
      <c r="D271" s="12"/>
      <c r="E271" s="9"/>
      <c r="F271" s="10"/>
      <c r="G271" s="11"/>
      <c r="H271" s="9"/>
      <c r="I271" s="31"/>
      <c r="J271" s="9"/>
      <c r="K271" s="9"/>
      <c r="L271" s="21" t="s">
        <v>59</v>
      </c>
      <c r="M271" s="30" t="s">
        <v>1143</v>
      </c>
      <c r="N271" s="30" t="s">
        <v>1144</v>
      </c>
      <c r="O271" s="29" t="s">
        <v>1145</v>
      </c>
      <c r="P271" s="14" t="s">
        <v>542</v>
      </c>
      <c r="Q271" s="14" t="s">
        <v>533</v>
      </c>
      <c r="R271" s="14" t="s">
        <v>1076</v>
      </c>
    </row>
    <row r="272">
      <c r="A272" s="7"/>
      <c r="B272" s="16"/>
      <c r="C272" s="12"/>
      <c r="D272" s="12"/>
      <c r="E272" s="9"/>
      <c r="F272" s="10"/>
      <c r="G272" s="11"/>
      <c r="H272" s="9"/>
      <c r="I272" s="31"/>
      <c r="J272" s="9"/>
      <c r="K272" s="9"/>
      <c r="L272" s="21" t="s">
        <v>65</v>
      </c>
      <c r="M272" s="30" t="s">
        <v>1146</v>
      </c>
      <c r="N272" s="30" t="s">
        <v>1147</v>
      </c>
      <c r="O272" s="29" t="s">
        <v>1135</v>
      </c>
      <c r="P272" s="14" t="s">
        <v>533</v>
      </c>
      <c r="Q272" s="14" t="s">
        <v>533</v>
      </c>
      <c r="R272" s="14" t="s">
        <v>1074</v>
      </c>
    </row>
    <row r="273">
      <c r="A273" s="7"/>
      <c r="B273" s="16"/>
      <c r="C273" s="12"/>
      <c r="D273" s="12"/>
      <c r="E273" s="9"/>
      <c r="F273" s="10"/>
      <c r="G273" s="11"/>
      <c r="H273" s="9"/>
      <c r="I273" s="31"/>
      <c r="J273" s="9"/>
      <c r="K273" s="9"/>
      <c r="L273" s="21" t="s">
        <v>71</v>
      </c>
      <c r="M273" s="30" t="s">
        <v>1148</v>
      </c>
      <c r="N273" s="30" t="s">
        <v>1149</v>
      </c>
      <c r="O273" s="29" t="s">
        <v>1135</v>
      </c>
      <c r="P273" s="14" t="s">
        <v>562</v>
      </c>
      <c r="Q273" s="14" t="s">
        <v>533</v>
      </c>
      <c r="R273" s="14" t="s">
        <v>1076</v>
      </c>
    </row>
    <row r="274">
      <c r="A274" s="7" t="s">
        <v>165</v>
      </c>
      <c r="B274" s="14" t="s">
        <v>1057</v>
      </c>
      <c r="C274" s="12"/>
      <c r="D274" s="17" t="s">
        <v>1150</v>
      </c>
      <c r="E274" s="9" t="s">
        <v>166</v>
      </c>
      <c r="F274" s="10" t="s">
        <v>167</v>
      </c>
      <c r="G274" s="11">
        <v>2025.0</v>
      </c>
      <c r="H274" s="9" t="s">
        <v>168</v>
      </c>
      <c r="I274" s="29" t="s">
        <v>1021</v>
      </c>
      <c r="J274" s="9"/>
      <c r="K274" s="9" t="s">
        <v>152</v>
      </c>
      <c r="L274" s="21" t="s">
        <v>25</v>
      </c>
      <c r="M274" s="30" t="s">
        <v>1151</v>
      </c>
      <c r="N274" s="30" t="s">
        <v>1152</v>
      </c>
      <c r="O274" s="29" t="s">
        <v>1129</v>
      </c>
      <c r="P274" s="14" t="s">
        <v>533</v>
      </c>
      <c r="Q274" s="14" t="s">
        <v>533</v>
      </c>
      <c r="R274" s="16" t="str">
        <f>IF(OR(P274="",Q274=""),"",IF(P274=Q274,"Igual","Diferente"))</f>
        <v>Igual</v>
      </c>
    </row>
    <row r="275">
      <c r="A275" s="7"/>
      <c r="B275" s="16"/>
      <c r="C275" s="12"/>
      <c r="D275" s="12"/>
      <c r="E275" s="9"/>
      <c r="F275" s="10"/>
      <c r="G275" s="11"/>
      <c r="H275" s="9"/>
      <c r="I275" s="31"/>
      <c r="J275" s="9"/>
      <c r="K275" s="9"/>
      <c r="L275" s="21" t="s">
        <v>31</v>
      </c>
      <c r="M275" s="30" t="s">
        <v>1153</v>
      </c>
      <c r="N275" s="30" t="s">
        <v>1154</v>
      </c>
      <c r="O275" s="29" t="s">
        <v>1155</v>
      </c>
      <c r="P275" s="14" t="s">
        <v>533</v>
      </c>
      <c r="Q275" s="14" t="s">
        <v>533</v>
      </c>
      <c r="R275" s="14" t="s">
        <v>1074</v>
      </c>
    </row>
    <row r="276">
      <c r="A276" s="7"/>
      <c r="B276" s="16"/>
      <c r="C276" s="12"/>
      <c r="D276" s="12"/>
      <c r="E276" s="9"/>
      <c r="F276" s="10"/>
      <c r="G276" s="11"/>
      <c r="H276" s="9"/>
      <c r="I276" s="31"/>
      <c r="J276" s="9"/>
      <c r="K276" s="9"/>
      <c r="L276" s="21" t="s">
        <v>36</v>
      </c>
      <c r="M276" s="30" t="s">
        <v>1156</v>
      </c>
      <c r="N276" s="30" t="s">
        <v>1157</v>
      </c>
      <c r="O276" s="29" t="s">
        <v>1158</v>
      </c>
      <c r="P276" s="14" t="s">
        <v>533</v>
      </c>
      <c r="Q276" s="14" t="s">
        <v>533</v>
      </c>
      <c r="R276" s="14" t="s">
        <v>1074</v>
      </c>
    </row>
    <row r="277">
      <c r="A277" s="7"/>
      <c r="B277" s="16"/>
      <c r="C277" s="12"/>
      <c r="D277" s="12"/>
      <c r="E277" s="9"/>
      <c r="F277" s="10"/>
      <c r="G277" s="11"/>
      <c r="H277" s="9"/>
      <c r="I277" s="31"/>
      <c r="J277" s="9"/>
      <c r="K277" s="9"/>
      <c r="L277" s="21" t="s">
        <v>41</v>
      </c>
      <c r="M277" s="30" t="s">
        <v>1159</v>
      </c>
      <c r="N277" s="30" t="s">
        <v>1160</v>
      </c>
      <c r="O277" s="29" t="s">
        <v>1161</v>
      </c>
      <c r="P277" s="14" t="s">
        <v>542</v>
      </c>
      <c r="Q277" s="14" t="s">
        <v>533</v>
      </c>
      <c r="R277" s="14" t="s">
        <v>1076</v>
      </c>
    </row>
    <row r="278">
      <c r="A278" s="7"/>
      <c r="B278" s="16"/>
      <c r="C278" s="12"/>
      <c r="D278" s="12"/>
      <c r="E278" s="9"/>
      <c r="F278" s="10"/>
      <c r="G278" s="11"/>
      <c r="H278" s="9"/>
      <c r="I278" s="31"/>
      <c r="J278" s="9"/>
      <c r="K278" s="9"/>
      <c r="L278" s="21" t="s">
        <v>47</v>
      </c>
      <c r="M278" s="30" t="s">
        <v>1162</v>
      </c>
      <c r="N278" s="30" t="s">
        <v>1163</v>
      </c>
      <c r="O278" s="29" t="s">
        <v>1164</v>
      </c>
      <c r="P278" s="14" t="s">
        <v>533</v>
      </c>
      <c r="Q278" s="14" t="s">
        <v>533</v>
      </c>
      <c r="R278" s="14" t="s">
        <v>1074</v>
      </c>
    </row>
    <row r="279">
      <c r="A279" s="7"/>
      <c r="B279" s="16"/>
      <c r="C279" s="12"/>
      <c r="D279" s="12"/>
      <c r="E279" s="9"/>
      <c r="F279" s="12"/>
      <c r="G279" s="11"/>
      <c r="H279" s="9"/>
      <c r="I279" s="31"/>
      <c r="J279" s="9"/>
      <c r="K279" s="9"/>
      <c r="L279" s="21" t="s">
        <v>53</v>
      </c>
      <c r="M279" s="30" t="s">
        <v>1165</v>
      </c>
      <c r="N279" s="30" t="s">
        <v>1166</v>
      </c>
      <c r="O279" s="29" t="s">
        <v>1135</v>
      </c>
      <c r="P279" s="14" t="s">
        <v>533</v>
      </c>
      <c r="Q279" s="14" t="s">
        <v>533</v>
      </c>
      <c r="R279" s="14" t="s">
        <v>1074</v>
      </c>
    </row>
    <row r="280">
      <c r="A280" s="7"/>
      <c r="B280" s="16"/>
      <c r="C280" s="12"/>
      <c r="D280" s="12"/>
      <c r="E280" s="9"/>
      <c r="F280" s="10"/>
      <c r="G280" s="10"/>
      <c r="H280" s="9"/>
      <c r="I280" s="31"/>
      <c r="J280" s="9"/>
      <c r="K280" s="9"/>
      <c r="L280" s="21" t="s">
        <v>59</v>
      </c>
      <c r="M280" s="30" t="s">
        <v>1167</v>
      </c>
      <c r="N280" s="30" t="s">
        <v>1168</v>
      </c>
      <c r="O280" s="29" t="s">
        <v>1135</v>
      </c>
      <c r="P280" s="14" t="s">
        <v>533</v>
      </c>
      <c r="Q280" s="14" t="s">
        <v>542</v>
      </c>
      <c r="R280" s="14" t="s">
        <v>1076</v>
      </c>
    </row>
    <row r="281">
      <c r="A281" s="7"/>
      <c r="B281" s="16"/>
      <c r="C281" s="12"/>
      <c r="D281" s="12"/>
      <c r="E281" s="9"/>
      <c r="F281" s="10"/>
      <c r="G281" s="11"/>
      <c r="H281" s="9"/>
      <c r="I281" s="31"/>
      <c r="J281" s="9"/>
      <c r="K281" s="9"/>
      <c r="L281" s="21" t="s">
        <v>65</v>
      </c>
      <c r="M281" s="30" t="s">
        <v>1073</v>
      </c>
      <c r="N281" s="30" t="s">
        <v>1169</v>
      </c>
      <c r="O281" s="29" t="s">
        <v>1135</v>
      </c>
      <c r="P281" s="14" t="s">
        <v>533</v>
      </c>
      <c r="Q281" s="14" t="s">
        <v>533</v>
      </c>
      <c r="R281" s="14" t="s">
        <v>1074</v>
      </c>
    </row>
    <row r="282">
      <c r="A282" s="7"/>
      <c r="B282" s="16"/>
      <c r="C282" s="12"/>
      <c r="D282" s="12"/>
      <c r="E282" s="9"/>
      <c r="F282" s="10"/>
      <c r="G282" s="11"/>
      <c r="H282" s="9"/>
      <c r="I282" s="31"/>
      <c r="J282" s="9"/>
      <c r="K282" s="9"/>
      <c r="L282" s="21" t="s">
        <v>71</v>
      </c>
      <c r="M282" s="30" t="s">
        <v>1170</v>
      </c>
      <c r="N282" s="30" t="s">
        <v>1171</v>
      </c>
      <c r="O282" s="29" t="s">
        <v>1172</v>
      </c>
      <c r="P282" s="14" t="s">
        <v>533</v>
      </c>
      <c r="Q282" s="14" t="s">
        <v>562</v>
      </c>
      <c r="R282" s="14" t="s">
        <v>1076</v>
      </c>
    </row>
    <row r="283">
      <c r="A283" s="7" t="s">
        <v>169</v>
      </c>
      <c r="B283" s="14" t="s">
        <v>1057</v>
      </c>
      <c r="C283" s="12"/>
      <c r="D283" s="17" t="s">
        <v>1173</v>
      </c>
      <c r="E283" s="9" t="s">
        <v>170</v>
      </c>
      <c r="F283" s="33" t="s">
        <v>171</v>
      </c>
      <c r="G283" s="11">
        <v>2025.0</v>
      </c>
      <c r="H283" s="9" t="s">
        <v>172</v>
      </c>
      <c r="I283" s="29" t="s">
        <v>680</v>
      </c>
      <c r="J283" s="9"/>
      <c r="K283" s="9" t="s">
        <v>152</v>
      </c>
      <c r="L283" s="21" t="s">
        <v>25</v>
      </c>
      <c r="M283" s="30" t="s">
        <v>1174</v>
      </c>
      <c r="N283" s="30" t="s">
        <v>1175</v>
      </c>
      <c r="O283" s="29" t="s">
        <v>1129</v>
      </c>
      <c r="P283" s="14" t="s">
        <v>533</v>
      </c>
      <c r="Q283" s="14" t="s">
        <v>533</v>
      </c>
      <c r="R283" s="16" t="str">
        <f>IF(OR(P283="",Q283=""),"",IF(P283=Q283,"Igual","Diferente"))</f>
        <v>Igual</v>
      </c>
    </row>
    <row r="284">
      <c r="A284" s="7"/>
      <c r="B284" s="16"/>
      <c r="C284" s="12"/>
      <c r="D284" s="12"/>
      <c r="E284" s="9"/>
      <c r="F284" s="10"/>
      <c r="G284" s="11"/>
      <c r="H284" s="9"/>
      <c r="I284" s="31"/>
      <c r="J284" s="9"/>
      <c r="K284" s="9"/>
      <c r="L284" s="21" t="s">
        <v>31</v>
      </c>
      <c r="M284" s="30" t="s">
        <v>1176</v>
      </c>
      <c r="N284" s="30" t="s">
        <v>1177</v>
      </c>
      <c r="O284" s="29" t="s">
        <v>1178</v>
      </c>
      <c r="P284" s="14" t="s">
        <v>533</v>
      </c>
      <c r="Q284" s="14" t="s">
        <v>533</v>
      </c>
      <c r="R284" s="14" t="s">
        <v>1074</v>
      </c>
    </row>
    <row r="285">
      <c r="A285" s="7"/>
      <c r="B285" s="16"/>
      <c r="C285" s="12"/>
      <c r="D285" s="12"/>
      <c r="E285" s="9"/>
      <c r="F285" s="10"/>
      <c r="G285" s="11"/>
      <c r="H285" s="9"/>
      <c r="I285" s="31"/>
      <c r="J285" s="9"/>
      <c r="K285" s="9"/>
      <c r="L285" s="21" t="s">
        <v>36</v>
      </c>
      <c r="M285" s="30" t="s">
        <v>1179</v>
      </c>
      <c r="N285" s="30" t="s">
        <v>1180</v>
      </c>
      <c r="O285" s="29" t="s">
        <v>1181</v>
      </c>
      <c r="P285" s="14" t="s">
        <v>533</v>
      </c>
      <c r="Q285" s="14" t="s">
        <v>533</v>
      </c>
      <c r="R285" s="14" t="s">
        <v>1074</v>
      </c>
    </row>
    <row r="286">
      <c r="A286" s="7"/>
      <c r="B286" s="16"/>
      <c r="C286" s="12"/>
      <c r="D286" s="12"/>
      <c r="E286" s="9"/>
      <c r="F286" s="10"/>
      <c r="G286" s="11"/>
      <c r="H286" s="9"/>
      <c r="I286" s="31"/>
      <c r="J286" s="9"/>
      <c r="K286" s="9"/>
      <c r="L286" s="21" t="s">
        <v>41</v>
      </c>
      <c r="M286" s="30" t="s">
        <v>1182</v>
      </c>
      <c r="N286" s="30" t="s">
        <v>1183</v>
      </c>
      <c r="O286" s="29" t="s">
        <v>1184</v>
      </c>
      <c r="P286" s="14" t="s">
        <v>562</v>
      </c>
      <c r="Q286" s="14" t="s">
        <v>562</v>
      </c>
      <c r="R286" s="14" t="s">
        <v>1074</v>
      </c>
    </row>
    <row r="287">
      <c r="A287" s="7"/>
      <c r="B287" s="16"/>
      <c r="C287" s="12"/>
      <c r="D287" s="12"/>
      <c r="E287" s="9"/>
      <c r="F287" s="10"/>
      <c r="G287" s="11"/>
      <c r="H287" s="9"/>
      <c r="I287" s="31"/>
      <c r="J287" s="9"/>
      <c r="K287" s="9"/>
      <c r="L287" s="21" t="s">
        <v>47</v>
      </c>
      <c r="M287" s="30" t="s">
        <v>1185</v>
      </c>
      <c r="N287" s="30" t="s">
        <v>1186</v>
      </c>
      <c r="O287" s="29" t="s">
        <v>1187</v>
      </c>
      <c r="P287" s="14" t="s">
        <v>533</v>
      </c>
      <c r="Q287" s="14" t="s">
        <v>562</v>
      </c>
      <c r="R287" s="14" t="s">
        <v>1076</v>
      </c>
    </row>
    <row r="288">
      <c r="A288" s="7"/>
      <c r="B288" s="16"/>
      <c r="C288" s="12"/>
      <c r="D288" s="12"/>
      <c r="E288" s="9"/>
      <c r="F288" s="10"/>
      <c r="G288" s="11"/>
      <c r="H288" s="9"/>
      <c r="I288" s="31"/>
      <c r="J288" s="9"/>
      <c r="K288" s="9"/>
      <c r="L288" s="21" t="s">
        <v>53</v>
      </c>
      <c r="M288" s="30" t="s">
        <v>1188</v>
      </c>
      <c r="N288" s="30" t="s">
        <v>1189</v>
      </c>
      <c r="O288" s="29" t="s">
        <v>1135</v>
      </c>
      <c r="P288" s="14" t="s">
        <v>533</v>
      </c>
      <c r="Q288" s="14" t="s">
        <v>533</v>
      </c>
      <c r="R288" s="14" t="s">
        <v>1074</v>
      </c>
    </row>
    <row r="289">
      <c r="A289" s="7"/>
      <c r="B289" s="16"/>
      <c r="C289" s="12"/>
      <c r="D289" s="12"/>
      <c r="E289" s="9"/>
      <c r="F289" s="10"/>
      <c r="G289" s="11"/>
      <c r="H289" s="9"/>
      <c r="I289" s="31"/>
      <c r="J289" s="9"/>
      <c r="K289" s="9"/>
      <c r="L289" s="21" t="s">
        <v>59</v>
      </c>
      <c r="M289" s="30" t="s">
        <v>1190</v>
      </c>
      <c r="N289" s="30" t="s">
        <v>1191</v>
      </c>
      <c r="O289" s="29" t="s">
        <v>1192</v>
      </c>
      <c r="P289" s="14" t="s">
        <v>533</v>
      </c>
      <c r="Q289" s="14" t="s">
        <v>533</v>
      </c>
      <c r="R289" s="14" t="s">
        <v>1074</v>
      </c>
    </row>
    <row r="290">
      <c r="A290" s="7"/>
      <c r="B290" s="16"/>
      <c r="C290" s="12"/>
      <c r="D290" s="12"/>
      <c r="E290" s="9"/>
      <c r="F290" s="10"/>
      <c r="G290" s="11"/>
      <c r="H290" s="9"/>
      <c r="I290" s="31"/>
      <c r="J290" s="9"/>
      <c r="K290" s="9"/>
      <c r="L290" s="21" t="s">
        <v>65</v>
      </c>
      <c r="M290" s="30" t="s">
        <v>1193</v>
      </c>
      <c r="N290" s="30" t="s">
        <v>1194</v>
      </c>
      <c r="O290" s="29" t="s">
        <v>1135</v>
      </c>
      <c r="P290" s="14" t="s">
        <v>533</v>
      </c>
      <c r="Q290" s="14" t="s">
        <v>533</v>
      </c>
      <c r="R290" s="14" t="s">
        <v>1074</v>
      </c>
    </row>
    <row r="291">
      <c r="A291" s="7"/>
      <c r="B291" s="16"/>
      <c r="C291" s="12"/>
      <c r="D291" s="12"/>
      <c r="E291" s="9"/>
      <c r="F291" s="10"/>
      <c r="G291" s="11"/>
      <c r="H291" s="9"/>
      <c r="I291" s="31"/>
      <c r="J291" s="9"/>
      <c r="K291" s="9"/>
      <c r="L291" s="21" t="s">
        <v>71</v>
      </c>
      <c r="M291" s="30" t="s">
        <v>1195</v>
      </c>
      <c r="N291" s="30" t="s">
        <v>1196</v>
      </c>
      <c r="O291" s="29" t="s">
        <v>1197</v>
      </c>
      <c r="P291" s="14" t="s">
        <v>533</v>
      </c>
      <c r="Q291" s="14" t="s">
        <v>562</v>
      </c>
      <c r="R291" s="14" t="s">
        <v>1076</v>
      </c>
    </row>
    <row r="292">
      <c r="A292" s="7" t="s">
        <v>173</v>
      </c>
      <c r="B292" s="14" t="s">
        <v>1057</v>
      </c>
      <c r="C292" s="12"/>
      <c r="D292" s="17" t="s">
        <v>1077</v>
      </c>
      <c r="E292" s="9" t="s">
        <v>154</v>
      </c>
      <c r="F292" s="10" t="s">
        <v>174</v>
      </c>
      <c r="G292" s="11">
        <v>2024.0</v>
      </c>
      <c r="H292" s="9" t="s">
        <v>175</v>
      </c>
      <c r="I292" s="29" t="s">
        <v>528</v>
      </c>
      <c r="J292" s="9"/>
      <c r="K292" s="9" t="s">
        <v>152</v>
      </c>
      <c r="L292" s="21" t="s">
        <v>25</v>
      </c>
      <c r="M292" s="30" t="s">
        <v>1198</v>
      </c>
      <c r="N292" s="30" t="s">
        <v>1199</v>
      </c>
      <c r="O292" s="29" t="s">
        <v>1129</v>
      </c>
      <c r="P292" s="14" t="s">
        <v>533</v>
      </c>
      <c r="Q292" s="14" t="s">
        <v>533</v>
      </c>
      <c r="R292" s="16" t="str">
        <f>IF(OR(P292="",Q292=""),"",IF(P292=Q292,"Igual","Diferente"))</f>
        <v>Igual</v>
      </c>
    </row>
    <row r="293">
      <c r="A293" s="7"/>
      <c r="B293" s="16"/>
      <c r="C293" s="12"/>
      <c r="D293" s="12"/>
      <c r="E293" s="9"/>
      <c r="F293" s="10"/>
      <c r="G293" s="11"/>
      <c r="H293" s="9"/>
      <c r="I293" s="31"/>
      <c r="J293" s="9"/>
      <c r="K293" s="9"/>
      <c r="L293" s="21" t="s">
        <v>31</v>
      </c>
      <c r="M293" s="30" t="s">
        <v>1200</v>
      </c>
      <c r="N293" s="30" t="s">
        <v>1201</v>
      </c>
      <c r="O293" s="29" t="s">
        <v>1202</v>
      </c>
      <c r="P293" s="14" t="s">
        <v>562</v>
      </c>
      <c r="Q293" s="14" t="s">
        <v>533</v>
      </c>
      <c r="R293" s="14" t="s">
        <v>1076</v>
      </c>
    </row>
    <row r="294">
      <c r="A294" s="7"/>
      <c r="B294" s="16"/>
      <c r="C294" s="12"/>
      <c r="D294" s="12"/>
      <c r="E294" s="9"/>
      <c r="F294" s="10"/>
      <c r="G294" s="11"/>
      <c r="H294" s="9"/>
      <c r="I294" s="31"/>
      <c r="J294" s="9"/>
      <c r="K294" s="9"/>
      <c r="L294" s="21" t="s">
        <v>36</v>
      </c>
      <c r="M294" s="30" t="s">
        <v>1203</v>
      </c>
      <c r="N294" s="30" t="s">
        <v>1204</v>
      </c>
      <c r="O294" s="29" t="s">
        <v>1205</v>
      </c>
      <c r="P294" s="14" t="s">
        <v>542</v>
      </c>
      <c r="Q294" s="14" t="s">
        <v>533</v>
      </c>
      <c r="R294" s="14" t="s">
        <v>1206</v>
      </c>
    </row>
    <row r="295">
      <c r="A295" s="7"/>
      <c r="B295" s="16"/>
      <c r="C295" s="12"/>
      <c r="D295" s="12"/>
      <c r="E295" s="9"/>
      <c r="F295" s="10"/>
      <c r="G295" s="11"/>
      <c r="H295" s="9"/>
      <c r="I295" s="31"/>
      <c r="J295" s="9"/>
      <c r="K295" s="9"/>
      <c r="L295" s="21" t="s">
        <v>41</v>
      </c>
      <c r="M295" s="30" t="s">
        <v>1207</v>
      </c>
      <c r="N295" s="30" t="s">
        <v>1208</v>
      </c>
      <c r="O295" s="29" t="s">
        <v>1209</v>
      </c>
      <c r="P295" s="14" t="s">
        <v>533</v>
      </c>
      <c r="Q295" s="14" t="s">
        <v>533</v>
      </c>
      <c r="R295" s="14" t="s">
        <v>1074</v>
      </c>
    </row>
    <row r="296">
      <c r="A296" s="7"/>
      <c r="B296" s="16"/>
      <c r="C296" s="12"/>
      <c r="D296" s="12"/>
      <c r="E296" s="9"/>
      <c r="F296" s="10"/>
      <c r="G296" s="11"/>
      <c r="H296" s="9"/>
      <c r="I296" s="31"/>
      <c r="J296" s="9"/>
      <c r="K296" s="9"/>
      <c r="L296" s="21" t="s">
        <v>47</v>
      </c>
      <c r="M296" s="30" t="s">
        <v>1210</v>
      </c>
      <c r="N296" s="30" t="s">
        <v>1211</v>
      </c>
      <c r="O296" s="29" t="s">
        <v>1212</v>
      </c>
      <c r="P296" s="14" t="s">
        <v>533</v>
      </c>
      <c r="Q296" s="14" t="s">
        <v>533</v>
      </c>
      <c r="R296" s="14" t="s">
        <v>1074</v>
      </c>
    </row>
    <row r="297">
      <c r="A297" s="7"/>
      <c r="B297" s="16"/>
      <c r="C297" s="12"/>
      <c r="D297" s="12"/>
      <c r="E297" s="9"/>
      <c r="F297" s="10"/>
      <c r="G297" s="11"/>
      <c r="H297" s="9"/>
      <c r="I297" s="31"/>
      <c r="J297" s="9"/>
      <c r="K297" s="9"/>
      <c r="L297" s="21" t="s">
        <v>53</v>
      </c>
      <c r="M297" s="30" t="s">
        <v>1213</v>
      </c>
      <c r="N297" s="30" t="s">
        <v>1214</v>
      </c>
      <c r="O297" s="29" t="s">
        <v>1135</v>
      </c>
      <c r="P297" s="14" t="s">
        <v>533</v>
      </c>
      <c r="Q297" s="14" t="s">
        <v>533</v>
      </c>
      <c r="R297" s="14" t="s">
        <v>1074</v>
      </c>
    </row>
    <row r="298">
      <c r="A298" s="7"/>
      <c r="B298" s="16"/>
      <c r="C298" s="12"/>
      <c r="D298" s="12"/>
      <c r="E298" s="9"/>
      <c r="F298" s="10"/>
      <c r="G298" s="11"/>
      <c r="H298" s="9"/>
      <c r="I298" s="31"/>
      <c r="J298" s="9"/>
      <c r="K298" s="9"/>
      <c r="L298" s="21" t="s">
        <v>59</v>
      </c>
      <c r="M298" s="30" t="s">
        <v>1215</v>
      </c>
      <c r="N298" s="30" t="s">
        <v>1216</v>
      </c>
      <c r="O298" s="29" t="s">
        <v>1217</v>
      </c>
      <c r="P298" s="14" t="s">
        <v>542</v>
      </c>
      <c r="Q298" s="14" t="s">
        <v>533</v>
      </c>
      <c r="R298" s="14" t="s">
        <v>1206</v>
      </c>
    </row>
    <row r="299">
      <c r="A299" s="7"/>
      <c r="B299" s="16"/>
      <c r="C299" s="12"/>
      <c r="D299" s="12"/>
      <c r="E299" s="9"/>
      <c r="F299" s="10"/>
      <c r="G299" s="11"/>
      <c r="H299" s="9"/>
      <c r="I299" s="31"/>
      <c r="J299" s="9"/>
      <c r="K299" s="9"/>
      <c r="L299" s="21" t="s">
        <v>65</v>
      </c>
      <c r="M299" s="30" t="s">
        <v>1218</v>
      </c>
      <c r="N299" s="30" t="s">
        <v>1219</v>
      </c>
      <c r="O299" s="29" t="s">
        <v>1135</v>
      </c>
      <c r="P299" s="14" t="s">
        <v>533</v>
      </c>
      <c r="Q299" s="14" t="s">
        <v>533</v>
      </c>
      <c r="R299" s="14" t="s">
        <v>1074</v>
      </c>
    </row>
    <row r="300">
      <c r="A300" s="7"/>
      <c r="B300" s="16"/>
      <c r="C300" s="12"/>
      <c r="D300" s="12"/>
      <c r="E300" s="9"/>
      <c r="F300" s="10"/>
      <c r="G300" s="11"/>
      <c r="H300" s="9"/>
      <c r="I300" s="31"/>
      <c r="J300" s="9"/>
      <c r="K300" s="9"/>
      <c r="L300" s="21" t="s">
        <v>71</v>
      </c>
      <c r="M300" s="30" t="s">
        <v>1220</v>
      </c>
      <c r="N300" s="30" t="s">
        <v>1221</v>
      </c>
      <c r="O300" s="29" t="s">
        <v>1222</v>
      </c>
      <c r="P300" s="14" t="s">
        <v>533</v>
      </c>
      <c r="Q300" s="14" t="s">
        <v>533</v>
      </c>
      <c r="R300" s="14" t="s">
        <v>1074</v>
      </c>
    </row>
    <row r="301">
      <c r="A301" s="7" t="s">
        <v>176</v>
      </c>
      <c r="B301" s="14" t="s">
        <v>1057</v>
      </c>
      <c r="C301" s="12"/>
      <c r="D301" s="17" t="s">
        <v>1223</v>
      </c>
      <c r="E301" s="9" t="s">
        <v>177</v>
      </c>
      <c r="F301" s="10" t="s">
        <v>178</v>
      </c>
      <c r="G301" s="11">
        <v>2024.0</v>
      </c>
      <c r="H301" s="9" t="s">
        <v>179</v>
      </c>
      <c r="I301" s="29" t="s">
        <v>528</v>
      </c>
      <c r="J301" s="9"/>
      <c r="K301" s="9" t="s">
        <v>152</v>
      </c>
      <c r="L301" s="21" t="s">
        <v>25</v>
      </c>
      <c r="M301" s="30" t="s">
        <v>1224</v>
      </c>
      <c r="N301" s="30" t="s">
        <v>1225</v>
      </c>
      <c r="O301" s="29" t="s">
        <v>1129</v>
      </c>
      <c r="P301" s="14" t="s">
        <v>533</v>
      </c>
      <c r="Q301" s="14" t="s">
        <v>533</v>
      </c>
      <c r="R301" s="16" t="str">
        <f>IF(OR(P301="",Q301=""),"",IF(P301=Q301,"Igual","Diferente"))</f>
        <v>Igual</v>
      </c>
    </row>
    <row r="302">
      <c r="A302" s="7"/>
      <c r="B302" s="16"/>
      <c r="C302" s="12"/>
      <c r="D302" s="12"/>
      <c r="E302" s="9"/>
      <c r="F302" s="10"/>
      <c r="G302" s="11"/>
      <c r="H302" s="9"/>
      <c r="I302" s="31"/>
      <c r="J302" s="9"/>
      <c r="K302" s="9"/>
      <c r="L302" s="21" t="s">
        <v>31</v>
      </c>
      <c r="M302" s="30" t="s">
        <v>1226</v>
      </c>
      <c r="N302" s="30" t="s">
        <v>1227</v>
      </c>
      <c r="O302" s="29" t="s">
        <v>1228</v>
      </c>
      <c r="P302" s="14" t="s">
        <v>533</v>
      </c>
      <c r="Q302" s="14" t="s">
        <v>533</v>
      </c>
      <c r="R302" s="14" t="s">
        <v>1074</v>
      </c>
    </row>
    <row r="303">
      <c r="A303" s="7"/>
      <c r="B303" s="16"/>
      <c r="C303" s="12"/>
      <c r="D303" s="12"/>
      <c r="E303" s="9"/>
      <c r="F303" s="10"/>
      <c r="G303" s="11"/>
      <c r="H303" s="9"/>
      <c r="I303" s="31"/>
      <c r="J303" s="9"/>
      <c r="K303" s="9"/>
      <c r="L303" s="21" t="s">
        <v>36</v>
      </c>
      <c r="M303" s="30" t="s">
        <v>1229</v>
      </c>
      <c r="N303" s="30" t="s">
        <v>1230</v>
      </c>
      <c r="O303" s="29" t="s">
        <v>1231</v>
      </c>
      <c r="P303" s="14" t="s">
        <v>533</v>
      </c>
      <c r="Q303" s="14" t="s">
        <v>533</v>
      </c>
      <c r="R303" s="14" t="s">
        <v>1074</v>
      </c>
    </row>
    <row r="304">
      <c r="A304" s="7"/>
      <c r="B304" s="16"/>
      <c r="C304" s="12"/>
      <c r="D304" s="12"/>
      <c r="E304" s="9"/>
      <c r="F304" s="10"/>
      <c r="G304" s="11"/>
      <c r="H304" s="9"/>
      <c r="I304" s="31"/>
      <c r="J304" s="9"/>
      <c r="K304" s="9"/>
      <c r="L304" s="21" t="s">
        <v>41</v>
      </c>
      <c r="M304" s="30" t="s">
        <v>1232</v>
      </c>
      <c r="N304" s="30" t="s">
        <v>1233</v>
      </c>
      <c r="O304" s="29" t="s">
        <v>1234</v>
      </c>
      <c r="P304" s="14" t="s">
        <v>533</v>
      </c>
      <c r="Q304" s="14" t="s">
        <v>533</v>
      </c>
      <c r="R304" s="14" t="s">
        <v>1074</v>
      </c>
    </row>
    <row r="305">
      <c r="A305" s="7"/>
      <c r="B305" s="16"/>
      <c r="C305" s="12"/>
      <c r="D305" s="12"/>
      <c r="E305" s="9"/>
      <c r="F305" s="10"/>
      <c r="G305" s="11"/>
      <c r="H305" s="9"/>
      <c r="I305" s="31"/>
      <c r="J305" s="9"/>
      <c r="K305" s="9"/>
      <c r="L305" s="21" t="s">
        <v>47</v>
      </c>
      <c r="M305" s="30" t="s">
        <v>1073</v>
      </c>
      <c r="N305" s="30" t="s">
        <v>1235</v>
      </c>
      <c r="O305" s="29" t="s">
        <v>1135</v>
      </c>
      <c r="P305" s="14" t="s">
        <v>533</v>
      </c>
      <c r="Q305" s="14" t="s">
        <v>533</v>
      </c>
      <c r="R305" s="14" t="s">
        <v>1074</v>
      </c>
    </row>
    <row r="306">
      <c r="A306" s="7"/>
      <c r="B306" s="16"/>
      <c r="C306" s="12"/>
      <c r="D306" s="12"/>
      <c r="E306" s="9"/>
      <c r="F306" s="10"/>
      <c r="G306" s="11"/>
      <c r="H306" s="9"/>
      <c r="I306" s="31"/>
      <c r="J306" s="9"/>
      <c r="K306" s="9"/>
      <c r="L306" s="21" t="s">
        <v>53</v>
      </c>
      <c r="M306" s="30" t="s">
        <v>1073</v>
      </c>
      <c r="N306" s="30" t="s">
        <v>1236</v>
      </c>
      <c r="O306" s="29" t="s">
        <v>1135</v>
      </c>
      <c r="P306" s="14" t="s">
        <v>533</v>
      </c>
      <c r="Q306" s="14" t="s">
        <v>533</v>
      </c>
      <c r="R306" s="14" t="s">
        <v>1074</v>
      </c>
    </row>
    <row r="307">
      <c r="A307" s="7"/>
      <c r="B307" s="16"/>
      <c r="C307" s="12"/>
      <c r="D307" s="12"/>
      <c r="E307" s="9"/>
      <c r="F307" s="10"/>
      <c r="G307" s="11"/>
      <c r="H307" s="9"/>
      <c r="I307" s="31"/>
      <c r="J307" s="9"/>
      <c r="K307" s="9"/>
      <c r="L307" s="21" t="s">
        <v>59</v>
      </c>
      <c r="M307" s="30" t="s">
        <v>1237</v>
      </c>
      <c r="N307" s="30" t="s">
        <v>1238</v>
      </c>
      <c r="O307" s="29" t="s">
        <v>1239</v>
      </c>
      <c r="P307" s="14" t="s">
        <v>533</v>
      </c>
      <c r="Q307" s="14" t="s">
        <v>533</v>
      </c>
      <c r="R307" s="14" t="s">
        <v>1074</v>
      </c>
    </row>
    <row r="308">
      <c r="A308" s="7"/>
      <c r="B308" s="16"/>
      <c r="C308" s="12"/>
      <c r="D308" s="12"/>
      <c r="E308" s="9"/>
      <c r="F308" s="10"/>
      <c r="G308" s="11"/>
      <c r="H308" s="9"/>
      <c r="I308" s="31"/>
      <c r="J308" s="9"/>
      <c r="K308" s="9"/>
      <c r="L308" s="21" t="s">
        <v>65</v>
      </c>
      <c r="M308" s="30" t="s">
        <v>1073</v>
      </c>
      <c r="N308" s="30" t="s">
        <v>1240</v>
      </c>
      <c r="O308" s="29" t="s">
        <v>1241</v>
      </c>
      <c r="P308" s="14" t="s">
        <v>533</v>
      </c>
      <c r="Q308" s="14" t="s">
        <v>533</v>
      </c>
      <c r="R308" s="14" t="s">
        <v>1074</v>
      </c>
    </row>
    <row r="309">
      <c r="A309" s="7"/>
      <c r="B309" s="16"/>
      <c r="C309" s="12"/>
      <c r="D309" s="12"/>
      <c r="E309" s="9"/>
      <c r="F309" s="10"/>
      <c r="G309" s="11"/>
      <c r="H309" s="9"/>
      <c r="I309" s="31"/>
      <c r="J309" s="9"/>
      <c r="K309" s="9"/>
      <c r="L309" s="21" t="s">
        <v>71</v>
      </c>
      <c r="M309" s="30" t="s">
        <v>1242</v>
      </c>
      <c r="N309" s="30" t="s">
        <v>1243</v>
      </c>
      <c r="O309" s="29" t="s">
        <v>1135</v>
      </c>
      <c r="P309" s="14" t="s">
        <v>562</v>
      </c>
      <c r="Q309" s="14" t="s">
        <v>533</v>
      </c>
      <c r="R309" s="14" t="s">
        <v>1076</v>
      </c>
    </row>
    <row r="310">
      <c r="A310" s="7" t="s">
        <v>180</v>
      </c>
      <c r="B310" s="14" t="s">
        <v>1057</v>
      </c>
      <c r="C310" s="12"/>
      <c r="D310" s="17" t="s">
        <v>1244</v>
      </c>
      <c r="E310" s="9" t="s">
        <v>158</v>
      </c>
      <c r="F310" s="10" t="s">
        <v>181</v>
      </c>
      <c r="G310" s="11">
        <v>2025.0</v>
      </c>
      <c r="H310" s="9" t="s">
        <v>182</v>
      </c>
      <c r="I310" s="29" t="s">
        <v>1021</v>
      </c>
      <c r="J310" s="9"/>
      <c r="K310" s="9" t="s">
        <v>152</v>
      </c>
      <c r="L310" s="21" t="s">
        <v>25</v>
      </c>
      <c r="M310" s="30" t="s">
        <v>1245</v>
      </c>
      <c r="N310" s="30" t="s">
        <v>1246</v>
      </c>
      <c r="O310" s="29" t="s">
        <v>1129</v>
      </c>
      <c r="P310" s="14" t="s">
        <v>533</v>
      </c>
      <c r="Q310" s="14" t="s">
        <v>533</v>
      </c>
      <c r="R310" s="16" t="str">
        <f>IF(OR(P310="",Q310=""),"",IF(P310=Q310,"Igual","Diferente"))</f>
        <v>Igual</v>
      </c>
    </row>
    <row r="311">
      <c r="A311" s="7"/>
      <c r="B311" s="16"/>
      <c r="C311" s="12"/>
      <c r="D311" s="12"/>
      <c r="E311" s="9"/>
      <c r="F311" s="10"/>
      <c r="G311" s="11"/>
      <c r="H311" s="9"/>
      <c r="I311" s="31"/>
      <c r="J311" s="9"/>
      <c r="K311" s="9"/>
      <c r="L311" s="21" t="s">
        <v>31</v>
      </c>
      <c r="M311" s="30" t="s">
        <v>1247</v>
      </c>
      <c r="N311" s="30" t="s">
        <v>1105</v>
      </c>
      <c r="O311" s="29" t="s">
        <v>1248</v>
      </c>
      <c r="P311" s="14" t="s">
        <v>533</v>
      </c>
      <c r="Q311" s="14" t="s">
        <v>533</v>
      </c>
      <c r="R311" s="14" t="s">
        <v>1074</v>
      </c>
    </row>
    <row r="312">
      <c r="A312" s="7"/>
      <c r="B312" s="16"/>
      <c r="C312" s="12"/>
      <c r="D312" s="12"/>
      <c r="E312" s="9"/>
      <c r="F312" s="10"/>
      <c r="G312" s="11"/>
      <c r="H312" s="9"/>
      <c r="I312" s="31"/>
      <c r="J312" s="9"/>
      <c r="K312" s="9"/>
      <c r="L312" s="21" t="s">
        <v>36</v>
      </c>
      <c r="M312" s="30" t="s">
        <v>1249</v>
      </c>
      <c r="N312" s="30" t="s">
        <v>1108</v>
      </c>
      <c r="O312" s="29" t="s">
        <v>1135</v>
      </c>
      <c r="P312" s="14" t="s">
        <v>533</v>
      </c>
      <c r="Q312" s="14" t="s">
        <v>533</v>
      </c>
      <c r="R312" s="14" t="s">
        <v>1074</v>
      </c>
    </row>
    <row r="313">
      <c r="A313" s="7"/>
      <c r="B313" s="16"/>
      <c r="C313" s="12"/>
      <c r="D313" s="12"/>
      <c r="E313" s="9"/>
      <c r="F313" s="10"/>
      <c r="G313" s="11"/>
      <c r="H313" s="9"/>
      <c r="I313" s="31"/>
      <c r="J313" s="9"/>
      <c r="K313" s="9"/>
      <c r="L313" s="21" t="s">
        <v>41</v>
      </c>
      <c r="M313" s="30" t="s">
        <v>1250</v>
      </c>
      <c r="N313" s="30" t="s">
        <v>1110</v>
      </c>
      <c r="O313" s="29" t="s">
        <v>1251</v>
      </c>
      <c r="P313" s="14" t="s">
        <v>533</v>
      </c>
      <c r="Q313" s="14" t="s">
        <v>542</v>
      </c>
      <c r="R313" s="14" t="s">
        <v>1206</v>
      </c>
    </row>
    <row r="314">
      <c r="A314" s="7"/>
      <c r="B314" s="16"/>
      <c r="C314" s="12"/>
      <c r="D314" s="12"/>
      <c r="E314" s="9"/>
      <c r="F314" s="10"/>
      <c r="G314" s="11"/>
      <c r="H314" s="9"/>
      <c r="I314" s="31"/>
      <c r="J314" s="9"/>
      <c r="K314" s="9"/>
      <c r="L314" s="21" t="s">
        <v>47</v>
      </c>
      <c r="M314" s="30" t="s">
        <v>1252</v>
      </c>
      <c r="N314" s="30" t="s">
        <v>1113</v>
      </c>
      <c r="O314" s="29" t="s">
        <v>1253</v>
      </c>
      <c r="P314" s="14" t="s">
        <v>533</v>
      </c>
      <c r="Q314" s="14" t="s">
        <v>533</v>
      </c>
      <c r="R314" s="14" t="s">
        <v>1074</v>
      </c>
    </row>
    <row r="315">
      <c r="A315" s="7"/>
      <c r="B315" s="16"/>
      <c r="C315" s="12"/>
      <c r="D315" s="12"/>
      <c r="E315" s="9"/>
      <c r="F315" s="10"/>
      <c r="G315" s="11"/>
      <c r="H315" s="9"/>
      <c r="I315" s="31"/>
      <c r="J315" s="9"/>
      <c r="K315" s="9"/>
      <c r="L315" s="21" t="s">
        <v>53</v>
      </c>
      <c r="M315" s="30" t="s">
        <v>1254</v>
      </c>
      <c r="N315" s="30" t="s">
        <v>1116</v>
      </c>
      <c r="O315" s="29" t="s">
        <v>1135</v>
      </c>
      <c r="P315" s="14" t="s">
        <v>533</v>
      </c>
      <c r="Q315" s="14" t="s">
        <v>533</v>
      </c>
      <c r="R315" s="14" t="s">
        <v>1074</v>
      </c>
    </row>
    <row r="316">
      <c r="A316" s="7"/>
      <c r="B316" s="16"/>
      <c r="C316" s="12"/>
      <c r="D316" s="12"/>
      <c r="E316" s="9"/>
      <c r="F316" s="10"/>
      <c r="G316" s="11"/>
      <c r="H316" s="9"/>
      <c r="I316" s="31"/>
      <c r="J316" s="9"/>
      <c r="K316" s="9"/>
      <c r="L316" s="21" t="s">
        <v>59</v>
      </c>
      <c r="M316" s="30" t="s">
        <v>1255</v>
      </c>
      <c r="N316" s="30" t="s">
        <v>1119</v>
      </c>
      <c r="O316" s="29" t="s">
        <v>1256</v>
      </c>
      <c r="P316" s="14" t="s">
        <v>533</v>
      </c>
      <c r="Q316" s="14" t="s">
        <v>533</v>
      </c>
      <c r="R316" s="14" t="s">
        <v>1074</v>
      </c>
    </row>
    <row r="317">
      <c r="A317" s="7"/>
      <c r="B317" s="16"/>
      <c r="C317" s="12"/>
      <c r="D317" s="12"/>
      <c r="E317" s="9"/>
      <c r="F317" s="10"/>
      <c r="G317" s="11"/>
      <c r="H317" s="9"/>
      <c r="I317" s="31"/>
      <c r="J317" s="9"/>
      <c r="K317" s="9"/>
      <c r="L317" s="21" t="s">
        <v>65</v>
      </c>
      <c r="M317" s="30" t="s">
        <v>1257</v>
      </c>
      <c r="N317" s="30" t="s">
        <v>1122</v>
      </c>
      <c r="O317" s="29" t="s">
        <v>1135</v>
      </c>
      <c r="P317" s="14" t="s">
        <v>533</v>
      </c>
      <c r="Q317" s="14" t="s">
        <v>533</v>
      </c>
      <c r="R317" s="14" t="s">
        <v>1074</v>
      </c>
    </row>
    <row r="318">
      <c r="A318" s="7"/>
      <c r="B318" s="16"/>
      <c r="C318" s="12"/>
      <c r="D318" s="12"/>
      <c r="E318" s="9"/>
      <c r="F318" s="10"/>
      <c r="G318" s="11"/>
      <c r="H318" s="9"/>
      <c r="I318" s="31"/>
      <c r="J318" s="9"/>
      <c r="K318" s="9"/>
      <c r="L318" s="21" t="s">
        <v>71</v>
      </c>
      <c r="M318" s="30" t="s">
        <v>1258</v>
      </c>
      <c r="N318" s="30" t="s">
        <v>1124</v>
      </c>
      <c r="O318" s="29" t="s">
        <v>1259</v>
      </c>
      <c r="P318" s="14" t="s">
        <v>533</v>
      </c>
      <c r="Q318" s="14" t="s">
        <v>533</v>
      </c>
      <c r="R318" s="14" t="s">
        <v>1074</v>
      </c>
    </row>
    <row r="319">
      <c r="A319" s="7" t="s">
        <v>183</v>
      </c>
      <c r="B319" s="14" t="s">
        <v>20</v>
      </c>
      <c r="C319" s="12"/>
      <c r="D319" s="17" t="s">
        <v>1260</v>
      </c>
      <c r="E319" s="9" t="s">
        <v>184</v>
      </c>
      <c r="F319" s="10" t="s">
        <v>185</v>
      </c>
      <c r="G319" s="11">
        <v>2025.0</v>
      </c>
      <c r="H319" s="9" t="s">
        <v>186</v>
      </c>
      <c r="I319" s="29" t="s">
        <v>528</v>
      </c>
      <c r="J319" s="9"/>
      <c r="K319" s="9" t="s">
        <v>152</v>
      </c>
      <c r="L319" s="21" t="s">
        <v>25</v>
      </c>
      <c r="M319" s="30" t="s">
        <v>1261</v>
      </c>
      <c r="N319" s="30" t="s">
        <v>1262</v>
      </c>
      <c r="O319" s="31"/>
      <c r="P319" s="16"/>
      <c r="Q319" s="16"/>
      <c r="R319" s="16" t="str">
        <f t="shared" ref="R319:R1947" si="2">IF(OR(P319="",Q319=""),"",IF(P319=Q319,"Igual","Diferente"))</f>
        <v/>
      </c>
    </row>
    <row r="320">
      <c r="A320" s="7"/>
      <c r="B320" s="16"/>
      <c r="C320" s="12"/>
      <c r="D320" s="12"/>
      <c r="E320" s="9"/>
      <c r="F320" s="10"/>
      <c r="G320" s="11"/>
      <c r="H320" s="9"/>
      <c r="I320" s="31"/>
      <c r="J320" s="9"/>
      <c r="K320" s="9"/>
      <c r="L320" s="21" t="s">
        <v>31</v>
      </c>
      <c r="M320" s="30" t="s">
        <v>1263</v>
      </c>
      <c r="N320" s="30" t="s">
        <v>1264</v>
      </c>
      <c r="O320" s="31"/>
      <c r="P320" s="16"/>
      <c r="Q320" s="16"/>
      <c r="R320" s="16" t="str">
        <f t="shared" si="2"/>
        <v/>
      </c>
    </row>
    <row r="321">
      <c r="A321" s="7"/>
      <c r="B321" s="16"/>
      <c r="C321" s="12"/>
      <c r="D321" s="12"/>
      <c r="E321" s="9"/>
      <c r="F321" s="10"/>
      <c r="G321" s="11"/>
      <c r="H321" s="9"/>
      <c r="I321" s="31"/>
      <c r="J321" s="9"/>
      <c r="K321" s="9"/>
      <c r="L321" s="21" t="s">
        <v>36</v>
      </c>
      <c r="M321" s="30" t="s">
        <v>1265</v>
      </c>
      <c r="N321" s="30" t="s">
        <v>1266</v>
      </c>
      <c r="O321" s="31"/>
      <c r="P321" s="16"/>
      <c r="Q321" s="16"/>
      <c r="R321" s="16" t="str">
        <f t="shared" si="2"/>
        <v/>
      </c>
    </row>
    <row r="322">
      <c r="A322" s="7"/>
      <c r="B322" s="16"/>
      <c r="C322" s="12"/>
      <c r="D322" s="12"/>
      <c r="E322" s="9"/>
      <c r="F322" s="10"/>
      <c r="G322" s="11"/>
      <c r="H322" s="9"/>
      <c r="I322" s="31"/>
      <c r="J322" s="9"/>
      <c r="K322" s="9"/>
      <c r="L322" s="21" t="s">
        <v>41</v>
      </c>
      <c r="M322" s="30" t="s">
        <v>1267</v>
      </c>
      <c r="N322" s="30" t="s">
        <v>1268</v>
      </c>
      <c r="O322" s="31"/>
      <c r="P322" s="16"/>
      <c r="Q322" s="16"/>
      <c r="R322" s="16" t="str">
        <f t="shared" si="2"/>
        <v/>
      </c>
    </row>
    <row r="323">
      <c r="A323" s="7"/>
      <c r="B323" s="16"/>
      <c r="C323" s="12"/>
      <c r="D323" s="12"/>
      <c r="E323" s="9"/>
      <c r="F323" s="10"/>
      <c r="G323" s="11"/>
      <c r="H323" s="9"/>
      <c r="I323" s="31"/>
      <c r="J323" s="9"/>
      <c r="K323" s="9"/>
      <c r="L323" s="21" t="s">
        <v>47</v>
      </c>
      <c r="M323" s="30" t="s">
        <v>1269</v>
      </c>
      <c r="N323" s="30" t="s">
        <v>1270</v>
      </c>
      <c r="O323" s="31"/>
      <c r="P323" s="16"/>
      <c r="Q323" s="16"/>
      <c r="R323" s="16" t="str">
        <f t="shared" si="2"/>
        <v/>
      </c>
    </row>
    <row r="324">
      <c r="A324" s="7"/>
      <c r="B324" s="16"/>
      <c r="C324" s="12"/>
      <c r="D324" s="12"/>
      <c r="E324" s="9"/>
      <c r="F324" s="10"/>
      <c r="G324" s="11"/>
      <c r="H324" s="9"/>
      <c r="I324" s="31"/>
      <c r="J324" s="9"/>
      <c r="K324" s="9"/>
      <c r="L324" s="21" t="s">
        <v>53</v>
      </c>
      <c r="M324" s="30" t="s">
        <v>1254</v>
      </c>
      <c r="N324" s="30" t="s">
        <v>1271</v>
      </c>
      <c r="O324" s="31"/>
      <c r="P324" s="16"/>
      <c r="Q324" s="16"/>
      <c r="R324" s="16" t="str">
        <f t="shared" si="2"/>
        <v/>
      </c>
    </row>
    <row r="325">
      <c r="A325" s="7"/>
      <c r="B325" s="16"/>
      <c r="C325" s="12"/>
      <c r="D325" s="12"/>
      <c r="E325" s="9"/>
      <c r="F325" s="10"/>
      <c r="G325" s="11"/>
      <c r="H325" s="9"/>
      <c r="I325" s="31"/>
      <c r="J325" s="9"/>
      <c r="K325" s="9"/>
      <c r="L325" s="21" t="s">
        <v>59</v>
      </c>
      <c r="M325" s="30" t="s">
        <v>1272</v>
      </c>
      <c r="N325" s="30" t="s">
        <v>1273</v>
      </c>
      <c r="O325" s="31"/>
      <c r="P325" s="16"/>
      <c r="Q325" s="16"/>
      <c r="R325" s="16" t="str">
        <f t="shared" si="2"/>
        <v/>
      </c>
    </row>
    <row r="326">
      <c r="A326" s="7"/>
      <c r="B326" s="16"/>
      <c r="C326" s="12"/>
      <c r="D326" s="12"/>
      <c r="E326" s="9"/>
      <c r="F326" s="10"/>
      <c r="G326" s="11"/>
      <c r="H326" s="9"/>
      <c r="I326" s="31"/>
      <c r="J326" s="9"/>
      <c r="K326" s="9"/>
      <c r="L326" s="21" t="s">
        <v>65</v>
      </c>
      <c r="M326" s="30" t="s">
        <v>1274</v>
      </c>
      <c r="N326" s="30" t="s">
        <v>1275</v>
      </c>
      <c r="O326" s="31"/>
      <c r="P326" s="16"/>
      <c r="Q326" s="16"/>
      <c r="R326" s="16" t="str">
        <f t="shared" si="2"/>
        <v/>
      </c>
    </row>
    <row r="327">
      <c r="A327" s="7"/>
      <c r="B327" s="16"/>
      <c r="C327" s="12"/>
      <c r="D327" s="12"/>
      <c r="E327" s="9"/>
      <c r="F327" s="10"/>
      <c r="G327" s="11"/>
      <c r="H327" s="9"/>
      <c r="I327" s="31"/>
      <c r="J327" s="9"/>
      <c r="K327" s="9"/>
      <c r="L327" s="21" t="s">
        <v>71</v>
      </c>
      <c r="M327" s="30" t="s">
        <v>1276</v>
      </c>
      <c r="N327" s="30" t="s">
        <v>1277</v>
      </c>
      <c r="O327" s="31"/>
      <c r="P327" s="16"/>
      <c r="Q327" s="16"/>
      <c r="R327" s="16" t="str">
        <f t="shared" si="2"/>
        <v/>
      </c>
    </row>
    <row r="328">
      <c r="A328" s="7" t="s">
        <v>187</v>
      </c>
      <c r="B328" s="14" t="s">
        <v>1057</v>
      </c>
      <c r="C328" s="12"/>
      <c r="D328" s="17" t="s">
        <v>1278</v>
      </c>
      <c r="E328" s="9" t="s">
        <v>188</v>
      </c>
      <c r="F328" s="10" t="s">
        <v>189</v>
      </c>
      <c r="G328" s="11">
        <v>2024.0</v>
      </c>
      <c r="H328" s="9" t="s">
        <v>190</v>
      </c>
      <c r="I328" s="29" t="s">
        <v>1279</v>
      </c>
      <c r="J328" s="9"/>
      <c r="K328" s="9" t="s">
        <v>152</v>
      </c>
      <c r="L328" s="21" t="s">
        <v>25</v>
      </c>
      <c r="M328" s="30" t="s">
        <v>1280</v>
      </c>
      <c r="N328" s="30" t="s">
        <v>1281</v>
      </c>
      <c r="O328" s="31"/>
      <c r="P328" s="16"/>
      <c r="Q328" s="16"/>
      <c r="R328" s="16" t="str">
        <f t="shared" si="2"/>
        <v/>
      </c>
    </row>
    <row r="329">
      <c r="A329" s="7"/>
      <c r="B329" s="16"/>
      <c r="C329" s="12"/>
      <c r="D329" s="12"/>
      <c r="E329" s="9"/>
      <c r="F329" s="10"/>
      <c r="G329" s="11"/>
      <c r="H329" s="9"/>
      <c r="I329" s="31"/>
      <c r="J329" s="9"/>
      <c r="K329" s="9"/>
      <c r="L329" s="21" t="s">
        <v>31</v>
      </c>
      <c r="M329" s="30" t="s">
        <v>1282</v>
      </c>
      <c r="N329" s="30" t="s">
        <v>1283</v>
      </c>
      <c r="O329" s="31"/>
      <c r="P329" s="16"/>
      <c r="Q329" s="16"/>
      <c r="R329" s="16" t="str">
        <f t="shared" si="2"/>
        <v/>
      </c>
    </row>
    <row r="330">
      <c r="A330" s="7"/>
      <c r="B330" s="16"/>
      <c r="C330" s="12"/>
      <c r="D330" s="12"/>
      <c r="E330" s="9"/>
      <c r="F330" s="10"/>
      <c r="G330" s="11"/>
      <c r="H330" s="9"/>
      <c r="I330" s="31"/>
      <c r="J330" s="9"/>
      <c r="K330" s="9"/>
      <c r="L330" s="21" t="s">
        <v>36</v>
      </c>
      <c r="M330" s="30" t="s">
        <v>1284</v>
      </c>
      <c r="N330" s="30" t="s">
        <v>1285</v>
      </c>
      <c r="O330" s="31"/>
      <c r="P330" s="16"/>
      <c r="Q330" s="16"/>
      <c r="R330" s="16" t="str">
        <f t="shared" si="2"/>
        <v/>
      </c>
    </row>
    <row r="331">
      <c r="A331" s="7"/>
      <c r="B331" s="16"/>
      <c r="C331" s="12"/>
      <c r="D331" s="12"/>
      <c r="E331" s="9"/>
      <c r="F331" s="10"/>
      <c r="G331" s="11"/>
      <c r="H331" s="9"/>
      <c r="I331" s="31"/>
      <c r="J331" s="9"/>
      <c r="K331" s="9"/>
      <c r="L331" s="21" t="s">
        <v>41</v>
      </c>
      <c r="M331" s="30" t="s">
        <v>1286</v>
      </c>
      <c r="N331" s="30" t="s">
        <v>1287</v>
      </c>
      <c r="O331" s="31"/>
      <c r="P331" s="16"/>
      <c r="Q331" s="16"/>
      <c r="R331" s="16" t="str">
        <f t="shared" si="2"/>
        <v/>
      </c>
    </row>
    <row r="332">
      <c r="A332" s="7"/>
      <c r="B332" s="16"/>
      <c r="C332" s="12"/>
      <c r="D332" s="12"/>
      <c r="E332" s="9"/>
      <c r="F332" s="10"/>
      <c r="G332" s="11"/>
      <c r="H332" s="9"/>
      <c r="I332" s="31"/>
      <c r="J332" s="9"/>
      <c r="K332" s="9"/>
      <c r="L332" s="21" t="s">
        <v>47</v>
      </c>
      <c r="M332" s="30" t="s">
        <v>1288</v>
      </c>
      <c r="N332" s="30" t="s">
        <v>1289</v>
      </c>
      <c r="O332" s="31"/>
      <c r="P332" s="16"/>
      <c r="Q332" s="16"/>
      <c r="R332" s="16" t="str">
        <f t="shared" si="2"/>
        <v/>
      </c>
    </row>
    <row r="333">
      <c r="A333" s="7"/>
      <c r="B333" s="16"/>
      <c r="C333" s="12"/>
      <c r="D333" s="12"/>
      <c r="E333" s="9"/>
      <c r="F333" s="10"/>
      <c r="G333" s="11"/>
      <c r="H333" s="9"/>
      <c r="I333" s="31"/>
      <c r="J333" s="9"/>
      <c r="K333" s="9"/>
      <c r="L333" s="21" t="s">
        <v>53</v>
      </c>
      <c r="M333" s="30" t="s">
        <v>1290</v>
      </c>
      <c r="N333" s="30" t="s">
        <v>1291</v>
      </c>
      <c r="O333" s="31"/>
      <c r="P333" s="16"/>
      <c r="Q333" s="16"/>
      <c r="R333" s="16" t="str">
        <f t="shared" si="2"/>
        <v/>
      </c>
    </row>
    <row r="334">
      <c r="A334" s="7"/>
      <c r="B334" s="16"/>
      <c r="C334" s="12"/>
      <c r="D334" s="12"/>
      <c r="E334" s="9"/>
      <c r="F334" s="10"/>
      <c r="G334" s="11"/>
      <c r="H334" s="9"/>
      <c r="I334" s="31"/>
      <c r="J334" s="9"/>
      <c r="K334" s="9"/>
      <c r="L334" s="21" t="s">
        <v>59</v>
      </c>
      <c r="M334" s="30" t="s">
        <v>1292</v>
      </c>
      <c r="N334" s="30" t="s">
        <v>1293</v>
      </c>
      <c r="O334" s="31"/>
      <c r="P334" s="16"/>
      <c r="Q334" s="16"/>
      <c r="R334" s="16" t="str">
        <f t="shared" si="2"/>
        <v/>
      </c>
    </row>
    <row r="335">
      <c r="A335" s="7"/>
      <c r="B335" s="16"/>
      <c r="C335" s="12"/>
      <c r="D335" s="12"/>
      <c r="E335" s="9"/>
      <c r="F335" s="10"/>
      <c r="G335" s="11"/>
      <c r="H335" s="9"/>
      <c r="I335" s="31"/>
      <c r="J335" s="9"/>
      <c r="K335" s="9"/>
      <c r="L335" s="21" t="s">
        <v>65</v>
      </c>
      <c r="M335" s="30" t="s">
        <v>1274</v>
      </c>
      <c r="N335" s="30" t="s">
        <v>1294</v>
      </c>
      <c r="O335" s="31"/>
      <c r="P335" s="16"/>
      <c r="Q335" s="16"/>
      <c r="R335" s="16" t="str">
        <f t="shared" si="2"/>
        <v/>
      </c>
    </row>
    <row r="336">
      <c r="A336" s="7"/>
      <c r="B336" s="16"/>
      <c r="C336" s="12"/>
      <c r="D336" s="12"/>
      <c r="E336" s="9"/>
      <c r="F336" s="10"/>
      <c r="G336" s="11"/>
      <c r="H336" s="9"/>
      <c r="I336" s="31"/>
      <c r="J336" s="9"/>
      <c r="K336" s="9"/>
      <c r="L336" s="21" t="s">
        <v>71</v>
      </c>
      <c r="M336" s="30" t="s">
        <v>1295</v>
      </c>
      <c r="N336" s="30" t="s">
        <v>1296</v>
      </c>
      <c r="O336" s="31"/>
      <c r="P336" s="16"/>
      <c r="Q336" s="16"/>
      <c r="R336" s="16" t="str">
        <f t="shared" si="2"/>
        <v/>
      </c>
    </row>
    <row r="337">
      <c r="A337" s="7" t="s">
        <v>191</v>
      </c>
      <c r="B337" s="14" t="s">
        <v>1057</v>
      </c>
      <c r="C337" s="12"/>
      <c r="D337" s="17" t="s">
        <v>1297</v>
      </c>
      <c r="E337" s="9" t="s">
        <v>192</v>
      </c>
      <c r="F337" s="10" t="s">
        <v>193</v>
      </c>
      <c r="G337" s="11">
        <v>2021.0</v>
      </c>
      <c r="H337" s="9" t="s">
        <v>194</v>
      </c>
      <c r="I337" s="29" t="s">
        <v>528</v>
      </c>
      <c r="J337" s="9"/>
      <c r="K337" s="9" t="s">
        <v>152</v>
      </c>
      <c r="L337" s="21" t="s">
        <v>25</v>
      </c>
      <c r="M337" s="30" t="s">
        <v>1298</v>
      </c>
      <c r="N337" s="30" t="s">
        <v>1299</v>
      </c>
      <c r="O337" s="31"/>
      <c r="P337" s="16"/>
      <c r="Q337" s="16"/>
      <c r="R337" s="16" t="str">
        <f t="shared" si="2"/>
        <v/>
      </c>
    </row>
    <row r="338">
      <c r="A338" s="7"/>
      <c r="B338" s="16"/>
      <c r="C338" s="12"/>
      <c r="D338" s="12"/>
      <c r="E338" s="9"/>
      <c r="F338" s="10"/>
      <c r="G338" s="11"/>
      <c r="H338" s="9"/>
      <c r="I338" s="31"/>
      <c r="J338" s="9"/>
      <c r="K338" s="9"/>
      <c r="L338" s="21" t="s">
        <v>31</v>
      </c>
      <c r="M338" s="30" t="s">
        <v>1300</v>
      </c>
      <c r="N338" s="30" t="s">
        <v>1301</v>
      </c>
      <c r="O338" s="31"/>
      <c r="P338" s="16"/>
      <c r="Q338" s="16"/>
      <c r="R338" s="16" t="str">
        <f t="shared" si="2"/>
        <v/>
      </c>
    </row>
    <row r="339">
      <c r="A339" s="7"/>
      <c r="B339" s="16"/>
      <c r="C339" s="12"/>
      <c r="D339" s="12"/>
      <c r="E339" s="9"/>
      <c r="F339" s="10"/>
      <c r="G339" s="11"/>
      <c r="H339" s="9"/>
      <c r="I339" s="31"/>
      <c r="J339" s="9"/>
      <c r="K339" s="9"/>
      <c r="L339" s="21" t="s">
        <v>36</v>
      </c>
      <c r="M339" s="30" t="s">
        <v>1302</v>
      </c>
      <c r="N339" s="30" t="s">
        <v>1303</v>
      </c>
      <c r="O339" s="31"/>
      <c r="P339" s="16"/>
      <c r="Q339" s="16"/>
      <c r="R339" s="16" t="str">
        <f t="shared" si="2"/>
        <v/>
      </c>
    </row>
    <row r="340">
      <c r="A340" s="7"/>
      <c r="B340" s="16"/>
      <c r="C340" s="12"/>
      <c r="D340" s="12"/>
      <c r="E340" s="9"/>
      <c r="F340" s="10"/>
      <c r="G340" s="11"/>
      <c r="H340" s="9"/>
      <c r="I340" s="31"/>
      <c r="J340" s="9"/>
      <c r="K340" s="9"/>
      <c r="L340" s="21" t="s">
        <v>41</v>
      </c>
      <c r="M340" s="30" t="s">
        <v>1304</v>
      </c>
      <c r="N340" s="30" t="s">
        <v>1305</v>
      </c>
      <c r="O340" s="31"/>
      <c r="P340" s="16"/>
      <c r="Q340" s="16"/>
      <c r="R340" s="16" t="str">
        <f t="shared" si="2"/>
        <v/>
      </c>
    </row>
    <row r="341">
      <c r="A341" s="7"/>
      <c r="B341" s="16"/>
      <c r="C341" s="12"/>
      <c r="D341" s="12"/>
      <c r="E341" s="9"/>
      <c r="F341" s="10"/>
      <c r="G341" s="11"/>
      <c r="H341" s="9"/>
      <c r="I341" s="31"/>
      <c r="J341" s="9"/>
      <c r="K341" s="9"/>
      <c r="L341" s="21" t="s">
        <v>47</v>
      </c>
      <c r="M341" s="30" t="s">
        <v>1306</v>
      </c>
      <c r="N341" s="30" t="s">
        <v>1307</v>
      </c>
      <c r="O341" s="31"/>
      <c r="P341" s="16"/>
      <c r="Q341" s="16"/>
      <c r="R341" s="16" t="str">
        <f t="shared" si="2"/>
        <v/>
      </c>
    </row>
    <row r="342">
      <c r="A342" s="7"/>
      <c r="B342" s="16"/>
      <c r="C342" s="12"/>
      <c r="D342" s="12"/>
      <c r="E342" s="9"/>
      <c r="F342" s="10"/>
      <c r="G342" s="11"/>
      <c r="H342" s="9"/>
      <c r="I342" s="31"/>
      <c r="J342" s="9"/>
      <c r="K342" s="9"/>
      <c r="L342" s="21" t="s">
        <v>53</v>
      </c>
      <c r="M342" s="30" t="s">
        <v>1308</v>
      </c>
      <c r="N342" s="30" t="s">
        <v>1309</v>
      </c>
      <c r="O342" s="31"/>
      <c r="P342" s="16"/>
      <c r="Q342" s="16"/>
      <c r="R342" s="16" t="str">
        <f t="shared" si="2"/>
        <v/>
      </c>
    </row>
    <row r="343">
      <c r="A343" s="7"/>
      <c r="B343" s="16"/>
      <c r="C343" s="12"/>
      <c r="D343" s="12"/>
      <c r="E343" s="9"/>
      <c r="F343" s="10"/>
      <c r="G343" s="11"/>
      <c r="H343" s="9"/>
      <c r="I343" s="31"/>
      <c r="J343" s="9"/>
      <c r="K343" s="9"/>
      <c r="L343" s="21" t="s">
        <v>59</v>
      </c>
      <c r="M343" s="30" t="s">
        <v>1308</v>
      </c>
      <c r="N343" s="30" t="s">
        <v>1310</v>
      </c>
      <c r="O343" s="31"/>
      <c r="P343" s="16"/>
      <c r="Q343" s="16"/>
      <c r="R343" s="16" t="str">
        <f t="shared" si="2"/>
        <v/>
      </c>
    </row>
    <row r="344">
      <c r="A344" s="7"/>
      <c r="B344" s="16"/>
      <c r="C344" s="12"/>
      <c r="D344" s="12"/>
      <c r="E344" s="9"/>
      <c r="F344" s="10"/>
      <c r="G344" s="11"/>
      <c r="H344" s="9"/>
      <c r="I344" s="31"/>
      <c r="J344" s="9"/>
      <c r="K344" s="9"/>
      <c r="L344" s="21" t="s">
        <v>65</v>
      </c>
      <c r="M344" s="30" t="s">
        <v>1311</v>
      </c>
      <c r="N344" s="30" t="s">
        <v>1312</v>
      </c>
      <c r="O344" s="31"/>
      <c r="P344" s="16"/>
      <c r="Q344" s="16"/>
      <c r="R344" s="16" t="str">
        <f t="shared" si="2"/>
        <v/>
      </c>
    </row>
    <row r="345">
      <c r="A345" s="7"/>
      <c r="B345" s="16"/>
      <c r="C345" s="12"/>
      <c r="D345" s="12"/>
      <c r="E345" s="9"/>
      <c r="F345" s="10"/>
      <c r="G345" s="11"/>
      <c r="H345" s="9"/>
      <c r="I345" s="31"/>
      <c r="J345" s="9"/>
      <c r="K345" s="9"/>
      <c r="L345" s="21" t="s">
        <v>71</v>
      </c>
      <c r="M345" s="30" t="s">
        <v>1313</v>
      </c>
      <c r="N345" s="30" t="s">
        <v>1314</v>
      </c>
      <c r="O345" s="31"/>
      <c r="P345" s="16"/>
      <c r="Q345" s="16"/>
      <c r="R345" s="16" t="str">
        <f t="shared" si="2"/>
        <v/>
      </c>
    </row>
    <row r="346">
      <c r="A346" s="7" t="s">
        <v>195</v>
      </c>
      <c r="B346" s="14" t="s">
        <v>1057</v>
      </c>
      <c r="C346" s="12"/>
      <c r="D346" s="17" t="s">
        <v>1315</v>
      </c>
      <c r="E346" s="9" t="s">
        <v>196</v>
      </c>
      <c r="F346" s="10" t="s">
        <v>197</v>
      </c>
      <c r="G346" s="11">
        <v>2024.0</v>
      </c>
      <c r="H346" s="9" t="s">
        <v>198</v>
      </c>
      <c r="I346" s="29" t="s">
        <v>1279</v>
      </c>
      <c r="J346" s="9"/>
      <c r="K346" s="9" t="s">
        <v>152</v>
      </c>
      <c r="L346" s="21" t="s">
        <v>25</v>
      </c>
      <c r="M346" s="30" t="s">
        <v>1316</v>
      </c>
      <c r="N346" s="30" t="s">
        <v>1317</v>
      </c>
      <c r="O346" s="31"/>
      <c r="P346" s="16"/>
      <c r="Q346" s="16"/>
      <c r="R346" s="16" t="str">
        <f t="shared" si="2"/>
        <v/>
      </c>
    </row>
    <row r="347">
      <c r="A347" s="7"/>
      <c r="B347" s="16"/>
      <c r="C347" s="12"/>
      <c r="D347" s="12"/>
      <c r="E347" s="9"/>
      <c r="F347" s="10"/>
      <c r="G347" s="11"/>
      <c r="H347" s="9"/>
      <c r="I347" s="31"/>
      <c r="J347" s="9"/>
      <c r="K347" s="9"/>
      <c r="L347" s="21" t="s">
        <v>31</v>
      </c>
      <c r="M347" s="30" t="s">
        <v>1318</v>
      </c>
      <c r="N347" s="30" t="s">
        <v>1319</v>
      </c>
      <c r="O347" s="31"/>
      <c r="P347" s="16"/>
      <c r="Q347" s="16"/>
      <c r="R347" s="16" t="str">
        <f t="shared" si="2"/>
        <v/>
      </c>
    </row>
    <row r="348">
      <c r="A348" s="7"/>
      <c r="B348" s="16"/>
      <c r="C348" s="12"/>
      <c r="D348" s="12"/>
      <c r="E348" s="9"/>
      <c r="F348" s="10"/>
      <c r="G348" s="11"/>
      <c r="H348" s="9"/>
      <c r="I348" s="31"/>
      <c r="J348" s="9"/>
      <c r="K348" s="9"/>
      <c r="L348" s="21" t="s">
        <v>36</v>
      </c>
      <c r="M348" s="30" t="s">
        <v>1320</v>
      </c>
      <c r="N348" s="30" t="s">
        <v>1321</v>
      </c>
      <c r="O348" s="31"/>
      <c r="P348" s="16"/>
      <c r="Q348" s="16"/>
      <c r="R348" s="16" t="str">
        <f t="shared" si="2"/>
        <v/>
      </c>
    </row>
    <row r="349">
      <c r="A349" s="7"/>
      <c r="B349" s="16"/>
      <c r="C349" s="12"/>
      <c r="D349" s="12"/>
      <c r="E349" s="9"/>
      <c r="F349" s="10"/>
      <c r="G349" s="11"/>
      <c r="H349" s="9"/>
      <c r="I349" s="31"/>
      <c r="J349" s="9"/>
      <c r="K349" s="9"/>
      <c r="L349" s="21" t="s">
        <v>41</v>
      </c>
      <c r="M349" s="30" t="s">
        <v>1322</v>
      </c>
      <c r="N349" s="30" t="s">
        <v>1323</v>
      </c>
      <c r="O349" s="31"/>
      <c r="P349" s="16"/>
      <c r="Q349" s="16"/>
      <c r="R349" s="16" t="str">
        <f t="shared" si="2"/>
        <v/>
      </c>
    </row>
    <row r="350">
      <c r="A350" s="7"/>
      <c r="B350" s="16"/>
      <c r="C350" s="12"/>
      <c r="D350" s="12"/>
      <c r="E350" s="9"/>
      <c r="F350" s="10"/>
      <c r="G350" s="11"/>
      <c r="H350" s="9"/>
      <c r="I350" s="31"/>
      <c r="J350" s="9"/>
      <c r="K350" s="9"/>
      <c r="L350" s="21" t="s">
        <v>47</v>
      </c>
      <c r="M350" s="30" t="s">
        <v>1306</v>
      </c>
      <c r="N350" s="30" t="s">
        <v>1324</v>
      </c>
      <c r="O350" s="31"/>
      <c r="P350" s="16"/>
      <c r="Q350" s="16"/>
      <c r="R350" s="16" t="str">
        <f t="shared" si="2"/>
        <v/>
      </c>
    </row>
    <row r="351">
      <c r="A351" s="7"/>
      <c r="B351" s="16"/>
      <c r="C351" s="12"/>
      <c r="D351" s="12"/>
      <c r="E351" s="9"/>
      <c r="F351" s="10"/>
      <c r="G351" s="11"/>
      <c r="H351" s="9"/>
      <c r="I351" s="31"/>
      <c r="J351" s="9"/>
      <c r="K351" s="9"/>
      <c r="L351" s="21" t="s">
        <v>53</v>
      </c>
      <c r="M351" s="30" t="s">
        <v>1325</v>
      </c>
      <c r="N351" s="30" t="s">
        <v>1291</v>
      </c>
      <c r="O351" s="31"/>
      <c r="P351" s="16"/>
      <c r="Q351" s="16"/>
      <c r="R351" s="16" t="str">
        <f t="shared" si="2"/>
        <v/>
      </c>
    </row>
    <row r="352">
      <c r="A352" s="7"/>
      <c r="B352" s="16"/>
      <c r="C352" s="12"/>
      <c r="D352" s="12"/>
      <c r="E352" s="9"/>
      <c r="F352" s="10"/>
      <c r="G352" s="11"/>
      <c r="H352" s="9"/>
      <c r="I352" s="31"/>
      <c r="J352" s="9"/>
      <c r="K352" s="9"/>
      <c r="L352" s="21" t="s">
        <v>59</v>
      </c>
      <c r="M352" s="30" t="s">
        <v>1326</v>
      </c>
      <c r="N352" s="30" t="s">
        <v>1327</v>
      </c>
      <c r="O352" s="31"/>
      <c r="P352" s="16"/>
      <c r="Q352" s="16"/>
      <c r="R352" s="16" t="str">
        <f t="shared" si="2"/>
        <v/>
      </c>
    </row>
    <row r="353">
      <c r="A353" s="7"/>
      <c r="B353" s="16"/>
      <c r="C353" s="12"/>
      <c r="D353" s="12"/>
      <c r="E353" s="9"/>
      <c r="F353" s="10"/>
      <c r="G353" s="11"/>
      <c r="H353" s="9"/>
      <c r="I353" s="31"/>
      <c r="J353" s="9"/>
      <c r="K353" s="9"/>
      <c r="L353" s="21" t="s">
        <v>65</v>
      </c>
      <c r="M353" s="30" t="s">
        <v>1328</v>
      </c>
      <c r="N353" s="30" t="s">
        <v>1329</v>
      </c>
      <c r="O353" s="31"/>
      <c r="P353" s="16"/>
      <c r="Q353" s="16"/>
      <c r="R353" s="16" t="str">
        <f t="shared" si="2"/>
        <v/>
      </c>
    </row>
    <row r="354">
      <c r="A354" s="7"/>
      <c r="B354" s="16"/>
      <c r="C354" s="12"/>
      <c r="D354" s="12"/>
      <c r="E354" s="9"/>
      <c r="F354" s="10"/>
      <c r="G354" s="11"/>
      <c r="H354" s="9"/>
      <c r="I354" s="31"/>
      <c r="J354" s="9"/>
      <c r="K354" s="9"/>
      <c r="L354" s="21" t="s">
        <v>71</v>
      </c>
      <c r="M354" s="30" t="s">
        <v>1330</v>
      </c>
      <c r="N354" s="30" t="s">
        <v>1331</v>
      </c>
      <c r="O354" s="31"/>
      <c r="P354" s="16"/>
      <c r="Q354" s="16"/>
      <c r="R354" s="16" t="str">
        <f t="shared" si="2"/>
        <v/>
      </c>
    </row>
    <row r="355">
      <c r="A355" s="7" t="s">
        <v>199</v>
      </c>
      <c r="B355" s="14" t="s">
        <v>1057</v>
      </c>
      <c r="C355" s="12"/>
      <c r="D355" s="17" t="s">
        <v>1332</v>
      </c>
      <c r="E355" s="9" t="s">
        <v>200</v>
      </c>
      <c r="F355" s="10" t="s">
        <v>201</v>
      </c>
      <c r="G355" s="11">
        <v>2023.0</v>
      </c>
      <c r="H355" s="9" t="s">
        <v>202</v>
      </c>
      <c r="I355" s="29" t="s">
        <v>1333</v>
      </c>
      <c r="J355" s="9"/>
      <c r="K355" s="9" t="s">
        <v>152</v>
      </c>
      <c r="L355" s="21" t="s">
        <v>25</v>
      </c>
      <c r="M355" s="30" t="s">
        <v>1334</v>
      </c>
      <c r="N355" s="30" t="s">
        <v>1335</v>
      </c>
      <c r="O355" s="31"/>
      <c r="P355" s="16"/>
      <c r="Q355" s="16"/>
      <c r="R355" s="16" t="str">
        <f t="shared" si="2"/>
        <v/>
      </c>
    </row>
    <row r="356">
      <c r="A356" s="7"/>
      <c r="B356" s="16"/>
      <c r="C356" s="12"/>
      <c r="D356" s="12"/>
      <c r="E356" s="9"/>
      <c r="F356" s="10"/>
      <c r="G356" s="11"/>
      <c r="H356" s="9"/>
      <c r="I356" s="29" t="s">
        <v>1279</v>
      </c>
      <c r="J356" s="9"/>
      <c r="K356" s="9"/>
      <c r="L356" s="21" t="s">
        <v>31</v>
      </c>
      <c r="M356" s="30" t="s">
        <v>1336</v>
      </c>
      <c r="N356" s="30" t="s">
        <v>1337</v>
      </c>
      <c r="O356" s="31"/>
      <c r="P356" s="16"/>
      <c r="Q356" s="16"/>
      <c r="R356" s="16" t="str">
        <f t="shared" si="2"/>
        <v/>
      </c>
    </row>
    <row r="357">
      <c r="A357" s="7"/>
      <c r="B357" s="16"/>
      <c r="C357" s="12"/>
      <c r="D357" s="12"/>
      <c r="E357" s="9"/>
      <c r="F357" s="10"/>
      <c r="G357" s="11"/>
      <c r="H357" s="9"/>
      <c r="I357" s="31"/>
      <c r="J357" s="9"/>
      <c r="K357" s="9"/>
      <c r="L357" s="21" t="s">
        <v>36</v>
      </c>
      <c r="M357" s="30" t="s">
        <v>1338</v>
      </c>
      <c r="N357" s="30" t="s">
        <v>1339</v>
      </c>
      <c r="O357" s="31"/>
      <c r="P357" s="16"/>
      <c r="Q357" s="16"/>
      <c r="R357" s="16" t="str">
        <f t="shared" si="2"/>
        <v/>
      </c>
    </row>
    <row r="358">
      <c r="A358" s="7"/>
      <c r="B358" s="16"/>
      <c r="C358" s="12"/>
      <c r="D358" s="12"/>
      <c r="E358" s="9"/>
      <c r="F358" s="10"/>
      <c r="G358" s="11"/>
      <c r="H358" s="9"/>
      <c r="I358" s="31"/>
      <c r="J358" s="9"/>
      <c r="K358" s="9"/>
      <c r="L358" s="21" t="s">
        <v>41</v>
      </c>
      <c r="M358" s="30" t="s">
        <v>1340</v>
      </c>
      <c r="N358" s="30" t="s">
        <v>1341</v>
      </c>
      <c r="O358" s="31"/>
      <c r="P358" s="16"/>
      <c r="Q358" s="16"/>
      <c r="R358" s="16" t="str">
        <f t="shared" si="2"/>
        <v/>
      </c>
    </row>
    <row r="359">
      <c r="A359" s="7"/>
      <c r="B359" s="16"/>
      <c r="C359" s="12"/>
      <c r="D359" s="12"/>
      <c r="E359" s="9"/>
      <c r="F359" s="10"/>
      <c r="G359" s="11"/>
      <c r="H359" s="9"/>
      <c r="I359" s="31"/>
      <c r="J359" s="9"/>
      <c r="K359" s="9"/>
      <c r="L359" s="21" t="s">
        <v>47</v>
      </c>
      <c r="M359" s="30" t="s">
        <v>1306</v>
      </c>
      <c r="N359" s="30" t="s">
        <v>1342</v>
      </c>
      <c r="O359" s="31"/>
      <c r="P359" s="16"/>
      <c r="Q359" s="16"/>
      <c r="R359" s="16" t="str">
        <f t="shared" si="2"/>
        <v/>
      </c>
    </row>
    <row r="360">
      <c r="A360" s="7"/>
      <c r="B360" s="16"/>
      <c r="C360" s="12"/>
      <c r="D360" s="12"/>
      <c r="E360" s="9"/>
      <c r="F360" s="10"/>
      <c r="G360" s="11"/>
      <c r="H360" s="9"/>
      <c r="I360" s="31"/>
      <c r="J360" s="9"/>
      <c r="K360" s="9"/>
      <c r="L360" s="21" t="s">
        <v>53</v>
      </c>
      <c r="M360" s="30" t="s">
        <v>1343</v>
      </c>
      <c r="N360" s="30" t="s">
        <v>1344</v>
      </c>
      <c r="O360" s="31"/>
      <c r="P360" s="16"/>
      <c r="Q360" s="16"/>
      <c r="R360" s="16" t="str">
        <f t="shared" si="2"/>
        <v/>
      </c>
    </row>
    <row r="361">
      <c r="A361" s="7"/>
      <c r="B361" s="16"/>
      <c r="C361" s="12"/>
      <c r="D361" s="12"/>
      <c r="E361" s="9"/>
      <c r="F361" s="10"/>
      <c r="G361" s="11"/>
      <c r="H361" s="9"/>
      <c r="I361" s="31"/>
      <c r="J361" s="9"/>
      <c r="K361" s="9"/>
      <c r="L361" s="21" t="s">
        <v>59</v>
      </c>
      <c r="M361" s="30" t="s">
        <v>1345</v>
      </c>
      <c r="N361" s="30" t="s">
        <v>1346</v>
      </c>
      <c r="O361" s="31"/>
      <c r="P361" s="16"/>
      <c r="Q361" s="16"/>
      <c r="R361" s="16" t="str">
        <f t="shared" si="2"/>
        <v/>
      </c>
    </row>
    <row r="362">
      <c r="A362" s="7"/>
      <c r="B362" s="16"/>
      <c r="C362" s="12"/>
      <c r="D362" s="12"/>
      <c r="E362" s="9"/>
      <c r="F362" s="10"/>
      <c r="G362" s="11"/>
      <c r="H362" s="9"/>
      <c r="I362" s="31"/>
      <c r="J362" s="9"/>
      <c r="K362" s="9"/>
      <c r="L362" s="21" t="s">
        <v>65</v>
      </c>
      <c r="M362" s="30" t="s">
        <v>1347</v>
      </c>
      <c r="N362" s="30" t="s">
        <v>1348</v>
      </c>
      <c r="O362" s="31"/>
      <c r="P362" s="16"/>
      <c r="Q362" s="16"/>
      <c r="R362" s="16" t="str">
        <f t="shared" si="2"/>
        <v/>
      </c>
    </row>
    <row r="363">
      <c r="A363" s="7"/>
      <c r="B363" s="16"/>
      <c r="C363" s="12"/>
      <c r="D363" s="12"/>
      <c r="E363" s="9"/>
      <c r="F363" s="10"/>
      <c r="G363" s="11"/>
      <c r="H363" s="9"/>
      <c r="I363" s="31"/>
      <c r="J363" s="9"/>
      <c r="K363" s="9"/>
      <c r="L363" s="21" t="s">
        <v>71</v>
      </c>
      <c r="M363" s="30" t="s">
        <v>1349</v>
      </c>
      <c r="N363" s="30" t="s">
        <v>1350</v>
      </c>
      <c r="O363" s="31"/>
      <c r="P363" s="16"/>
      <c r="Q363" s="16"/>
      <c r="R363" s="16" t="str">
        <f t="shared" si="2"/>
        <v/>
      </c>
    </row>
    <row r="364">
      <c r="A364" s="7" t="s">
        <v>203</v>
      </c>
      <c r="B364" s="14" t="s">
        <v>1057</v>
      </c>
      <c r="C364" s="12"/>
      <c r="D364" s="17" t="s">
        <v>1350</v>
      </c>
      <c r="E364" s="9" t="s">
        <v>204</v>
      </c>
      <c r="F364" s="10" t="s">
        <v>205</v>
      </c>
      <c r="G364" s="11">
        <v>2025.0</v>
      </c>
      <c r="H364" s="9" t="s">
        <v>206</v>
      </c>
      <c r="I364" s="29" t="s">
        <v>680</v>
      </c>
      <c r="J364" s="9"/>
      <c r="K364" s="9" t="s">
        <v>152</v>
      </c>
      <c r="L364" s="21" t="s">
        <v>25</v>
      </c>
      <c r="M364" s="30" t="s">
        <v>1351</v>
      </c>
      <c r="N364" s="30" t="s">
        <v>1352</v>
      </c>
      <c r="O364" s="31"/>
      <c r="P364" s="16"/>
      <c r="Q364" s="16"/>
      <c r="R364" s="16" t="str">
        <f t="shared" si="2"/>
        <v/>
      </c>
    </row>
    <row r="365">
      <c r="A365" s="7"/>
      <c r="B365" s="16"/>
      <c r="C365" s="12"/>
      <c r="D365" s="12"/>
      <c r="E365" s="9"/>
      <c r="F365" s="10"/>
      <c r="G365" s="11"/>
      <c r="H365" s="9"/>
      <c r="I365" s="29" t="s">
        <v>1021</v>
      </c>
      <c r="J365" s="9"/>
      <c r="K365" s="9"/>
      <c r="L365" s="21" t="s">
        <v>31</v>
      </c>
      <c r="M365" s="30" t="s">
        <v>1353</v>
      </c>
      <c r="N365" s="30" t="s">
        <v>1354</v>
      </c>
      <c r="O365" s="31"/>
      <c r="P365" s="16"/>
      <c r="Q365" s="16"/>
      <c r="R365" s="16" t="str">
        <f t="shared" si="2"/>
        <v/>
      </c>
    </row>
    <row r="366">
      <c r="A366" s="7"/>
      <c r="B366" s="16"/>
      <c r="C366" s="12"/>
      <c r="D366" s="12"/>
      <c r="E366" s="9"/>
      <c r="F366" s="10"/>
      <c r="G366" s="11"/>
      <c r="H366" s="9"/>
      <c r="I366" s="29" t="s">
        <v>1355</v>
      </c>
      <c r="J366" s="9"/>
      <c r="K366" s="9"/>
      <c r="L366" s="21" t="s">
        <v>36</v>
      </c>
      <c r="M366" s="30" t="s">
        <v>1356</v>
      </c>
      <c r="N366" s="30" t="s">
        <v>1357</v>
      </c>
      <c r="O366" s="31"/>
      <c r="P366" s="16"/>
      <c r="Q366" s="16"/>
      <c r="R366" s="16" t="str">
        <f t="shared" si="2"/>
        <v/>
      </c>
    </row>
    <row r="367">
      <c r="A367" s="7"/>
      <c r="B367" s="16"/>
      <c r="C367" s="12"/>
      <c r="D367" s="12"/>
      <c r="E367" s="9"/>
      <c r="F367" s="10"/>
      <c r="G367" s="11"/>
      <c r="H367" s="9"/>
      <c r="I367" s="29"/>
      <c r="J367" s="9"/>
      <c r="K367" s="9"/>
      <c r="L367" s="21" t="s">
        <v>41</v>
      </c>
      <c r="M367" s="30" t="s">
        <v>1358</v>
      </c>
      <c r="N367" s="30" t="s">
        <v>1359</v>
      </c>
      <c r="O367" s="31"/>
      <c r="P367" s="16"/>
      <c r="Q367" s="16"/>
      <c r="R367" s="16" t="str">
        <f t="shared" si="2"/>
        <v/>
      </c>
    </row>
    <row r="368">
      <c r="A368" s="7"/>
      <c r="B368" s="16"/>
      <c r="C368" s="12"/>
      <c r="D368" s="12"/>
      <c r="E368" s="9"/>
      <c r="F368" s="10"/>
      <c r="G368" s="11"/>
      <c r="H368" s="9"/>
      <c r="I368" s="31"/>
      <c r="J368" s="9"/>
      <c r="K368" s="9"/>
      <c r="L368" s="21" t="s">
        <v>47</v>
      </c>
      <c r="M368" s="30" t="s">
        <v>1360</v>
      </c>
      <c r="N368" s="30" t="s">
        <v>1361</v>
      </c>
      <c r="O368" s="31"/>
      <c r="P368" s="16"/>
      <c r="Q368" s="16"/>
      <c r="R368" s="16" t="str">
        <f t="shared" si="2"/>
        <v/>
      </c>
    </row>
    <row r="369">
      <c r="A369" s="7"/>
      <c r="B369" s="16"/>
      <c r="C369" s="12"/>
      <c r="D369" s="12"/>
      <c r="E369" s="9"/>
      <c r="F369" s="10"/>
      <c r="G369" s="11"/>
      <c r="H369" s="9"/>
      <c r="I369" s="31"/>
      <c r="J369" s="9"/>
      <c r="K369" s="9"/>
      <c r="L369" s="21" t="s">
        <v>53</v>
      </c>
      <c r="M369" s="30" t="s">
        <v>1362</v>
      </c>
      <c r="N369" s="30" t="s">
        <v>1363</v>
      </c>
      <c r="O369" s="31"/>
      <c r="P369" s="16"/>
      <c r="Q369" s="16"/>
      <c r="R369" s="16" t="str">
        <f t="shared" si="2"/>
        <v/>
      </c>
    </row>
    <row r="370">
      <c r="A370" s="7"/>
      <c r="B370" s="16"/>
      <c r="C370" s="12"/>
      <c r="D370" s="12"/>
      <c r="E370" s="9"/>
      <c r="F370" s="10"/>
      <c r="G370" s="11"/>
      <c r="H370" s="9"/>
      <c r="I370" s="31"/>
      <c r="J370" s="9"/>
      <c r="K370" s="9"/>
      <c r="L370" s="21" t="s">
        <v>59</v>
      </c>
      <c r="M370" s="30" t="s">
        <v>1364</v>
      </c>
      <c r="N370" s="30" t="s">
        <v>1365</v>
      </c>
      <c r="O370" s="31"/>
      <c r="P370" s="16"/>
      <c r="Q370" s="16"/>
      <c r="R370" s="16" t="str">
        <f t="shared" si="2"/>
        <v/>
      </c>
    </row>
    <row r="371">
      <c r="A371" s="7"/>
      <c r="B371" s="16"/>
      <c r="C371" s="12"/>
      <c r="D371" s="12"/>
      <c r="E371" s="9"/>
      <c r="F371" s="10"/>
      <c r="G371" s="11"/>
      <c r="H371" s="9"/>
      <c r="I371" s="31"/>
      <c r="J371" s="9"/>
      <c r="K371" s="9"/>
      <c r="L371" s="21" t="s">
        <v>65</v>
      </c>
      <c r="M371" s="30" t="s">
        <v>1366</v>
      </c>
      <c r="N371" s="30" t="s">
        <v>1367</v>
      </c>
      <c r="O371" s="31"/>
      <c r="P371" s="16"/>
      <c r="Q371" s="16"/>
      <c r="R371" s="16" t="str">
        <f t="shared" si="2"/>
        <v/>
      </c>
    </row>
    <row r="372">
      <c r="A372" s="7"/>
      <c r="B372" s="16"/>
      <c r="C372" s="12"/>
      <c r="D372" s="12"/>
      <c r="E372" s="9"/>
      <c r="F372" s="10"/>
      <c r="G372" s="11"/>
      <c r="H372" s="9"/>
      <c r="I372" s="31"/>
      <c r="J372" s="9"/>
      <c r="K372" s="9"/>
      <c r="L372" s="21" t="s">
        <v>71</v>
      </c>
      <c r="M372" s="30" t="s">
        <v>1368</v>
      </c>
      <c r="N372" s="30" t="s">
        <v>1369</v>
      </c>
      <c r="O372" s="31"/>
      <c r="P372" s="16"/>
      <c r="Q372" s="16"/>
      <c r="R372" s="16" t="str">
        <f t="shared" si="2"/>
        <v/>
      </c>
    </row>
    <row r="373">
      <c r="A373" s="7" t="s">
        <v>207</v>
      </c>
      <c r="B373" s="14" t="s">
        <v>1057</v>
      </c>
      <c r="C373" s="12"/>
      <c r="D373" s="17" t="s">
        <v>1370</v>
      </c>
      <c r="E373" s="9" t="s">
        <v>208</v>
      </c>
      <c r="F373" s="10" t="s">
        <v>209</v>
      </c>
      <c r="G373" s="11">
        <v>2024.0</v>
      </c>
      <c r="H373" s="9" t="s">
        <v>210</v>
      </c>
      <c r="I373" s="29" t="s">
        <v>1371</v>
      </c>
      <c r="J373" s="9"/>
      <c r="K373" s="9" t="s">
        <v>152</v>
      </c>
      <c r="L373" s="21" t="s">
        <v>25</v>
      </c>
      <c r="M373" s="30" t="s">
        <v>1372</v>
      </c>
      <c r="N373" s="30" t="s">
        <v>1373</v>
      </c>
      <c r="O373" s="31"/>
      <c r="P373" s="16"/>
      <c r="Q373" s="16"/>
      <c r="R373" s="16" t="str">
        <f t="shared" si="2"/>
        <v/>
      </c>
    </row>
    <row r="374">
      <c r="A374" s="7"/>
      <c r="B374" s="16"/>
      <c r="C374" s="12"/>
      <c r="D374" s="12"/>
      <c r="E374" s="9"/>
      <c r="F374" s="10"/>
      <c r="G374" s="11"/>
      <c r="H374" s="9"/>
      <c r="I374" s="31"/>
      <c r="J374" s="9"/>
      <c r="K374" s="9"/>
      <c r="L374" s="21" t="s">
        <v>31</v>
      </c>
      <c r="M374" s="30" t="s">
        <v>1374</v>
      </c>
      <c r="N374" s="30" t="s">
        <v>1375</v>
      </c>
      <c r="O374" s="31"/>
      <c r="P374" s="16"/>
      <c r="Q374" s="16"/>
      <c r="R374" s="16" t="str">
        <f t="shared" si="2"/>
        <v/>
      </c>
    </row>
    <row r="375">
      <c r="A375" s="7"/>
      <c r="B375" s="16"/>
      <c r="C375" s="12"/>
      <c r="D375" s="12"/>
      <c r="E375" s="9"/>
      <c r="F375" s="10"/>
      <c r="G375" s="11"/>
      <c r="H375" s="9"/>
      <c r="I375" s="31"/>
      <c r="J375" s="9"/>
      <c r="K375" s="9"/>
      <c r="L375" s="21" t="s">
        <v>36</v>
      </c>
      <c r="M375" s="30" t="s">
        <v>1376</v>
      </c>
      <c r="N375" s="30" t="s">
        <v>1377</v>
      </c>
      <c r="O375" s="31"/>
      <c r="P375" s="16"/>
      <c r="Q375" s="16"/>
      <c r="R375" s="16" t="str">
        <f t="shared" si="2"/>
        <v/>
      </c>
    </row>
    <row r="376">
      <c r="A376" s="7"/>
      <c r="B376" s="16"/>
      <c r="C376" s="12"/>
      <c r="D376" s="12"/>
      <c r="E376" s="9"/>
      <c r="F376" s="10"/>
      <c r="G376" s="11"/>
      <c r="H376" s="9"/>
      <c r="I376" s="31"/>
      <c r="J376" s="9"/>
      <c r="K376" s="9"/>
      <c r="L376" s="21" t="s">
        <v>41</v>
      </c>
      <c r="M376" s="30" t="s">
        <v>1378</v>
      </c>
      <c r="N376" s="30" t="s">
        <v>1379</v>
      </c>
      <c r="O376" s="31"/>
      <c r="P376" s="16"/>
      <c r="Q376" s="16"/>
      <c r="R376" s="16" t="str">
        <f t="shared" si="2"/>
        <v/>
      </c>
    </row>
    <row r="377">
      <c r="A377" s="7"/>
      <c r="B377" s="16"/>
      <c r="C377" s="12"/>
      <c r="D377" s="12"/>
      <c r="E377" s="9"/>
      <c r="F377" s="10"/>
      <c r="G377" s="11"/>
      <c r="H377" s="9"/>
      <c r="I377" s="31"/>
      <c r="J377" s="9"/>
      <c r="K377" s="9"/>
      <c r="L377" s="21" t="s">
        <v>47</v>
      </c>
      <c r="M377" s="30" t="s">
        <v>1380</v>
      </c>
      <c r="N377" s="30" t="s">
        <v>1381</v>
      </c>
      <c r="O377" s="31"/>
      <c r="P377" s="16"/>
      <c r="Q377" s="16"/>
      <c r="R377" s="16" t="str">
        <f t="shared" si="2"/>
        <v/>
      </c>
    </row>
    <row r="378">
      <c r="A378" s="7"/>
      <c r="B378" s="16"/>
      <c r="C378" s="12"/>
      <c r="D378" s="12"/>
      <c r="E378" s="9"/>
      <c r="F378" s="10"/>
      <c r="G378" s="11"/>
      <c r="H378" s="9"/>
      <c r="I378" s="31"/>
      <c r="J378" s="9"/>
      <c r="K378" s="9"/>
      <c r="L378" s="21" t="s">
        <v>53</v>
      </c>
      <c r="M378" s="30" t="s">
        <v>1382</v>
      </c>
      <c r="N378" s="30" t="s">
        <v>1383</v>
      </c>
      <c r="O378" s="31"/>
      <c r="P378" s="16"/>
      <c r="Q378" s="16"/>
      <c r="R378" s="16" t="str">
        <f t="shared" si="2"/>
        <v/>
      </c>
    </row>
    <row r="379">
      <c r="A379" s="7"/>
      <c r="B379" s="16"/>
      <c r="C379" s="12"/>
      <c r="D379" s="12"/>
      <c r="E379" s="9"/>
      <c r="F379" s="10"/>
      <c r="G379" s="11"/>
      <c r="H379" s="9"/>
      <c r="I379" s="31"/>
      <c r="J379" s="9"/>
      <c r="K379" s="9"/>
      <c r="L379" s="21" t="s">
        <v>59</v>
      </c>
      <c r="M379" s="30" t="s">
        <v>1384</v>
      </c>
      <c r="N379" s="30" t="s">
        <v>1385</v>
      </c>
      <c r="O379" s="31"/>
      <c r="P379" s="16"/>
      <c r="Q379" s="16"/>
      <c r="R379" s="16" t="str">
        <f t="shared" si="2"/>
        <v/>
      </c>
    </row>
    <row r="380">
      <c r="A380" s="7"/>
      <c r="B380" s="16"/>
      <c r="C380" s="12"/>
      <c r="D380" s="12"/>
      <c r="E380" s="9"/>
      <c r="F380" s="10"/>
      <c r="G380" s="11"/>
      <c r="H380" s="9"/>
      <c r="I380" s="31"/>
      <c r="J380" s="9"/>
      <c r="K380" s="9"/>
      <c r="L380" s="21" t="s">
        <v>65</v>
      </c>
      <c r="M380" s="30" t="s">
        <v>1386</v>
      </c>
      <c r="N380" s="30" t="s">
        <v>1387</v>
      </c>
      <c r="O380" s="31"/>
      <c r="P380" s="16"/>
      <c r="Q380" s="16"/>
      <c r="R380" s="16" t="str">
        <f t="shared" si="2"/>
        <v/>
      </c>
    </row>
    <row r="381">
      <c r="A381" s="7"/>
      <c r="B381" s="16"/>
      <c r="C381" s="12"/>
      <c r="D381" s="12"/>
      <c r="E381" s="9"/>
      <c r="F381" s="10"/>
      <c r="G381" s="11"/>
      <c r="H381" s="9"/>
      <c r="I381" s="31"/>
      <c r="J381" s="9"/>
      <c r="K381" s="9"/>
      <c r="L381" s="21" t="s">
        <v>71</v>
      </c>
      <c r="M381" s="30" t="s">
        <v>1388</v>
      </c>
      <c r="N381" s="30" t="s">
        <v>1389</v>
      </c>
      <c r="O381" s="31"/>
      <c r="P381" s="16"/>
      <c r="Q381" s="16"/>
      <c r="R381" s="16" t="str">
        <f t="shared" si="2"/>
        <v/>
      </c>
    </row>
    <row r="382">
      <c r="A382" s="7" t="s">
        <v>211</v>
      </c>
      <c r="B382" s="14" t="s">
        <v>1057</v>
      </c>
      <c r="C382" s="12"/>
      <c r="D382" s="17" t="s">
        <v>1390</v>
      </c>
      <c r="E382" s="9" t="s">
        <v>212</v>
      </c>
      <c r="F382" s="10" t="s">
        <v>213</v>
      </c>
      <c r="G382" s="11">
        <v>2024.0</v>
      </c>
      <c r="H382" s="9" t="s">
        <v>214</v>
      </c>
      <c r="I382" s="29" t="s">
        <v>680</v>
      </c>
      <c r="J382" s="9"/>
      <c r="K382" s="9" t="s">
        <v>152</v>
      </c>
      <c r="L382" s="21" t="s">
        <v>25</v>
      </c>
      <c r="M382" s="30" t="s">
        <v>1391</v>
      </c>
      <c r="N382" s="30" t="s">
        <v>1392</v>
      </c>
      <c r="O382" s="31"/>
      <c r="P382" s="16"/>
      <c r="Q382" s="16"/>
      <c r="R382" s="16" t="str">
        <f t="shared" si="2"/>
        <v/>
      </c>
    </row>
    <row r="383">
      <c r="A383" s="7"/>
      <c r="B383" s="16"/>
      <c r="C383" s="12"/>
      <c r="D383" s="12"/>
      <c r="E383" s="9"/>
      <c r="F383" s="10"/>
      <c r="G383" s="11"/>
      <c r="H383" s="9"/>
      <c r="I383" s="31"/>
      <c r="J383" s="9"/>
      <c r="K383" s="9"/>
      <c r="L383" s="21" t="s">
        <v>31</v>
      </c>
      <c r="M383" s="30" t="s">
        <v>1393</v>
      </c>
      <c r="N383" s="30" t="s">
        <v>1394</v>
      </c>
      <c r="O383" s="31"/>
      <c r="P383" s="16"/>
      <c r="Q383" s="16"/>
      <c r="R383" s="16" t="str">
        <f t="shared" si="2"/>
        <v/>
      </c>
    </row>
    <row r="384">
      <c r="A384" s="7"/>
      <c r="B384" s="16"/>
      <c r="C384" s="12"/>
      <c r="D384" s="12"/>
      <c r="E384" s="9"/>
      <c r="F384" s="10"/>
      <c r="G384" s="11"/>
      <c r="H384" s="9"/>
      <c r="I384" s="31"/>
      <c r="J384" s="9"/>
      <c r="K384" s="9"/>
      <c r="L384" s="21" t="s">
        <v>36</v>
      </c>
      <c r="M384" s="30" t="s">
        <v>1395</v>
      </c>
      <c r="N384" s="30" t="s">
        <v>1396</v>
      </c>
      <c r="O384" s="31"/>
      <c r="P384" s="16"/>
      <c r="Q384" s="16"/>
      <c r="R384" s="16" t="str">
        <f t="shared" si="2"/>
        <v/>
      </c>
    </row>
    <row r="385">
      <c r="A385" s="7"/>
      <c r="B385" s="16"/>
      <c r="C385" s="12"/>
      <c r="D385" s="12"/>
      <c r="E385" s="9"/>
      <c r="F385" s="10"/>
      <c r="G385" s="11"/>
      <c r="H385" s="9"/>
      <c r="I385" s="31"/>
      <c r="J385" s="9"/>
      <c r="K385" s="9"/>
      <c r="L385" s="21" t="s">
        <v>41</v>
      </c>
      <c r="M385" s="30" t="s">
        <v>1397</v>
      </c>
      <c r="N385" s="30" t="s">
        <v>1398</v>
      </c>
      <c r="O385" s="31"/>
      <c r="P385" s="16"/>
      <c r="Q385" s="16"/>
      <c r="R385" s="16" t="str">
        <f t="shared" si="2"/>
        <v/>
      </c>
    </row>
    <row r="386">
      <c r="A386" s="7"/>
      <c r="B386" s="16"/>
      <c r="C386" s="12"/>
      <c r="D386" s="12"/>
      <c r="E386" s="9"/>
      <c r="F386" s="10"/>
      <c r="G386" s="11"/>
      <c r="H386" s="9"/>
      <c r="I386" s="31"/>
      <c r="J386" s="9"/>
      <c r="K386" s="9"/>
      <c r="L386" s="21" t="s">
        <v>47</v>
      </c>
      <c r="M386" s="30" t="s">
        <v>1073</v>
      </c>
      <c r="N386" s="30" t="s">
        <v>1399</v>
      </c>
      <c r="O386" s="31"/>
      <c r="P386" s="16"/>
      <c r="Q386" s="16"/>
      <c r="R386" s="16" t="str">
        <f t="shared" si="2"/>
        <v/>
      </c>
    </row>
    <row r="387">
      <c r="A387" s="7"/>
      <c r="B387" s="16"/>
      <c r="C387" s="12"/>
      <c r="D387" s="12"/>
      <c r="E387" s="9"/>
      <c r="F387" s="10"/>
      <c r="G387" s="11"/>
      <c r="H387" s="9"/>
      <c r="I387" s="31"/>
      <c r="J387" s="9"/>
      <c r="K387" s="9"/>
      <c r="L387" s="21" t="s">
        <v>53</v>
      </c>
      <c r="M387" s="30" t="s">
        <v>1073</v>
      </c>
      <c r="N387" s="30" t="s">
        <v>1400</v>
      </c>
      <c r="O387" s="31"/>
      <c r="P387" s="16"/>
      <c r="Q387" s="16"/>
      <c r="R387" s="16" t="str">
        <f t="shared" si="2"/>
        <v/>
      </c>
    </row>
    <row r="388">
      <c r="A388" s="7"/>
      <c r="B388" s="16"/>
      <c r="C388" s="12"/>
      <c r="D388" s="12"/>
      <c r="E388" s="9"/>
      <c r="F388" s="10"/>
      <c r="G388" s="11"/>
      <c r="H388" s="9"/>
      <c r="I388" s="31"/>
      <c r="J388" s="9"/>
      <c r="K388" s="9"/>
      <c r="L388" s="21" t="s">
        <v>59</v>
      </c>
      <c r="M388" s="30" t="s">
        <v>1073</v>
      </c>
      <c r="N388" s="30" t="s">
        <v>1401</v>
      </c>
      <c r="O388" s="31"/>
      <c r="P388" s="16"/>
      <c r="Q388" s="16"/>
      <c r="R388" s="16" t="str">
        <f t="shared" si="2"/>
        <v/>
      </c>
    </row>
    <row r="389">
      <c r="A389" s="7"/>
      <c r="B389" s="16"/>
      <c r="C389" s="12"/>
      <c r="D389" s="12"/>
      <c r="E389" s="9"/>
      <c r="F389" s="10"/>
      <c r="G389" s="11"/>
      <c r="H389" s="9"/>
      <c r="I389" s="31"/>
      <c r="J389" s="9"/>
      <c r="K389" s="9"/>
      <c r="L389" s="21" t="s">
        <v>65</v>
      </c>
      <c r="M389" s="30" t="s">
        <v>1073</v>
      </c>
      <c r="N389" s="30" t="s">
        <v>1402</v>
      </c>
      <c r="O389" s="31"/>
      <c r="P389" s="16"/>
      <c r="Q389" s="16"/>
      <c r="R389" s="16" t="str">
        <f t="shared" si="2"/>
        <v/>
      </c>
    </row>
    <row r="390">
      <c r="A390" s="7"/>
      <c r="B390" s="16"/>
      <c r="C390" s="12"/>
      <c r="D390" s="12"/>
      <c r="E390" s="9"/>
      <c r="F390" s="10"/>
      <c r="G390" s="11"/>
      <c r="H390" s="9"/>
      <c r="I390" s="31"/>
      <c r="J390" s="9"/>
      <c r="K390" s="9"/>
      <c r="L390" s="21" t="s">
        <v>71</v>
      </c>
      <c r="M390" s="30" t="s">
        <v>1403</v>
      </c>
      <c r="N390" s="30" t="s">
        <v>1404</v>
      </c>
      <c r="O390" s="31"/>
      <c r="P390" s="16"/>
      <c r="Q390" s="16"/>
      <c r="R390" s="16" t="str">
        <f t="shared" si="2"/>
        <v/>
      </c>
    </row>
    <row r="391">
      <c r="A391" s="7" t="s">
        <v>215</v>
      </c>
      <c r="B391" s="14" t="s">
        <v>20</v>
      </c>
      <c r="C391" s="12"/>
      <c r="D391" s="17" t="s">
        <v>1405</v>
      </c>
      <c r="E391" s="9" t="s">
        <v>216</v>
      </c>
      <c r="F391" s="10" t="s">
        <v>217</v>
      </c>
      <c r="G391" s="11">
        <v>2023.0</v>
      </c>
      <c r="H391" s="9" t="s">
        <v>218</v>
      </c>
      <c r="I391" s="29" t="s">
        <v>1406</v>
      </c>
      <c r="J391" s="9"/>
      <c r="K391" s="9" t="s">
        <v>152</v>
      </c>
      <c r="L391" s="21" t="s">
        <v>25</v>
      </c>
      <c r="M391" s="30" t="s">
        <v>1407</v>
      </c>
      <c r="N391" s="30" t="s">
        <v>1408</v>
      </c>
      <c r="O391" s="31"/>
      <c r="P391" s="16"/>
      <c r="Q391" s="16"/>
      <c r="R391" s="16" t="str">
        <f t="shared" si="2"/>
        <v/>
      </c>
    </row>
    <row r="392">
      <c r="A392" s="7"/>
      <c r="B392" s="16"/>
      <c r="C392" s="12"/>
      <c r="D392" s="12"/>
      <c r="E392" s="9"/>
      <c r="F392" s="10"/>
      <c r="G392" s="11"/>
      <c r="H392" s="9"/>
      <c r="I392" s="31"/>
      <c r="J392" s="9"/>
      <c r="K392" s="9"/>
      <c r="L392" s="21" t="s">
        <v>31</v>
      </c>
      <c r="M392" s="30" t="s">
        <v>1409</v>
      </c>
      <c r="N392" s="30" t="s">
        <v>1410</v>
      </c>
      <c r="O392" s="31"/>
      <c r="P392" s="16"/>
      <c r="Q392" s="16"/>
      <c r="R392" s="16" t="str">
        <f t="shared" si="2"/>
        <v/>
      </c>
    </row>
    <row r="393">
      <c r="A393" s="7"/>
      <c r="B393" s="16"/>
      <c r="C393" s="12"/>
      <c r="D393" s="12"/>
      <c r="E393" s="9"/>
      <c r="F393" s="10"/>
      <c r="G393" s="11"/>
      <c r="H393" s="9"/>
      <c r="I393" s="31"/>
      <c r="J393" s="9"/>
      <c r="K393" s="9"/>
      <c r="L393" s="21" t="s">
        <v>36</v>
      </c>
      <c r="M393" s="30" t="s">
        <v>1411</v>
      </c>
      <c r="N393" s="30" t="s">
        <v>1412</v>
      </c>
      <c r="O393" s="31"/>
      <c r="P393" s="16"/>
      <c r="Q393" s="16"/>
      <c r="R393" s="16" t="str">
        <f t="shared" si="2"/>
        <v/>
      </c>
    </row>
    <row r="394">
      <c r="A394" s="7"/>
      <c r="B394" s="16"/>
      <c r="C394" s="12"/>
      <c r="D394" s="12"/>
      <c r="E394" s="9"/>
      <c r="F394" s="10"/>
      <c r="G394" s="11"/>
      <c r="H394" s="9"/>
      <c r="I394" s="31"/>
      <c r="J394" s="9"/>
      <c r="K394" s="9"/>
      <c r="L394" s="21" t="s">
        <v>41</v>
      </c>
      <c r="M394" s="30" t="s">
        <v>1413</v>
      </c>
      <c r="N394" s="30" t="s">
        <v>1414</v>
      </c>
      <c r="O394" s="31"/>
      <c r="P394" s="16"/>
      <c r="Q394" s="16"/>
      <c r="R394" s="16" t="str">
        <f t="shared" si="2"/>
        <v/>
      </c>
    </row>
    <row r="395">
      <c r="A395" s="7"/>
      <c r="B395" s="16"/>
      <c r="C395" s="12"/>
      <c r="D395" s="12"/>
      <c r="E395" s="9"/>
      <c r="F395" s="10"/>
      <c r="G395" s="11"/>
      <c r="H395" s="9"/>
      <c r="I395" s="31"/>
      <c r="J395" s="9"/>
      <c r="K395" s="9"/>
      <c r="L395" s="21" t="s">
        <v>47</v>
      </c>
      <c r="M395" s="30" t="s">
        <v>1415</v>
      </c>
      <c r="N395" s="30" t="s">
        <v>1416</v>
      </c>
      <c r="O395" s="31"/>
      <c r="P395" s="16"/>
      <c r="Q395" s="16"/>
      <c r="R395" s="16" t="str">
        <f t="shared" si="2"/>
        <v/>
      </c>
    </row>
    <row r="396">
      <c r="A396" s="7"/>
      <c r="B396" s="16"/>
      <c r="C396" s="12"/>
      <c r="D396" s="12"/>
      <c r="E396" s="9"/>
      <c r="F396" s="10"/>
      <c r="G396" s="11"/>
      <c r="H396" s="9"/>
      <c r="I396" s="31"/>
      <c r="J396" s="9"/>
      <c r="K396" s="9"/>
      <c r="L396" s="21" t="s">
        <v>53</v>
      </c>
      <c r="M396" s="30" t="s">
        <v>1417</v>
      </c>
      <c r="N396" s="30" t="s">
        <v>1418</v>
      </c>
      <c r="O396" s="31"/>
      <c r="P396" s="16"/>
      <c r="Q396" s="16"/>
      <c r="R396" s="16" t="str">
        <f t="shared" si="2"/>
        <v/>
      </c>
    </row>
    <row r="397">
      <c r="A397" s="7"/>
      <c r="B397" s="16"/>
      <c r="C397" s="12"/>
      <c r="D397" s="12"/>
      <c r="E397" s="9"/>
      <c r="F397" s="10"/>
      <c r="G397" s="11"/>
      <c r="H397" s="9"/>
      <c r="I397" s="31"/>
      <c r="J397" s="9"/>
      <c r="K397" s="9"/>
      <c r="L397" s="21" t="s">
        <v>59</v>
      </c>
      <c r="M397" s="30" t="s">
        <v>1419</v>
      </c>
      <c r="N397" s="30" t="s">
        <v>1420</v>
      </c>
      <c r="O397" s="31"/>
      <c r="P397" s="16"/>
      <c r="Q397" s="16"/>
      <c r="R397" s="16" t="str">
        <f t="shared" si="2"/>
        <v/>
      </c>
    </row>
    <row r="398">
      <c r="A398" s="7"/>
      <c r="B398" s="16"/>
      <c r="C398" s="12"/>
      <c r="D398" s="12"/>
      <c r="E398" s="9"/>
      <c r="F398" s="10"/>
      <c r="G398" s="11"/>
      <c r="H398" s="9"/>
      <c r="I398" s="31"/>
      <c r="J398" s="9"/>
      <c r="K398" s="9"/>
      <c r="L398" s="21" t="s">
        <v>65</v>
      </c>
      <c r="M398" s="30" t="s">
        <v>1421</v>
      </c>
      <c r="N398" s="30" t="s">
        <v>1422</v>
      </c>
      <c r="O398" s="31"/>
      <c r="P398" s="16"/>
      <c r="Q398" s="16"/>
      <c r="R398" s="16" t="str">
        <f t="shared" si="2"/>
        <v/>
      </c>
    </row>
    <row r="399">
      <c r="A399" s="7"/>
      <c r="B399" s="16"/>
      <c r="C399" s="12"/>
      <c r="D399" s="12"/>
      <c r="E399" s="9"/>
      <c r="F399" s="10"/>
      <c r="G399" s="11"/>
      <c r="H399" s="9"/>
      <c r="I399" s="31"/>
      <c r="J399" s="9"/>
      <c r="K399" s="9"/>
      <c r="L399" s="21" t="s">
        <v>71</v>
      </c>
      <c r="M399" s="30" t="s">
        <v>1423</v>
      </c>
      <c r="N399" s="30" t="s">
        <v>1424</v>
      </c>
      <c r="O399" s="31"/>
      <c r="P399" s="16"/>
      <c r="Q399" s="16"/>
      <c r="R399" s="16" t="str">
        <f t="shared" si="2"/>
        <v/>
      </c>
    </row>
    <row r="400">
      <c r="A400" s="7" t="s">
        <v>219</v>
      </c>
      <c r="B400" s="14" t="s">
        <v>1057</v>
      </c>
      <c r="C400" s="12"/>
      <c r="D400" s="17" t="s">
        <v>1425</v>
      </c>
      <c r="E400" s="9" t="s">
        <v>220</v>
      </c>
      <c r="F400" s="10" t="s">
        <v>221</v>
      </c>
      <c r="G400" s="11">
        <v>2025.0</v>
      </c>
      <c r="H400" s="9" t="s">
        <v>222</v>
      </c>
      <c r="I400" s="29" t="s">
        <v>1021</v>
      </c>
      <c r="J400" s="9"/>
      <c r="K400" s="9" t="s">
        <v>152</v>
      </c>
      <c r="L400" s="21" t="s">
        <v>25</v>
      </c>
      <c r="M400" s="30" t="s">
        <v>1426</v>
      </c>
      <c r="N400" s="30" t="s">
        <v>1427</v>
      </c>
      <c r="O400" s="31"/>
      <c r="P400" s="16"/>
      <c r="Q400" s="16"/>
      <c r="R400" s="16" t="str">
        <f t="shared" si="2"/>
        <v/>
      </c>
    </row>
    <row r="401">
      <c r="A401" s="7"/>
      <c r="B401" s="16"/>
      <c r="C401" s="12"/>
      <c r="D401" s="12"/>
      <c r="E401" s="9"/>
      <c r="F401" s="10"/>
      <c r="G401" s="11"/>
      <c r="H401" s="9"/>
      <c r="I401" s="31"/>
      <c r="J401" s="9"/>
      <c r="K401" s="9"/>
      <c r="L401" s="21" t="s">
        <v>31</v>
      </c>
      <c r="M401" s="30" t="s">
        <v>1428</v>
      </c>
      <c r="N401" s="30" t="s">
        <v>1429</v>
      </c>
      <c r="O401" s="31"/>
      <c r="P401" s="16"/>
      <c r="Q401" s="16"/>
      <c r="R401" s="16" t="str">
        <f t="shared" si="2"/>
        <v/>
      </c>
    </row>
    <row r="402">
      <c r="A402" s="7"/>
      <c r="B402" s="16"/>
      <c r="C402" s="12"/>
      <c r="D402" s="12"/>
      <c r="E402" s="9"/>
      <c r="F402" s="10"/>
      <c r="G402" s="11"/>
      <c r="H402" s="9"/>
      <c r="I402" s="31"/>
      <c r="J402" s="9"/>
      <c r="K402" s="9"/>
      <c r="L402" s="21" t="s">
        <v>36</v>
      </c>
      <c r="M402" s="30" t="s">
        <v>1430</v>
      </c>
      <c r="N402" s="30" t="s">
        <v>1431</v>
      </c>
      <c r="O402" s="31"/>
      <c r="P402" s="16"/>
      <c r="Q402" s="16"/>
      <c r="R402" s="16" t="str">
        <f t="shared" si="2"/>
        <v/>
      </c>
    </row>
    <row r="403">
      <c r="A403" s="7"/>
      <c r="B403" s="16"/>
      <c r="C403" s="12"/>
      <c r="D403" s="12"/>
      <c r="E403" s="9"/>
      <c r="F403" s="10"/>
      <c r="G403" s="11"/>
      <c r="H403" s="9"/>
      <c r="I403" s="31"/>
      <c r="J403" s="9"/>
      <c r="K403" s="9"/>
      <c r="L403" s="21" t="s">
        <v>41</v>
      </c>
      <c r="M403" s="30" t="s">
        <v>1432</v>
      </c>
      <c r="N403" s="30" t="s">
        <v>1433</v>
      </c>
      <c r="O403" s="31"/>
      <c r="P403" s="16"/>
      <c r="Q403" s="16"/>
      <c r="R403" s="16" t="str">
        <f t="shared" si="2"/>
        <v/>
      </c>
    </row>
    <row r="404">
      <c r="A404" s="7"/>
      <c r="B404" s="16"/>
      <c r="C404" s="12"/>
      <c r="D404" s="12"/>
      <c r="E404" s="9"/>
      <c r="F404" s="10"/>
      <c r="G404" s="11"/>
      <c r="H404" s="9"/>
      <c r="I404" s="31"/>
      <c r="J404" s="9"/>
      <c r="K404" s="9"/>
      <c r="L404" s="21" t="s">
        <v>47</v>
      </c>
      <c r="M404" s="30" t="s">
        <v>1434</v>
      </c>
      <c r="N404" s="30" t="s">
        <v>1435</v>
      </c>
      <c r="O404" s="31"/>
      <c r="P404" s="16"/>
      <c r="Q404" s="16"/>
      <c r="R404" s="16" t="str">
        <f t="shared" si="2"/>
        <v/>
      </c>
    </row>
    <row r="405">
      <c r="A405" s="7"/>
      <c r="B405" s="16"/>
      <c r="C405" s="12"/>
      <c r="D405" s="12"/>
      <c r="E405" s="9"/>
      <c r="F405" s="10"/>
      <c r="G405" s="11"/>
      <c r="H405" s="9"/>
      <c r="I405" s="31"/>
      <c r="J405" s="9"/>
      <c r="K405" s="9"/>
      <c r="L405" s="21" t="s">
        <v>53</v>
      </c>
      <c r="M405" s="30" t="s">
        <v>1436</v>
      </c>
      <c r="N405" s="30" t="s">
        <v>1291</v>
      </c>
      <c r="O405" s="31"/>
      <c r="P405" s="16"/>
      <c r="Q405" s="16"/>
      <c r="R405" s="16" t="str">
        <f t="shared" si="2"/>
        <v/>
      </c>
    </row>
    <row r="406">
      <c r="A406" s="7"/>
      <c r="B406" s="16"/>
      <c r="C406" s="12"/>
      <c r="D406" s="12"/>
      <c r="E406" s="9"/>
      <c r="F406" s="10"/>
      <c r="G406" s="11"/>
      <c r="H406" s="9"/>
      <c r="I406" s="31"/>
      <c r="J406" s="9"/>
      <c r="K406" s="9"/>
      <c r="L406" s="21" t="s">
        <v>59</v>
      </c>
      <c r="M406" s="30" t="s">
        <v>1437</v>
      </c>
      <c r="N406" s="30" t="s">
        <v>1438</v>
      </c>
      <c r="O406" s="31"/>
      <c r="P406" s="16"/>
      <c r="Q406" s="16"/>
      <c r="R406" s="16" t="str">
        <f t="shared" si="2"/>
        <v/>
      </c>
    </row>
    <row r="407">
      <c r="A407" s="7"/>
      <c r="B407" s="16"/>
      <c r="C407" s="12"/>
      <c r="D407" s="12"/>
      <c r="E407" s="9"/>
      <c r="F407" s="10"/>
      <c r="G407" s="11"/>
      <c r="H407" s="9"/>
      <c r="I407" s="31"/>
      <c r="J407" s="9"/>
      <c r="K407" s="9"/>
      <c r="L407" s="21" t="s">
        <v>65</v>
      </c>
      <c r="M407" s="30" t="s">
        <v>1439</v>
      </c>
      <c r="N407" s="30" t="s">
        <v>1440</v>
      </c>
      <c r="O407" s="31"/>
      <c r="P407" s="16"/>
      <c r="Q407" s="16"/>
      <c r="R407" s="16" t="str">
        <f t="shared" si="2"/>
        <v/>
      </c>
    </row>
    <row r="408">
      <c r="A408" s="7"/>
      <c r="B408" s="16"/>
      <c r="C408" s="12"/>
      <c r="D408" s="12"/>
      <c r="E408" s="9"/>
      <c r="F408" s="10"/>
      <c r="G408" s="11"/>
      <c r="H408" s="9"/>
      <c r="I408" s="31"/>
      <c r="J408" s="9"/>
      <c r="K408" s="9"/>
      <c r="L408" s="21" t="s">
        <v>71</v>
      </c>
      <c r="M408" s="30" t="s">
        <v>1441</v>
      </c>
      <c r="N408" s="30" t="s">
        <v>1442</v>
      </c>
      <c r="O408" s="31"/>
      <c r="P408" s="16"/>
      <c r="Q408" s="16"/>
      <c r="R408" s="16" t="str">
        <f t="shared" si="2"/>
        <v/>
      </c>
    </row>
    <row r="409">
      <c r="A409" s="7" t="s">
        <v>223</v>
      </c>
      <c r="B409" s="14" t="s">
        <v>1057</v>
      </c>
      <c r="C409" s="12"/>
      <c r="D409" s="17" t="s">
        <v>1443</v>
      </c>
      <c r="E409" s="9" t="s">
        <v>224</v>
      </c>
      <c r="F409" s="10" t="s">
        <v>225</v>
      </c>
      <c r="G409" s="11">
        <v>2021.0</v>
      </c>
      <c r="H409" s="9" t="s">
        <v>226</v>
      </c>
      <c r="I409" s="29" t="s">
        <v>998</v>
      </c>
      <c r="J409" s="9"/>
      <c r="K409" s="9" t="s">
        <v>152</v>
      </c>
      <c r="L409" s="21" t="s">
        <v>25</v>
      </c>
      <c r="M409" s="30" t="s">
        <v>1444</v>
      </c>
      <c r="N409" s="30" t="s">
        <v>1445</v>
      </c>
      <c r="O409" s="31"/>
      <c r="P409" s="16"/>
      <c r="Q409" s="16"/>
      <c r="R409" s="16" t="str">
        <f t="shared" si="2"/>
        <v/>
      </c>
    </row>
    <row r="410">
      <c r="A410" s="7"/>
      <c r="B410" s="16"/>
      <c r="C410" s="12"/>
      <c r="D410" s="12"/>
      <c r="E410" s="9"/>
      <c r="F410" s="10"/>
      <c r="G410" s="11"/>
      <c r="H410" s="9"/>
      <c r="I410" s="31"/>
      <c r="J410" s="9"/>
      <c r="K410" s="9"/>
      <c r="L410" s="21" t="s">
        <v>31</v>
      </c>
      <c r="M410" s="30" t="s">
        <v>1446</v>
      </c>
      <c r="N410" s="30" t="s">
        <v>1447</v>
      </c>
      <c r="O410" s="31"/>
      <c r="P410" s="16"/>
      <c r="Q410" s="16"/>
      <c r="R410" s="16" t="str">
        <f t="shared" si="2"/>
        <v/>
      </c>
    </row>
    <row r="411">
      <c r="A411" s="7"/>
      <c r="B411" s="16"/>
      <c r="C411" s="12"/>
      <c r="D411" s="12"/>
      <c r="E411" s="9"/>
      <c r="F411" s="10"/>
      <c r="G411" s="11"/>
      <c r="H411" s="9"/>
      <c r="I411" s="31"/>
      <c r="J411" s="9"/>
      <c r="K411" s="9"/>
      <c r="L411" s="21" t="s">
        <v>36</v>
      </c>
      <c r="M411" s="30" t="s">
        <v>1448</v>
      </c>
      <c r="N411" s="30" t="s">
        <v>1449</v>
      </c>
      <c r="O411" s="31"/>
      <c r="P411" s="16"/>
      <c r="Q411" s="16"/>
      <c r="R411" s="16" t="str">
        <f t="shared" si="2"/>
        <v/>
      </c>
    </row>
    <row r="412">
      <c r="A412" s="7"/>
      <c r="B412" s="16"/>
      <c r="C412" s="12"/>
      <c r="D412" s="12"/>
      <c r="E412" s="9"/>
      <c r="F412" s="10"/>
      <c r="G412" s="11"/>
      <c r="H412" s="9"/>
      <c r="I412" s="31"/>
      <c r="J412" s="9"/>
      <c r="K412" s="9"/>
      <c r="L412" s="21" t="s">
        <v>41</v>
      </c>
      <c r="M412" s="30" t="s">
        <v>1448</v>
      </c>
      <c r="N412" s="30" t="s">
        <v>1450</v>
      </c>
      <c r="O412" s="31"/>
      <c r="P412" s="16"/>
      <c r="Q412" s="16"/>
      <c r="R412" s="16" t="str">
        <f t="shared" si="2"/>
        <v/>
      </c>
    </row>
    <row r="413">
      <c r="A413" s="7"/>
      <c r="B413" s="16"/>
      <c r="C413" s="12"/>
      <c r="D413" s="12"/>
      <c r="E413" s="9"/>
      <c r="F413" s="10"/>
      <c r="G413" s="11"/>
      <c r="H413" s="9"/>
      <c r="I413" s="31"/>
      <c r="J413" s="9"/>
      <c r="K413" s="9"/>
      <c r="L413" s="21" t="s">
        <v>47</v>
      </c>
      <c r="M413" s="30" t="s">
        <v>1451</v>
      </c>
      <c r="N413" s="30" t="s">
        <v>1452</v>
      </c>
      <c r="O413" s="31"/>
      <c r="P413" s="16"/>
      <c r="Q413" s="16"/>
      <c r="R413" s="16" t="str">
        <f t="shared" si="2"/>
        <v/>
      </c>
    </row>
    <row r="414">
      <c r="A414" s="7"/>
      <c r="B414" s="16"/>
      <c r="C414" s="12"/>
      <c r="D414" s="12"/>
      <c r="E414" s="9"/>
      <c r="F414" s="10"/>
      <c r="G414" s="11"/>
      <c r="H414" s="9"/>
      <c r="I414" s="31"/>
      <c r="J414" s="9"/>
      <c r="K414" s="9"/>
      <c r="L414" s="21" t="s">
        <v>53</v>
      </c>
      <c r="M414" s="30" t="s">
        <v>1453</v>
      </c>
      <c r="N414" s="30" t="s">
        <v>1454</v>
      </c>
      <c r="O414" s="31"/>
      <c r="P414" s="16"/>
      <c r="Q414" s="16"/>
      <c r="R414" s="16" t="str">
        <f t="shared" si="2"/>
        <v/>
      </c>
    </row>
    <row r="415">
      <c r="A415" s="7"/>
      <c r="B415" s="16"/>
      <c r="C415" s="12"/>
      <c r="D415" s="12"/>
      <c r="E415" s="9"/>
      <c r="F415" s="10"/>
      <c r="G415" s="11"/>
      <c r="H415" s="9"/>
      <c r="I415" s="31"/>
      <c r="J415" s="9"/>
      <c r="K415" s="9"/>
      <c r="L415" s="21" t="s">
        <v>59</v>
      </c>
      <c r="M415" s="30" t="s">
        <v>1455</v>
      </c>
      <c r="N415" s="30" t="s">
        <v>1456</v>
      </c>
      <c r="O415" s="31"/>
      <c r="P415" s="16"/>
      <c r="Q415" s="16"/>
      <c r="R415" s="16" t="str">
        <f t="shared" si="2"/>
        <v/>
      </c>
    </row>
    <row r="416">
      <c r="A416" s="7"/>
      <c r="B416" s="16"/>
      <c r="C416" s="12"/>
      <c r="D416" s="12"/>
      <c r="E416" s="9"/>
      <c r="F416" s="10"/>
      <c r="G416" s="11"/>
      <c r="H416" s="9"/>
      <c r="I416" s="31"/>
      <c r="J416" s="9"/>
      <c r="K416" s="9"/>
      <c r="L416" s="21" t="s">
        <v>65</v>
      </c>
      <c r="M416" s="30" t="s">
        <v>1457</v>
      </c>
      <c r="N416" s="30" t="s">
        <v>1458</v>
      </c>
      <c r="O416" s="31"/>
      <c r="P416" s="16"/>
      <c r="Q416" s="16"/>
      <c r="R416" s="16" t="str">
        <f t="shared" si="2"/>
        <v/>
      </c>
    </row>
    <row r="417">
      <c r="A417" s="7"/>
      <c r="B417" s="16"/>
      <c r="C417" s="12"/>
      <c r="D417" s="12"/>
      <c r="E417" s="9"/>
      <c r="F417" s="10"/>
      <c r="G417" s="11"/>
      <c r="H417" s="9"/>
      <c r="I417" s="31"/>
      <c r="J417" s="9"/>
      <c r="K417" s="9"/>
      <c r="L417" s="21" t="s">
        <v>71</v>
      </c>
      <c r="M417" s="30" t="s">
        <v>1459</v>
      </c>
      <c r="N417" s="30" t="s">
        <v>1458</v>
      </c>
      <c r="O417" s="31"/>
      <c r="P417" s="16"/>
      <c r="Q417" s="16"/>
      <c r="R417" s="16" t="str">
        <f t="shared" si="2"/>
        <v/>
      </c>
    </row>
    <row r="418">
      <c r="A418" s="7" t="s">
        <v>227</v>
      </c>
      <c r="B418" s="14" t="s">
        <v>1057</v>
      </c>
      <c r="C418" s="12"/>
      <c r="D418" s="17" t="s">
        <v>1460</v>
      </c>
      <c r="E418" s="9" t="s">
        <v>228</v>
      </c>
      <c r="F418" s="10" t="s">
        <v>229</v>
      </c>
      <c r="G418" s="11">
        <v>2023.0</v>
      </c>
      <c r="H418" s="9" t="s">
        <v>230</v>
      </c>
      <c r="I418" s="29" t="s">
        <v>1021</v>
      </c>
      <c r="J418" s="9"/>
      <c r="K418" s="9" t="s">
        <v>152</v>
      </c>
      <c r="L418" s="21" t="s">
        <v>25</v>
      </c>
      <c r="M418" s="30" t="s">
        <v>1461</v>
      </c>
      <c r="N418" s="30" t="s">
        <v>1462</v>
      </c>
      <c r="O418" s="31"/>
      <c r="P418" s="16"/>
      <c r="Q418" s="16"/>
      <c r="R418" s="16" t="str">
        <f t="shared" si="2"/>
        <v/>
      </c>
    </row>
    <row r="419">
      <c r="A419" s="7"/>
      <c r="B419" s="16"/>
      <c r="C419" s="12"/>
      <c r="D419" s="12"/>
      <c r="E419" s="9"/>
      <c r="F419" s="10"/>
      <c r="G419" s="11"/>
      <c r="H419" s="9"/>
      <c r="I419" s="31"/>
      <c r="J419" s="9"/>
      <c r="K419" s="9"/>
      <c r="L419" s="21" t="s">
        <v>31</v>
      </c>
      <c r="M419" s="30" t="s">
        <v>1463</v>
      </c>
      <c r="N419" s="30" t="s">
        <v>1464</v>
      </c>
      <c r="O419" s="31"/>
      <c r="P419" s="16"/>
      <c r="Q419" s="16"/>
      <c r="R419" s="16" t="str">
        <f t="shared" si="2"/>
        <v/>
      </c>
    </row>
    <row r="420">
      <c r="A420" s="7"/>
      <c r="B420" s="16"/>
      <c r="C420" s="12"/>
      <c r="D420" s="12"/>
      <c r="E420" s="9"/>
      <c r="F420" s="10"/>
      <c r="G420" s="11"/>
      <c r="H420" s="9"/>
      <c r="I420" s="31"/>
      <c r="J420" s="9"/>
      <c r="K420" s="9"/>
      <c r="L420" s="21" t="s">
        <v>36</v>
      </c>
      <c r="M420" s="30" t="s">
        <v>1465</v>
      </c>
      <c r="N420" s="30" t="s">
        <v>1466</v>
      </c>
      <c r="O420" s="31"/>
      <c r="P420" s="16"/>
      <c r="Q420" s="16"/>
      <c r="R420" s="16" t="str">
        <f t="shared" si="2"/>
        <v/>
      </c>
    </row>
    <row r="421">
      <c r="A421" s="7"/>
      <c r="B421" s="16"/>
      <c r="C421" s="12"/>
      <c r="D421" s="12"/>
      <c r="E421" s="9"/>
      <c r="F421" s="10"/>
      <c r="G421" s="11"/>
      <c r="H421" s="9"/>
      <c r="I421" s="31"/>
      <c r="J421" s="9"/>
      <c r="K421" s="9"/>
      <c r="L421" s="21" t="s">
        <v>41</v>
      </c>
      <c r="M421" s="30" t="s">
        <v>1467</v>
      </c>
      <c r="N421" s="30" t="s">
        <v>1468</v>
      </c>
      <c r="O421" s="31"/>
      <c r="P421" s="16"/>
      <c r="Q421" s="16"/>
      <c r="R421" s="16" t="str">
        <f t="shared" si="2"/>
        <v/>
      </c>
    </row>
    <row r="422">
      <c r="A422" s="7"/>
      <c r="B422" s="16"/>
      <c r="C422" s="12"/>
      <c r="D422" s="12"/>
      <c r="E422" s="9"/>
      <c r="F422" s="10"/>
      <c r="G422" s="11"/>
      <c r="H422" s="9"/>
      <c r="I422" s="31"/>
      <c r="J422" s="9"/>
      <c r="K422" s="9"/>
      <c r="L422" s="21" t="s">
        <v>47</v>
      </c>
      <c r="M422" s="30" t="s">
        <v>1469</v>
      </c>
      <c r="N422" s="30" t="s">
        <v>1470</v>
      </c>
      <c r="O422" s="31"/>
      <c r="P422" s="16"/>
      <c r="Q422" s="16"/>
      <c r="R422" s="16" t="str">
        <f t="shared" si="2"/>
        <v/>
      </c>
    </row>
    <row r="423">
      <c r="A423" s="7"/>
      <c r="B423" s="16"/>
      <c r="C423" s="12"/>
      <c r="D423" s="12"/>
      <c r="E423" s="9"/>
      <c r="F423" s="10"/>
      <c r="G423" s="11"/>
      <c r="H423" s="9"/>
      <c r="I423" s="31"/>
      <c r="J423" s="9"/>
      <c r="K423" s="9"/>
      <c r="L423" s="21" t="s">
        <v>53</v>
      </c>
      <c r="M423" s="30" t="s">
        <v>1471</v>
      </c>
      <c r="N423" s="30" t="s">
        <v>1472</v>
      </c>
      <c r="O423" s="31"/>
      <c r="P423" s="16"/>
      <c r="Q423" s="16"/>
      <c r="R423" s="16" t="str">
        <f t="shared" si="2"/>
        <v/>
      </c>
    </row>
    <row r="424">
      <c r="A424" s="7"/>
      <c r="B424" s="16"/>
      <c r="C424" s="12"/>
      <c r="D424" s="12"/>
      <c r="E424" s="9"/>
      <c r="F424" s="10"/>
      <c r="G424" s="11"/>
      <c r="H424" s="9"/>
      <c r="I424" s="31"/>
      <c r="J424" s="9"/>
      <c r="K424" s="9"/>
      <c r="L424" s="21" t="s">
        <v>59</v>
      </c>
      <c r="M424" s="30" t="s">
        <v>1473</v>
      </c>
      <c r="N424" s="30" t="s">
        <v>1474</v>
      </c>
      <c r="O424" s="31"/>
      <c r="P424" s="16"/>
      <c r="Q424" s="16"/>
      <c r="R424" s="16" t="str">
        <f t="shared" si="2"/>
        <v/>
      </c>
    </row>
    <row r="425">
      <c r="A425" s="7"/>
      <c r="B425" s="16"/>
      <c r="C425" s="12"/>
      <c r="D425" s="12"/>
      <c r="E425" s="9"/>
      <c r="F425" s="10"/>
      <c r="G425" s="11"/>
      <c r="H425" s="9"/>
      <c r="I425" s="31"/>
      <c r="J425" s="9"/>
      <c r="K425" s="9"/>
      <c r="L425" s="21" t="s">
        <v>65</v>
      </c>
      <c r="M425" s="30" t="s">
        <v>1475</v>
      </c>
      <c r="N425" s="30" t="s">
        <v>1476</v>
      </c>
      <c r="O425" s="31"/>
      <c r="P425" s="16"/>
      <c r="Q425" s="16"/>
      <c r="R425" s="16" t="str">
        <f t="shared" si="2"/>
        <v/>
      </c>
    </row>
    <row r="426">
      <c r="A426" s="7"/>
      <c r="B426" s="16"/>
      <c r="C426" s="12"/>
      <c r="D426" s="12"/>
      <c r="E426" s="9"/>
      <c r="F426" s="10"/>
      <c r="G426" s="11"/>
      <c r="H426" s="9"/>
      <c r="I426" s="31"/>
      <c r="J426" s="9"/>
      <c r="K426" s="9"/>
      <c r="L426" s="21" t="s">
        <v>71</v>
      </c>
      <c r="M426" s="30" t="s">
        <v>1477</v>
      </c>
      <c r="N426" s="30" t="s">
        <v>1478</v>
      </c>
      <c r="O426" s="31"/>
      <c r="P426" s="16"/>
      <c r="Q426" s="16"/>
      <c r="R426" s="16" t="str">
        <f t="shared" si="2"/>
        <v/>
      </c>
    </row>
    <row r="427">
      <c r="A427" s="7" t="s">
        <v>231</v>
      </c>
      <c r="B427" s="14" t="s">
        <v>1057</v>
      </c>
      <c r="C427" s="12"/>
      <c r="D427" s="17" t="s">
        <v>1479</v>
      </c>
      <c r="E427" s="9" t="s">
        <v>232</v>
      </c>
      <c r="F427" s="10" t="s">
        <v>233</v>
      </c>
      <c r="G427" s="11">
        <v>2023.0</v>
      </c>
      <c r="H427" s="9" t="s">
        <v>234</v>
      </c>
      <c r="I427" s="29" t="s">
        <v>680</v>
      </c>
      <c r="J427" s="9"/>
      <c r="K427" s="9" t="s">
        <v>152</v>
      </c>
      <c r="L427" s="21" t="s">
        <v>25</v>
      </c>
      <c r="M427" s="30" t="s">
        <v>1480</v>
      </c>
      <c r="N427" s="30" t="s">
        <v>1481</v>
      </c>
      <c r="O427" s="31"/>
      <c r="P427" s="16"/>
      <c r="Q427" s="16"/>
      <c r="R427" s="16" t="str">
        <f t="shared" si="2"/>
        <v/>
      </c>
    </row>
    <row r="428">
      <c r="A428" s="7"/>
      <c r="B428" s="16"/>
      <c r="C428" s="12"/>
      <c r="D428" s="12"/>
      <c r="E428" s="9"/>
      <c r="F428" s="10"/>
      <c r="G428" s="11"/>
      <c r="H428" s="9"/>
      <c r="I428" s="31"/>
      <c r="J428" s="9"/>
      <c r="K428" s="9"/>
      <c r="L428" s="21" t="s">
        <v>31</v>
      </c>
      <c r="M428" s="30" t="s">
        <v>1482</v>
      </c>
      <c r="N428" s="30" t="s">
        <v>1483</v>
      </c>
      <c r="O428" s="31"/>
      <c r="P428" s="16"/>
      <c r="Q428" s="16"/>
      <c r="R428" s="16" t="str">
        <f t="shared" si="2"/>
        <v/>
      </c>
    </row>
    <row r="429">
      <c r="A429" s="7"/>
      <c r="B429" s="16"/>
      <c r="C429" s="12"/>
      <c r="D429" s="12"/>
      <c r="E429" s="9"/>
      <c r="F429" s="10"/>
      <c r="G429" s="11"/>
      <c r="H429" s="9"/>
      <c r="I429" s="31"/>
      <c r="J429" s="9"/>
      <c r="K429" s="9"/>
      <c r="L429" s="21" t="s">
        <v>36</v>
      </c>
      <c r="M429" s="30" t="s">
        <v>1484</v>
      </c>
      <c r="N429" s="30" t="s">
        <v>1485</v>
      </c>
      <c r="O429" s="31"/>
      <c r="P429" s="14" t="s">
        <v>533</v>
      </c>
      <c r="Q429" s="14" t="s">
        <v>533</v>
      </c>
      <c r="R429" s="16" t="str">
        <f t="shared" si="2"/>
        <v>Igual</v>
      </c>
    </row>
    <row r="430">
      <c r="A430" s="7"/>
      <c r="B430" s="16"/>
      <c r="C430" s="12"/>
      <c r="D430" s="12"/>
      <c r="E430" s="9"/>
      <c r="F430" s="10"/>
      <c r="G430" s="11"/>
      <c r="H430" s="9"/>
      <c r="I430" s="31"/>
      <c r="J430" s="9"/>
      <c r="K430" s="9"/>
      <c r="L430" s="21" t="s">
        <v>41</v>
      </c>
      <c r="M430" s="30" t="s">
        <v>1486</v>
      </c>
      <c r="N430" s="30" t="s">
        <v>1487</v>
      </c>
      <c r="O430" s="31"/>
      <c r="P430" s="16"/>
      <c r="Q430" s="16"/>
      <c r="R430" s="16" t="str">
        <f t="shared" si="2"/>
        <v/>
      </c>
    </row>
    <row r="431">
      <c r="A431" s="7"/>
      <c r="B431" s="16"/>
      <c r="C431" s="12"/>
      <c r="D431" s="12"/>
      <c r="E431" s="9"/>
      <c r="F431" s="10"/>
      <c r="G431" s="11"/>
      <c r="H431" s="9"/>
      <c r="I431" s="31"/>
      <c r="J431" s="9"/>
      <c r="K431" s="9"/>
      <c r="L431" s="21" t="s">
        <v>47</v>
      </c>
      <c r="M431" s="30" t="s">
        <v>1488</v>
      </c>
      <c r="N431" s="30" t="s">
        <v>1489</v>
      </c>
      <c r="O431" s="31"/>
      <c r="P431" s="16"/>
      <c r="Q431" s="16"/>
      <c r="R431" s="16" t="str">
        <f t="shared" si="2"/>
        <v/>
      </c>
    </row>
    <row r="432">
      <c r="A432" s="7"/>
      <c r="B432" s="16"/>
      <c r="C432" s="12"/>
      <c r="D432" s="12"/>
      <c r="E432" s="9"/>
      <c r="F432" s="10"/>
      <c r="G432" s="11"/>
      <c r="H432" s="9"/>
      <c r="I432" s="31"/>
      <c r="J432" s="9"/>
      <c r="K432" s="9"/>
      <c r="L432" s="21" t="s">
        <v>53</v>
      </c>
      <c r="M432" s="30" t="s">
        <v>1490</v>
      </c>
      <c r="N432" s="30" t="s">
        <v>1291</v>
      </c>
      <c r="O432" s="31"/>
      <c r="P432" s="16"/>
      <c r="Q432" s="16"/>
      <c r="R432" s="16" t="str">
        <f t="shared" si="2"/>
        <v/>
      </c>
    </row>
    <row r="433">
      <c r="A433" s="7"/>
      <c r="B433" s="16"/>
      <c r="C433" s="12"/>
      <c r="D433" s="12"/>
      <c r="E433" s="9"/>
      <c r="F433" s="10"/>
      <c r="G433" s="11"/>
      <c r="H433" s="9"/>
      <c r="I433" s="31"/>
      <c r="J433" s="9"/>
      <c r="K433" s="9"/>
      <c r="L433" s="21" t="s">
        <v>59</v>
      </c>
      <c r="M433" s="30" t="s">
        <v>1491</v>
      </c>
      <c r="N433" s="30" t="s">
        <v>1492</v>
      </c>
      <c r="O433" s="31"/>
      <c r="P433" s="16"/>
      <c r="Q433" s="16"/>
      <c r="R433" s="16" t="str">
        <f t="shared" si="2"/>
        <v/>
      </c>
    </row>
    <row r="434">
      <c r="A434" s="7"/>
      <c r="B434" s="16"/>
      <c r="C434" s="12"/>
      <c r="D434" s="12"/>
      <c r="E434" s="9"/>
      <c r="F434" s="10"/>
      <c r="G434" s="11"/>
      <c r="H434" s="9"/>
      <c r="I434" s="31"/>
      <c r="J434" s="9"/>
      <c r="K434" s="9"/>
      <c r="L434" s="21" t="s">
        <v>65</v>
      </c>
      <c r="M434" s="30" t="s">
        <v>1493</v>
      </c>
      <c r="N434" s="30" t="s">
        <v>1494</v>
      </c>
      <c r="O434" s="31"/>
      <c r="P434" s="16"/>
      <c r="Q434" s="16"/>
      <c r="R434" s="16" t="str">
        <f t="shared" si="2"/>
        <v/>
      </c>
    </row>
    <row r="435">
      <c r="A435" s="7"/>
      <c r="B435" s="16"/>
      <c r="C435" s="12"/>
      <c r="D435" s="12"/>
      <c r="E435" s="9"/>
      <c r="F435" s="10"/>
      <c r="G435" s="11"/>
      <c r="H435" s="9"/>
      <c r="I435" s="31"/>
      <c r="J435" s="9"/>
      <c r="K435" s="9"/>
      <c r="L435" s="21" t="s">
        <v>71</v>
      </c>
      <c r="M435" s="30" t="s">
        <v>1495</v>
      </c>
      <c r="N435" s="30" t="s">
        <v>1496</v>
      </c>
      <c r="O435" s="31"/>
      <c r="P435" s="16"/>
      <c r="Q435" s="16"/>
      <c r="R435" s="16" t="str">
        <f t="shared" si="2"/>
        <v/>
      </c>
    </row>
    <row r="436">
      <c r="A436" s="7" t="s">
        <v>235</v>
      </c>
      <c r="B436" s="14" t="s">
        <v>1057</v>
      </c>
      <c r="C436" s="12"/>
      <c r="D436" s="17" t="s">
        <v>1497</v>
      </c>
      <c r="E436" s="9" t="s">
        <v>236</v>
      </c>
      <c r="F436" s="10" t="s">
        <v>237</v>
      </c>
      <c r="G436" s="11">
        <v>2023.0</v>
      </c>
      <c r="H436" s="9" t="s">
        <v>238</v>
      </c>
      <c r="I436" s="29" t="s">
        <v>680</v>
      </c>
      <c r="J436" s="9"/>
      <c r="K436" s="9" t="s">
        <v>152</v>
      </c>
      <c r="L436" s="21" t="s">
        <v>25</v>
      </c>
      <c r="M436" s="30" t="s">
        <v>1498</v>
      </c>
      <c r="N436" s="30" t="s">
        <v>1499</v>
      </c>
      <c r="O436" s="31"/>
      <c r="P436" s="16"/>
      <c r="Q436" s="16"/>
      <c r="R436" s="16" t="str">
        <f t="shared" si="2"/>
        <v/>
      </c>
    </row>
    <row r="437">
      <c r="A437" s="7"/>
      <c r="B437" s="16"/>
      <c r="C437" s="12"/>
      <c r="D437" s="12"/>
      <c r="E437" s="9"/>
      <c r="F437" s="10"/>
      <c r="G437" s="11"/>
      <c r="H437" s="9"/>
      <c r="I437" s="31"/>
      <c r="J437" s="9"/>
      <c r="K437" s="9"/>
      <c r="L437" s="21" t="s">
        <v>31</v>
      </c>
      <c r="M437" s="30" t="s">
        <v>1500</v>
      </c>
      <c r="N437" s="30" t="s">
        <v>1501</v>
      </c>
      <c r="O437" s="31"/>
      <c r="P437" s="16"/>
      <c r="Q437" s="16"/>
      <c r="R437" s="16" t="str">
        <f t="shared" si="2"/>
        <v/>
      </c>
    </row>
    <row r="438">
      <c r="A438" s="7"/>
      <c r="B438" s="16"/>
      <c r="C438" s="12"/>
      <c r="D438" s="12"/>
      <c r="E438" s="9"/>
      <c r="F438" s="10"/>
      <c r="G438" s="11"/>
      <c r="H438" s="9"/>
      <c r="I438" s="31"/>
      <c r="J438" s="9"/>
      <c r="K438" s="9"/>
      <c r="L438" s="21" t="s">
        <v>36</v>
      </c>
      <c r="M438" s="30" t="s">
        <v>1502</v>
      </c>
      <c r="N438" s="30" t="s">
        <v>1503</v>
      </c>
      <c r="O438" s="31"/>
      <c r="P438" s="16"/>
      <c r="Q438" s="16"/>
      <c r="R438" s="16" t="str">
        <f t="shared" si="2"/>
        <v/>
      </c>
    </row>
    <row r="439">
      <c r="A439" s="7"/>
      <c r="B439" s="16"/>
      <c r="C439" s="12"/>
      <c r="D439" s="12"/>
      <c r="E439" s="9"/>
      <c r="F439" s="10"/>
      <c r="G439" s="11"/>
      <c r="H439" s="9"/>
      <c r="I439" s="31"/>
      <c r="J439" s="9"/>
      <c r="K439" s="9"/>
      <c r="L439" s="21" t="s">
        <v>41</v>
      </c>
      <c r="M439" s="30" t="s">
        <v>1504</v>
      </c>
      <c r="N439" s="30" t="s">
        <v>1505</v>
      </c>
      <c r="O439" s="31"/>
      <c r="P439" s="16"/>
      <c r="Q439" s="16"/>
      <c r="R439" s="16" t="str">
        <f t="shared" si="2"/>
        <v/>
      </c>
    </row>
    <row r="440">
      <c r="A440" s="7"/>
      <c r="B440" s="16"/>
      <c r="C440" s="12"/>
      <c r="D440" s="12"/>
      <c r="E440" s="9"/>
      <c r="F440" s="10"/>
      <c r="G440" s="11"/>
      <c r="H440" s="9"/>
      <c r="I440" s="31"/>
      <c r="J440" s="9"/>
      <c r="K440" s="9"/>
      <c r="L440" s="21" t="s">
        <v>47</v>
      </c>
      <c r="M440" s="30" t="s">
        <v>1506</v>
      </c>
      <c r="N440" s="30" t="s">
        <v>1507</v>
      </c>
      <c r="O440" s="31"/>
      <c r="P440" s="16"/>
      <c r="Q440" s="16"/>
      <c r="R440" s="16" t="str">
        <f t="shared" si="2"/>
        <v/>
      </c>
    </row>
    <row r="441">
      <c r="A441" s="7"/>
      <c r="B441" s="16"/>
      <c r="C441" s="12"/>
      <c r="D441" s="12"/>
      <c r="E441" s="9"/>
      <c r="F441" s="10"/>
      <c r="G441" s="11"/>
      <c r="H441" s="9"/>
      <c r="I441" s="31"/>
      <c r="J441" s="9"/>
      <c r="K441" s="9"/>
      <c r="L441" s="21" t="s">
        <v>53</v>
      </c>
      <c r="M441" s="30" t="s">
        <v>1508</v>
      </c>
      <c r="N441" s="30" t="s">
        <v>1509</v>
      </c>
      <c r="O441" s="31"/>
      <c r="P441" s="16"/>
      <c r="Q441" s="16"/>
      <c r="R441" s="16" t="str">
        <f t="shared" si="2"/>
        <v/>
      </c>
    </row>
    <row r="442">
      <c r="A442" s="7"/>
      <c r="B442" s="16"/>
      <c r="C442" s="12"/>
      <c r="D442" s="12"/>
      <c r="E442" s="9"/>
      <c r="F442" s="10"/>
      <c r="G442" s="11"/>
      <c r="H442" s="9"/>
      <c r="I442" s="31"/>
      <c r="J442" s="9"/>
      <c r="K442" s="9"/>
      <c r="L442" s="21" t="s">
        <v>59</v>
      </c>
      <c r="M442" s="30" t="s">
        <v>1510</v>
      </c>
      <c r="N442" s="30" t="s">
        <v>1511</v>
      </c>
      <c r="O442" s="31"/>
      <c r="P442" s="16"/>
      <c r="Q442" s="16"/>
      <c r="R442" s="16" t="str">
        <f t="shared" si="2"/>
        <v/>
      </c>
    </row>
    <row r="443">
      <c r="A443" s="7"/>
      <c r="B443" s="16"/>
      <c r="C443" s="12"/>
      <c r="D443" s="12"/>
      <c r="E443" s="9"/>
      <c r="F443" s="10"/>
      <c r="G443" s="11"/>
      <c r="H443" s="9"/>
      <c r="I443" s="31"/>
      <c r="J443" s="9"/>
      <c r="K443" s="9"/>
      <c r="L443" s="21" t="s">
        <v>65</v>
      </c>
      <c r="M443" s="30" t="s">
        <v>1493</v>
      </c>
      <c r="N443" s="30" t="s">
        <v>1512</v>
      </c>
      <c r="O443" s="31"/>
      <c r="P443" s="16"/>
      <c r="Q443" s="16"/>
      <c r="R443" s="16" t="str">
        <f t="shared" si="2"/>
        <v/>
      </c>
    </row>
    <row r="444">
      <c r="A444" s="7"/>
      <c r="B444" s="16"/>
      <c r="C444" s="12"/>
      <c r="D444" s="12"/>
      <c r="E444" s="9"/>
      <c r="F444" s="10"/>
      <c r="G444" s="11"/>
      <c r="H444" s="9"/>
      <c r="I444" s="31"/>
      <c r="J444" s="9"/>
      <c r="K444" s="9"/>
      <c r="L444" s="21" t="s">
        <v>71</v>
      </c>
      <c r="M444" s="30" t="s">
        <v>1513</v>
      </c>
      <c r="N444" s="30" t="s">
        <v>1514</v>
      </c>
      <c r="O444" s="31"/>
      <c r="P444" s="16"/>
      <c r="Q444" s="16"/>
      <c r="R444" s="16" t="str">
        <f t="shared" si="2"/>
        <v/>
      </c>
    </row>
    <row r="445">
      <c r="A445" s="7" t="s">
        <v>239</v>
      </c>
      <c r="B445" s="14" t="s">
        <v>1057</v>
      </c>
      <c r="C445" s="12"/>
      <c r="D445" s="17" t="s">
        <v>1515</v>
      </c>
      <c r="E445" s="9" t="s">
        <v>240</v>
      </c>
      <c r="F445" s="10" t="s">
        <v>241</v>
      </c>
      <c r="G445" s="11">
        <v>2023.0</v>
      </c>
      <c r="H445" s="9" t="s">
        <v>242</v>
      </c>
      <c r="I445" s="29" t="s">
        <v>1021</v>
      </c>
      <c r="J445" s="9"/>
      <c r="K445" s="9" t="s">
        <v>152</v>
      </c>
      <c r="L445" s="21" t="s">
        <v>25</v>
      </c>
      <c r="M445" s="30" t="s">
        <v>1516</v>
      </c>
      <c r="N445" s="30" t="s">
        <v>1517</v>
      </c>
      <c r="O445" s="29" t="s">
        <v>1518</v>
      </c>
      <c r="P445" s="14" t="s">
        <v>533</v>
      </c>
      <c r="Q445" s="14" t="s">
        <v>533</v>
      </c>
      <c r="R445" s="16" t="str">
        <f t="shared" si="2"/>
        <v>Igual</v>
      </c>
    </row>
    <row r="446">
      <c r="A446" s="7"/>
      <c r="B446" s="16"/>
      <c r="C446" s="12"/>
      <c r="D446" s="12"/>
      <c r="E446" s="9"/>
      <c r="F446" s="10"/>
      <c r="G446" s="11"/>
      <c r="H446" s="9"/>
      <c r="I446" s="31"/>
      <c r="J446" s="9"/>
      <c r="K446" s="9"/>
      <c r="L446" s="21" t="s">
        <v>31</v>
      </c>
      <c r="M446" s="30" t="s">
        <v>1519</v>
      </c>
      <c r="N446" s="29" t="s">
        <v>1520</v>
      </c>
      <c r="O446" s="29" t="s">
        <v>1521</v>
      </c>
      <c r="P446" s="14" t="s">
        <v>533</v>
      </c>
      <c r="Q446" s="14" t="s">
        <v>533</v>
      </c>
      <c r="R446" s="16" t="str">
        <f t="shared" si="2"/>
        <v>Igual</v>
      </c>
    </row>
    <row r="447">
      <c r="A447" s="7"/>
      <c r="B447" s="16"/>
      <c r="C447" s="12"/>
      <c r="D447" s="12"/>
      <c r="E447" s="9"/>
      <c r="F447" s="10"/>
      <c r="G447" s="11"/>
      <c r="H447" s="9"/>
      <c r="I447" s="31"/>
      <c r="J447" s="9"/>
      <c r="K447" s="9"/>
      <c r="L447" s="21" t="s">
        <v>36</v>
      </c>
      <c r="M447" s="30" t="s">
        <v>1522</v>
      </c>
      <c r="N447" s="29" t="s">
        <v>1523</v>
      </c>
      <c r="O447" s="29" t="s">
        <v>1524</v>
      </c>
      <c r="P447" s="14" t="s">
        <v>533</v>
      </c>
      <c r="Q447" s="14" t="s">
        <v>533</v>
      </c>
      <c r="R447" s="16" t="str">
        <f t="shared" si="2"/>
        <v>Igual</v>
      </c>
      <c r="S447" s="14" t="s">
        <v>1525</v>
      </c>
    </row>
    <row r="448">
      <c r="A448" s="7"/>
      <c r="B448" s="16"/>
      <c r="C448" s="12"/>
      <c r="D448" s="12"/>
      <c r="E448" s="9"/>
      <c r="F448" s="10"/>
      <c r="G448" s="11"/>
      <c r="H448" s="9"/>
      <c r="I448" s="31"/>
      <c r="J448" s="9"/>
      <c r="K448" s="9"/>
      <c r="L448" s="21" t="s">
        <v>41</v>
      </c>
      <c r="M448" s="30" t="s">
        <v>1526</v>
      </c>
      <c r="N448" s="29" t="s">
        <v>1527</v>
      </c>
      <c r="O448" s="29" t="s">
        <v>1528</v>
      </c>
      <c r="P448" s="14" t="s">
        <v>533</v>
      </c>
      <c r="Q448" s="14" t="s">
        <v>533</v>
      </c>
      <c r="R448" s="16" t="str">
        <f t="shared" si="2"/>
        <v>Igual</v>
      </c>
    </row>
    <row r="449">
      <c r="A449" s="7"/>
      <c r="B449" s="16"/>
      <c r="C449" s="12"/>
      <c r="D449" s="12"/>
      <c r="E449" s="9"/>
      <c r="F449" s="10"/>
      <c r="G449" s="11"/>
      <c r="H449" s="9"/>
      <c r="I449" s="31"/>
      <c r="J449" s="9"/>
      <c r="K449" s="9"/>
      <c r="L449" s="21" t="s">
        <v>47</v>
      </c>
      <c r="M449" s="30" t="s">
        <v>1529</v>
      </c>
      <c r="N449" s="29" t="s">
        <v>1073</v>
      </c>
      <c r="O449" s="29" t="s">
        <v>1530</v>
      </c>
      <c r="P449" s="14" t="s">
        <v>533</v>
      </c>
      <c r="Q449" s="14" t="s">
        <v>533</v>
      </c>
      <c r="R449" s="16" t="str">
        <f t="shared" si="2"/>
        <v>Igual</v>
      </c>
    </row>
    <row r="450">
      <c r="A450" s="7"/>
      <c r="B450" s="16"/>
      <c r="C450" s="12"/>
      <c r="D450" s="12"/>
      <c r="E450" s="9"/>
      <c r="F450" s="10"/>
      <c r="G450" s="11"/>
      <c r="H450" s="9"/>
      <c r="I450" s="31"/>
      <c r="J450" s="9"/>
      <c r="K450" s="9"/>
      <c r="L450" s="21" t="s">
        <v>53</v>
      </c>
      <c r="M450" s="30" t="s">
        <v>1531</v>
      </c>
      <c r="N450" s="29" t="s">
        <v>1073</v>
      </c>
      <c r="O450" s="29" t="s">
        <v>1532</v>
      </c>
      <c r="P450" s="14" t="s">
        <v>533</v>
      </c>
      <c r="Q450" s="14" t="s">
        <v>533</v>
      </c>
      <c r="R450" s="16" t="str">
        <f t="shared" si="2"/>
        <v>Igual</v>
      </c>
    </row>
    <row r="451">
      <c r="A451" s="7"/>
      <c r="B451" s="16"/>
      <c r="C451" s="12"/>
      <c r="D451" s="12"/>
      <c r="E451" s="9"/>
      <c r="F451" s="10"/>
      <c r="G451" s="11"/>
      <c r="H451" s="9"/>
      <c r="I451" s="31"/>
      <c r="J451" s="9"/>
      <c r="K451" s="9"/>
      <c r="L451" s="21" t="s">
        <v>59</v>
      </c>
      <c r="M451" s="30" t="s">
        <v>1533</v>
      </c>
      <c r="N451" s="29" t="s">
        <v>1534</v>
      </c>
      <c r="O451" s="29" t="s">
        <v>1535</v>
      </c>
      <c r="P451" s="14" t="s">
        <v>533</v>
      </c>
      <c r="Q451" s="14" t="s">
        <v>533</v>
      </c>
      <c r="R451" s="16" t="str">
        <f t="shared" si="2"/>
        <v>Igual</v>
      </c>
    </row>
    <row r="452">
      <c r="A452" s="7"/>
      <c r="B452" s="16"/>
      <c r="C452" s="12"/>
      <c r="D452" s="12"/>
      <c r="E452" s="9"/>
      <c r="F452" s="10"/>
      <c r="G452" s="11"/>
      <c r="H452" s="9"/>
      <c r="I452" s="31"/>
      <c r="J452" s="9"/>
      <c r="K452" s="9"/>
      <c r="L452" s="21" t="s">
        <v>65</v>
      </c>
      <c r="M452" s="30" t="s">
        <v>1536</v>
      </c>
      <c r="N452" s="29" t="s">
        <v>1073</v>
      </c>
      <c r="O452" s="29" t="s">
        <v>1537</v>
      </c>
      <c r="P452" s="14" t="s">
        <v>533</v>
      </c>
      <c r="Q452" s="14" t="s">
        <v>533</v>
      </c>
      <c r="R452" s="16" t="str">
        <f t="shared" si="2"/>
        <v>Igual</v>
      </c>
    </row>
    <row r="453">
      <c r="A453" s="7"/>
      <c r="B453" s="16"/>
      <c r="C453" s="12"/>
      <c r="D453" s="12"/>
      <c r="E453" s="9"/>
      <c r="F453" s="10"/>
      <c r="G453" s="11"/>
      <c r="H453" s="9"/>
      <c r="I453" s="31"/>
      <c r="J453" s="9"/>
      <c r="K453" s="9"/>
      <c r="L453" s="21" t="s">
        <v>71</v>
      </c>
      <c r="M453" s="30" t="s">
        <v>1538</v>
      </c>
      <c r="N453" s="29" t="s">
        <v>1073</v>
      </c>
      <c r="O453" s="29" t="s">
        <v>1539</v>
      </c>
      <c r="P453" s="14" t="s">
        <v>533</v>
      </c>
      <c r="Q453" s="14" t="s">
        <v>533</v>
      </c>
      <c r="R453" s="16" t="str">
        <f t="shared" si="2"/>
        <v>Igual</v>
      </c>
    </row>
    <row r="454">
      <c r="A454" s="7" t="s">
        <v>243</v>
      </c>
      <c r="B454" s="14" t="s">
        <v>1057</v>
      </c>
      <c r="C454" s="17" t="s">
        <v>1540</v>
      </c>
      <c r="D454" s="17" t="s">
        <v>1541</v>
      </c>
      <c r="E454" s="9" t="s">
        <v>244</v>
      </c>
      <c r="F454" s="10" t="s">
        <v>245</v>
      </c>
      <c r="G454" s="11">
        <v>2024.0</v>
      </c>
      <c r="H454" s="9" t="s">
        <v>246</v>
      </c>
      <c r="I454" s="29" t="s">
        <v>1542</v>
      </c>
      <c r="J454" s="9"/>
      <c r="K454" s="9" t="s">
        <v>152</v>
      </c>
      <c r="L454" s="21" t="s">
        <v>25</v>
      </c>
      <c r="M454" s="30" t="s">
        <v>1543</v>
      </c>
      <c r="N454" s="30" t="s">
        <v>1544</v>
      </c>
      <c r="O454" s="29" t="s">
        <v>1545</v>
      </c>
      <c r="P454" s="14" t="s">
        <v>533</v>
      </c>
      <c r="Q454" s="14" t="s">
        <v>533</v>
      </c>
      <c r="R454" s="16" t="str">
        <f t="shared" si="2"/>
        <v>Igual</v>
      </c>
    </row>
    <row r="455">
      <c r="A455" s="7"/>
      <c r="B455" s="16"/>
      <c r="C455" s="12"/>
      <c r="D455" s="12"/>
      <c r="E455" s="9"/>
      <c r="F455" s="10"/>
      <c r="G455" s="11"/>
      <c r="H455" s="9"/>
      <c r="I455" s="31"/>
      <c r="J455" s="9"/>
      <c r="K455" s="9"/>
      <c r="L455" s="21" t="s">
        <v>31</v>
      </c>
      <c r="M455" s="30" t="s">
        <v>1546</v>
      </c>
      <c r="N455" s="29" t="s">
        <v>1073</v>
      </c>
      <c r="O455" s="29" t="s">
        <v>1547</v>
      </c>
      <c r="P455" s="14" t="s">
        <v>533</v>
      </c>
      <c r="Q455" s="14" t="s">
        <v>533</v>
      </c>
      <c r="R455" s="16" t="str">
        <f t="shared" si="2"/>
        <v>Igual</v>
      </c>
    </row>
    <row r="456">
      <c r="A456" s="7"/>
      <c r="B456" s="16"/>
      <c r="C456" s="12"/>
      <c r="D456" s="12"/>
      <c r="E456" s="9"/>
      <c r="F456" s="10"/>
      <c r="G456" s="11"/>
      <c r="H456" s="9"/>
      <c r="I456" s="31"/>
      <c r="J456" s="9"/>
      <c r="K456" s="9"/>
      <c r="L456" s="21" t="s">
        <v>36</v>
      </c>
      <c r="M456" s="30" t="s">
        <v>1548</v>
      </c>
      <c r="N456" s="29" t="s">
        <v>1549</v>
      </c>
      <c r="O456" s="29" t="s">
        <v>1550</v>
      </c>
      <c r="P456" s="14" t="s">
        <v>533</v>
      </c>
      <c r="Q456" s="14" t="s">
        <v>533</v>
      </c>
      <c r="R456" s="16" t="str">
        <f t="shared" si="2"/>
        <v>Igual</v>
      </c>
    </row>
    <row r="457">
      <c r="A457" s="7"/>
      <c r="B457" s="16"/>
      <c r="C457" s="12"/>
      <c r="D457" s="12"/>
      <c r="E457" s="9"/>
      <c r="F457" s="10"/>
      <c r="G457" s="11"/>
      <c r="H457" s="9"/>
      <c r="I457" s="31"/>
      <c r="J457" s="9"/>
      <c r="K457" s="9"/>
      <c r="L457" s="21" t="s">
        <v>41</v>
      </c>
      <c r="M457" s="30" t="s">
        <v>1551</v>
      </c>
      <c r="N457" s="29" t="s">
        <v>1552</v>
      </c>
      <c r="O457" s="29" t="s">
        <v>1553</v>
      </c>
      <c r="P457" s="14" t="s">
        <v>533</v>
      </c>
      <c r="Q457" s="14" t="s">
        <v>533</v>
      </c>
      <c r="R457" s="16" t="str">
        <f t="shared" si="2"/>
        <v>Igual</v>
      </c>
    </row>
    <row r="458">
      <c r="A458" s="7"/>
      <c r="B458" s="16"/>
      <c r="C458" s="12"/>
      <c r="D458" s="12"/>
      <c r="E458" s="9"/>
      <c r="F458" s="10"/>
      <c r="G458" s="11"/>
      <c r="H458" s="9"/>
      <c r="I458" s="31"/>
      <c r="J458" s="9"/>
      <c r="K458" s="9"/>
      <c r="L458" s="21" t="s">
        <v>47</v>
      </c>
      <c r="M458" s="30" t="s">
        <v>1554</v>
      </c>
      <c r="N458" s="29" t="s">
        <v>1555</v>
      </c>
      <c r="O458" s="29" t="s">
        <v>1556</v>
      </c>
      <c r="P458" s="14" t="s">
        <v>533</v>
      </c>
      <c r="Q458" s="14" t="s">
        <v>533</v>
      </c>
      <c r="R458" s="16" t="str">
        <f t="shared" si="2"/>
        <v>Igual</v>
      </c>
    </row>
    <row r="459">
      <c r="A459" s="7"/>
      <c r="B459" s="16"/>
      <c r="C459" s="12"/>
      <c r="D459" s="12"/>
      <c r="E459" s="9"/>
      <c r="F459" s="10"/>
      <c r="G459" s="11"/>
      <c r="H459" s="9"/>
      <c r="I459" s="31"/>
      <c r="J459" s="9"/>
      <c r="K459" s="9"/>
      <c r="L459" s="21" t="s">
        <v>53</v>
      </c>
      <c r="M459" s="30" t="s">
        <v>1557</v>
      </c>
      <c r="N459" s="29" t="s">
        <v>1558</v>
      </c>
      <c r="O459" s="29" t="s">
        <v>1559</v>
      </c>
      <c r="P459" s="14" t="s">
        <v>533</v>
      </c>
      <c r="Q459" s="14" t="s">
        <v>533</v>
      </c>
      <c r="R459" s="16" t="str">
        <f t="shared" si="2"/>
        <v>Igual</v>
      </c>
    </row>
    <row r="460">
      <c r="A460" s="7"/>
      <c r="B460" s="16"/>
      <c r="C460" s="12"/>
      <c r="D460" s="12"/>
      <c r="E460" s="9"/>
      <c r="F460" s="10"/>
      <c r="G460" s="11"/>
      <c r="H460" s="9"/>
      <c r="I460" s="31"/>
      <c r="J460" s="9"/>
      <c r="K460" s="9"/>
      <c r="L460" s="21" t="s">
        <v>59</v>
      </c>
      <c r="M460" s="30" t="s">
        <v>1560</v>
      </c>
      <c r="N460" s="29" t="s">
        <v>1561</v>
      </c>
      <c r="O460" s="29" t="s">
        <v>1562</v>
      </c>
      <c r="P460" s="14" t="s">
        <v>533</v>
      </c>
      <c r="Q460" s="14" t="s">
        <v>533</v>
      </c>
      <c r="R460" s="16" t="str">
        <f t="shared" si="2"/>
        <v>Igual</v>
      </c>
    </row>
    <row r="461">
      <c r="A461" s="7"/>
      <c r="B461" s="16"/>
      <c r="C461" s="12"/>
      <c r="D461" s="12"/>
      <c r="E461" s="9"/>
      <c r="F461" s="10"/>
      <c r="G461" s="11"/>
      <c r="H461" s="9"/>
      <c r="I461" s="31"/>
      <c r="J461" s="9"/>
      <c r="K461" s="9"/>
      <c r="L461" s="21" t="s">
        <v>65</v>
      </c>
      <c r="M461" s="30" t="s">
        <v>1563</v>
      </c>
      <c r="N461" s="29" t="s">
        <v>1564</v>
      </c>
      <c r="O461" s="29" t="s">
        <v>1565</v>
      </c>
      <c r="P461" s="14" t="s">
        <v>533</v>
      </c>
      <c r="Q461" s="14" t="s">
        <v>533</v>
      </c>
      <c r="R461" s="16" t="str">
        <f t="shared" si="2"/>
        <v>Igual</v>
      </c>
    </row>
    <row r="462">
      <c r="A462" s="7"/>
      <c r="B462" s="16"/>
      <c r="C462" s="12"/>
      <c r="D462" s="12"/>
      <c r="E462" s="9"/>
      <c r="F462" s="10"/>
      <c r="G462" s="11"/>
      <c r="H462" s="9"/>
      <c r="I462" s="31"/>
      <c r="J462" s="9"/>
      <c r="K462" s="9"/>
      <c r="L462" s="21" t="s">
        <v>71</v>
      </c>
      <c r="M462" s="30" t="s">
        <v>1566</v>
      </c>
      <c r="N462" s="29" t="s">
        <v>1567</v>
      </c>
      <c r="O462" s="29" t="s">
        <v>1568</v>
      </c>
      <c r="P462" s="14" t="s">
        <v>533</v>
      </c>
      <c r="Q462" s="14" t="s">
        <v>533</v>
      </c>
      <c r="R462" s="16" t="str">
        <f t="shared" si="2"/>
        <v>Igual</v>
      </c>
    </row>
    <row r="463">
      <c r="A463" s="7" t="s">
        <v>247</v>
      </c>
      <c r="B463" s="14" t="s">
        <v>1057</v>
      </c>
      <c r="C463" s="17" t="s">
        <v>1569</v>
      </c>
      <c r="D463" s="17" t="s">
        <v>1541</v>
      </c>
      <c r="E463" s="9" t="s">
        <v>248</v>
      </c>
      <c r="F463" s="10" t="s">
        <v>249</v>
      </c>
      <c r="G463" s="11">
        <v>2024.0</v>
      </c>
      <c r="H463" s="9" t="s">
        <v>250</v>
      </c>
      <c r="I463" s="29" t="s">
        <v>1021</v>
      </c>
      <c r="J463" s="9"/>
      <c r="K463" s="9" t="s">
        <v>152</v>
      </c>
      <c r="L463" s="21" t="s">
        <v>25</v>
      </c>
      <c r="M463" s="30" t="s">
        <v>1570</v>
      </c>
      <c r="N463" s="30" t="s">
        <v>1571</v>
      </c>
      <c r="O463" s="29" t="s">
        <v>1572</v>
      </c>
      <c r="P463" s="14" t="s">
        <v>533</v>
      </c>
      <c r="Q463" s="14" t="s">
        <v>533</v>
      </c>
      <c r="R463" s="16" t="str">
        <f t="shared" si="2"/>
        <v>Igual</v>
      </c>
    </row>
    <row r="464">
      <c r="A464" s="7"/>
      <c r="B464" s="16"/>
      <c r="C464" s="12"/>
      <c r="D464" s="12"/>
      <c r="E464" s="9"/>
      <c r="F464" s="10"/>
      <c r="G464" s="11"/>
      <c r="H464" s="9"/>
      <c r="I464" s="31"/>
      <c r="J464" s="9"/>
      <c r="K464" s="9"/>
      <c r="L464" s="21" t="s">
        <v>31</v>
      </c>
      <c r="M464" s="30" t="s">
        <v>1573</v>
      </c>
      <c r="N464" s="29" t="s">
        <v>1574</v>
      </c>
      <c r="O464" s="29" t="s">
        <v>1575</v>
      </c>
      <c r="P464" s="14" t="s">
        <v>533</v>
      </c>
      <c r="Q464" s="14" t="s">
        <v>533</v>
      </c>
      <c r="R464" s="16" t="str">
        <f t="shared" si="2"/>
        <v>Igual</v>
      </c>
    </row>
    <row r="465">
      <c r="A465" s="7"/>
      <c r="B465" s="16"/>
      <c r="C465" s="12"/>
      <c r="D465" s="12"/>
      <c r="E465" s="9"/>
      <c r="F465" s="10"/>
      <c r="G465" s="11"/>
      <c r="H465" s="9"/>
      <c r="I465" s="31"/>
      <c r="J465" s="9"/>
      <c r="K465" s="9"/>
      <c r="L465" s="21" t="s">
        <v>36</v>
      </c>
      <c r="M465" s="30" t="s">
        <v>1576</v>
      </c>
      <c r="N465" s="29" t="s">
        <v>1577</v>
      </c>
      <c r="O465" s="29" t="s">
        <v>1578</v>
      </c>
      <c r="P465" s="14" t="s">
        <v>533</v>
      </c>
      <c r="Q465" s="14" t="s">
        <v>533</v>
      </c>
      <c r="R465" s="16" t="str">
        <f t="shared" si="2"/>
        <v>Igual</v>
      </c>
    </row>
    <row r="466">
      <c r="A466" s="7"/>
      <c r="B466" s="16"/>
      <c r="C466" s="12"/>
      <c r="D466" s="12"/>
      <c r="E466" s="9"/>
      <c r="F466" s="10"/>
      <c r="G466" s="11"/>
      <c r="H466" s="9"/>
      <c r="I466" s="31"/>
      <c r="J466" s="9"/>
      <c r="K466" s="9"/>
      <c r="L466" s="21" t="s">
        <v>41</v>
      </c>
      <c r="M466" s="30" t="s">
        <v>1579</v>
      </c>
      <c r="N466" s="29" t="s">
        <v>1580</v>
      </c>
      <c r="O466" s="29" t="s">
        <v>1581</v>
      </c>
      <c r="P466" s="14" t="s">
        <v>533</v>
      </c>
      <c r="Q466" s="14" t="s">
        <v>533</v>
      </c>
      <c r="R466" s="16" t="str">
        <f t="shared" si="2"/>
        <v>Igual</v>
      </c>
    </row>
    <row r="467">
      <c r="A467" s="7"/>
      <c r="B467" s="16"/>
      <c r="C467" s="12"/>
      <c r="D467" s="12"/>
      <c r="E467" s="9"/>
      <c r="F467" s="10"/>
      <c r="G467" s="11"/>
      <c r="H467" s="9"/>
      <c r="I467" s="31"/>
      <c r="J467" s="9"/>
      <c r="K467" s="9"/>
      <c r="L467" s="21" t="s">
        <v>47</v>
      </c>
      <c r="M467" s="30" t="s">
        <v>1582</v>
      </c>
      <c r="N467" s="29" t="s">
        <v>1583</v>
      </c>
      <c r="O467" s="29" t="s">
        <v>1584</v>
      </c>
      <c r="P467" s="14" t="s">
        <v>533</v>
      </c>
      <c r="Q467" s="14" t="s">
        <v>533</v>
      </c>
      <c r="R467" s="16" t="str">
        <f t="shared" si="2"/>
        <v>Igual</v>
      </c>
    </row>
    <row r="468">
      <c r="A468" s="7"/>
      <c r="B468" s="16"/>
      <c r="C468" s="12"/>
      <c r="D468" s="12"/>
      <c r="E468" s="9"/>
      <c r="F468" s="10"/>
      <c r="G468" s="11"/>
      <c r="H468" s="9"/>
      <c r="I468" s="31"/>
      <c r="J468" s="9"/>
      <c r="K468" s="9"/>
      <c r="L468" s="21" t="s">
        <v>53</v>
      </c>
      <c r="M468" s="30" t="s">
        <v>1585</v>
      </c>
      <c r="N468" s="29" t="s">
        <v>1117</v>
      </c>
      <c r="O468" s="29" t="s">
        <v>1586</v>
      </c>
      <c r="P468" s="14" t="s">
        <v>533</v>
      </c>
      <c r="Q468" s="14" t="s">
        <v>533</v>
      </c>
      <c r="R468" s="16" t="str">
        <f t="shared" si="2"/>
        <v>Igual</v>
      </c>
    </row>
    <row r="469">
      <c r="A469" s="7"/>
      <c r="B469" s="16"/>
      <c r="C469" s="12"/>
      <c r="D469" s="12"/>
      <c r="E469" s="9"/>
      <c r="F469" s="10"/>
      <c r="G469" s="11"/>
      <c r="H469" s="9"/>
      <c r="I469" s="31"/>
      <c r="J469" s="9"/>
      <c r="K469" s="9"/>
      <c r="L469" s="21" t="s">
        <v>59</v>
      </c>
      <c r="M469" s="30" t="s">
        <v>1587</v>
      </c>
      <c r="N469" s="29" t="s">
        <v>1117</v>
      </c>
      <c r="O469" s="29" t="s">
        <v>1588</v>
      </c>
      <c r="P469" s="14" t="s">
        <v>533</v>
      </c>
      <c r="Q469" s="14" t="s">
        <v>533</v>
      </c>
      <c r="R469" s="16" t="str">
        <f t="shared" si="2"/>
        <v>Igual</v>
      </c>
    </row>
    <row r="470">
      <c r="A470" s="7"/>
      <c r="B470" s="16"/>
      <c r="C470" s="12"/>
      <c r="D470" s="12"/>
      <c r="E470" s="9"/>
      <c r="F470" s="10"/>
      <c r="G470" s="11"/>
      <c r="H470" s="9"/>
      <c r="I470" s="31"/>
      <c r="J470" s="9"/>
      <c r="K470" s="9"/>
      <c r="L470" s="21" t="s">
        <v>65</v>
      </c>
      <c r="M470" s="30" t="s">
        <v>1589</v>
      </c>
      <c r="N470" s="29" t="s">
        <v>1117</v>
      </c>
      <c r="O470" s="29" t="s">
        <v>1590</v>
      </c>
      <c r="P470" s="14" t="s">
        <v>533</v>
      </c>
      <c r="Q470" s="14" t="s">
        <v>533</v>
      </c>
      <c r="R470" s="16" t="str">
        <f t="shared" si="2"/>
        <v>Igual</v>
      </c>
    </row>
    <row r="471">
      <c r="A471" s="7"/>
      <c r="B471" s="16"/>
      <c r="C471" s="12"/>
      <c r="D471" s="12"/>
      <c r="E471" s="9"/>
      <c r="F471" s="10"/>
      <c r="G471" s="11"/>
      <c r="H471" s="9"/>
      <c r="I471" s="31"/>
      <c r="J471" s="9"/>
      <c r="K471" s="9"/>
      <c r="L471" s="21" t="s">
        <v>71</v>
      </c>
      <c r="M471" s="30" t="s">
        <v>1591</v>
      </c>
      <c r="N471" s="29" t="s">
        <v>1592</v>
      </c>
      <c r="O471" s="29" t="s">
        <v>1593</v>
      </c>
      <c r="P471" s="14" t="s">
        <v>533</v>
      </c>
      <c r="Q471" s="14" t="s">
        <v>562</v>
      </c>
      <c r="R471" s="16" t="str">
        <f t="shared" si="2"/>
        <v>Diferente</v>
      </c>
    </row>
    <row r="472">
      <c r="A472" s="7" t="s">
        <v>251</v>
      </c>
      <c r="B472" s="14" t="s">
        <v>1057</v>
      </c>
      <c r="C472" s="17" t="s">
        <v>1594</v>
      </c>
      <c r="D472" s="17" t="s">
        <v>1541</v>
      </c>
      <c r="E472" s="9" t="s">
        <v>252</v>
      </c>
      <c r="F472" s="10" t="s">
        <v>253</v>
      </c>
      <c r="G472" s="11">
        <v>2024.0</v>
      </c>
      <c r="H472" s="9" t="s">
        <v>254</v>
      </c>
      <c r="I472" s="29" t="s">
        <v>1021</v>
      </c>
      <c r="J472" s="9"/>
      <c r="K472" s="9" t="s">
        <v>152</v>
      </c>
      <c r="L472" s="21" t="s">
        <v>25</v>
      </c>
      <c r="M472" s="30" t="s">
        <v>1595</v>
      </c>
      <c r="N472" s="30" t="s">
        <v>1596</v>
      </c>
      <c r="O472" s="29" t="s">
        <v>1597</v>
      </c>
      <c r="P472" s="14" t="s">
        <v>533</v>
      </c>
      <c r="Q472" s="14" t="s">
        <v>533</v>
      </c>
      <c r="R472" s="16" t="str">
        <f t="shared" si="2"/>
        <v>Igual</v>
      </c>
    </row>
    <row r="473">
      <c r="A473" s="7"/>
      <c r="B473" s="16"/>
      <c r="C473" s="12"/>
      <c r="D473" s="12"/>
      <c r="E473" s="9"/>
      <c r="F473" s="10"/>
      <c r="G473" s="11"/>
      <c r="H473" s="9"/>
      <c r="I473" s="31"/>
      <c r="J473" s="9"/>
      <c r="K473" s="9"/>
      <c r="L473" s="21" t="s">
        <v>31</v>
      </c>
      <c r="M473" s="30" t="s">
        <v>1598</v>
      </c>
      <c r="N473" s="29" t="s">
        <v>1117</v>
      </c>
      <c r="O473" s="29" t="s">
        <v>1599</v>
      </c>
      <c r="P473" s="14" t="s">
        <v>533</v>
      </c>
      <c r="Q473" s="14" t="s">
        <v>533</v>
      </c>
      <c r="R473" s="16" t="str">
        <f t="shared" si="2"/>
        <v>Igual</v>
      </c>
    </row>
    <row r="474">
      <c r="A474" s="7"/>
      <c r="B474" s="16"/>
      <c r="C474" s="12"/>
      <c r="D474" s="12"/>
      <c r="E474" s="9"/>
      <c r="F474" s="10"/>
      <c r="G474" s="11"/>
      <c r="H474" s="9"/>
      <c r="I474" s="31"/>
      <c r="J474" s="9"/>
      <c r="K474" s="9"/>
      <c r="L474" s="21" t="s">
        <v>36</v>
      </c>
      <c r="M474" s="30" t="s">
        <v>1600</v>
      </c>
      <c r="N474" s="29" t="s">
        <v>1601</v>
      </c>
      <c r="O474" s="29" t="s">
        <v>1602</v>
      </c>
      <c r="P474" s="14" t="s">
        <v>533</v>
      </c>
      <c r="Q474" s="14" t="s">
        <v>533</v>
      </c>
      <c r="R474" s="16" t="str">
        <f t="shared" si="2"/>
        <v>Igual</v>
      </c>
    </row>
    <row r="475">
      <c r="A475" s="7"/>
      <c r="B475" s="16"/>
      <c r="C475" s="12"/>
      <c r="D475" s="12"/>
      <c r="E475" s="9"/>
      <c r="F475" s="10"/>
      <c r="G475" s="11"/>
      <c r="H475" s="9"/>
      <c r="I475" s="31"/>
      <c r="J475" s="9"/>
      <c r="K475" s="9"/>
      <c r="L475" s="21" t="s">
        <v>41</v>
      </c>
      <c r="M475" s="30" t="s">
        <v>1603</v>
      </c>
      <c r="N475" s="29" t="s">
        <v>1117</v>
      </c>
      <c r="O475" s="29" t="s">
        <v>1604</v>
      </c>
      <c r="P475" s="14" t="s">
        <v>533</v>
      </c>
      <c r="Q475" s="14" t="s">
        <v>562</v>
      </c>
      <c r="R475" s="16" t="str">
        <f t="shared" si="2"/>
        <v>Diferente</v>
      </c>
    </row>
    <row r="476">
      <c r="A476" s="7"/>
      <c r="B476" s="16"/>
      <c r="C476" s="12"/>
      <c r="D476" s="12"/>
      <c r="E476" s="9"/>
      <c r="F476" s="10"/>
      <c r="G476" s="11"/>
      <c r="H476" s="9"/>
      <c r="I476" s="31"/>
      <c r="J476" s="9"/>
      <c r="K476" s="9"/>
      <c r="L476" s="21" t="s">
        <v>47</v>
      </c>
      <c r="M476" s="30" t="s">
        <v>1605</v>
      </c>
      <c r="N476" s="29" t="s">
        <v>1117</v>
      </c>
      <c r="O476" s="29" t="s">
        <v>1556</v>
      </c>
      <c r="P476" s="14" t="s">
        <v>533</v>
      </c>
      <c r="Q476" s="14" t="s">
        <v>533</v>
      </c>
      <c r="R476" s="16" t="str">
        <f t="shared" si="2"/>
        <v>Igual</v>
      </c>
    </row>
    <row r="477">
      <c r="A477" s="7"/>
      <c r="B477" s="16"/>
      <c r="C477" s="12"/>
      <c r="D477" s="12"/>
      <c r="E477" s="9"/>
      <c r="F477" s="10"/>
      <c r="G477" s="11"/>
      <c r="H477" s="9"/>
      <c r="I477" s="31"/>
      <c r="J477" s="9"/>
      <c r="K477" s="9"/>
      <c r="L477" s="21" t="s">
        <v>53</v>
      </c>
      <c r="M477" s="30" t="s">
        <v>1585</v>
      </c>
      <c r="N477" s="29" t="s">
        <v>1117</v>
      </c>
      <c r="O477" s="29" t="s">
        <v>1606</v>
      </c>
      <c r="P477" s="14" t="s">
        <v>533</v>
      </c>
      <c r="Q477" s="14" t="s">
        <v>533</v>
      </c>
      <c r="R477" s="16" t="str">
        <f t="shared" si="2"/>
        <v>Igual</v>
      </c>
    </row>
    <row r="478">
      <c r="A478" s="7"/>
      <c r="B478" s="16"/>
      <c r="C478" s="12"/>
      <c r="D478" s="12"/>
      <c r="E478" s="9"/>
      <c r="F478" s="10"/>
      <c r="G478" s="11"/>
      <c r="H478" s="9"/>
      <c r="I478" s="31"/>
      <c r="J478" s="9"/>
      <c r="K478" s="9"/>
      <c r="L478" s="21" t="s">
        <v>59</v>
      </c>
      <c r="M478" s="30" t="s">
        <v>1607</v>
      </c>
      <c r="N478" s="29" t="s">
        <v>1608</v>
      </c>
      <c r="O478" s="29" t="s">
        <v>1609</v>
      </c>
      <c r="P478" s="14" t="s">
        <v>542</v>
      </c>
      <c r="Q478" s="14" t="s">
        <v>542</v>
      </c>
      <c r="R478" s="16" t="str">
        <f t="shared" si="2"/>
        <v>Igual</v>
      </c>
    </row>
    <row r="479">
      <c r="A479" s="7"/>
      <c r="B479" s="16"/>
      <c r="C479" s="12"/>
      <c r="D479" s="12"/>
      <c r="E479" s="9"/>
      <c r="F479" s="10"/>
      <c r="G479" s="11"/>
      <c r="H479" s="9"/>
      <c r="I479" s="31"/>
      <c r="J479" s="9"/>
      <c r="K479" s="9"/>
      <c r="L479" s="21" t="s">
        <v>65</v>
      </c>
      <c r="M479" s="30" t="s">
        <v>1610</v>
      </c>
      <c r="N479" s="29" t="s">
        <v>1117</v>
      </c>
      <c r="O479" s="29" t="s">
        <v>1565</v>
      </c>
      <c r="P479" s="14" t="s">
        <v>533</v>
      </c>
      <c r="Q479" s="14" t="s">
        <v>533</v>
      </c>
      <c r="R479" s="16" t="str">
        <f t="shared" si="2"/>
        <v>Igual</v>
      </c>
    </row>
    <row r="480">
      <c r="A480" s="7"/>
      <c r="B480" s="16"/>
      <c r="C480" s="12"/>
      <c r="D480" s="12"/>
      <c r="E480" s="9"/>
      <c r="F480" s="10"/>
      <c r="G480" s="11"/>
      <c r="H480" s="9"/>
      <c r="I480" s="31"/>
      <c r="J480" s="9"/>
      <c r="K480" s="9"/>
      <c r="L480" s="21" t="s">
        <v>71</v>
      </c>
      <c r="M480" s="30" t="s">
        <v>1611</v>
      </c>
      <c r="N480" s="29" t="s">
        <v>1117</v>
      </c>
      <c r="O480" s="29" t="s">
        <v>1612</v>
      </c>
      <c r="P480" s="14" t="s">
        <v>533</v>
      </c>
      <c r="Q480" s="14" t="s">
        <v>533</v>
      </c>
      <c r="R480" s="16" t="str">
        <f t="shared" si="2"/>
        <v>Igual</v>
      </c>
    </row>
    <row r="481">
      <c r="A481" s="7" t="s">
        <v>255</v>
      </c>
      <c r="B481" s="14" t="s">
        <v>1057</v>
      </c>
      <c r="C481" s="12"/>
      <c r="D481" s="17" t="s">
        <v>1613</v>
      </c>
      <c r="E481" s="9" t="s">
        <v>256</v>
      </c>
      <c r="F481" s="10" t="s">
        <v>257</v>
      </c>
      <c r="G481" s="11">
        <v>2023.0</v>
      </c>
      <c r="H481" s="9" t="s">
        <v>258</v>
      </c>
      <c r="I481" s="29" t="s">
        <v>1614</v>
      </c>
      <c r="J481" s="9"/>
      <c r="K481" s="9" t="s">
        <v>152</v>
      </c>
      <c r="L481" s="21" t="s">
        <v>25</v>
      </c>
      <c r="M481" s="30" t="s">
        <v>1615</v>
      </c>
      <c r="N481" s="30" t="s">
        <v>1616</v>
      </c>
      <c r="O481" s="29" t="s">
        <v>1572</v>
      </c>
      <c r="P481" s="14" t="s">
        <v>533</v>
      </c>
      <c r="Q481" s="14" t="s">
        <v>533</v>
      </c>
      <c r="R481" s="16" t="str">
        <f t="shared" si="2"/>
        <v>Igual</v>
      </c>
    </row>
    <row r="482">
      <c r="A482" s="7"/>
      <c r="B482" s="16"/>
      <c r="C482" s="12"/>
      <c r="D482" s="12"/>
      <c r="E482" s="9"/>
      <c r="F482" s="10"/>
      <c r="G482" s="11"/>
      <c r="H482" s="9"/>
      <c r="I482" s="31"/>
      <c r="J482" s="9"/>
      <c r="K482" s="9"/>
      <c r="L482" s="21" t="s">
        <v>31</v>
      </c>
      <c r="M482" s="30" t="s">
        <v>1617</v>
      </c>
      <c r="N482" s="29" t="s">
        <v>1618</v>
      </c>
      <c r="O482" s="29" t="s">
        <v>1619</v>
      </c>
      <c r="P482" s="14" t="s">
        <v>533</v>
      </c>
      <c r="Q482" s="14" t="s">
        <v>533</v>
      </c>
      <c r="R482" s="16" t="str">
        <f t="shared" si="2"/>
        <v>Igual</v>
      </c>
    </row>
    <row r="483">
      <c r="A483" s="7"/>
      <c r="B483" s="16"/>
      <c r="C483" s="12"/>
      <c r="D483" s="12"/>
      <c r="E483" s="9"/>
      <c r="F483" s="10"/>
      <c r="G483" s="11"/>
      <c r="H483" s="9"/>
      <c r="I483" s="31"/>
      <c r="J483" s="9"/>
      <c r="K483" s="9"/>
      <c r="L483" s="21" t="s">
        <v>36</v>
      </c>
      <c r="M483" s="30" t="s">
        <v>1620</v>
      </c>
      <c r="N483" s="29" t="s">
        <v>1621</v>
      </c>
      <c r="O483" s="29" t="s">
        <v>1622</v>
      </c>
      <c r="P483" s="14" t="s">
        <v>533</v>
      </c>
      <c r="Q483" s="14" t="s">
        <v>533</v>
      </c>
      <c r="R483" s="16" t="str">
        <f t="shared" si="2"/>
        <v>Igual</v>
      </c>
    </row>
    <row r="484">
      <c r="A484" s="7"/>
      <c r="B484" s="16"/>
      <c r="C484" s="12"/>
      <c r="D484" s="12"/>
      <c r="E484" s="9"/>
      <c r="F484" s="10"/>
      <c r="G484" s="11"/>
      <c r="H484" s="9"/>
      <c r="I484" s="31"/>
      <c r="J484" s="9"/>
      <c r="K484" s="9"/>
      <c r="L484" s="21" t="s">
        <v>41</v>
      </c>
      <c r="M484" s="30" t="s">
        <v>1623</v>
      </c>
      <c r="N484" s="29" t="s">
        <v>1624</v>
      </c>
      <c r="O484" s="29" t="s">
        <v>1581</v>
      </c>
      <c r="P484" s="14" t="s">
        <v>533</v>
      </c>
      <c r="Q484" s="14" t="s">
        <v>533</v>
      </c>
      <c r="R484" s="16" t="str">
        <f t="shared" si="2"/>
        <v>Igual</v>
      </c>
    </row>
    <row r="485">
      <c r="A485" s="7"/>
      <c r="B485" s="16"/>
      <c r="C485" s="12"/>
      <c r="D485" s="12"/>
      <c r="E485" s="9"/>
      <c r="F485" s="10"/>
      <c r="G485" s="11"/>
      <c r="H485" s="9"/>
      <c r="I485" s="31"/>
      <c r="J485" s="9"/>
      <c r="K485" s="9"/>
      <c r="L485" s="21" t="s">
        <v>47</v>
      </c>
      <c r="M485" s="30" t="s">
        <v>1625</v>
      </c>
      <c r="N485" s="29" t="s">
        <v>1073</v>
      </c>
      <c r="O485" s="29" t="s">
        <v>1584</v>
      </c>
      <c r="P485" s="14" t="s">
        <v>533</v>
      </c>
      <c r="Q485" s="14" t="s">
        <v>533</v>
      </c>
      <c r="R485" s="16" t="str">
        <f t="shared" si="2"/>
        <v>Igual</v>
      </c>
    </row>
    <row r="486">
      <c r="A486" s="7"/>
      <c r="B486" s="16"/>
      <c r="C486" s="12"/>
      <c r="D486" s="12"/>
      <c r="E486" s="9"/>
      <c r="F486" s="10"/>
      <c r="G486" s="11"/>
      <c r="H486" s="9"/>
      <c r="I486" s="31"/>
      <c r="J486" s="9"/>
      <c r="K486" s="9"/>
      <c r="L486" s="21" t="s">
        <v>53</v>
      </c>
      <c r="M486" s="30" t="s">
        <v>1626</v>
      </c>
      <c r="N486" s="29" t="s">
        <v>1073</v>
      </c>
      <c r="O486" s="29" t="s">
        <v>1586</v>
      </c>
      <c r="P486" s="14" t="s">
        <v>533</v>
      </c>
      <c r="Q486" s="14" t="s">
        <v>533</v>
      </c>
      <c r="R486" s="16" t="str">
        <f t="shared" si="2"/>
        <v>Igual</v>
      </c>
    </row>
    <row r="487">
      <c r="A487" s="7"/>
      <c r="B487" s="16"/>
      <c r="C487" s="12"/>
      <c r="D487" s="12"/>
      <c r="E487" s="9"/>
      <c r="F487" s="10"/>
      <c r="G487" s="11"/>
      <c r="H487" s="9"/>
      <c r="I487" s="31"/>
      <c r="J487" s="9"/>
      <c r="K487" s="9"/>
      <c r="L487" s="21" t="s">
        <v>59</v>
      </c>
      <c r="M487" s="30" t="s">
        <v>1627</v>
      </c>
      <c r="N487" s="29" t="s">
        <v>1628</v>
      </c>
      <c r="O487" s="29" t="s">
        <v>1588</v>
      </c>
      <c r="P487" s="14" t="s">
        <v>533</v>
      </c>
      <c r="Q487" s="14" t="s">
        <v>533</v>
      </c>
      <c r="R487" s="16" t="str">
        <f t="shared" si="2"/>
        <v>Igual</v>
      </c>
    </row>
    <row r="488">
      <c r="A488" s="7"/>
      <c r="B488" s="16"/>
      <c r="C488" s="12"/>
      <c r="D488" s="12"/>
      <c r="E488" s="9"/>
      <c r="F488" s="10"/>
      <c r="G488" s="11"/>
      <c r="H488" s="9"/>
      <c r="I488" s="31"/>
      <c r="J488" s="9"/>
      <c r="K488" s="9"/>
      <c r="L488" s="21" t="s">
        <v>65</v>
      </c>
      <c r="M488" s="30" t="s">
        <v>1629</v>
      </c>
      <c r="N488" s="29" t="s">
        <v>1073</v>
      </c>
      <c r="O488" s="29" t="s">
        <v>1590</v>
      </c>
      <c r="P488" s="14" t="s">
        <v>533</v>
      </c>
      <c r="Q488" s="14" t="s">
        <v>533</v>
      </c>
      <c r="R488" s="16" t="str">
        <f t="shared" si="2"/>
        <v>Igual</v>
      </c>
    </row>
    <row r="489">
      <c r="A489" s="7"/>
      <c r="B489" s="16"/>
      <c r="C489" s="12"/>
      <c r="D489" s="12"/>
      <c r="E489" s="9"/>
      <c r="F489" s="10"/>
      <c r="G489" s="11"/>
      <c r="H489" s="9"/>
      <c r="I489" s="31"/>
      <c r="J489" s="9"/>
      <c r="K489" s="9"/>
      <c r="L489" s="21" t="s">
        <v>71</v>
      </c>
      <c r="M489" s="30" t="s">
        <v>1630</v>
      </c>
      <c r="N489" s="29" t="s">
        <v>1631</v>
      </c>
      <c r="O489" s="29" t="s">
        <v>1593</v>
      </c>
      <c r="P489" s="14" t="s">
        <v>533</v>
      </c>
      <c r="Q489" s="14" t="s">
        <v>533</v>
      </c>
      <c r="R489" s="16" t="str">
        <f t="shared" si="2"/>
        <v>Igual</v>
      </c>
    </row>
    <row r="490">
      <c r="A490" s="7" t="s">
        <v>259</v>
      </c>
      <c r="B490" s="14" t="s">
        <v>1057</v>
      </c>
      <c r="C490" s="12"/>
      <c r="D490" s="17" t="s">
        <v>1632</v>
      </c>
      <c r="E490" s="9" t="s">
        <v>260</v>
      </c>
      <c r="F490" s="10" t="s">
        <v>261</v>
      </c>
      <c r="G490" s="11">
        <v>2024.0</v>
      </c>
      <c r="H490" s="9" t="s">
        <v>262</v>
      </c>
      <c r="I490" s="29" t="s">
        <v>528</v>
      </c>
      <c r="J490" s="9"/>
      <c r="K490" s="9" t="s">
        <v>152</v>
      </c>
      <c r="L490" s="21" t="s">
        <v>25</v>
      </c>
      <c r="M490" s="30" t="s">
        <v>1633</v>
      </c>
      <c r="N490" s="30" t="s">
        <v>1634</v>
      </c>
      <c r="O490" s="29" t="s">
        <v>1597</v>
      </c>
      <c r="P490" s="14" t="s">
        <v>533</v>
      </c>
      <c r="Q490" s="14" t="s">
        <v>533</v>
      </c>
      <c r="R490" s="16" t="str">
        <f t="shared" si="2"/>
        <v>Igual</v>
      </c>
    </row>
    <row r="491">
      <c r="A491" s="7"/>
      <c r="B491" s="16"/>
      <c r="C491" s="12"/>
      <c r="D491" s="12"/>
      <c r="E491" s="9"/>
      <c r="F491" s="10"/>
      <c r="G491" s="11"/>
      <c r="H491" s="9"/>
      <c r="I491" s="31"/>
      <c r="J491" s="9"/>
      <c r="K491" s="9"/>
      <c r="L491" s="21" t="s">
        <v>31</v>
      </c>
      <c r="M491" s="30" t="s">
        <v>1635</v>
      </c>
      <c r="N491" s="29" t="s">
        <v>1117</v>
      </c>
      <c r="O491" s="29" t="s">
        <v>1636</v>
      </c>
      <c r="P491" s="14" t="s">
        <v>533</v>
      </c>
      <c r="Q491" s="14" t="s">
        <v>533</v>
      </c>
      <c r="R491" s="16" t="str">
        <f t="shared" si="2"/>
        <v>Igual</v>
      </c>
    </row>
    <row r="492">
      <c r="A492" s="7"/>
      <c r="B492" s="16"/>
      <c r="C492" s="12"/>
      <c r="D492" s="12"/>
      <c r="E492" s="9"/>
      <c r="F492" s="10"/>
      <c r="G492" s="11"/>
      <c r="H492" s="9"/>
      <c r="I492" s="31"/>
      <c r="J492" s="9"/>
      <c r="K492" s="9"/>
      <c r="L492" s="21" t="s">
        <v>36</v>
      </c>
      <c r="M492" s="30" t="s">
        <v>1637</v>
      </c>
      <c r="N492" s="29" t="s">
        <v>1638</v>
      </c>
      <c r="O492" s="29" t="s">
        <v>1602</v>
      </c>
      <c r="P492" s="14" t="s">
        <v>533</v>
      </c>
      <c r="Q492" s="14" t="s">
        <v>533</v>
      </c>
      <c r="R492" s="16" t="str">
        <f t="shared" si="2"/>
        <v>Igual</v>
      </c>
    </row>
    <row r="493">
      <c r="A493" s="7"/>
      <c r="B493" s="16"/>
      <c r="C493" s="12"/>
      <c r="D493" s="12"/>
      <c r="E493" s="9"/>
      <c r="F493" s="10"/>
      <c r="G493" s="11"/>
      <c r="H493" s="9"/>
      <c r="I493" s="31"/>
      <c r="J493" s="9"/>
      <c r="K493" s="9"/>
      <c r="L493" s="21" t="s">
        <v>41</v>
      </c>
      <c r="M493" s="30" t="s">
        <v>1639</v>
      </c>
      <c r="N493" s="29" t="s">
        <v>1117</v>
      </c>
      <c r="O493" s="29" t="s">
        <v>1604</v>
      </c>
      <c r="P493" s="14" t="s">
        <v>533</v>
      </c>
      <c r="Q493" s="14" t="s">
        <v>562</v>
      </c>
      <c r="R493" s="16" t="str">
        <f t="shared" si="2"/>
        <v>Diferente</v>
      </c>
    </row>
    <row r="494">
      <c r="A494" s="7"/>
      <c r="B494" s="16"/>
      <c r="C494" s="12"/>
      <c r="D494" s="12"/>
      <c r="E494" s="9"/>
      <c r="F494" s="10"/>
      <c r="G494" s="11"/>
      <c r="H494" s="9"/>
      <c r="I494" s="31"/>
      <c r="J494" s="9"/>
      <c r="K494" s="9"/>
      <c r="L494" s="21" t="s">
        <v>47</v>
      </c>
      <c r="M494" s="30" t="s">
        <v>1640</v>
      </c>
      <c r="N494" s="29" t="s">
        <v>1117</v>
      </c>
      <c r="O494" s="29" t="s">
        <v>1556</v>
      </c>
      <c r="P494" s="14" t="s">
        <v>533</v>
      </c>
      <c r="Q494" s="14" t="s">
        <v>533</v>
      </c>
      <c r="R494" s="16" t="str">
        <f t="shared" si="2"/>
        <v>Igual</v>
      </c>
    </row>
    <row r="495">
      <c r="A495" s="7"/>
      <c r="B495" s="16"/>
      <c r="C495" s="12"/>
      <c r="D495" s="12"/>
      <c r="E495" s="9"/>
      <c r="F495" s="10"/>
      <c r="G495" s="11"/>
      <c r="H495" s="9"/>
      <c r="I495" s="31"/>
      <c r="J495" s="9"/>
      <c r="K495" s="9"/>
      <c r="L495" s="21" t="s">
        <v>53</v>
      </c>
      <c r="M495" s="30" t="s">
        <v>1641</v>
      </c>
      <c r="N495" s="29" t="s">
        <v>1117</v>
      </c>
      <c r="O495" s="29" t="s">
        <v>1606</v>
      </c>
      <c r="P495" s="14" t="s">
        <v>533</v>
      </c>
      <c r="Q495" s="14" t="s">
        <v>533</v>
      </c>
      <c r="R495" s="16" t="str">
        <f t="shared" si="2"/>
        <v>Igual</v>
      </c>
    </row>
    <row r="496">
      <c r="A496" s="7"/>
      <c r="B496" s="16"/>
      <c r="C496" s="12"/>
      <c r="D496" s="12"/>
      <c r="E496" s="9"/>
      <c r="F496" s="10"/>
      <c r="G496" s="11"/>
      <c r="H496" s="9"/>
      <c r="I496" s="31"/>
      <c r="J496" s="9"/>
      <c r="K496" s="9"/>
      <c r="L496" s="21" t="s">
        <v>59</v>
      </c>
      <c r="M496" s="30" t="s">
        <v>1642</v>
      </c>
      <c r="N496" s="29" t="s">
        <v>1117</v>
      </c>
      <c r="O496" s="29" t="s">
        <v>1609</v>
      </c>
      <c r="P496" s="14" t="s">
        <v>533</v>
      </c>
      <c r="Q496" s="14" t="s">
        <v>533</v>
      </c>
      <c r="R496" s="16" t="str">
        <f t="shared" si="2"/>
        <v>Igual</v>
      </c>
    </row>
    <row r="497">
      <c r="A497" s="7"/>
      <c r="B497" s="16"/>
      <c r="C497" s="12"/>
      <c r="D497" s="12"/>
      <c r="E497" s="9"/>
      <c r="F497" s="10"/>
      <c r="G497" s="11"/>
      <c r="H497" s="9"/>
      <c r="I497" s="31"/>
      <c r="J497" s="9"/>
      <c r="K497" s="9"/>
      <c r="L497" s="21" t="s">
        <v>65</v>
      </c>
      <c r="M497" s="30" t="s">
        <v>1643</v>
      </c>
      <c r="N497" s="29" t="s">
        <v>1117</v>
      </c>
      <c r="O497" s="29" t="s">
        <v>1565</v>
      </c>
      <c r="P497" s="14" t="s">
        <v>533</v>
      </c>
      <c r="Q497" s="14" t="s">
        <v>533</v>
      </c>
      <c r="R497" s="16" t="str">
        <f t="shared" si="2"/>
        <v>Igual</v>
      </c>
    </row>
    <row r="498">
      <c r="A498" s="7"/>
      <c r="B498" s="16"/>
      <c r="C498" s="12"/>
      <c r="D498" s="12"/>
      <c r="E498" s="9"/>
      <c r="F498" s="10"/>
      <c r="G498" s="11"/>
      <c r="H498" s="9"/>
      <c r="I498" s="31"/>
      <c r="J498" s="9"/>
      <c r="K498" s="9"/>
      <c r="L498" s="21" t="s">
        <v>71</v>
      </c>
      <c r="M498" s="30" t="s">
        <v>1644</v>
      </c>
      <c r="N498" s="29" t="s">
        <v>1117</v>
      </c>
      <c r="O498" s="29" t="s">
        <v>1612</v>
      </c>
      <c r="P498" s="14" t="s">
        <v>533</v>
      </c>
      <c r="Q498" s="14" t="s">
        <v>533</v>
      </c>
      <c r="R498" s="16" t="str">
        <f t="shared" si="2"/>
        <v>Igual</v>
      </c>
    </row>
    <row r="499">
      <c r="A499" s="7" t="s">
        <v>263</v>
      </c>
      <c r="B499" s="14" t="s">
        <v>1057</v>
      </c>
      <c r="C499" s="12"/>
      <c r="D499" s="17" t="s">
        <v>1645</v>
      </c>
      <c r="E499" s="9" t="s">
        <v>264</v>
      </c>
      <c r="F499" s="10" t="s">
        <v>265</v>
      </c>
      <c r="G499" s="11">
        <v>2022.0</v>
      </c>
      <c r="H499" s="9" t="s">
        <v>266</v>
      </c>
      <c r="I499" s="29" t="s">
        <v>1021</v>
      </c>
      <c r="J499" s="9"/>
      <c r="K499" s="9" t="s">
        <v>152</v>
      </c>
      <c r="L499" s="21" t="s">
        <v>25</v>
      </c>
      <c r="M499" s="30" t="s">
        <v>1646</v>
      </c>
      <c r="N499" s="30" t="s">
        <v>1634</v>
      </c>
      <c r="O499" s="29" t="s">
        <v>1647</v>
      </c>
      <c r="P499" s="14" t="s">
        <v>533</v>
      </c>
      <c r="Q499" s="14" t="s">
        <v>533</v>
      </c>
      <c r="R499" s="16" t="str">
        <f t="shared" si="2"/>
        <v>Igual</v>
      </c>
    </row>
    <row r="500">
      <c r="A500" s="7"/>
      <c r="B500" s="16"/>
      <c r="C500" s="12"/>
      <c r="D500" s="12"/>
      <c r="E500" s="9"/>
      <c r="F500" s="10"/>
      <c r="G500" s="11"/>
      <c r="H500" s="9"/>
      <c r="I500" s="31"/>
      <c r="J500" s="9"/>
      <c r="K500" s="9"/>
      <c r="L500" s="21" t="s">
        <v>31</v>
      </c>
      <c r="M500" s="30" t="s">
        <v>1598</v>
      </c>
      <c r="N500" s="30" t="s">
        <v>1648</v>
      </c>
      <c r="O500" s="29" t="s">
        <v>1649</v>
      </c>
      <c r="P500" s="14" t="s">
        <v>533</v>
      </c>
      <c r="Q500" s="14" t="s">
        <v>533</v>
      </c>
      <c r="R500" s="16" t="str">
        <f t="shared" si="2"/>
        <v>Igual</v>
      </c>
    </row>
    <row r="501">
      <c r="A501" s="7"/>
      <c r="B501" s="16"/>
      <c r="C501" s="12"/>
      <c r="D501" s="12"/>
      <c r="E501" s="9"/>
      <c r="F501" s="10"/>
      <c r="G501" s="11"/>
      <c r="H501" s="9"/>
      <c r="I501" s="31"/>
      <c r="J501" s="9"/>
      <c r="K501" s="9"/>
      <c r="L501" s="21" t="s">
        <v>36</v>
      </c>
      <c r="M501" s="30" t="s">
        <v>1650</v>
      </c>
      <c r="N501" s="30" t="s">
        <v>1651</v>
      </c>
      <c r="O501" s="29" t="s">
        <v>1652</v>
      </c>
      <c r="P501" s="14" t="s">
        <v>533</v>
      </c>
      <c r="Q501" s="14" t="s">
        <v>533</v>
      </c>
      <c r="R501" s="16" t="str">
        <f t="shared" si="2"/>
        <v>Igual</v>
      </c>
    </row>
    <row r="502">
      <c r="A502" s="7"/>
      <c r="B502" s="16"/>
      <c r="C502" s="12"/>
      <c r="D502" s="12"/>
      <c r="E502" s="9"/>
      <c r="F502" s="10"/>
      <c r="G502" s="11"/>
      <c r="H502" s="9"/>
      <c r="I502" s="31"/>
      <c r="J502" s="9"/>
      <c r="K502" s="9"/>
      <c r="L502" s="21" t="s">
        <v>41</v>
      </c>
      <c r="M502" s="30" t="s">
        <v>1653</v>
      </c>
      <c r="N502" s="30" t="s">
        <v>1654</v>
      </c>
      <c r="O502" s="29" t="s">
        <v>1655</v>
      </c>
      <c r="P502" s="14" t="s">
        <v>533</v>
      </c>
      <c r="Q502" s="14" t="s">
        <v>533</v>
      </c>
      <c r="R502" s="16" t="str">
        <f t="shared" si="2"/>
        <v>Igual</v>
      </c>
    </row>
    <row r="503">
      <c r="A503" s="7"/>
      <c r="B503" s="16"/>
      <c r="C503" s="12"/>
      <c r="D503" s="12"/>
      <c r="E503" s="9"/>
      <c r="F503" s="10"/>
      <c r="G503" s="11"/>
      <c r="H503" s="9"/>
      <c r="I503" s="31"/>
      <c r="J503" s="9"/>
      <c r="K503" s="9"/>
      <c r="L503" s="21" t="s">
        <v>47</v>
      </c>
      <c r="M503" s="30" t="s">
        <v>1656</v>
      </c>
      <c r="N503" s="30" t="s">
        <v>1073</v>
      </c>
      <c r="O503" s="29" t="s">
        <v>1556</v>
      </c>
      <c r="P503" s="14" t="s">
        <v>533</v>
      </c>
      <c r="Q503" s="14" t="s">
        <v>533</v>
      </c>
      <c r="R503" s="16" t="str">
        <f t="shared" si="2"/>
        <v>Igual</v>
      </c>
    </row>
    <row r="504">
      <c r="A504" s="7"/>
      <c r="B504" s="16"/>
      <c r="C504" s="12"/>
      <c r="D504" s="12"/>
      <c r="E504" s="9"/>
      <c r="F504" s="10"/>
      <c r="G504" s="11"/>
      <c r="H504" s="9"/>
      <c r="I504" s="31"/>
      <c r="J504" s="9"/>
      <c r="K504" s="9"/>
      <c r="L504" s="21" t="s">
        <v>53</v>
      </c>
      <c r="M504" s="30" t="s">
        <v>1657</v>
      </c>
      <c r="N504" s="30" t="s">
        <v>1073</v>
      </c>
      <c r="O504" s="29" t="s">
        <v>1586</v>
      </c>
      <c r="P504" s="14" t="s">
        <v>562</v>
      </c>
      <c r="Q504" s="14" t="s">
        <v>533</v>
      </c>
      <c r="R504" s="16" t="str">
        <f t="shared" si="2"/>
        <v>Diferente</v>
      </c>
    </row>
    <row r="505">
      <c r="A505" s="7"/>
      <c r="B505" s="16"/>
      <c r="C505" s="12"/>
      <c r="D505" s="12"/>
      <c r="E505" s="9"/>
      <c r="F505" s="10"/>
      <c r="G505" s="11"/>
      <c r="H505" s="9"/>
      <c r="I505" s="31"/>
      <c r="J505" s="9"/>
      <c r="K505" s="9"/>
      <c r="L505" s="21" t="s">
        <v>59</v>
      </c>
      <c r="M505" s="30" t="s">
        <v>1658</v>
      </c>
      <c r="N505" s="30" t="s">
        <v>1659</v>
      </c>
      <c r="O505" s="29" t="s">
        <v>1660</v>
      </c>
      <c r="P505" s="14" t="s">
        <v>533</v>
      </c>
      <c r="Q505" s="14" t="s">
        <v>533</v>
      </c>
      <c r="R505" s="16" t="str">
        <f t="shared" si="2"/>
        <v>Igual</v>
      </c>
    </row>
    <row r="506">
      <c r="A506" s="7"/>
      <c r="B506" s="16"/>
      <c r="C506" s="12"/>
      <c r="D506" s="12"/>
      <c r="E506" s="9"/>
      <c r="F506" s="10"/>
      <c r="G506" s="11"/>
      <c r="H506" s="9"/>
      <c r="I506" s="31"/>
      <c r="J506" s="9"/>
      <c r="K506" s="9"/>
      <c r="L506" s="21" t="s">
        <v>65</v>
      </c>
      <c r="M506" s="30" t="s">
        <v>1661</v>
      </c>
      <c r="N506" s="30" t="s">
        <v>1073</v>
      </c>
      <c r="O506" s="29" t="s">
        <v>1565</v>
      </c>
      <c r="P506" s="14" t="s">
        <v>533</v>
      </c>
      <c r="Q506" s="14" t="s">
        <v>533</v>
      </c>
      <c r="R506" s="16" t="str">
        <f t="shared" si="2"/>
        <v>Igual</v>
      </c>
    </row>
    <row r="507">
      <c r="A507" s="7"/>
      <c r="B507" s="16"/>
      <c r="C507" s="12"/>
      <c r="D507" s="12"/>
      <c r="E507" s="9"/>
      <c r="F507" s="10"/>
      <c r="G507" s="11"/>
      <c r="H507" s="9"/>
      <c r="I507" s="31"/>
      <c r="J507" s="9"/>
      <c r="K507" s="9"/>
      <c r="L507" s="21" t="s">
        <v>71</v>
      </c>
      <c r="M507" s="14" t="s">
        <v>1662</v>
      </c>
      <c r="N507" s="29" t="s">
        <v>1073</v>
      </c>
      <c r="O507" s="29" t="s">
        <v>1663</v>
      </c>
      <c r="P507" s="14" t="s">
        <v>533</v>
      </c>
      <c r="Q507" s="14" t="s">
        <v>533</v>
      </c>
      <c r="R507" s="16" t="str">
        <f t="shared" si="2"/>
        <v>Igual</v>
      </c>
    </row>
    <row r="508">
      <c r="A508" s="7" t="s">
        <v>267</v>
      </c>
      <c r="B508" s="14" t="s">
        <v>1057</v>
      </c>
      <c r="C508" s="12"/>
      <c r="D508" s="17" t="s">
        <v>1664</v>
      </c>
      <c r="E508" s="9" t="s">
        <v>268</v>
      </c>
      <c r="F508" s="10" t="s">
        <v>269</v>
      </c>
      <c r="G508" s="11">
        <v>2023.0</v>
      </c>
      <c r="H508" s="9" t="s">
        <v>270</v>
      </c>
      <c r="I508" s="29" t="s">
        <v>849</v>
      </c>
      <c r="J508" s="9"/>
      <c r="K508" s="9" t="s">
        <v>152</v>
      </c>
      <c r="L508" s="21" t="s">
        <v>25</v>
      </c>
      <c r="M508" s="30" t="s">
        <v>1665</v>
      </c>
      <c r="N508" s="30" t="s">
        <v>1666</v>
      </c>
      <c r="O508" s="29" t="s">
        <v>1667</v>
      </c>
      <c r="P508" s="14" t="s">
        <v>533</v>
      </c>
      <c r="Q508" s="14" t="s">
        <v>533</v>
      </c>
      <c r="R508" s="16" t="str">
        <f t="shared" si="2"/>
        <v>Igual</v>
      </c>
    </row>
    <row r="509">
      <c r="A509" s="7"/>
      <c r="B509" s="16"/>
      <c r="C509" s="12"/>
      <c r="D509" s="12"/>
      <c r="E509" s="9"/>
      <c r="F509" s="10"/>
      <c r="G509" s="11"/>
      <c r="H509" s="9"/>
      <c r="I509" s="31"/>
      <c r="J509" s="9"/>
      <c r="K509" s="9"/>
      <c r="L509" s="21" t="s">
        <v>31</v>
      </c>
      <c r="M509" s="30" t="s">
        <v>1668</v>
      </c>
      <c r="N509" s="30" t="s">
        <v>1669</v>
      </c>
      <c r="O509" s="29" t="s">
        <v>1670</v>
      </c>
      <c r="P509" s="14" t="s">
        <v>533</v>
      </c>
      <c r="Q509" s="14" t="s">
        <v>533</v>
      </c>
      <c r="R509" s="16" t="str">
        <f t="shared" si="2"/>
        <v>Igual</v>
      </c>
    </row>
    <row r="510">
      <c r="A510" s="7"/>
      <c r="B510" s="16"/>
      <c r="C510" s="12"/>
      <c r="D510" s="12"/>
      <c r="E510" s="9"/>
      <c r="F510" s="10"/>
      <c r="G510" s="11"/>
      <c r="H510" s="9"/>
      <c r="I510" s="31"/>
      <c r="J510" s="9"/>
      <c r="K510" s="9"/>
      <c r="L510" s="21" t="s">
        <v>36</v>
      </c>
      <c r="M510" s="30" t="s">
        <v>1671</v>
      </c>
      <c r="N510" s="30" t="s">
        <v>1672</v>
      </c>
      <c r="O510" s="29" t="s">
        <v>1673</v>
      </c>
      <c r="P510" s="14" t="s">
        <v>533</v>
      </c>
      <c r="Q510" s="14" t="s">
        <v>533</v>
      </c>
      <c r="R510" s="16" t="str">
        <f t="shared" si="2"/>
        <v>Igual</v>
      </c>
    </row>
    <row r="511">
      <c r="A511" s="7"/>
      <c r="B511" s="16"/>
      <c r="C511" s="12"/>
      <c r="D511" s="12"/>
      <c r="E511" s="9"/>
      <c r="F511" s="10"/>
      <c r="G511" s="11"/>
      <c r="H511" s="9"/>
      <c r="I511" s="31"/>
      <c r="J511" s="9"/>
      <c r="K511" s="9"/>
      <c r="L511" s="21" t="s">
        <v>41</v>
      </c>
      <c r="M511" s="30" t="s">
        <v>1674</v>
      </c>
      <c r="N511" s="30" t="s">
        <v>1675</v>
      </c>
      <c r="O511" s="29" t="s">
        <v>1676</v>
      </c>
      <c r="P511" s="14" t="s">
        <v>533</v>
      </c>
      <c r="Q511" s="14" t="s">
        <v>533</v>
      </c>
      <c r="R511" s="16" t="str">
        <f t="shared" si="2"/>
        <v>Igual</v>
      </c>
    </row>
    <row r="512">
      <c r="A512" s="7"/>
      <c r="B512" s="16"/>
      <c r="C512" s="12"/>
      <c r="D512" s="12"/>
      <c r="E512" s="9"/>
      <c r="F512" s="10"/>
      <c r="G512" s="11"/>
      <c r="H512" s="9"/>
      <c r="I512" s="31"/>
      <c r="J512" s="9"/>
      <c r="K512" s="9"/>
      <c r="L512" s="21" t="s">
        <v>47</v>
      </c>
      <c r="M512" s="30" t="s">
        <v>1677</v>
      </c>
      <c r="N512" s="30" t="s">
        <v>1073</v>
      </c>
      <c r="O512" s="29" t="s">
        <v>1584</v>
      </c>
      <c r="P512" s="14" t="s">
        <v>533</v>
      </c>
      <c r="Q512" s="14" t="s">
        <v>533</v>
      </c>
      <c r="R512" s="16" t="str">
        <f t="shared" si="2"/>
        <v>Igual</v>
      </c>
    </row>
    <row r="513">
      <c r="A513" s="7"/>
      <c r="B513" s="16"/>
      <c r="C513" s="12"/>
      <c r="D513" s="12"/>
      <c r="E513" s="9"/>
      <c r="F513" s="10"/>
      <c r="G513" s="11"/>
      <c r="H513" s="9"/>
      <c r="I513" s="31"/>
      <c r="J513" s="9"/>
      <c r="K513" s="9"/>
      <c r="L513" s="21" t="s">
        <v>53</v>
      </c>
      <c r="M513" s="29" t="s">
        <v>1678</v>
      </c>
      <c r="N513" s="29" t="s">
        <v>1073</v>
      </c>
      <c r="O513" s="29" t="s">
        <v>1606</v>
      </c>
      <c r="P513" s="14" t="s">
        <v>533</v>
      </c>
      <c r="Q513" s="14" t="s">
        <v>533</v>
      </c>
      <c r="R513" s="16" t="str">
        <f t="shared" si="2"/>
        <v>Igual</v>
      </c>
    </row>
    <row r="514">
      <c r="A514" s="7"/>
      <c r="B514" s="16"/>
      <c r="C514" s="12"/>
      <c r="D514" s="12"/>
      <c r="E514" s="9"/>
      <c r="F514" s="10"/>
      <c r="G514" s="11"/>
      <c r="H514" s="9"/>
      <c r="I514" s="31"/>
      <c r="J514" s="9"/>
      <c r="K514" s="9"/>
      <c r="L514" s="21" t="s">
        <v>59</v>
      </c>
      <c r="M514" s="29" t="s">
        <v>1560</v>
      </c>
      <c r="N514" s="29" t="s">
        <v>1679</v>
      </c>
      <c r="O514" s="29" t="s">
        <v>1680</v>
      </c>
      <c r="P514" s="14" t="s">
        <v>533</v>
      </c>
      <c r="Q514" s="14" t="s">
        <v>562</v>
      </c>
      <c r="R514" s="16" t="str">
        <f t="shared" si="2"/>
        <v>Diferente</v>
      </c>
    </row>
    <row r="515">
      <c r="A515" s="7"/>
      <c r="B515" s="16"/>
      <c r="C515" s="12"/>
      <c r="D515" s="12"/>
      <c r="E515" s="9"/>
      <c r="F515" s="10"/>
      <c r="G515" s="11"/>
      <c r="H515" s="9"/>
      <c r="I515" s="31"/>
      <c r="J515" s="9"/>
      <c r="K515" s="9"/>
      <c r="L515" s="21" t="s">
        <v>65</v>
      </c>
      <c r="M515" s="29" t="s">
        <v>1681</v>
      </c>
      <c r="N515" s="29" t="s">
        <v>1073</v>
      </c>
      <c r="O515" s="29" t="s">
        <v>1565</v>
      </c>
      <c r="P515" s="14" t="s">
        <v>533</v>
      </c>
      <c r="Q515" s="14" t="s">
        <v>533</v>
      </c>
      <c r="R515" s="16" t="str">
        <f t="shared" si="2"/>
        <v>Igual</v>
      </c>
    </row>
    <row r="516">
      <c r="A516" s="7"/>
      <c r="B516" s="16"/>
      <c r="C516" s="12"/>
      <c r="D516" s="12"/>
      <c r="E516" s="9"/>
      <c r="F516" s="10"/>
      <c r="G516" s="11"/>
      <c r="H516" s="9"/>
      <c r="I516" s="31"/>
      <c r="J516" s="9"/>
      <c r="K516" s="9"/>
      <c r="L516" s="21" t="s">
        <v>71</v>
      </c>
      <c r="M516" s="29" t="s">
        <v>1682</v>
      </c>
      <c r="N516" s="29" t="s">
        <v>1683</v>
      </c>
      <c r="O516" s="29" t="s">
        <v>1684</v>
      </c>
      <c r="P516" s="14" t="s">
        <v>533</v>
      </c>
      <c r="Q516" s="14" t="s">
        <v>562</v>
      </c>
      <c r="R516" s="16" t="str">
        <f t="shared" si="2"/>
        <v>Diferente</v>
      </c>
    </row>
    <row r="517">
      <c r="A517" s="7" t="s">
        <v>271</v>
      </c>
      <c r="B517" s="14" t="s">
        <v>1057</v>
      </c>
      <c r="C517" s="12"/>
      <c r="D517" s="17" t="s">
        <v>1685</v>
      </c>
      <c r="E517" s="9" t="s">
        <v>272</v>
      </c>
      <c r="F517" s="10" t="s">
        <v>273</v>
      </c>
      <c r="G517" s="11">
        <v>2021.0</v>
      </c>
      <c r="H517" s="9" t="s">
        <v>274</v>
      </c>
      <c r="I517" s="29" t="s">
        <v>1686</v>
      </c>
      <c r="J517" s="9"/>
      <c r="K517" s="9" t="s">
        <v>152</v>
      </c>
      <c r="L517" s="21" t="s">
        <v>25</v>
      </c>
      <c r="M517" s="29" t="s">
        <v>1687</v>
      </c>
      <c r="N517" s="29" t="s">
        <v>1688</v>
      </c>
      <c r="O517" s="29" t="s">
        <v>1689</v>
      </c>
      <c r="P517" s="14" t="s">
        <v>533</v>
      </c>
      <c r="Q517" s="14" t="s">
        <v>533</v>
      </c>
      <c r="R517" s="16" t="str">
        <f t="shared" si="2"/>
        <v>Igual</v>
      </c>
    </row>
    <row r="518">
      <c r="A518" s="7"/>
      <c r="B518" s="16"/>
      <c r="C518" s="12"/>
      <c r="D518" s="12"/>
      <c r="E518" s="9"/>
      <c r="F518" s="10"/>
      <c r="G518" s="11"/>
      <c r="H518" s="9"/>
      <c r="I518" s="31"/>
      <c r="J518" s="9"/>
      <c r="K518" s="9"/>
      <c r="L518" s="21" t="s">
        <v>31</v>
      </c>
      <c r="M518" s="29" t="s">
        <v>1635</v>
      </c>
      <c r="N518" s="29" t="s">
        <v>1690</v>
      </c>
      <c r="O518" s="29" t="s">
        <v>1691</v>
      </c>
      <c r="P518" s="14" t="s">
        <v>533</v>
      </c>
      <c r="Q518" s="14" t="s">
        <v>533</v>
      </c>
      <c r="R518" s="16" t="str">
        <f t="shared" si="2"/>
        <v>Igual</v>
      </c>
    </row>
    <row r="519">
      <c r="A519" s="7"/>
      <c r="B519" s="16"/>
      <c r="C519" s="12"/>
      <c r="D519" s="12"/>
      <c r="E519" s="9"/>
      <c r="F519" s="10"/>
      <c r="G519" s="11"/>
      <c r="H519" s="9"/>
      <c r="I519" s="31"/>
      <c r="J519" s="9"/>
      <c r="K519" s="9"/>
      <c r="L519" s="21" t="s">
        <v>36</v>
      </c>
      <c r="M519" s="29" t="s">
        <v>1692</v>
      </c>
      <c r="N519" s="29" t="s">
        <v>1693</v>
      </c>
      <c r="O519" s="29" t="s">
        <v>1694</v>
      </c>
      <c r="P519" s="14" t="s">
        <v>533</v>
      </c>
      <c r="Q519" s="14" t="s">
        <v>533</v>
      </c>
      <c r="R519" s="16" t="str">
        <f t="shared" si="2"/>
        <v>Igual</v>
      </c>
    </row>
    <row r="520">
      <c r="A520" s="7"/>
      <c r="B520" s="16"/>
      <c r="C520" s="12"/>
      <c r="D520" s="12"/>
      <c r="E520" s="9"/>
      <c r="F520" s="10"/>
      <c r="G520" s="11"/>
      <c r="H520" s="9"/>
      <c r="I520" s="31"/>
      <c r="J520" s="9"/>
      <c r="K520" s="9"/>
      <c r="L520" s="21" t="s">
        <v>41</v>
      </c>
      <c r="M520" s="47" t="s">
        <v>1695</v>
      </c>
      <c r="N520" s="47" t="s">
        <v>1696</v>
      </c>
      <c r="O520" s="29" t="s">
        <v>1697</v>
      </c>
      <c r="P520" s="14" t="s">
        <v>533</v>
      </c>
      <c r="Q520" s="14" t="s">
        <v>562</v>
      </c>
      <c r="R520" s="16" t="str">
        <f t="shared" si="2"/>
        <v>Diferente</v>
      </c>
    </row>
    <row r="521">
      <c r="A521" s="7"/>
      <c r="B521" s="16"/>
      <c r="C521" s="12"/>
      <c r="D521" s="12"/>
      <c r="E521" s="9"/>
      <c r="F521" s="10"/>
      <c r="G521" s="11"/>
      <c r="H521" s="9"/>
      <c r="I521" s="31"/>
      <c r="J521" s="9"/>
      <c r="K521" s="9"/>
      <c r="L521" s="21" t="s">
        <v>47</v>
      </c>
      <c r="M521" s="29" t="s">
        <v>1677</v>
      </c>
      <c r="N521" s="29" t="s">
        <v>1073</v>
      </c>
      <c r="O521" s="29" t="s">
        <v>1584</v>
      </c>
      <c r="P521" s="14" t="s">
        <v>533</v>
      </c>
      <c r="Q521" s="14" t="s">
        <v>533</v>
      </c>
      <c r="R521" s="16" t="str">
        <f t="shared" si="2"/>
        <v>Igual</v>
      </c>
    </row>
    <row r="522">
      <c r="A522" s="7"/>
      <c r="B522" s="16"/>
      <c r="C522" s="12"/>
      <c r="D522" s="12"/>
      <c r="E522" s="9"/>
      <c r="F522" s="10"/>
      <c r="G522" s="11"/>
      <c r="H522" s="9"/>
      <c r="I522" s="31"/>
      <c r="J522" s="9"/>
      <c r="K522" s="9"/>
      <c r="L522" s="21" t="s">
        <v>53</v>
      </c>
      <c r="M522" s="29" t="s">
        <v>1698</v>
      </c>
      <c r="N522" s="29" t="s">
        <v>1073</v>
      </c>
      <c r="O522" s="29" t="s">
        <v>1606</v>
      </c>
      <c r="P522" s="14" t="s">
        <v>533</v>
      </c>
      <c r="Q522" s="14" t="s">
        <v>533</v>
      </c>
      <c r="R522" s="16" t="str">
        <f t="shared" si="2"/>
        <v>Igual</v>
      </c>
    </row>
    <row r="523">
      <c r="A523" s="7"/>
      <c r="B523" s="16"/>
      <c r="C523" s="12"/>
      <c r="D523" s="12"/>
      <c r="E523" s="9"/>
      <c r="F523" s="10"/>
      <c r="G523" s="11"/>
      <c r="H523" s="9"/>
      <c r="I523" s="31"/>
      <c r="J523" s="9"/>
      <c r="K523" s="9"/>
      <c r="L523" s="21" t="s">
        <v>59</v>
      </c>
      <c r="M523" s="29" t="s">
        <v>1699</v>
      </c>
      <c r="N523" s="29" t="s">
        <v>1700</v>
      </c>
      <c r="O523" s="29" t="s">
        <v>1701</v>
      </c>
      <c r="P523" s="14" t="s">
        <v>562</v>
      </c>
      <c r="Q523" s="14" t="s">
        <v>533</v>
      </c>
      <c r="R523" s="16" t="str">
        <f t="shared" si="2"/>
        <v>Diferente</v>
      </c>
    </row>
    <row r="524">
      <c r="A524" s="7"/>
      <c r="B524" s="16"/>
      <c r="C524" s="12"/>
      <c r="D524" s="12"/>
      <c r="E524" s="9"/>
      <c r="F524" s="10"/>
      <c r="G524" s="11"/>
      <c r="H524" s="9"/>
      <c r="I524" s="31"/>
      <c r="J524" s="9"/>
      <c r="K524" s="9"/>
      <c r="L524" s="21" t="s">
        <v>65</v>
      </c>
      <c r="M524" s="29" t="s">
        <v>1702</v>
      </c>
      <c r="N524" s="29" t="s">
        <v>1073</v>
      </c>
      <c r="O524" s="29" t="s">
        <v>1565</v>
      </c>
      <c r="P524" s="14" t="s">
        <v>533</v>
      </c>
      <c r="Q524" s="14" t="s">
        <v>533</v>
      </c>
      <c r="R524" s="16" t="str">
        <f t="shared" si="2"/>
        <v>Igual</v>
      </c>
    </row>
    <row r="525">
      <c r="A525" s="7"/>
      <c r="B525" s="16"/>
      <c r="C525" s="12"/>
      <c r="D525" s="12"/>
      <c r="E525" s="9"/>
      <c r="F525" s="10"/>
      <c r="G525" s="11"/>
      <c r="H525" s="9"/>
      <c r="I525" s="31"/>
      <c r="J525" s="9"/>
      <c r="K525" s="9"/>
      <c r="L525" s="21" t="s">
        <v>71</v>
      </c>
      <c r="M525" s="29" t="s">
        <v>1703</v>
      </c>
      <c r="N525" s="29" t="s">
        <v>1704</v>
      </c>
      <c r="O525" s="29" t="s">
        <v>1705</v>
      </c>
      <c r="P525" s="14" t="s">
        <v>533</v>
      </c>
      <c r="Q525" s="14" t="s">
        <v>542</v>
      </c>
      <c r="R525" s="16" t="str">
        <f t="shared" si="2"/>
        <v>Diferente</v>
      </c>
    </row>
    <row r="526">
      <c r="A526" s="7" t="s">
        <v>275</v>
      </c>
      <c r="B526" s="14" t="s">
        <v>1057</v>
      </c>
      <c r="C526" s="12"/>
      <c r="D526" s="17" t="s">
        <v>1706</v>
      </c>
      <c r="E526" s="9" t="s">
        <v>276</v>
      </c>
      <c r="F526" s="10" t="s">
        <v>277</v>
      </c>
      <c r="G526" s="11">
        <v>2022.0</v>
      </c>
      <c r="H526" s="9" t="s">
        <v>278</v>
      </c>
      <c r="I526" s="29" t="s">
        <v>1686</v>
      </c>
      <c r="J526" s="9"/>
      <c r="K526" s="9" t="s">
        <v>152</v>
      </c>
      <c r="L526" s="21" t="s">
        <v>25</v>
      </c>
      <c r="M526" s="14" t="s">
        <v>1707</v>
      </c>
      <c r="N526" s="29" t="s">
        <v>1708</v>
      </c>
      <c r="O526" s="29" t="s">
        <v>1689</v>
      </c>
      <c r="P526" s="14" t="s">
        <v>533</v>
      </c>
      <c r="Q526" s="14" t="s">
        <v>533</v>
      </c>
      <c r="R526" s="16" t="str">
        <f t="shared" si="2"/>
        <v>Igual</v>
      </c>
    </row>
    <row r="527">
      <c r="A527" s="7"/>
      <c r="B527" s="16"/>
      <c r="C527" s="12"/>
      <c r="D527" s="12"/>
      <c r="E527" s="9"/>
      <c r="F527" s="10"/>
      <c r="G527" s="11"/>
      <c r="H527" s="9"/>
      <c r="I527" s="31"/>
      <c r="J527" s="9"/>
      <c r="K527" s="9"/>
      <c r="L527" s="21" t="s">
        <v>31</v>
      </c>
      <c r="M527" s="14" t="s">
        <v>1709</v>
      </c>
      <c r="N527" s="29" t="s">
        <v>1710</v>
      </c>
      <c r="O527" s="29" t="s">
        <v>1691</v>
      </c>
      <c r="P527" s="14" t="s">
        <v>533</v>
      </c>
      <c r="Q527" s="14" t="s">
        <v>533</v>
      </c>
      <c r="R527" s="16" t="str">
        <f t="shared" si="2"/>
        <v>Igual</v>
      </c>
    </row>
    <row r="528">
      <c r="A528" s="7"/>
      <c r="B528" s="16"/>
      <c r="C528" s="12"/>
      <c r="D528" s="12"/>
      <c r="E528" s="9"/>
      <c r="F528" s="10"/>
      <c r="G528" s="11"/>
      <c r="H528" s="9"/>
      <c r="I528" s="31"/>
      <c r="J528" s="9"/>
      <c r="K528" s="9"/>
      <c r="L528" s="21" t="s">
        <v>36</v>
      </c>
      <c r="M528" s="14" t="s">
        <v>1711</v>
      </c>
      <c r="N528" s="29" t="s">
        <v>1712</v>
      </c>
      <c r="O528" s="29" t="s">
        <v>1694</v>
      </c>
      <c r="P528" s="14" t="s">
        <v>533</v>
      </c>
      <c r="Q528" s="14" t="s">
        <v>533</v>
      </c>
      <c r="R528" s="16" t="str">
        <f t="shared" si="2"/>
        <v>Igual</v>
      </c>
    </row>
    <row r="529">
      <c r="A529" s="7"/>
      <c r="B529" s="16"/>
      <c r="C529" s="12"/>
      <c r="D529" s="12"/>
      <c r="E529" s="9"/>
      <c r="F529" s="10"/>
      <c r="G529" s="11"/>
      <c r="H529" s="9"/>
      <c r="I529" s="31"/>
      <c r="J529" s="9"/>
      <c r="K529" s="9"/>
      <c r="L529" s="21" t="s">
        <v>41</v>
      </c>
      <c r="M529" s="14" t="s">
        <v>1713</v>
      </c>
      <c r="N529" s="47" t="s">
        <v>1714</v>
      </c>
      <c r="O529" s="29" t="s">
        <v>1697</v>
      </c>
      <c r="P529" s="14" t="s">
        <v>533</v>
      </c>
      <c r="Q529" s="14" t="s">
        <v>562</v>
      </c>
      <c r="R529" s="16" t="str">
        <f t="shared" si="2"/>
        <v>Diferente</v>
      </c>
    </row>
    <row r="530">
      <c r="A530" s="7"/>
      <c r="B530" s="16"/>
      <c r="C530" s="12"/>
      <c r="D530" s="12"/>
      <c r="E530" s="9"/>
      <c r="F530" s="10"/>
      <c r="G530" s="11"/>
      <c r="H530" s="9"/>
      <c r="I530" s="31"/>
      <c r="J530" s="9"/>
      <c r="K530" s="9"/>
      <c r="L530" s="21" t="s">
        <v>47</v>
      </c>
      <c r="M530" s="14" t="s">
        <v>1715</v>
      </c>
      <c r="N530" s="29" t="s">
        <v>1073</v>
      </c>
      <c r="O530" s="29" t="s">
        <v>1584</v>
      </c>
      <c r="P530" s="14" t="s">
        <v>533</v>
      </c>
      <c r="Q530" s="14" t="s">
        <v>533</v>
      </c>
      <c r="R530" s="16" t="str">
        <f t="shared" si="2"/>
        <v>Igual</v>
      </c>
    </row>
    <row r="531">
      <c r="A531" s="7"/>
      <c r="B531" s="16"/>
      <c r="C531" s="12"/>
      <c r="D531" s="12"/>
      <c r="E531" s="9"/>
      <c r="F531" s="10"/>
      <c r="G531" s="11"/>
      <c r="H531" s="9"/>
      <c r="I531" s="31"/>
      <c r="J531" s="9"/>
      <c r="K531" s="9"/>
      <c r="L531" s="21" t="s">
        <v>53</v>
      </c>
      <c r="M531" s="14" t="s">
        <v>1716</v>
      </c>
      <c r="N531" s="29" t="s">
        <v>1073</v>
      </c>
      <c r="O531" s="29" t="s">
        <v>1606</v>
      </c>
      <c r="P531" s="14" t="s">
        <v>533</v>
      </c>
      <c r="Q531" s="14" t="s">
        <v>533</v>
      </c>
      <c r="R531" s="16" t="str">
        <f t="shared" si="2"/>
        <v>Igual</v>
      </c>
    </row>
    <row r="532">
      <c r="A532" s="7"/>
      <c r="B532" s="16"/>
      <c r="C532" s="12"/>
      <c r="D532" s="12"/>
      <c r="E532" s="9"/>
      <c r="F532" s="10"/>
      <c r="G532" s="11"/>
      <c r="H532" s="9"/>
      <c r="I532" s="31"/>
      <c r="J532" s="9"/>
      <c r="K532" s="9"/>
      <c r="L532" s="21" t="s">
        <v>59</v>
      </c>
      <c r="M532" s="14" t="s">
        <v>1717</v>
      </c>
      <c r="N532" s="47" t="s">
        <v>1718</v>
      </c>
      <c r="O532" s="29" t="s">
        <v>1701</v>
      </c>
      <c r="P532" s="14" t="s">
        <v>533</v>
      </c>
      <c r="Q532" s="14" t="s">
        <v>533</v>
      </c>
      <c r="R532" s="16" t="str">
        <f t="shared" si="2"/>
        <v>Igual</v>
      </c>
    </row>
    <row r="533">
      <c r="A533" s="7"/>
      <c r="B533" s="16"/>
      <c r="C533" s="12"/>
      <c r="D533" s="12"/>
      <c r="E533" s="9"/>
      <c r="F533" s="10"/>
      <c r="G533" s="11"/>
      <c r="H533" s="9"/>
      <c r="I533" s="31"/>
      <c r="J533" s="9"/>
      <c r="K533" s="9"/>
      <c r="L533" s="21" t="s">
        <v>65</v>
      </c>
      <c r="M533" s="14" t="s">
        <v>1719</v>
      </c>
      <c r="N533" s="29" t="s">
        <v>1073</v>
      </c>
      <c r="O533" s="29" t="s">
        <v>1565</v>
      </c>
      <c r="P533" s="14" t="s">
        <v>533</v>
      </c>
      <c r="Q533" s="14" t="s">
        <v>533</v>
      </c>
      <c r="R533" s="16" t="str">
        <f t="shared" si="2"/>
        <v>Igual</v>
      </c>
    </row>
    <row r="534">
      <c r="A534" s="7"/>
      <c r="B534" s="16"/>
      <c r="C534" s="12"/>
      <c r="D534" s="12"/>
      <c r="E534" s="9"/>
      <c r="F534" s="10"/>
      <c r="G534" s="11"/>
      <c r="H534" s="9"/>
      <c r="I534" s="31"/>
      <c r="J534" s="9"/>
      <c r="K534" s="9"/>
      <c r="L534" s="21" t="s">
        <v>71</v>
      </c>
      <c r="M534" s="14" t="s">
        <v>1720</v>
      </c>
      <c r="N534" s="29" t="s">
        <v>1721</v>
      </c>
      <c r="O534" s="29" t="s">
        <v>1705</v>
      </c>
      <c r="P534" s="14" t="s">
        <v>533</v>
      </c>
      <c r="Q534" s="14" t="s">
        <v>562</v>
      </c>
      <c r="R534" s="16" t="str">
        <f t="shared" si="2"/>
        <v>Diferente</v>
      </c>
    </row>
    <row r="535">
      <c r="A535" s="7" t="s">
        <v>279</v>
      </c>
      <c r="B535" s="14" t="s">
        <v>1057</v>
      </c>
      <c r="C535" s="12"/>
      <c r="D535" s="17" t="s">
        <v>1541</v>
      </c>
      <c r="E535" s="9" t="s">
        <v>280</v>
      </c>
      <c r="F535" s="10" t="s">
        <v>281</v>
      </c>
      <c r="G535" s="11">
        <v>2024.0</v>
      </c>
      <c r="H535" s="9" t="s">
        <v>282</v>
      </c>
      <c r="I535" s="29" t="s">
        <v>1021</v>
      </c>
      <c r="J535" s="9"/>
      <c r="K535" s="9" t="s">
        <v>152</v>
      </c>
      <c r="L535" s="21" t="s">
        <v>25</v>
      </c>
      <c r="M535" s="14" t="s">
        <v>1722</v>
      </c>
      <c r="N535" s="29" t="s">
        <v>1723</v>
      </c>
      <c r="O535" s="29" t="s">
        <v>1724</v>
      </c>
      <c r="P535" s="14" t="s">
        <v>533</v>
      </c>
      <c r="Q535" s="14" t="s">
        <v>533</v>
      </c>
      <c r="R535" s="16" t="str">
        <f t="shared" si="2"/>
        <v>Igual</v>
      </c>
    </row>
    <row r="536">
      <c r="A536" s="7"/>
      <c r="B536" s="16"/>
      <c r="C536" s="12"/>
      <c r="D536" s="12"/>
      <c r="E536" s="9"/>
      <c r="F536" s="10"/>
      <c r="G536" s="11"/>
      <c r="H536" s="9"/>
      <c r="I536" s="31"/>
      <c r="J536" s="9"/>
      <c r="K536" s="9"/>
      <c r="L536" s="21" t="s">
        <v>31</v>
      </c>
      <c r="M536" s="14" t="s">
        <v>1725</v>
      </c>
      <c r="N536" s="29" t="s">
        <v>1726</v>
      </c>
      <c r="O536" s="29" t="s">
        <v>1727</v>
      </c>
      <c r="P536" s="14" t="s">
        <v>533</v>
      </c>
      <c r="Q536" s="14" t="s">
        <v>533</v>
      </c>
      <c r="R536" s="16" t="str">
        <f t="shared" si="2"/>
        <v>Igual</v>
      </c>
    </row>
    <row r="537">
      <c r="A537" s="7"/>
      <c r="B537" s="16"/>
      <c r="C537" s="12"/>
      <c r="D537" s="12"/>
      <c r="E537" s="9"/>
      <c r="F537" s="10"/>
      <c r="G537" s="11"/>
      <c r="H537" s="9"/>
      <c r="I537" s="31"/>
      <c r="J537" s="9"/>
      <c r="K537" s="9"/>
      <c r="L537" s="21" t="s">
        <v>36</v>
      </c>
      <c r="M537" s="14" t="s">
        <v>1728</v>
      </c>
      <c r="N537" s="29" t="s">
        <v>1729</v>
      </c>
      <c r="O537" s="29" t="s">
        <v>1730</v>
      </c>
      <c r="P537" s="14" t="s">
        <v>533</v>
      </c>
      <c r="Q537" s="14" t="s">
        <v>533</v>
      </c>
      <c r="R537" s="16" t="str">
        <f t="shared" si="2"/>
        <v>Igual</v>
      </c>
    </row>
    <row r="538">
      <c r="A538" s="7"/>
      <c r="B538" s="16"/>
      <c r="C538" s="12"/>
      <c r="D538" s="12"/>
      <c r="E538" s="9"/>
      <c r="F538" s="10"/>
      <c r="G538" s="11"/>
      <c r="H538" s="9"/>
      <c r="I538" s="31"/>
      <c r="J538" s="9"/>
      <c r="K538" s="9"/>
      <c r="L538" s="21" t="s">
        <v>41</v>
      </c>
      <c r="M538" s="14" t="s">
        <v>1731</v>
      </c>
      <c r="N538" s="29" t="s">
        <v>1732</v>
      </c>
      <c r="O538" s="29" t="s">
        <v>1733</v>
      </c>
      <c r="P538" s="14" t="s">
        <v>533</v>
      </c>
      <c r="Q538" s="14" t="s">
        <v>533</v>
      </c>
      <c r="R538" s="16" t="str">
        <f t="shared" si="2"/>
        <v>Igual</v>
      </c>
    </row>
    <row r="539">
      <c r="A539" s="7"/>
      <c r="B539" s="16"/>
      <c r="C539" s="12"/>
      <c r="D539" s="12"/>
      <c r="E539" s="9"/>
      <c r="F539" s="10"/>
      <c r="G539" s="11"/>
      <c r="H539" s="9"/>
      <c r="I539" s="31"/>
      <c r="J539" s="9"/>
      <c r="K539" s="9"/>
      <c r="L539" s="21" t="s">
        <v>47</v>
      </c>
      <c r="M539" s="14" t="s">
        <v>1734</v>
      </c>
      <c r="N539" s="29" t="s">
        <v>1073</v>
      </c>
      <c r="O539" s="29" t="s">
        <v>1556</v>
      </c>
      <c r="P539" s="14" t="s">
        <v>533</v>
      </c>
      <c r="Q539" s="14" t="s">
        <v>533</v>
      </c>
      <c r="R539" s="16" t="str">
        <f t="shared" si="2"/>
        <v>Igual</v>
      </c>
    </row>
    <row r="540">
      <c r="A540" s="7"/>
      <c r="B540" s="16"/>
      <c r="C540" s="12"/>
      <c r="D540" s="12"/>
      <c r="E540" s="9"/>
      <c r="F540" s="10"/>
      <c r="G540" s="11"/>
      <c r="H540" s="9"/>
      <c r="I540" s="31"/>
      <c r="J540" s="9"/>
      <c r="K540" s="9"/>
      <c r="L540" s="21" t="s">
        <v>53</v>
      </c>
      <c r="M540" s="14" t="s">
        <v>1735</v>
      </c>
      <c r="N540" s="29" t="s">
        <v>1073</v>
      </c>
      <c r="O540" s="29" t="s">
        <v>1586</v>
      </c>
      <c r="P540" s="14" t="s">
        <v>533</v>
      </c>
      <c r="Q540" s="14" t="s">
        <v>533</v>
      </c>
      <c r="R540" s="16" t="str">
        <f t="shared" si="2"/>
        <v>Igual</v>
      </c>
    </row>
    <row r="541">
      <c r="A541" s="7"/>
      <c r="B541" s="16"/>
      <c r="C541" s="12"/>
      <c r="D541" s="12"/>
      <c r="E541" s="9"/>
      <c r="F541" s="10"/>
      <c r="G541" s="11"/>
      <c r="H541" s="9"/>
      <c r="I541" s="31"/>
      <c r="J541" s="9"/>
      <c r="K541" s="9"/>
      <c r="L541" s="21" t="s">
        <v>59</v>
      </c>
      <c r="M541" s="14" t="s">
        <v>1736</v>
      </c>
      <c r="N541" s="29" t="s">
        <v>1073</v>
      </c>
      <c r="O541" s="29" t="s">
        <v>1737</v>
      </c>
      <c r="P541" s="14" t="s">
        <v>533</v>
      </c>
      <c r="Q541" s="14" t="s">
        <v>533</v>
      </c>
      <c r="R541" s="16" t="str">
        <f t="shared" si="2"/>
        <v>Igual</v>
      </c>
    </row>
    <row r="542">
      <c r="A542" s="7"/>
      <c r="B542" s="16"/>
      <c r="C542" s="12"/>
      <c r="D542" s="12"/>
      <c r="E542" s="9"/>
      <c r="F542" s="10"/>
      <c r="G542" s="11"/>
      <c r="H542" s="9"/>
      <c r="I542" s="31"/>
      <c r="J542" s="9"/>
      <c r="K542" s="9"/>
      <c r="L542" s="21" t="s">
        <v>65</v>
      </c>
      <c r="M542" s="14" t="s">
        <v>1738</v>
      </c>
      <c r="N542" s="29" t="s">
        <v>1073</v>
      </c>
      <c r="O542" s="29" t="s">
        <v>1739</v>
      </c>
      <c r="P542" s="14" t="s">
        <v>533</v>
      </c>
      <c r="Q542" s="14" t="s">
        <v>533</v>
      </c>
      <c r="R542" s="16" t="str">
        <f t="shared" si="2"/>
        <v>Igual</v>
      </c>
    </row>
    <row r="543">
      <c r="A543" s="7"/>
      <c r="B543" s="16"/>
      <c r="C543" s="12"/>
      <c r="D543" s="12"/>
      <c r="E543" s="9"/>
      <c r="F543" s="10"/>
      <c r="G543" s="11"/>
      <c r="H543" s="9"/>
      <c r="I543" s="31"/>
      <c r="J543" s="9"/>
      <c r="K543" s="9"/>
      <c r="L543" s="21" t="s">
        <v>71</v>
      </c>
      <c r="M543" s="14" t="s">
        <v>1740</v>
      </c>
      <c r="N543" s="29" t="s">
        <v>1073</v>
      </c>
      <c r="O543" s="29" t="s">
        <v>1741</v>
      </c>
      <c r="P543" s="14" t="s">
        <v>533</v>
      </c>
      <c r="Q543" s="14" t="s">
        <v>533</v>
      </c>
      <c r="R543" s="16" t="str">
        <f t="shared" si="2"/>
        <v>Igual</v>
      </c>
    </row>
    <row r="544">
      <c r="A544" s="7" t="s">
        <v>283</v>
      </c>
      <c r="B544" s="14" t="s">
        <v>1057</v>
      </c>
      <c r="C544" s="12"/>
      <c r="D544" s="17" t="s">
        <v>1541</v>
      </c>
      <c r="E544" s="9" t="s">
        <v>284</v>
      </c>
      <c r="F544" s="10" t="s">
        <v>285</v>
      </c>
      <c r="G544" s="11">
        <v>2024.0</v>
      </c>
      <c r="H544" s="9" t="s">
        <v>286</v>
      </c>
      <c r="I544" s="29" t="s">
        <v>1355</v>
      </c>
      <c r="J544" s="13"/>
      <c r="K544" s="9" t="s">
        <v>152</v>
      </c>
      <c r="L544" s="21" t="s">
        <v>25</v>
      </c>
      <c r="M544" s="14" t="s">
        <v>1742</v>
      </c>
      <c r="N544" s="29" t="s">
        <v>1743</v>
      </c>
      <c r="O544" s="29" t="s">
        <v>1744</v>
      </c>
      <c r="P544" s="14" t="s">
        <v>533</v>
      </c>
      <c r="Q544" s="14" t="s">
        <v>562</v>
      </c>
      <c r="R544" s="16" t="str">
        <f t="shared" si="2"/>
        <v>Diferente</v>
      </c>
    </row>
    <row r="545">
      <c r="A545" s="7"/>
      <c r="B545" s="16"/>
      <c r="C545" s="12"/>
      <c r="D545" s="12"/>
      <c r="E545" s="9"/>
      <c r="F545" s="10"/>
      <c r="G545" s="11"/>
      <c r="H545" s="9"/>
      <c r="I545" s="31"/>
      <c r="J545" s="9"/>
      <c r="K545" s="9"/>
      <c r="L545" s="21" t="s">
        <v>31</v>
      </c>
      <c r="M545" s="14" t="s">
        <v>1745</v>
      </c>
      <c r="N545" s="29" t="s">
        <v>1746</v>
      </c>
      <c r="O545" s="29" t="s">
        <v>1747</v>
      </c>
      <c r="P545" s="14" t="s">
        <v>533</v>
      </c>
      <c r="Q545" s="14" t="s">
        <v>542</v>
      </c>
      <c r="R545" s="16" t="str">
        <f t="shared" si="2"/>
        <v>Diferente</v>
      </c>
    </row>
    <row r="546">
      <c r="A546" s="7"/>
      <c r="B546" s="16"/>
      <c r="C546" s="12"/>
      <c r="D546" s="12"/>
      <c r="E546" s="9"/>
      <c r="F546" s="10"/>
      <c r="G546" s="11"/>
      <c r="H546" s="9"/>
      <c r="I546" s="31"/>
      <c r="J546" s="9"/>
      <c r="K546" s="9"/>
      <c r="L546" s="21" t="s">
        <v>36</v>
      </c>
      <c r="M546" s="14" t="s">
        <v>1748</v>
      </c>
      <c r="N546" s="29" t="s">
        <v>1749</v>
      </c>
      <c r="O546" s="29" t="s">
        <v>1750</v>
      </c>
      <c r="P546" s="14" t="s">
        <v>533</v>
      </c>
      <c r="Q546" s="14" t="s">
        <v>533</v>
      </c>
      <c r="R546" s="16" t="str">
        <f t="shared" si="2"/>
        <v>Igual</v>
      </c>
    </row>
    <row r="547">
      <c r="A547" s="7"/>
      <c r="B547" s="16"/>
      <c r="C547" s="12"/>
      <c r="D547" s="12"/>
      <c r="E547" s="9"/>
      <c r="F547" s="10"/>
      <c r="G547" s="11"/>
      <c r="H547" s="9"/>
      <c r="I547" s="31"/>
      <c r="J547" s="9"/>
      <c r="K547" s="9"/>
      <c r="L547" s="21" t="s">
        <v>41</v>
      </c>
      <c r="M547" s="14" t="s">
        <v>1751</v>
      </c>
      <c r="N547" s="29" t="s">
        <v>1752</v>
      </c>
      <c r="O547" s="29" t="s">
        <v>1753</v>
      </c>
      <c r="P547" s="14" t="s">
        <v>533</v>
      </c>
      <c r="Q547" s="14" t="s">
        <v>533</v>
      </c>
      <c r="R547" s="16" t="str">
        <f t="shared" si="2"/>
        <v>Igual</v>
      </c>
    </row>
    <row r="548">
      <c r="A548" s="7"/>
      <c r="B548" s="16"/>
      <c r="C548" s="12"/>
      <c r="D548" s="12"/>
      <c r="E548" s="9"/>
      <c r="F548" s="10"/>
      <c r="G548" s="11"/>
      <c r="H548" s="9"/>
      <c r="I548" s="31"/>
      <c r="J548" s="9"/>
      <c r="K548" s="9"/>
      <c r="L548" s="21" t="s">
        <v>47</v>
      </c>
      <c r="M548" s="14" t="s">
        <v>1734</v>
      </c>
      <c r="N548" s="29" t="s">
        <v>1073</v>
      </c>
      <c r="O548" s="29" t="s">
        <v>1584</v>
      </c>
      <c r="P548" s="14" t="s">
        <v>533</v>
      </c>
      <c r="Q548" s="14" t="s">
        <v>533</v>
      </c>
      <c r="R548" s="16" t="str">
        <f t="shared" si="2"/>
        <v>Igual</v>
      </c>
    </row>
    <row r="549">
      <c r="A549" s="7"/>
      <c r="B549" s="16"/>
      <c r="C549" s="12"/>
      <c r="D549" s="12"/>
      <c r="E549" s="9"/>
      <c r="F549" s="10"/>
      <c r="G549" s="11"/>
      <c r="H549" s="9"/>
      <c r="I549" s="31"/>
      <c r="J549" s="9"/>
      <c r="K549" s="9"/>
      <c r="L549" s="21" t="s">
        <v>53</v>
      </c>
      <c r="M549" s="14" t="s">
        <v>1754</v>
      </c>
      <c r="N549" s="29" t="s">
        <v>1073</v>
      </c>
      <c r="O549" s="29" t="s">
        <v>1586</v>
      </c>
      <c r="P549" s="14" t="s">
        <v>533</v>
      </c>
      <c r="Q549" s="14" t="s">
        <v>533</v>
      </c>
      <c r="R549" s="16" t="str">
        <f t="shared" si="2"/>
        <v>Igual</v>
      </c>
    </row>
    <row r="550">
      <c r="A550" s="7"/>
      <c r="B550" s="16"/>
      <c r="C550" s="12"/>
      <c r="D550" s="12"/>
      <c r="E550" s="9"/>
      <c r="F550" s="10"/>
      <c r="G550" s="11"/>
      <c r="H550" s="9"/>
      <c r="I550" s="31"/>
      <c r="J550" s="9"/>
      <c r="K550" s="9"/>
      <c r="L550" s="21" t="s">
        <v>59</v>
      </c>
      <c r="M550" s="14" t="s">
        <v>1755</v>
      </c>
      <c r="N550" s="29" t="s">
        <v>1756</v>
      </c>
      <c r="O550" s="29" t="s">
        <v>1757</v>
      </c>
      <c r="P550" s="14" t="s">
        <v>533</v>
      </c>
      <c r="Q550" s="14" t="s">
        <v>533</v>
      </c>
      <c r="R550" s="16" t="str">
        <f t="shared" si="2"/>
        <v>Igual</v>
      </c>
    </row>
    <row r="551">
      <c r="A551" s="7"/>
      <c r="B551" s="16"/>
      <c r="C551" s="12"/>
      <c r="D551" s="12"/>
      <c r="E551" s="9"/>
      <c r="F551" s="10"/>
      <c r="G551" s="11"/>
      <c r="H551" s="9"/>
      <c r="I551" s="31"/>
      <c r="J551" s="9"/>
      <c r="K551" s="9"/>
      <c r="L551" s="21" t="s">
        <v>65</v>
      </c>
      <c r="M551" s="14" t="s">
        <v>1758</v>
      </c>
      <c r="N551" s="29" t="s">
        <v>1073</v>
      </c>
      <c r="O551" s="29" t="s">
        <v>1565</v>
      </c>
      <c r="P551" s="14" t="s">
        <v>533</v>
      </c>
      <c r="Q551" s="14" t="s">
        <v>533</v>
      </c>
      <c r="R551" s="16" t="str">
        <f t="shared" si="2"/>
        <v>Igual</v>
      </c>
    </row>
    <row r="552">
      <c r="A552" s="7"/>
      <c r="B552" s="16"/>
      <c r="C552" s="12"/>
      <c r="D552" s="12"/>
      <c r="E552" s="9"/>
      <c r="F552" s="10"/>
      <c r="G552" s="11"/>
      <c r="H552" s="9"/>
      <c r="I552" s="31"/>
      <c r="J552" s="9"/>
      <c r="K552" s="9"/>
      <c r="L552" s="21" t="s">
        <v>71</v>
      </c>
      <c r="M552" s="14" t="s">
        <v>1759</v>
      </c>
      <c r="N552" s="29" t="s">
        <v>1760</v>
      </c>
      <c r="O552" s="29" t="s">
        <v>1761</v>
      </c>
      <c r="P552" s="14" t="s">
        <v>533</v>
      </c>
      <c r="Q552" s="14" t="s">
        <v>562</v>
      </c>
      <c r="R552" s="16" t="str">
        <f t="shared" si="2"/>
        <v>Diferente</v>
      </c>
    </row>
    <row r="553">
      <c r="A553" s="7" t="s">
        <v>287</v>
      </c>
      <c r="B553" s="14" t="s">
        <v>1057</v>
      </c>
      <c r="C553" s="12"/>
      <c r="D553" s="17" t="s">
        <v>1762</v>
      </c>
      <c r="E553" s="9" t="s">
        <v>288</v>
      </c>
      <c r="F553" s="10" t="s">
        <v>289</v>
      </c>
      <c r="G553" s="11">
        <v>2024.0</v>
      </c>
      <c r="H553" s="9" t="s">
        <v>290</v>
      </c>
      <c r="I553" s="29" t="s">
        <v>1614</v>
      </c>
      <c r="J553" s="9"/>
      <c r="K553" s="9" t="s">
        <v>152</v>
      </c>
      <c r="L553" s="21" t="s">
        <v>25</v>
      </c>
      <c r="M553" s="14" t="s">
        <v>1763</v>
      </c>
      <c r="N553" s="29" t="s">
        <v>1764</v>
      </c>
      <c r="O553" s="29" t="s">
        <v>1765</v>
      </c>
      <c r="P553" s="14" t="s">
        <v>533</v>
      </c>
      <c r="Q553" s="14" t="s">
        <v>533</v>
      </c>
      <c r="R553" s="16" t="str">
        <f t="shared" si="2"/>
        <v>Igual</v>
      </c>
    </row>
    <row r="554">
      <c r="A554" s="7"/>
      <c r="B554" s="16"/>
      <c r="C554" s="12"/>
      <c r="D554" s="12"/>
      <c r="E554" s="9"/>
      <c r="F554" s="10"/>
      <c r="G554" s="11"/>
      <c r="H554" s="9"/>
      <c r="I554" s="31"/>
      <c r="J554" s="9"/>
      <c r="K554" s="9"/>
      <c r="L554" s="21" t="s">
        <v>31</v>
      </c>
      <c r="M554" s="14" t="s">
        <v>1766</v>
      </c>
      <c r="N554" s="29" t="s">
        <v>1767</v>
      </c>
      <c r="O554" s="29" t="s">
        <v>1768</v>
      </c>
      <c r="P554" s="14" t="s">
        <v>533</v>
      </c>
      <c r="Q554" s="14" t="s">
        <v>533</v>
      </c>
      <c r="R554" s="16" t="str">
        <f t="shared" si="2"/>
        <v>Igual</v>
      </c>
    </row>
    <row r="555">
      <c r="A555" s="7"/>
      <c r="B555" s="16"/>
      <c r="C555" s="12"/>
      <c r="D555" s="12"/>
      <c r="E555" s="9"/>
      <c r="F555" s="10"/>
      <c r="G555" s="11"/>
      <c r="H555" s="9"/>
      <c r="I555" s="31"/>
      <c r="J555" s="9"/>
      <c r="K555" s="9"/>
      <c r="L555" s="21" t="s">
        <v>36</v>
      </c>
      <c r="M555" s="14" t="s">
        <v>1769</v>
      </c>
      <c r="N555" s="29" t="s">
        <v>1770</v>
      </c>
      <c r="O555" s="29" t="s">
        <v>1771</v>
      </c>
      <c r="P555" s="14" t="s">
        <v>533</v>
      </c>
      <c r="Q555" s="14" t="s">
        <v>533</v>
      </c>
      <c r="R555" s="16" t="str">
        <f t="shared" si="2"/>
        <v>Igual</v>
      </c>
    </row>
    <row r="556">
      <c r="A556" s="7"/>
      <c r="B556" s="16"/>
      <c r="C556" s="12"/>
      <c r="D556" s="12"/>
      <c r="E556" s="9"/>
      <c r="F556" s="10"/>
      <c r="G556" s="11"/>
      <c r="H556" s="9"/>
      <c r="I556" s="31"/>
      <c r="J556" s="9"/>
      <c r="K556" s="9"/>
      <c r="L556" s="21" t="s">
        <v>41</v>
      </c>
      <c r="M556" s="14" t="s">
        <v>1772</v>
      </c>
      <c r="N556" s="47" t="s">
        <v>1773</v>
      </c>
      <c r="O556" s="29" t="s">
        <v>1774</v>
      </c>
      <c r="P556" s="16"/>
      <c r="Q556" s="16"/>
      <c r="R556" s="16" t="str">
        <f t="shared" si="2"/>
        <v/>
      </c>
    </row>
    <row r="557">
      <c r="A557" s="7"/>
      <c r="B557" s="16"/>
      <c r="C557" s="12"/>
      <c r="D557" s="12"/>
      <c r="E557" s="9"/>
      <c r="F557" s="10"/>
      <c r="G557" s="11"/>
      <c r="H557" s="9"/>
      <c r="I557" s="31"/>
      <c r="J557" s="9"/>
      <c r="K557" s="9"/>
      <c r="L557" s="21" t="s">
        <v>47</v>
      </c>
      <c r="M557" s="14" t="s">
        <v>1775</v>
      </c>
      <c r="N557" s="29" t="s">
        <v>1776</v>
      </c>
      <c r="O557" s="29" t="s">
        <v>1584</v>
      </c>
      <c r="P557" s="16"/>
      <c r="Q557" s="16"/>
      <c r="R557" s="16" t="str">
        <f t="shared" si="2"/>
        <v/>
      </c>
    </row>
    <row r="558">
      <c r="A558" s="7"/>
      <c r="B558" s="16"/>
      <c r="C558" s="12"/>
      <c r="D558" s="12"/>
      <c r="E558" s="9"/>
      <c r="F558" s="10"/>
      <c r="G558" s="11"/>
      <c r="H558" s="9"/>
      <c r="I558" s="31"/>
      <c r="J558" s="9"/>
      <c r="K558" s="9"/>
      <c r="L558" s="21" t="s">
        <v>53</v>
      </c>
      <c r="M558" s="14" t="s">
        <v>1777</v>
      </c>
      <c r="N558" s="29" t="s">
        <v>1073</v>
      </c>
      <c r="O558" s="29" t="s">
        <v>1586</v>
      </c>
      <c r="P558" s="16"/>
      <c r="Q558" s="16"/>
      <c r="R558" s="16" t="str">
        <f t="shared" si="2"/>
        <v/>
      </c>
    </row>
    <row r="559">
      <c r="A559" s="7"/>
      <c r="B559" s="16"/>
      <c r="C559" s="12"/>
      <c r="D559" s="12"/>
      <c r="E559" s="9"/>
      <c r="F559" s="10"/>
      <c r="G559" s="11"/>
      <c r="H559" s="9"/>
      <c r="I559" s="31"/>
      <c r="J559" s="9"/>
      <c r="K559" s="9"/>
      <c r="L559" s="21" t="s">
        <v>59</v>
      </c>
      <c r="M559" s="14" t="s">
        <v>1778</v>
      </c>
      <c r="N559" s="29" t="s">
        <v>1779</v>
      </c>
      <c r="O559" s="29" t="s">
        <v>1780</v>
      </c>
      <c r="P559" s="16"/>
      <c r="Q559" s="16"/>
      <c r="R559" s="16" t="str">
        <f t="shared" si="2"/>
        <v/>
      </c>
    </row>
    <row r="560">
      <c r="A560" s="7"/>
      <c r="B560" s="16"/>
      <c r="C560" s="12"/>
      <c r="D560" s="12"/>
      <c r="E560" s="9"/>
      <c r="F560" s="10"/>
      <c r="G560" s="11"/>
      <c r="H560" s="9"/>
      <c r="I560" s="31"/>
      <c r="J560" s="9"/>
      <c r="K560" s="9"/>
      <c r="L560" s="21" t="s">
        <v>65</v>
      </c>
      <c r="M560" s="14" t="s">
        <v>1781</v>
      </c>
      <c r="N560" s="29" t="s">
        <v>1073</v>
      </c>
      <c r="O560" s="29" t="s">
        <v>1565</v>
      </c>
      <c r="P560" s="16"/>
      <c r="Q560" s="16"/>
      <c r="R560" s="16" t="str">
        <f t="shared" si="2"/>
        <v/>
      </c>
    </row>
    <row r="561">
      <c r="A561" s="7"/>
      <c r="B561" s="16"/>
      <c r="C561" s="12"/>
      <c r="D561" s="12"/>
      <c r="E561" s="9"/>
      <c r="F561" s="10"/>
      <c r="G561" s="11"/>
      <c r="H561" s="9"/>
      <c r="I561" s="31"/>
      <c r="J561" s="9"/>
      <c r="K561" s="9"/>
      <c r="L561" s="21" t="s">
        <v>71</v>
      </c>
      <c r="M561" s="14" t="s">
        <v>1782</v>
      </c>
      <c r="N561" s="29" t="s">
        <v>1783</v>
      </c>
      <c r="O561" s="29" t="s">
        <v>1784</v>
      </c>
      <c r="P561" s="16"/>
      <c r="Q561" s="16"/>
      <c r="R561" s="16" t="str">
        <f t="shared" si="2"/>
        <v/>
      </c>
    </row>
    <row r="562">
      <c r="A562" s="7" t="s">
        <v>291</v>
      </c>
      <c r="B562" s="14" t="s">
        <v>1057</v>
      </c>
      <c r="C562" s="12"/>
      <c r="D562" s="17" t="s">
        <v>1541</v>
      </c>
      <c r="E562" s="9" t="s">
        <v>292</v>
      </c>
      <c r="F562" s="10" t="s">
        <v>293</v>
      </c>
      <c r="G562" s="11">
        <v>2022.0</v>
      </c>
      <c r="H562" s="9" t="s">
        <v>294</v>
      </c>
      <c r="I562" s="29" t="s">
        <v>1021</v>
      </c>
      <c r="J562" s="9"/>
      <c r="K562" s="9" t="s">
        <v>152</v>
      </c>
      <c r="L562" s="21" t="s">
        <v>25</v>
      </c>
      <c r="M562" s="14" t="s">
        <v>1785</v>
      </c>
      <c r="N562" s="29" t="s">
        <v>1786</v>
      </c>
      <c r="O562" s="29" t="s">
        <v>1787</v>
      </c>
      <c r="P562" s="14" t="s">
        <v>542</v>
      </c>
      <c r="Q562" s="14" t="s">
        <v>542</v>
      </c>
      <c r="R562" s="16" t="str">
        <f t="shared" si="2"/>
        <v>Igual</v>
      </c>
    </row>
    <row r="563">
      <c r="A563" s="7"/>
      <c r="B563" s="16"/>
      <c r="C563" s="12"/>
      <c r="D563" s="12"/>
      <c r="E563" s="9"/>
      <c r="F563" s="10"/>
      <c r="G563" s="11"/>
      <c r="H563" s="9"/>
      <c r="I563" s="31"/>
      <c r="J563" s="9"/>
      <c r="K563" s="9"/>
      <c r="L563" s="21" t="s">
        <v>31</v>
      </c>
      <c r="M563" s="14" t="s">
        <v>1788</v>
      </c>
      <c r="N563" s="29" t="s">
        <v>1789</v>
      </c>
      <c r="O563" s="29" t="s">
        <v>1790</v>
      </c>
      <c r="P563" s="16"/>
      <c r="Q563" s="16"/>
      <c r="R563" s="16" t="str">
        <f t="shared" si="2"/>
        <v/>
      </c>
    </row>
    <row r="564">
      <c r="A564" s="7"/>
      <c r="B564" s="16"/>
      <c r="C564" s="12"/>
      <c r="D564" s="12"/>
      <c r="E564" s="9"/>
      <c r="F564" s="10"/>
      <c r="G564" s="11"/>
      <c r="H564" s="9"/>
      <c r="I564" s="31"/>
      <c r="J564" s="9"/>
      <c r="K564" s="9"/>
      <c r="L564" s="21" t="s">
        <v>36</v>
      </c>
      <c r="M564" s="14" t="s">
        <v>1791</v>
      </c>
      <c r="N564" s="29" t="s">
        <v>1792</v>
      </c>
      <c r="O564" s="29" t="s">
        <v>1793</v>
      </c>
      <c r="P564" s="16"/>
      <c r="Q564" s="16"/>
      <c r="R564" s="16" t="str">
        <f t="shared" si="2"/>
        <v/>
      </c>
    </row>
    <row r="565">
      <c r="A565" s="7"/>
      <c r="B565" s="16"/>
      <c r="C565" s="12"/>
      <c r="D565" s="12"/>
      <c r="E565" s="9"/>
      <c r="F565" s="10"/>
      <c r="G565" s="11"/>
      <c r="H565" s="9"/>
      <c r="I565" s="31"/>
      <c r="J565" s="9"/>
      <c r="K565" s="9"/>
      <c r="L565" s="21" t="s">
        <v>41</v>
      </c>
      <c r="M565" s="14" t="s">
        <v>1794</v>
      </c>
      <c r="N565" s="29" t="s">
        <v>1795</v>
      </c>
      <c r="O565" s="29" t="s">
        <v>1796</v>
      </c>
      <c r="P565" s="16"/>
      <c r="Q565" s="16"/>
      <c r="R565" s="16" t="str">
        <f t="shared" si="2"/>
        <v/>
      </c>
    </row>
    <row r="566">
      <c r="A566" s="7"/>
      <c r="B566" s="16"/>
      <c r="C566" s="12"/>
      <c r="D566" s="12"/>
      <c r="E566" s="9"/>
      <c r="F566" s="10"/>
      <c r="G566" s="11"/>
      <c r="H566" s="9"/>
      <c r="I566" s="31"/>
      <c r="J566" s="9"/>
      <c r="K566" s="9"/>
      <c r="L566" s="21" t="s">
        <v>47</v>
      </c>
      <c r="M566" s="14" t="s">
        <v>1797</v>
      </c>
      <c r="N566" s="29" t="s">
        <v>1073</v>
      </c>
      <c r="O566" s="29" t="s">
        <v>1584</v>
      </c>
      <c r="P566" s="16"/>
      <c r="Q566" s="16"/>
      <c r="R566" s="16" t="str">
        <f t="shared" si="2"/>
        <v/>
      </c>
    </row>
    <row r="567">
      <c r="A567" s="7"/>
      <c r="B567" s="16"/>
      <c r="C567" s="12"/>
      <c r="D567" s="12"/>
      <c r="E567" s="9"/>
      <c r="F567" s="10"/>
      <c r="G567" s="11"/>
      <c r="H567" s="9"/>
      <c r="I567" s="31"/>
      <c r="J567" s="9"/>
      <c r="K567" s="9"/>
      <c r="L567" s="21" t="s">
        <v>53</v>
      </c>
      <c r="M567" s="14" t="s">
        <v>1798</v>
      </c>
      <c r="N567" s="29" t="s">
        <v>1073</v>
      </c>
      <c r="O567" s="29" t="s">
        <v>1586</v>
      </c>
      <c r="P567" s="16"/>
      <c r="Q567" s="16"/>
      <c r="R567" s="16" t="str">
        <f t="shared" si="2"/>
        <v/>
      </c>
    </row>
    <row r="568">
      <c r="A568" s="7"/>
      <c r="B568" s="16"/>
      <c r="C568" s="12"/>
      <c r="D568" s="12"/>
      <c r="E568" s="9"/>
      <c r="F568" s="10"/>
      <c r="G568" s="11"/>
      <c r="H568" s="9"/>
      <c r="I568" s="31"/>
      <c r="J568" s="9"/>
      <c r="K568" s="9"/>
      <c r="L568" s="21" t="s">
        <v>59</v>
      </c>
      <c r="M568" s="14" t="s">
        <v>1799</v>
      </c>
      <c r="N568" s="29" t="s">
        <v>1800</v>
      </c>
      <c r="O568" s="29" t="s">
        <v>1801</v>
      </c>
      <c r="P568" s="16"/>
      <c r="Q568" s="16"/>
      <c r="R568" s="16" t="str">
        <f t="shared" si="2"/>
        <v/>
      </c>
    </row>
    <row r="569">
      <c r="A569" s="7"/>
      <c r="B569" s="16"/>
      <c r="C569" s="12"/>
      <c r="D569" s="12"/>
      <c r="E569" s="9"/>
      <c r="F569" s="10"/>
      <c r="G569" s="11"/>
      <c r="H569" s="9"/>
      <c r="I569" s="31"/>
      <c r="J569" s="9"/>
      <c r="K569" s="9"/>
      <c r="L569" s="21" t="s">
        <v>65</v>
      </c>
      <c r="M569" s="14" t="s">
        <v>1802</v>
      </c>
      <c r="N569" s="29" t="s">
        <v>1073</v>
      </c>
      <c r="O569" s="29" t="s">
        <v>1565</v>
      </c>
      <c r="P569" s="16"/>
      <c r="Q569" s="16"/>
      <c r="R569" s="16" t="str">
        <f t="shared" si="2"/>
        <v/>
      </c>
    </row>
    <row r="570">
      <c r="A570" s="7"/>
      <c r="B570" s="16"/>
      <c r="C570" s="12"/>
      <c r="D570" s="12"/>
      <c r="E570" s="9"/>
      <c r="F570" s="10"/>
      <c r="G570" s="11"/>
      <c r="H570" s="9"/>
      <c r="I570" s="31"/>
      <c r="J570" s="9"/>
      <c r="K570" s="9"/>
      <c r="L570" s="21" t="s">
        <v>71</v>
      </c>
      <c r="M570" s="14" t="s">
        <v>1803</v>
      </c>
      <c r="N570" s="29" t="s">
        <v>1073</v>
      </c>
      <c r="O570" s="29" t="s">
        <v>1804</v>
      </c>
      <c r="P570" s="16"/>
      <c r="Q570" s="16"/>
      <c r="R570" s="16" t="str">
        <f t="shared" si="2"/>
        <v/>
      </c>
    </row>
    <row r="571">
      <c r="A571" s="7" t="s">
        <v>295</v>
      </c>
      <c r="B571" s="14" t="s">
        <v>1057</v>
      </c>
      <c r="C571" s="12"/>
      <c r="D571" s="17" t="s">
        <v>1541</v>
      </c>
      <c r="E571" s="9" t="s">
        <v>296</v>
      </c>
      <c r="F571" s="10" t="s">
        <v>297</v>
      </c>
      <c r="G571" s="11">
        <v>2025.0</v>
      </c>
      <c r="H571" s="9" t="s">
        <v>298</v>
      </c>
      <c r="I571" s="29" t="s">
        <v>1805</v>
      </c>
      <c r="J571" s="9"/>
      <c r="K571" s="9" t="s">
        <v>152</v>
      </c>
      <c r="L571" s="21" t="s">
        <v>25</v>
      </c>
      <c r="M571" s="14" t="s">
        <v>1806</v>
      </c>
      <c r="N571" s="29" t="s">
        <v>1807</v>
      </c>
      <c r="O571" s="29" t="s">
        <v>1808</v>
      </c>
      <c r="P571" s="16"/>
      <c r="Q571" s="16"/>
      <c r="R571" s="16" t="str">
        <f t="shared" si="2"/>
        <v/>
      </c>
    </row>
    <row r="572">
      <c r="A572" s="7"/>
      <c r="B572" s="16"/>
      <c r="C572" s="12"/>
      <c r="D572" s="12"/>
      <c r="E572" s="9"/>
      <c r="F572" s="10"/>
      <c r="G572" s="11"/>
      <c r="H572" s="9"/>
      <c r="I572" s="31"/>
      <c r="J572" s="9"/>
      <c r="K572" s="9"/>
      <c r="L572" s="21" t="s">
        <v>31</v>
      </c>
      <c r="M572" s="14" t="s">
        <v>1809</v>
      </c>
      <c r="N572" s="29" t="s">
        <v>1810</v>
      </c>
      <c r="O572" s="29" t="s">
        <v>1811</v>
      </c>
      <c r="P572" s="16"/>
      <c r="Q572" s="16"/>
      <c r="R572" s="16" t="str">
        <f t="shared" si="2"/>
        <v/>
      </c>
    </row>
    <row r="573">
      <c r="A573" s="7"/>
      <c r="B573" s="16"/>
      <c r="C573" s="12"/>
      <c r="D573" s="12"/>
      <c r="E573" s="9"/>
      <c r="F573" s="10"/>
      <c r="G573" s="11"/>
      <c r="H573" s="9"/>
      <c r="I573" s="31"/>
      <c r="J573" s="9"/>
      <c r="K573" s="9"/>
      <c r="L573" s="21" t="s">
        <v>36</v>
      </c>
      <c r="M573" s="14" t="s">
        <v>1812</v>
      </c>
      <c r="N573" s="29" t="s">
        <v>1813</v>
      </c>
      <c r="O573" s="29" t="s">
        <v>1814</v>
      </c>
      <c r="P573" s="16"/>
      <c r="Q573" s="16"/>
      <c r="R573" s="16" t="str">
        <f t="shared" si="2"/>
        <v/>
      </c>
    </row>
    <row r="574">
      <c r="A574" s="7"/>
      <c r="B574" s="16"/>
      <c r="C574" s="12"/>
      <c r="D574" s="12"/>
      <c r="E574" s="9"/>
      <c r="F574" s="10"/>
      <c r="G574" s="11"/>
      <c r="H574" s="9"/>
      <c r="I574" s="31"/>
      <c r="J574" s="9"/>
      <c r="K574" s="9"/>
      <c r="L574" s="21" t="s">
        <v>41</v>
      </c>
      <c r="M574" s="14" t="s">
        <v>1815</v>
      </c>
      <c r="N574" s="29" t="s">
        <v>1816</v>
      </c>
      <c r="O574" s="29" t="s">
        <v>1817</v>
      </c>
      <c r="P574" s="16"/>
      <c r="Q574" s="16"/>
      <c r="R574" s="16" t="str">
        <f t="shared" si="2"/>
        <v/>
      </c>
    </row>
    <row r="575">
      <c r="A575" s="7"/>
      <c r="B575" s="16"/>
      <c r="C575" s="12"/>
      <c r="D575" s="12"/>
      <c r="E575" s="9"/>
      <c r="F575" s="10"/>
      <c r="G575" s="11"/>
      <c r="H575" s="9"/>
      <c r="I575" s="31"/>
      <c r="J575" s="9"/>
      <c r="K575" s="9"/>
      <c r="L575" s="21" t="s">
        <v>47</v>
      </c>
      <c r="M575" s="14" t="s">
        <v>1818</v>
      </c>
      <c r="N575" s="29" t="s">
        <v>1819</v>
      </c>
      <c r="O575" s="29" t="s">
        <v>1584</v>
      </c>
      <c r="P575" s="16"/>
      <c r="Q575" s="16"/>
      <c r="R575" s="16" t="str">
        <f t="shared" si="2"/>
        <v/>
      </c>
    </row>
    <row r="576">
      <c r="A576" s="7"/>
      <c r="B576" s="16"/>
      <c r="C576" s="12"/>
      <c r="D576" s="12"/>
      <c r="E576" s="9"/>
      <c r="F576" s="10"/>
      <c r="G576" s="11"/>
      <c r="H576" s="9"/>
      <c r="I576" s="31"/>
      <c r="J576" s="9"/>
      <c r="K576" s="9"/>
      <c r="L576" s="21" t="s">
        <v>53</v>
      </c>
      <c r="M576" s="14" t="s">
        <v>1820</v>
      </c>
      <c r="N576" s="29" t="s">
        <v>1073</v>
      </c>
      <c r="O576" s="29" t="s">
        <v>1586</v>
      </c>
      <c r="P576" s="16"/>
      <c r="Q576" s="16"/>
      <c r="R576" s="16" t="str">
        <f t="shared" si="2"/>
        <v/>
      </c>
    </row>
    <row r="577">
      <c r="A577" s="7"/>
      <c r="B577" s="16"/>
      <c r="C577" s="12"/>
      <c r="D577" s="12"/>
      <c r="E577" s="9"/>
      <c r="F577" s="10"/>
      <c r="G577" s="11"/>
      <c r="H577" s="9"/>
      <c r="I577" s="31"/>
      <c r="J577" s="9"/>
      <c r="K577" s="9"/>
      <c r="L577" s="21" t="s">
        <v>59</v>
      </c>
      <c r="M577" s="14" t="s">
        <v>1821</v>
      </c>
      <c r="N577" s="29" t="s">
        <v>1822</v>
      </c>
      <c r="O577" s="29" t="s">
        <v>1823</v>
      </c>
      <c r="P577" s="16"/>
      <c r="Q577" s="16"/>
      <c r="R577" s="16" t="str">
        <f t="shared" si="2"/>
        <v/>
      </c>
    </row>
    <row r="578">
      <c r="A578" s="7"/>
      <c r="B578" s="16"/>
      <c r="C578" s="12"/>
      <c r="D578" s="12"/>
      <c r="E578" s="9"/>
      <c r="F578" s="10"/>
      <c r="G578" s="11"/>
      <c r="H578" s="9"/>
      <c r="I578" s="31"/>
      <c r="J578" s="9"/>
      <c r="K578" s="9"/>
      <c r="L578" s="21" t="s">
        <v>65</v>
      </c>
      <c r="M578" s="14" t="s">
        <v>1824</v>
      </c>
      <c r="N578" s="29" t="s">
        <v>1073</v>
      </c>
      <c r="O578" s="29" t="s">
        <v>1565</v>
      </c>
      <c r="P578" s="16"/>
      <c r="Q578" s="16"/>
      <c r="R578" s="16" t="str">
        <f t="shared" si="2"/>
        <v/>
      </c>
    </row>
    <row r="579">
      <c r="A579" s="7"/>
      <c r="B579" s="16"/>
      <c r="C579" s="12"/>
      <c r="D579" s="12"/>
      <c r="E579" s="9"/>
      <c r="F579" s="10"/>
      <c r="G579" s="11"/>
      <c r="H579" s="9"/>
      <c r="I579" s="31"/>
      <c r="J579" s="9"/>
      <c r="K579" s="9"/>
      <c r="L579" s="21" t="s">
        <v>71</v>
      </c>
      <c r="M579" s="14" t="s">
        <v>1825</v>
      </c>
      <c r="N579" s="29" t="s">
        <v>1826</v>
      </c>
      <c r="O579" s="29" t="s">
        <v>1827</v>
      </c>
      <c r="P579" s="16"/>
      <c r="Q579" s="16"/>
      <c r="R579" s="16" t="str">
        <f t="shared" si="2"/>
        <v/>
      </c>
    </row>
    <row r="580">
      <c r="A580" s="7" t="s">
        <v>299</v>
      </c>
      <c r="B580" s="14" t="s">
        <v>1057</v>
      </c>
      <c r="C580" s="12"/>
      <c r="D580" s="17" t="s">
        <v>1541</v>
      </c>
      <c r="E580" s="9" t="s">
        <v>300</v>
      </c>
      <c r="F580" s="10" t="s">
        <v>301</v>
      </c>
      <c r="G580" s="11">
        <v>2025.0</v>
      </c>
      <c r="H580" s="9" t="s">
        <v>302</v>
      </c>
      <c r="I580" s="29" t="s">
        <v>528</v>
      </c>
      <c r="J580" s="9"/>
      <c r="K580" s="9" t="s">
        <v>152</v>
      </c>
      <c r="L580" s="21" t="s">
        <v>25</v>
      </c>
      <c r="M580" s="14" t="s">
        <v>1785</v>
      </c>
      <c r="N580" s="29" t="s">
        <v>1828</v>
      </c>
      <c r="O580" s="29" t="s">
        <v>1829</v>
      </c>
      <c r="P580" s="16"/>
      <c r="Q580" s="16"/>
      <c r="R580" s="16" t="str">
        <f t="shared" si="2"/>
        <v/>
      </c>
    </row>
    <row r="581">
      <c r="A581" s="7"/>
      <c r="B581" s="16"/>
      <c r="C581" s="12"/>
      <c r="D581" s="12"/>
      <c r="E581" s="9"/>
      <c r="F581" s="10"/>
      <c r="G581" s="11"/>
      <c r="H581" s="9"/>
      <c r="I581" s="31"/>
      <c r="J581" s="9"/>
      <c r="K581" s="9"/>
      <c r="L581" s="21" t="s">
        <v>31</v>
      </c>
      <c r="M581" s="14" t="s">
        <v>1830</v>
      </c>
      <c r="N581" s="29" t="s">
        <v>1831</v>
      </c>
      <c r="O581" s="29" t="s">
        <v>1832</v>
      </c>
      <c r="P581" s="16"/>
      <c r="Q581" s="16"/>
      <c r="R581" s="16" t="str">
        <f t="shared" si="2"/>
        <v/>
      </c>
    </row>
    <row r="582">
      <c r="A582" s="7"/>
      <c r="B582" s="16"/>
      <c r="C582" s="12"/>
      <c r="D582" s="12"/>
      <c r="E582" s="9"/>
      <c r="F582" s="10"/>
      <c r="G582" s="11"/>
      <c r="H582" s="9"/>
      <c r="I582" s="31"/>
      <c r="J582" s="9"/>
      <c r="K582" s="9"/>
      <c r="L582" s="21" t="s">
        <v>36</v>
      </c>
      <c r="M582" s="14" t="s">
        <v>1833</v>
      </c>
      <c r="N582" s="29" t="s">
        <v>1834</v>
      </c>
      <c r="O582" s="29" t="s">
        <v>1835</v>
      </c>
      <c r="P582" s="16"/>
      <c r="Q582" s="16"/>
      <c r="R582" s="16" t="str">
        <f t="shared" si="2"/>
        <v/>
      </c>
    </row>
    <row r="583">
      <c r="A583" s="7"/>
      <c r="B583" s="16"/>
      <c r="C583" s="12"/>
      <c r="D583" s="12"/>
      <c r="E583" s="9"/>
      <c r="F583" s="10"/>
      <c r="G583" s="11"/>
      <c r="H583" s="9"/>
      <c r="I583" s="31"/>
      <c r="J583" s="9"/>
      <c r="K583" s="9"/>
      <c r="L583" s="21" t="s">
        <v>41</v>
      </c>
      <c r="M583" s="14" t="s">
        <v>1836</v>
      </c>
      <c r="N583" s="47" t="s">
        <v>1837</v>
      </c>
      <c r="O583" s="29" t="s">
        <v>1838</v>
      </c>
      <c r="P583" s="16"/>
      <c r="Q583" s="16"/>
      <c r="R583" s="16" t="str">
        <f t="shared" si="2"/>
        <v/>
      </c>
    </row>
    <row r="584">
      <c r="A584" s="7"/>
      <c r="B584" s="16"/>
      <c r="C584" s="12"/>
      <c r="D584" s="12"/>
      <c r="E584" s="9"/>
      <c r="F584" s="10"/>
      <c r="G584" s="11"/>
      <c r="H584" s="9"/>
      <c r="I584" s="31"/>
      <c r="J584" s="9"/>
      <c r="K584" s="9"/>
      <c r="L584" s="21" t="s">
        <v>47</v>
      </c>
      <c r="M584" s="14" t="s">
        <v>1839</v>
      </c>
      <c r="N584" s="29" t="s">
        <v>1840</v>
      </c>
      <c r="O584" s="29" t="s">
        <v>1556</v>
      </c>
      <c r="P584" s="16"/>
      <c r="Q584" s="16"/>
      <c r="R584" s="16" t="str">
        <f t="shared" si="2"/>
        <v/>
      </c>
    </row>
    <row r="585">
      <c r="A585" s="7"/>
      <c r="B585" s="16"/>
      <c r="C585" s="12"/>
      <c r="D585" s="12"/>
      <c r="E585" s="9"/>
      <c r="F585" s="10"/>
      <c r="G585" s="11"/>
      <c r="H585" s="9"/>
      <c r="I585" s="31"/>
      <c r="J585" s="9"/>
      <c r="K585" s="9"/>
      <c r="L585" s="21" t="s">
        <v>53</v>
      </c>
      <c r="M585" s="14" t="s">
        <v>1841</v>
      </c>
      <c r="N585" s="29" t="s">
        <v>1073</v>
      </c>
      <c r="O585" s="29" t="s">
        <v>1606</v>
      </c>
      <c r="P585" s="16"/>
      <c r="Q585" s="16"/>
      <c r="R585" s="16" t="str">
        <f t="shared" si="2"/>
        <v/>
      </c>
    </row>
    <row r="586">
      <c r="A586" s="7"/>
      <c r="B586" s="16"/>
      <c r="C586" s="12"/>
      <c r="D586" s="12"/>
      <c r="E586" s="9"/>
      <c r="F586" s="10"/>
      <c r="G586" s="11"/>
      <c r="H586" s="9"/>
      <c r="I586" s="31"/>
      <c r="J586" s="9"/>
      <c r="K586" s="9"/>
      <c r="L586" s="21" t="s">
        <v>59</v>
      </c>
      <c r="M586" s="14" t="s">
        <v>1842</v>
      </c>
      <c r="N586" s="29" t="s">
        <v>1843</v>
      </c>
      <c r="O586" s="29" t="s">
        <v>1844</v>
      </c>
      <c r="P586" s="16"/>
      <c r="Q586" s="16"/>
      <c r="R586" s="16" t="str">
        <f t="shared" si="2"/>
        <v/>
      </c>
    </row>
    <row r="587">
      <c r="A587" s="7"/>
      <c r="B587" s="16"/>
      <c r="C587" s="12"/>
      <c r="D587" s="12"/>
      <c r="E587" s="9"/>
      <c r="F587" s="10"/>
      <c r="G587" s="11"/>
      <c r="H587" s="9"/>
      <c r="I587" s="31"/>
      <c r="J587" s="9"/>
      <c r="K587" s="9"/>
      <c r="L587" s="21" t="s">
        <v>65</v>
      </c>
      <c r="M587" s="14" t="s">
        <v>1845</v>
      </c>
      <c r="N587" s="29" t="s">
        <v>1073</v>
      </c>
      <c r="O587" s="29" t="s">
        <v>1846</v>
      </c>
      <c r="P587" s="16"/>
      <c r="Q587" s="16"/>
      <c r="R587" s="16" t="str">
        <f t="shared" si="2"/>
        <v/>
      </c>
    </row>
    <row r="588">
      <c r="A588" s="7"/>
      <c r="B588" s="16"/>
      <c r="C588" s="12"/>
      <c r="D588" s="12"/>
      <c r="E588" s="9"/>
      <c r="F588" s="10"/>
      <c r="G588" s="11"/>
      <c r="H588" s="9"/>
      <c r="I588" s="31"/>
      <c r="J588" s="9"/>
      <c r="K588" s="9"/>
      <c r="L588" s="21" t="s">
        <v>71</v>
      </c>
      <c r="M588" s="14" t="s">
        <v>1847</v>
      </c>
      <c r="N588" s="29" t="s">
        <v>1848</v>
      </c>
      <c r="O588" s="29" t="s">
        <v>1849</v>
      </c>
      <c r="P588" s="16"/>
      <c r="Q588" s="16"/>
      <c r="R588" s="16" t="str">
        <f t="shared" si="2"/>
        <v/>
      </c>
    </row>
    <row r="589">
      <c r="A589" s="7" t="s">
        <v>303</v>
      </c>
      <c r="B589" s="14" t="s">
        <v>1057</v>
      </c>
      <c r="C589" s="12"/>
      <c r="D589" s="17" t="s">
        <v>1541</v>
      </c>
      <c r="E589" s="9" t="s">
        <v>304</v>
      </c>
      <c r="F589" s="10" t="s">
        <v>305</v>
      </c>
      <c r="G589" s="11">
        <v>2024.0</v>
      </c>
      <c r="H589" s="9" t="s">
        <v>306</v>
      </c>
      <c r="I589" s="29" t="s">
        <v>1021</v>
      </c>
      <c r="J589" s="9"/>
      <c r="K589" s="9" t="s">
        <v>152</v>
      </c>
      <c r="L589" s="21" t="s">
        <v>25</v>
      </c>
      <c r="M589" s="14" t="s">
        <v>1850</v>
      </c>
      <c r="N589" s="29" t="s">
        <v>1851</v>
      </c>
      <c r="O589" s="29" t="s">
        <v>1852</v>
      </c>
      <c r="P589" s="16"/>
      <c r="Q589" s="16"/>
      <c r="R589" s="16" t="str">
        <f t="shared" si="2"/>
        <v/>
      </c>
    </row>
    <row r="590">
      <c r="A590" s="7"/>
      <c r="B590" s="16"/>
      <c r="C590" s="12"/>
      <c r="D590" s="12"/>
      <c r="E590" s="9"/>
      <c r="F590" s="10"/>
      <c r="G590" s="11"/>
      <c r="H590" s="9"/>
      <c r="I590" s="31"/>
      <c r="J590" s="9"/>
      <c r="K590" s="9"/>
      <c r="L590" s="21" t="s">
        <v>31</v>
      </c>
      <c r="M590" s="14" t="s">
        <v>1853</v>
      </c>
      <c r="N590" s="29" t="s">
        <v>1854</v>
      </c>
      <c r="O590" s="29" t="s">
        <v>1855</v>
      </c>
      <c r="P590" s="16"/>
      <c r="Q590" s="16"/>
      <c r="R590" s="16" t="str">
        <f t="shared" si="2"/>
        <v/>
      </c>
    </row>
    <row r="591">
      <c r="A591" s="7"/>
      <c r="B591" s="16"/>
      <c r="C591" s="12"/>
      <c r="D591" s="12"/>
      <c r="E591" s="9"/>
      <c r="F591" s="10"/>
      <c r="G591" s="11"/>
      <c r="H591" s="9"/>
      <c r="I591" s="31"/>
      <c r="J591" s="9"/>
      <c r="K591" s="9"/>
      <c r="L591" s="21" t="s">
        <v>36</v>
      </c>
      <c r="M591" s="14" t="s">
        <v>1856</v>
      </c>
      <c r="N591" s="29" t="s">
        <v>1857</v>
      </c>
      <c r="O591" s="29" t="s">
        <v>1858</v>
      </c>
      <c r="P591" s="16"/>
      <c r="Q591" s="16"/>
      <c r="R591" s="16" t="str">
        <f t="shared" si="2"/>
        <v/>
      </c>
    </row>
    <row r="592">
      <c r="A592" s="7"/>
      <c r="B592" s="16"/>
      <c r="C592" s="12"/>
      <c r="D592" s="12"/>
      <c r="E592" s="9"/>
      <c r="F592" s="10"/>
      <c r="G592" s="11"/>
      <c r="H592" s="9"/>
      <c r="I592" s="31"/>
      <c r="J592" s="9"/>
      <c r="K592" s="9"/>
      <c r="L592" s="21" t="s">
        <v>41</v>
      </c>
      <c r="M592" s="14" t="s">
        <v>1859</v>
      </c>
      <c r="N592" s="29" t="s">
        <v>1860</v>
      </c>
      <c r="O592" s="29" t="s">
        <v>1861</v>
      </c>
      <c r="P592" s="16"/>
      <c r="Q592" s="16"/>
      <c r="R592" s="16" t="str">
        <f t="shared" si="2"/>
        <v/>
      </c>
    </row>
    <row r="593">
      <c r="A593" s="7"/>
      <c r="B593" s="16"/>
      <c r="C593" s="12"/>
      <c r="D593" s="12"/>
      <c r="E593" s="9"/>
      <c r="F593" s="10"/>
      <c r="G593" s="11"/>
      <c r="H593" s="9"/>
      <c r="I593" s="31"/>
      <c r="J593" s="9"/>
      <c r="K593" s="9"/>
      <c r="L593" s="21" t="s">
        <v>47</v>
      </c>
      <c r="M593" s="14" t="s">
        <v>1862</v>
      </c>
      <c r="N593" s="29" t="s">
        <v>1073</v>
      </c>
      <c r="O593" s="29" t="s">
        <v>1584</v>
      </c>
      <c r="P593" s="16"/>
      <c r="Q593" s="16"/>
      <c r="R593" s="16" t="str">
        <f t="shared" si="2"/>
        <v/>
      </c>
    </row>
    <row r="594">
      <c r="A594" s="7"/>
      <c r="B594" s="16"/>
      <c r="C594" s="12"/>
      <c r="D594" s="12"/>
      <c r="E594" s="9"/>
      <c r="F594" s="10"/>
      <c r="G594" s="11"/>
      <c r="H594" s="9"/>
      <c r="I594" s="31"/>
      <c r="J594" s="9"/>
      <c r="K594" s="9"/>
      <c r="L594" s="21" t="s">
        <v>53</v>
      </c>
      <c r="M594" s="14" t="s">
        <v>1863</v>
      </c>
      <c r="N594" s="29" t="s">
        <v>1073</v>
      </c>
      <c r="O594" s="29" t="s">
        <v>1586</v>
      </c>
      <c r="P594" s="16"/>
      <c r="Q594" s="16"/>
      <c r="R594" s="16" t="str">
        <f t="shared" si="2"/>
        <v/>
      </c>
    </row>
    <row r="595">
      <c r="A595" s="7"/>
      <c r="B595" s="16"/>
      <c r="C595" s="12"/>
      <c r="D595" s="12"/>
      <c r="E595" s="9"/>
      <c r="F595" s="10"/>
      <c r="G595" s="11"/>
      <c r="H595" s="9"/>
      <c r="I595" s="31"/>
      <c r="J595" s="9"/>
      <c r="K595" s="9"/>
      <c r="L595" s="21" t="s">
        <v>59</v>
      </c>
      <c r="M595" s="14" t="s">
        <v>1864</v>
      </c>
      <c r="N595" s="29" t="s">
        <v>1865</v>
      </c>
      <c r="O595" s="29" t="s">
        <v>1866</v>
      </c>
      <c r="P595" s="16"/>
      <c r="Q595" s="16"/>
      <c r="R595" s="16" t="str">
        <f t="shared" si="2"/>
        <v/>
      </c>
    </row>
    <row r="596">
      <c r="A596" s="7"/>
      <c r="B596" s="16"/>
      <c r="C596" s="12"/>
      <c r="D596" s="12"/>
      <c r="E596" s="9"/>
      <c r="F596" s="10"/>
      <c r="G596" s="11"/>
      <c r="H596" s="9"/>
      <c r="I596" s="31"/>
      <c r="J596" s="9"/>
      <c r="K596" s="9"/>
      <c r="L596" s="21" t="s">
        <v>65</v>
      </c>
      <c r="M596" s="14" t="s">
        <v>1867</v>
      </c>
      <c r="N596" s="29" t="s">
        <v>1073</v>
      </c>
      <c r="O596" s="29" t="s">
        <v>1565</v>
      </c>
      <c r="P596" s="16"/>
      <c r="Q596" s="16"/>
      <c r="R596" s="16" t="str">
        <f t="shared" si="2"/>
        <v/>
      </c>
    </row>
    <row r="597">
      <c r="A597" s="7"/>
      <c r="B597" s="16"/>
      <c r="C597" s="12"/>
      <c r="D597" s="12"/>
      <c r="E597" s="9"/>
      <c r="F597" s="10"/>
      <c r="G597" s="11"/>
      <c r="H597" s="9"/>
      <c r="I597" s="31"/>
      <c r="J597" s="9"/>
      <c r="K597" s="9"/>
      <c r="L597" s="21" t="s">
        <v>71</v>
      </c>
      <c r="M597" s="14" t="s">
        <v>1868</v>
      </c>
      <c r="N597" s="29" t="s">
        <v>1073</v>
      </c>
      <c r="O597" s="29" t="s">
        <v>1869</v>
      </c>
      <c r="P597" s="16"/>
      <c r="Q597" s="16"/>
      <c r="R597" s="16" t="str">
        <f t="shared" si="2"/>
        <v/>
      </c>
    </row>
    <row r="598">
      <c r="A598" s="7" t="s">
        <v>307</v>
      </c>
      <c r="B598" s="14" t="s">
        <v>1057</v>
      </c>
      <c r="C598" s="12"/>
      <c r="D598" s="17" t="s">
        <v>1541</v>
      </c>
      <c r="E598" s="9" t="s">
        <v>308</v>
      </c>
      <c r="F598" s="10" t="s">
        <v>309</v>
      </c>
      <c r="G598" s="11">
        <v>2025.0</v>
      </c>
      <c r="H598" s="9" t="s">
        <v>310</v>
      </c>
      <c r="I598" s="29" t="s">
        <v>1021</v>
      </c>
      <c r="J598" s="9"/>
      <c r="K598" s="9" t="s">
        <v>152</v>
      </c>
      <c r="L598" s="21" t="s">
        <v>25</v>
      </c>
      <c r="M598" s="14" t="s">
        <v>1870</v>
      </c>
      <c r="N598" s="29" t="s">
        <v>1871</v>
      </c>
      <c r="O598" s="29" t="s">
        <v>1872</v>
      </c>
      <c r="P598" s="16"/>
      <c r="Q598" s="16"/>
      <c r="R598" s="16" t="str">
        <f t="shared" si="2"/>
        <v/>
      </c>
    </row>
    <row r="599">
      <c r="A599" s="7"/>
      <c r="B599" s="16"/>
      <c r="C599" s="12"/>
      <c r="D599" s="12"/>
      <c r="E599" s="9"/>
      <c r="F599" s="10"/>
      <c r="G599" s="11"/>
      <c r="H599" s="9"/>
      <c r="I599" s="31"/>
      <c r="J599" s="9"/>
      <c r="K599" s="9"/>
      <c r="L599" s="21" t="s">
        <v>31</v>
      </c>
      <c r="M599" s="14" t="s">
        <v>1873</v>
      </c>
      <c r="N599" s="29" t="s">
        <v>1874</v>
      </c>
      <c r="O599" s="29" t="s">
        <v>1875</v>
      </c>
      <c r="P599" s="16"/>
      <c r="Q599" s="16"/>
      <c r="R599" s="16" t="str">
        <f t="shared" si="2"/>
        <v/>
      </c>
    </row>
    <row r="600">
      <c r="A600" s="7"/>
      <c r="B600" s="16"/>
      <c r="C600" s="12"/>
      <c r="D600" s="12"/>
      <c r="E600" s="9"/>
      <c r="F600" s="10"/>
      <c r="G600" s="11"/>
      <c r="H600" s="9"/>
      <c r="I600" s="31"/>
      <c r="J600" s="9"/>
      <c r="K600" s="9"/>
      <c r="L600" s="21" t="s">
        <v>36</v>
      </c>
      <c r="M600" s="14" t="s">
        <v>1876</v>
      </c>
      <c r="N600" s="29" t="s">
        <v>1877</v>
      </c>
      <c r="O600" s="29" t="s">
        <v>1878</v>
      </c>
      <c r="P600" s="16"/>
      <c r="Q600" s="16"/>
      <c r="R600" s="16" t="str">
        <f t="shared" si="2"/>
        <v/>
      </c>
    </row>
    <row r="601">
      <c r="A601" s="7"/>
      <c r="B601" s="16"/>
      <c r="C601" s="12"/>
      <c r="D601" s="12"/>
      <c r="E601" s="9"/>
      <c r="F601" s="10"/>
      <c r="G601" s="11"/>
      <c r="H601" s="9"/>
      <c r="I601" s="31"/>
      <c r="J601" s="9"/>
      <c r="K601" s="9"/>
      <c r="L601" s="21" t="s">
        <v>41</v>
      </c>
      <c r="M601" s="14" t="s">
        <v>1879</v>
      </c>
      <c r="N601" s="47" t="s">
        <v>1880</v>
      </c>
      <c r="O601" s="29" t="s">
        <v>1881</v>
      </c>
      <c r="P601" s="16"/>
      <c r="Q601" s="16"/>
      <c r="R601" s="16" t="str">
        <f t="shared" si="2"/>
        <v/>
      </c>
    </row>
    <row r="602">
      <c r="A602" s="7"/>
      <c r="B602" s="16"/>
      <c r="C602" s="12"/>
      <c r="D602" s="12"/>
      <c r="E602" s="9"/>
      <c r="F602" s="10"/>
      <c r="G602" s="11"/>
      <c r="H602" s="9"/>
      <c r="I602" s="31"/>
      <c r="J602" s="9"/>
      <c r="K602" s="9"/>
      <c r="L602" s="21" t="s">
        <v>47</v>
      </c>
      <c r="M602" s="14" t="s">
        <v>1882</v>
      </c>
      <c r="N602" s="29" t="s">
        <v>1883</v>
      </c>
      <c r="O602" s="29" t="s">
        <v>1884</v>
      </c>
      <c r="P602" s="16"/>
      <c r="Q602" s="16"/>
      <c r="R602" s="16" t="str">
        <f t="shared" si="2"/>
        <v/>
      </c>
    </row>
    <row r="603">
      <c r="A603" s="7"/>
      <c r="B603" s="16"/>
      <c r="C603" s="12"/>
      <c r="D603" s="12"/>
      <c r="E603" s="9"/>
      <c r="F603" s="10"/>
      <c r="G603" s="11"/>
      <c r="H603" s="9"/>
      <c r="I603" s="31"/>
      <c r="J603" s="9"/>
      <c r="K603" s="9"/>
      <c r="L603" s="21" t="s">
        <v>53</v>
      </c>
      <c r="M603" s="14" t="s">
        <v>1885</v>
      </c>
      <c r="N603" s="29" t="s">
        <v>1886</v>
      </c>
      <c r="O603" s="29" t="s">
        <v>1887</v>
      </c>
      <c r="P603" s="16"/>
      <c r="Q603" s="16"/>
      <c r="R603" s="16" t="str">
        <f t="shared" si="2"/>
        <v/>
      </c>
    </row>
    <row r="604">
      <c r="A604" s="7"/>
      <c r="B604" s="16"/>
      <c r="C604" s="12"/>
      <c r="D604" s="12"/>
      <c r="E604" s="9"/>
      <c r="F604" s="10"/>
      <c r="G604" s="11"/>
      <c r="H604" s="9"/>
      <c r="I604" s="31"/>
      <c r="J604" s="9"/>
      <c r="K604" s="9"/>
      <c r="L604" s="21" t="s">
        <v>59</v>
      </c>
      <c r="M604" s="14" t="s">
        <v>1888</v>
      </c>
      <c r="N604" s="29" t="s">
        <v>1889</v>
      </c>
      <c r="O604" s="29" t="s">
        <v>1890</v>
      </c>
      <c r="P604" s="16"/>
      <c r="Q604" s="16"/>
      <c r="R604" s="16" t="str">
        <f t="shared" si="2"/>
        <v/>
      </c>
    </row>
    <row r="605">
      <c r="A605" s="7"/>
      <c r="B605" s="16"/>
      <c r="C605" s="12"/>
      <c r="D605" s="12"/>
      <c r="E605" s="9"/>
      <c r="F605" s="10"/>
      <c r="G605" s="11"/>
      <c r="H605" s="9"/>
      <c r="I605" s="31"/>
      <c r="J605" s="9"/>
      <c r="K605" s="9"/>
      <c r="L605" s="21" t="s">
        <v>65</v>
      </c>
      <c r="M605" s="14" t="s">
        <v>1891</v>
      </c>
      <c r="N605" s="29" t="s">
        <v>1892</v>
      </c>
      <c r="O605" s="29" t="s">
        <v>1893</v>
      </c>
      <c r="P605" s="16"/>
      <c r="Q605" s="16"/>
      <c r="R605" s="16" t="str">
        <f t="shared" si="2"/>
        <v/>
      </c>
    </row>
    <row r="606">
      <c r="A606" s="7"/>
      <c r="B606" s="16"/>
      <c r="C606" s="12"/>
      <c r="D606" s="12"/>
      <c r="E606" s="9"/>
      <c r="F606" s="10"/>
      <c r="G606" s="11"/>
      <c r="H606" s="9"/>
      <c r="I606" s="31"/>
      <c r="J606" s="9"/>
      <c r="K606" s="9"/>
      <c r="L606" s="21" t="s">
        <v>71</v>
      </c>
      <c r="M606" s="14" t="s">
        <v>1894</v>
      </c>
      <c r="N606" s="29" t="s">
        <v>1895</v>
      </c>
      <c r="O606" s="29" t="s">
        <v>1896</v>
      </c>
      <c r="P606" s="16"/>
      <c r="Q606" s="16"/>
      <c r="R606" s="16" t="str">
        <f t="shared" si="2"/>
        <v/>
      </c>
    </row>
    <row r="607">
      <c r="A607" s="7" t="s">
        <v>311</v>
      </c>
      <c r="B607" s="14" t="s">
        <v>1057</v>
      </c>
      <c r="C607" s="12"/>
      <c r="D607" s="17" t="s">
        <v>1541</v>
      </c>
      <c r="E607" s="9" t="s">
        <v>312</v>
      </c>
      <c r="F607" s="10" t="s">
        <v>313</v>
      </c>
      <c r="G607" s="11">
        <v>2024.0</v>
      </c>
      <c r="H607" s="9" t="s">
        <v>314</v>
      </c>
      <c r="I607" s="29" t="s">
        <v>1021</v>
      </c>
      <c r="J607" s="9"/>
      <c r="K607" s="9" t="s">
        <v>152</v>
      </c>
      <c r="L607" s="21" t="s">
        <v>25</v>
      </c>
      <c r="M607" s="14" t="s">
        <v>1897</v>
      </c>
      <c r="N607" s="29" t="s">
        <v>1898</v>
      </c>
      <c r="O607" s="29" t="s">
        <v>1899</v>
      </c>
      <c r="P607" s="16"/>
      <c r="Q607" s="16"/>
      <c r="R607" s="16" t="str">
        <f t="shared" si="2"/>
        <v/>
      </c>
    </row>
    <row r="608">
      <c r="A608" s="7"/>
      <c r="B608" s="16"/>
      <c r="C608" s="12"/>
      <c r="D608" s="12"/>
      <c r="E608" s="9"/>
      <c r="F608" s="10"/>
      <c r="G608" s="11"/>
      <c r="H608" s="9"/>
      <c r="I608" s="31"/>
      <c r="J608" s="9"/>
      <c r="K608" s="9"/>
      <c r="L608" s="21" t="s">
        <v>31</v>
      </c>
      <c r="M608" s="14" t="s">
        <v>1900</v>
      </c>
      <c r="N608" s="29" t="s">
        <v>1901</v>
      </c>
      <c r="O608" s="29" t="s">
        <v>1902</v>
      </c>
      <c r="P608" s="16"/>
      <c r="Q608" s="16"/>
      <c r="R608" s="16" t="str">
        <f t="shared" si="2"/>
        <v/>
      </c>
    </row>
    <row r="609">
      <c r="A609" s="7"/>
      <c r="B609" s="16"/>
      <c r="C609" s="12"/>
      <c r="D609" s="12"/>
      <c r="E609" s="9"/>
      <c r="F609" s="10"/>
      <c r="G609" s="11"/>
      <c r="H609" s="9"/>
      <c r="I609" s="31"/>
      <c r="J609" s="9"/>
      <c r="K609" s="9"/>
      <c r="L609" s="21" t="s">
        <v>36</v>
      </c>
      <c r="M609" s="14" t="s">
        <v>1903</v>
      </c>
      <c r="N609" s="29" t="s">
        <v>1904</v>
      </c>
      <c r="O609" s="29" t="s">
        <v>1905</v>
      </c>
      <c r="P609" s="16"/>
      <c r="Q609" s="16"/>
      <c r="R609" s="16" t="str">
        <f t="shared" si="2"/>
        <v/>
      </c>
    </row>
    <row r="610">
      <c r="A610" s="7"/>
      <c r="B610" s="16"/>
      <c r="C610" s="12"/>
      <c r="D610" s="12"/>
      <c r="E610" s="9"/>
      <c r="F610" s="10"/>
      <c r="G610" s="11"/>
      <c r="H610" s="9"/>
      <c r="I610" s="31"/>
      <c r="J610" s="9"/>
      <c r="K610" s="9"/>
      <c r="L610" s="21" t="s">
        <v>41</v>
      </c>
      <c r="M610" s="14" t="s">
        <v>1906</v>
      </c>
      <c r="N610" s="47" t="s">
        <v>1907</v>
      </c>
      <c r="O610" s="29" t="s">
        <v>1908</v>
      </c>
      <c r="P610" s="16"/>
      <c r="Q610" s="16"/>
      <c r="R610" s="16" t="str">
        <f t="shared" si="2"/>
        <v/>
      </c>
    </row>
    <row r="611">
      <c r="A611" s="7"/>
      <c r="B611" s="16"/>
      <c r="C611" s="12"/>
      <c r="D611" s="12"/>
      <c r="E611" s="9"/>
      <c r="F611" s="10"/>
      <c r="G611" s="11"/>
      <c r="H611" s="9"/>
      <c r="I611" s="31"/>
      <c r="J611" s="9"/>
      <c r="K611" s="9"/>
      <c r="L611" s="21" t="s">
        <v>47</v>
      </c>
      <c r="M611" s="14" t="s">
        <v>1909</v>
      </c>
      <c r="N611" s="29" t="s">
        <v>1073</v>
      </c>
      <c r="O611" s="29" t="s">
        <v>1910</v>
      </c>
      <c r="P611" s="16"/>
      <c r="Q611" s="16"/>
      <c r="R611" s="16" t="str">
        <f t="shared" si="2"/>
        <v/>
      </c>
    </row>
    <row r="612">
      <c r="A612" s="7"/>
      <c r="B612" s="16"/>
      <c r="C612" s="12"/>
      <c r="D612" s="12"/>
      <c r="E612" s="9"/>
      <c r="F612" s="10"/>
      <c r="G612" s="11"/>
      <c r="H612" s="9"/>
      <c r="I612" s="31"/>
      <c r="J612" s="9"/>
      <c r="K612" s="9"/>
      <c r="L612" s="21" t="s">
        <v>53</v>
      </c>
      <c r="M612" s="14" t="s">
        <v>1798</v>
      </c>
      <c r="N612" s="29" t="s">
        <v>1073</v>
      </c>
      <c r="O612" s="29" t="s">
        <v>1911</v>
      </c>
      <c r="P612" s="16"/>
      <c r="Q612" s="16"/>
      <c r="R612" s="16" t="str">
        <f t="shared" si="2"/>
        <v/>
      </c>
    </row>
    <row r="613">
      <c r="A613" s="7"/>
      <c r="B613" s="16"/>
      <c r="C613" s="12"/>
      <c r="D613" s="12"/>
      <c r="E613" s="9"/>
      <c r="F613" s="10"/>
      <c r="G613" s="11"/>
      <c r="H613" s="9"/>
      <c r="I613" s="31"/>
      <c r="J613" s="9"/>
      <c r="K613" s="9"/>
      <c r="L613" s="21" t="s">
        <v>59</v>
      </c>
      <c r="M613" s="14" t="s">
        <v>1912</v>
      </c>
      <c r="N613" s="29" t="s">
        <v>1913</v>
      </c>
      <c r="O613" s="29" t="s">
        <v>1914</v>
      </c>
      <c r="P613" s="16"/>
      <c r="Q613" s="16"/>
      <c r="R613" s="16" t="str">
        <f t="shared" si="2"/>
        <v/>
      </c>
    </row>
    <row r="614">
      <c r="A614" s="7"/>
      <c r="B614" s="16"/>
      <c r="C614" s="12"/>
      <c r="D614" s="12"/>
      <c r="E614" s="9"/>
      <c r="F614" s="10"/>
      <c r="G614" s="11"/>
      <c r="H614" s="9"/>
      <c r="I614" s="31"/>
      <c r="J614" s="9"/>
      <c r="K614" s="9"/>
      <c r="L614" s="21" t="s">
        <v>65</v>
      </c>
      <c r="M614" s="14" t="s">
        <v>1915</v>
      </c>
      <c r="N614" s="29" t="s">
        <v>1073</v>
      </c>
      <c r="O614" s="29" t="s">
        <v>1916</v>
      </c>
      <c r="P614" s="16"/>
      <c r="Q614" s="16"/>
      <c r="R614" s="16" t="str">
        <f t="shared" si="2"/>
        <v/>
      </c>
    </row>
    <row r="615">
      <c r="A615" s="7"/>
      <c r="B615" s="16"/>
      <c r="C615" s="12"/>
      <c r="D615" s="12"/>
      <c r="E615" s="9"/>
      <c r="F615" s="10"/>
      <c r="G615" s="11"/>
      <c r="H615" s="9"/>
      <c r="I615" s="31"/>
      <c r="J615" s="9"/>
      <c r="K615" s="9"/>
      <c r="L615" s="21" t="s">
        <v>71</v>
      </c>
      <c r="M615" s="14" t="s">
        <v>1917</v>
      </c>
      <c r="N615" s="29" t="s">
        <v>1918</v>
      </c>
      <c r="O615" s="29" t="s">
        <v>1919</v>
      </c>
      <c r="P615" s="16"/>
      <c r="Q615" s="16"/>
      <c r="R615" s="16" t="str">
        <f t="shared" si="2"/>
        <v/>
      </c>
    </row>
    <row r="616">
      <c r="A616" s="7" t="s">
        <v>315</v>
      </c>
      <c r="B616" s="14" t="s">
        <v>1057</v>
      </c>
      <c r="C616" s="12"/>
      <c r="D616" s="17" t="s">
        <v>1541</v>
      </c>
      <c r="E616" s="9" t="s">
        <v>316</v>
      </c>
      <c r="F616" s="10" t="s">
        <v>317</v>
      </c>
      <c r="G616" s="11">
        <v>2025.0</v>
      </c>
      <c r="H616" s="9" t="s">
        <v>318</v>
      </c>
      <c r="I616" s="29" t="s">
        <v>998</v>
      </c>
      <c r="J616" s="9"/>
      <c r="K616" s="9" t="s">
        <v>152</v>
      </c>
      <c r="L616" s="21" t="s">
        <v>25</v>
      </c>
      <c r="M616" s="14" t="s">
        <v>1920</v>
      </c>
      <c r="N616" s="29" t="s">
        <v>1921</v>
      </c>
      <c r="O616" s="29" t="s">
        <v>1922</v>
      </c>
      <c r="P616" s="16"/>
      <c r="Q616" s="16"/>
      <c r="R616" s="16" t="str">
        <f t="shared" si="2"/>
        <v/>
      </c>
    </row>
    <row r="617">
      <c r="A617" s="7"/>
      <c r="B617" s="16"/>
      <c r="C617" s="12"/>
      <c r="D617" s="12"/>
      <c r="E617" s="9"/>
      <c r="F617" s="10"/>
      <c r="G617" s="11"/>
      <c r="H617" s="9"/>
      <c r="I617" s="31"/>
      <c r="J617" s="9"/>
      <c r="K617" s="9"/>
      <c r="L617" s="21" t="s">
        <v>31</v>
      </c>
      <c r="M617" s="14" t="s">
        <v>1923</v>
      </c>
      <c r="N617" s="29" t="s">
        <v>1924</v>
      </c>
      <c r="O617" s="29" t="s">
        <v>1925</v>
      </c>
      <c r="P617" s="16"/>
      <c r="Q617" s="16"/>
      <c r="R617" s="16" t="str">
        <f t="shared" si="2"/>
        <v/>
      </c>
    </row>
    <row r="618">
      <c r="A618" s="7"/>
      <c r="B618" s="16"/>
      <c r="C618" s="12"/>
      <c r="D618" s="12"/>
      <c r="E618" s="9"/>
      <c r="F618" s="10"/>
      <c r="G618" s="11"/>
      <c r="H618" s="9"/>
      <c r="I618" s="31"/>
      <c r="J618" s="9"/>
      <c r="K618" s="9"/>
      <c r="L618" s="21" t="s">
        <v>36</v>
      </c>
      <c r="M618" s="14" t="s">
        <v>1926</v>
      </c>
      <c r="N618" s="29" t="s">
        <v>1927</v>
      </c>
      <c r="O618" s="29" t="s">
        <v>1928</v>
      </c>
      <c r="P618" s="16"/>
      <c r="Q618" s="16"/>
      <c r="R618" s="16" t="str">
        <f t="shared" si="2"/>
        <v/>
      </c>
    </row>
    <row r="619">
      <c r="A619" s="7"/>
      <c r="B619" s="16"/>
      <c r="C619" s="12"/>
      <c r="D619" s="12"/>
      <c r="E619" s="9"/>
      <c r="F619" s="10"/>
      <c r="G619" s="11"/>
      <c r="H619" s="9"/>
      <c r="I619" s="31"/>
      <c r="J619" s="9"/>
      <c r="K619" s="9"/>
      <c r="L619" s="21" t="s">
        <v>41</v>
      </c>
      <c r="M619" s="14" t="s">
        <v>1929</v>
      </c>
      <c r="N619" s="29" t="s">
        <v>1930</v>
      </c>
      <c r="O619" s="29" t="s">
        <v>1931</v>
      </c>
      <c r="P619" s="14" t="s">
        <v>533</v>
      </c>
      <c r="Q619" s="14" t="s">
        <v>533</v>
      </c>
      <c r="R619" s="16" t="str">
        <f t="shared" si="2"/>
        <v>Igual</v>
      </c>
    </row>
    <row r="620">
      <c r="A620" s="7"/>
      <c r="B620" s="16"/>
      <c r="C620" s="12"/>
      <c r="D620" s="12"/>
      <c r="E620" s="9"/>
      <c r="F620" s="10"/>
      <c r="G620" s="11"/>
      <c r="H620" s="9"/>
      <c r="I620" s="31"/>
      <c r="J620" s="9"/>
      <c r="K620" s="9"/>
      <c r="L620" s="21" t="s">
        <v>47</v>
      </c>
      <c r="M620" s="14" t="s">
        <v>1932</v>
      </c>
      <c r="N620" s="47" t="s">
        <v>1933</v>
      </c>
      <c r="O620" s="29" t="s">
        <v>1934</v>
      </c>
      <c r="P620" s="14" t="s">
        <v>533</v>
      </c>
      <c r="Q620" s="14" t="s">
        <v>533</v>
      </c>
      <c r="R620" s="16" t="str">
        <f t="shared" si="2"/>
        <v>Igual</v>
      </c>
    </row>
    <row r="621">
      <c r="A621" s="7"/>
      <c r="B621" s="16"/>
      <c r="C621" s="12"/>
      <c r="D621" s="12"/>
      <c r="E621" s="9"/>
      <c r="F621" s="10"/>
      <c r="G621" s="11"/>
      <c r="H621" s="9"/>
      <c r="I621" s="31"/>
      <c r="J621" s="9"/>
      <c r="K621" s="9"/>
      <c r="L621" s="21" t="s">
        <v>53</v>
      </c>
      <c r="M621" s="14" t="s">
        <v>1820</v>
      </c>
      <c r="N621" s="29" t="s">
        <v>1073</v>
      </c>
      <c r="O621" s="29" t="s">
        <v>1935</v>
      </c>
      <c r="P621" s="14" t="s">
        <v>533</v>
      </c>
      <c r="Q621" s="14" t="s">
        <v>533</v>
      </c>
      <c r="R621" s="16" t="str">
        <f t="shared" si="2"/>
        <v>Igual</v>
      </c>
    </row>
    <row r="622">
      <c r="A622" s="7"/>
      <c r="B622" s="16"/>
      <c r="C622" s="12"/>
      <c r="D622" s="12"/>
      <c r="E622" s="9"/>
      <c r="F622" s="10"/>
      <c r="G622" s="11"/>
      <c r="H622" s="9"/>
      <c r="I622" s="31"/>
      <c r="J622" s="9"/>
      <c r="K622" s="9"/>
      <c r="L622" s="21" t="s">
        <v>59</v>
      </c>
      <c r="M622" s="14" t="s">
        <v>1936</v>
      </c>
      <c r="N622" s="29" t="s">
        <v>1937</v>
      </c>
      <c r="O622" s="29" t="s">
        <v>1914</v>
      </c>
      <c r="P622" s="16"/>
      <c r="Q622" s="16"/>
      <c r="R622" s="16" t="str">
        <f t="shared" si="2"/>
        <v/>
      </c>
    </row>
    <row r="623">
      <c r="A623" s="7"/>
      <c r="B623" s="16"/>
      <c r="C623" s="12"/>
      <c r="D623" s="12"/>
      <c r="E623" s="9"/>
      <c r="F623" s="10"/>
      <c r="G623" s="11"/>
      <c r="H623" s="9"/>
      <c r="I623" s="31"/>
      <c r="J623" s="9"/>
      <c r="K623" s="9"/>
      <c r="L623" s="21" t="s">
        <v>65</v>
      </c>
      <c r="M623" s="14" t="s">
        <v>1938</v>
      </c>
      <c r="N623" s="29" t="s">
        <v>1073</v>
      </c>
      <c r="O623" s="29" t="s">
        <v>1916</v>
      </c>
      <c r="P623" s="16"/>
      <c r="Q623" s="16"/>
      <c r="R623" s="16" t="str">
        <f t="shared" si="2"/>
        <v/>
      </c>
    </row>
    <row r="624">
      <c r="A624" s="7"/>
      <c r="B624" s="16"/>
      <c r="C624" s="12"/>
      <c r="D624" s="12"/>
      <c r="E624" s="9"/>
      <c r="F624" s="10"/>
      <c r="G624" s="11"/>
      <c r="H624" s="9"/>
      <c r="I624" s="31"/>
      <c r="J624" s="9"/>
      <c r="K624" s="9"/>
      <c r="L624" s="21" t="s">
        <v>71</v>
      </c>
      <c r="M624" s="14" t="s">
        <v>1939</v>
      </c>
      <c r="N624" s="29" t="s">
        <v>1940</v>
      </c>
      <c r="O624" s="29" t="s">
        <v>1941</v>
      </c>
      <c r="P624" s="16"/>
      <c r="Q624" s="16"/>
      <c r="R624" s="16" t="str">
        <f t="shared" si="2"/>
        <v/>
      </c>
    </row>
    <row r="625">
      <c r="A625" s="7" t="s">
        <v>319</v>
      </c>
      <c r="B625" s="14" t="s">
        <v>1057</v>
      </c>
      <c r="C625" s="12"/>
      <c r="D625" s="17" t="s">
        <v>1541</v>
      </c>
      <c r="E625" s="9" t="s">
        <v>320</v>
      </c>
      <c r="F625" s="10" t="s">
        <v>321</v>
      </c>
      <c r="G625" s="11">
        <v>2025.0</v>
      </c>
      <c r="H625" s="9" t="s">
        <v>322</v>
      </c>
      <c r="I625" s="29" t="s">
        <v>1021</v>
      </c>
      <c r="J625" s="9"/>
      <c r="K625" s="9" t="s">
        <v>152</v>
      </c>
      <c r="L625" s="21" t="s">
        <v>25</v>
      </c>
      <c r="M625" s="14" t="s">
        <v>1942</v>
      </c>
      <c r="N625" s="29" t="s">
        <v>1943</v>
      </c>
      <c r="O625" s="29" t="s">
        <v>1944</v>
      </c>
      <c r="P625" s="16"/>
      <c r="Q625" s="16"/>
      <c r="R625" s="16" t="str">
        <f t="shared" si="2"/>
        <v/>
      </c>
    </row>
    <row r="626">
      <c r="A626" s="7"/>
      <c r="B626" s="16"/>
      <c r="C626" s="12"/>
      <c r="D626" s="12"/>
      <c r="E626" s="9"/>
      <c r="F626" s="10"/>
      <c r="G626" s="11"/>
      <c r="H626" s="9"/>
      <c r="I626" s="31"/>
      <c r="J626" s="9"/>
      <c r="K626" s="9"/>
      <c r="L626" s="21" t="s">
        <v>31</v>
      </c>
      <c r="M626" s="14" t="s">
        <v>1945</v>
      </c>
      <c r="N626" s="29" t="s">
        <v>1946</v>
      </c>
      <c r="O626" s="29" t="s">
        <v>1947</v>
      </c>
      <c r="P626" s="16"/>
      <c r="Q626" s="16"/>
      <c r="R626" s="16" t="str">
        <f t="shared" si="2"/>
        <v/>
      </c>
    </row>
    <row r="627">
      <c r="A627" s="7"/>
      <c r="B627" s="16"/>
      <c r="C627" s="12"/>
      <c r="D627" s="12"/>
      <c r="E627" s="9"/>
      <c r="F627" s="10"/>
      <c r="G627" s="11"/>
      <c r="H627" s="9"/>
      <c r="I627" s="31"/>
      <c r="J627" s="9"/>
      <c r="K627" s="9"/>
      <c r="L627" s="21" t="s">
        <v>36</v>
      </c>
      <c r="M627" s="14" t="s">
        <v>1948</v>
      </c>
      <c r="N627" s="29" t="s">
        <v>1949</v>
      </c>
      <c r="O627" s="29" t="s">
        <v>1950</v>
      </c>
      <c r="P627" s="16"/>
      <c r="Q627" s="16"/>
      <c r="R627" s="16" t="str">
        <f t="shared" si="2"/>
        <v/>
      </c>
    </row>
    <row r="628">
      <c r="A628" s="7"/>
      <c r="B628" s="16"/>
      <c r="C628" s="12"/>
      <c r="D628" s="12"/>
      <c r="E628" s="9"/>
      <c r="F628" s="10"/>
      <c r="G628" s="11"/>
      <c r="H628" s="9"/>
      <c r="I628" s="31"/>
      <c r="J628" s="9"/>
      <c r="K628" s="9"/>
      <c r="L628" s="21" t="s">
        <v>41</v>
      </c>
      <c r="M628" s="14" t="s">
        <v>1951</v>
      </c>
      <c r="N628" s="47" t="s">
        <v>1952</v>
      </c>
      <c r="O628" s="29" t="s">
        <v>1953</v>
      </c>
      <c r="P628" s="16"/>
      <c r="Q628" s="16"/>
      <c r="R628" s="16" t="str">
        <f t="shared" si="2"/>
        <v/>
      </c>
    </row>
    <row r="629">
      <c r="A629" s="7"/>
      <c r="B629" s="16"/>
      <c r="C629" s="12"/>
      <c r="D629" s="12"/>
      <c r="E629" s="9"/>
      <c r="F629" s="10"/>
      <c r="G629" s="11"/>
      <c r="H629" s="9"/>
      <c r="I629" s="31"/>
      <c r="J629" s="9"/>
      <c r="K629" s="9"/>
      <c r="L629" s="21" t="s">
        <v>47</v>
      </c>
      <c r="M629" s="14" t="s">
        <v>1954</v>
      </c>
      <c r="N629" s="29" t="s">
        <v>1955</v>
      </c>
      <c r="O629" s="29" t="s">
        <v>1956</v>
      </c>
      <c r="P629" s="16"/>
      <c r="Q629" s="16"/>
      <c r="R629" s="16" t="str">
        <f t="shared" si="2"/>
        <v/>
      </c>
    </row>
    <row r="630">
      <c r="A630" s="7"/>
      <c r="B630" s="16"/>
      <c r="C630" s="12"/>
      <c r="D630" s="12"/>
      <c r="E630" s="9"/>
      <c r="F630" s="10"/>
      <c r="G630" s="11"/>
      <c r="H630" s="9"/>
      <c r="I630" s="31"/>
      <c r="J630" s="9"/>
      <c r="K630" s="9"/>
      <c r="L630" s="21" t="s">
        <v>53</v>
      </c>
      <c r="M630" s="14" t="s">
        <v>1957</v>
      </c>
      <c r="N630" s="29" t="s">
        <v>1073</v>
      </c>
      <c r="O630" s="29" t="s">
        <v>1935</v>
      </c>
      <c r="P630" s="16"/>
      <c r="Q630" s="16"/>
      <c r="R630" s="16" t="str">
        <f t="shared" si="2"/>
        <v/>
      </c>
    </row>
    <row r="631">
      <c r="A631" s="7"/>
      <c r="B631" s="16"/>
      <c r="C631" s="12"/>
      <c r="D631" s="12"/>
      <c r="E631" s="9"/>
      <c r="F631" s="10"/>
      <c r="G631" s="11"/>
      <c r="H631" s="9"/>
      <c r="I631" s="31"/>
      <c r="J631" s="9"/>
      <c r="K631" s="9"/>
      <c r="L631" s="21" t="s">
        <v>59</v>
      </c>
      <c r="M631" s="14" t="s">
        <v>1958</v>
      </c>
      <c r="N631" s="29" t="s">
        <v>1959</v>
      </c>
      <c r="O631" s="29" t="s">
        <v>1914</v>
      </c>
      <c r="P631" s="16"/>
      <c r="Q631" s="16"/>
      <c r="R631" s="16" t="str">
        <f t="shared" si="2"/>
        <v/>
      </c>
    </row>
    <row r="632">
      <c r="A632" s="7"/>
      <c r="B632" s="16"/>
      <c r="C632" s="12"/>
      <c r="D632" s="12"/>
      <c r="E632" s="9"/>
      <c r="F632" s="10"/>
      <c r="G632" s="11"/>
      <c r="H632" s="9"/>
      <c r="I632" s="31"/>
      <c r="J632" s="9"/>
      <c r="K632" s="9"/>
      <c r="L632" s="21" t="s">
        <v>65</v>
      </c>
      <c r="M632" s="14" t="s">
        <v>1960</v>
      </c>
      <c r="N632" s="29" t="s">
        <v>1073</v>
      </c>
      <c r="O632" s="29" t="s">
        <v>1916</v>
      </c>
      <c r="P632" s="16"/>
      <c r="Q632" s="16"/>
      <c r="R632" s="16" t="str">
        <f t="shared" si="2"/>
        <v/>
      </c>
    </row>
    <row r="633">
      <c r="A633" s="7"/>
      <c r="B633" s="16"/>
      <c r="C633" s="12"/>
      <c r="D633" s="12"/>
      <c r="E633" s="9"/>
      <c r="F633" s="10"/>
      <c r="G633" s="11"/>
      <c r="H633" s="9"/>
      <c r="I633" s="31"/>
      <c r="J633" s="9"/>
      <c r="K633" s="9"/>
      <c r="L633" s="21" t="s">
        <v>71</v>
      </c>
      <c r="M633" s="14" t="s">
        <v>1961</v>
      </c>
      <c r="N633" s="29" t="s">
        <v>1962</v>
      </c>
      <c r="O633" s="29" t="s">
        <v>1963</v>
      </c>
      <c r="P633" s="16"/>
      <c r="Q633" s="16"/>
      <c r="R633" s="16" t="str">
        <f t="shared" si="2"/>
        <v/>
      </c>
    </row>
    <row r="634">
      <c r="A634" s="7" t="s">
        <v>323</v>
      </c>
      <c r="B634" s="14" t="s">
        <v>1057</v>
      </c>
      <c r="C634" s="12"/>
      <c r="D634" s="17" t="s">
        <v>1541</v>
      </c>
      <c r="E634" s="9" t="s">
        <v>324</v>
      </c>
      <c r="F634" s="10" t="s">
        <v>325</v>
      </c>
      <c r="G634" s="11">
        <v>2024.0</v>
      </c>
      <c r="H634" s="9" t="s">
        <v>326</v>
      </c>
      <c r="I634" s="29" t="s">
        <v>528</v>
      </c>
      <c r="J634" s="9"/>
      <c r="K634" s="9" t="s">
        <v>152</v>
      </c>
      <c r="L634" s="21" t="s">
        <v>25</v>
      </c>
      <c r="M634" s="14" t="s">
        <v>1942</v>
      </c>
      <c r="N634" s="29" t="s">
        <v>1964</v>
      </c>
      <c r="O634" s="29" t="s">
        <v>1965</v>
      </c>
      <c r="P634" s="16"/>
      <c r="Q634" s="16"/>
      <c r="R634" s="16" t="str">
        <f t="shared" si="2"/>
        <v/>
      </c>
    </row>
    <row r="635">
      <c r="A635" s="7"/>
      <c r="B635" s="16"/>
      <c r="C635" s="12"/>
      <c r="D635" s="12"/>
      <c r="E635" s="9"/>
      <c r="F635" s="10"/>
      <c r="G635" s="11"/>
      <c r="H635" s="9"/>
      <c r="I635" s="31"/>
      <c r="J635" s="9"/>
      <c r="K635" s="9"/>
      <c r="L635" s="21" t="s">
        <v>31</v>
      </c>
      <c r="M635" s="14" t="s">
        <v>1945</v>
      </c>
      <c r="N635" s="29" t="s">
        <v>1966</v>
      </c>
      <c r="O635" s="29" t="s">
        <v>1967</v>
      </c>
      <c r="P635" s="16"/>
      <c r="Q635" s="16"/>
      <c r="R635" s="16" t="str">
        <f t="shared" si="2"/>
        <v/>
      </c>
    </row>
    <row r="636">
      <c r="A636" s="7"/>
      <c r="B636" s="16"/>
      <c r="C636" s="12"/>
      <c r="D636" s="12"/>
      <c r="E636" s="9"/>
      <c r="F636" s="10"/>
      <c r="G636" s="11"/>
      <c r="H636" s="9"/>
      <c r="I636" s="31"/>
      <c r="J636" s="9"/>
      <c r="K636" s="9"/>
      <c r="L636" s="21" t="s">
        <v>36</v>
      </c>
      <c r="M636" s="14" t="s">
        <v>1968</v>
      </c>
      <c r="N636" s="29" t="s">
        <v>1969</v>
      </c>
      <c r="O636" s="29" t="s">
        <v>1970</v>
      </c>
      <c r="P636" s="16"/>
      <c r="Q636" s="16"/>
      <c r="R636" s="16" t="str">
        <f t="shared" si="2"/>
        <v/>
      </c>
    </row>
    <row r="637">
      <c r="A637" s="7"/>
      <c r="B637" s="16"/>
      <c r="C637" s="12"/>
      <c r="D637" s="12"/>
      <c r="E637" s="9"/>
      <c r="F637" s="10"/>
      <c r="G637" s="11"/>
      <c r="H637" s="9"/>
      <c r="I637" s="31"/>
      <c r="J637" s="9"/>
      <c r="K637" s="9"/>
      <c r="L637" s="21" t="s">
        <v>41</v>
      </c>
      <c r="M637" s="14" t="s">
        <v>1971</v>
      </c>
      <c r="N637" s="29" t="s">
        <v>1972</v>
      </c>
      <c r="O637" s="29" t="s">
        <v>1973</v>
      </c>
      <c r="P637" s="14" t="s">
        <v>562</v>
      </c>
      <c r="Q637" s="14" t="s">
        <v>533</v>
      </c>
      <c r="R637" s="16" t="str">
        <f t="shared" si="2"/>
        <v>Diferente</v>
      </c>
    </row>
    <row r="638">
      <c r="A638" s="7"/>
      <c r="B638" s="16"/>
      <c r="C638" s="12"/>
      <c r="D638" s="12"/>
      <c r="E638" s="9"/>
      <c r="F638" s="10"/>
      <c r="G638" s="11"/>
      <c r="H638" s="9"/>
      <c r="I638" s="31"/>
      <c r="J638" s="9"/>
      <c r="K638" s="9"/>
      <c r="L638" s="21" t="s">
        <v>47</v>
      </c>
      <c r="M638" s="14" t="s">
        <v>1954</v>
      </c>
      <c r="N638" s="29" t="s">
        <v>1073</v>
      </c>
      <c r="O638" s="29" t="s">
        <v>1910</v>
      </c>
      <c r="P638" s="14" t="s">
        <v>533</v>
      </c>
      <c r="Q638" s="14" t="s">
        <v>533</v>
      </c>
      <c r="R638" s="16" t="str">
        <f t="shared" si="2"/>
        <v>Igual</v>
      </c>
    </row>
    <row r="639">
      <c r="A639" s="7"/>
      <c r="B639" s="16"/>
      <c r="C639" s="12"/>
      <c r="D639" s="12"/>
      <c r="E639" s="9"/>
      <c r="F639" s="10"/>
      <c r="G639" s="11"/>
      <c r="H639" s="9"/>
      <c r="I639" s="31"/>
      <c r="J639" s="9"/>
      <c r="K639" s="9"/>
      <c r="L639" s="21" t="s">
        <v>53</v>
      </c>
      <c r="M639" s="14" t="s">
        <v>1957</v>
      </c>
      <c r="N639" s="29" t="s">
        <v>1073</v>
      </c>
      <c r="O639" s="29" t="s">
        <v>1911</v>
      </c>
      <c r="P639" s="14" t="s">
        <v>533</v>
      </c>
      <c r="Q639" s="14" t="s">
        <v>533</v>
      </c>
      <c r="R639" s="16" t="str">
        <f t="shared" si="2"/>
        <v>Igual</v>
      </c>
    </row>
    <row r="640">
      <c r="A640" s="7"/>
      <c r="B640" s="16"/>
      <c r="C640" s="12"/>
      <c r="D640" s="12"/>
      <c r="E640" s="9"/>
      <c r="F640" s="10"/>
      <c r="G640" s="11"/>
      <c r="H640" s="9"/>
      <c r="I640" s="31"/>
      <c r="J640" s="9"/>
      <c r="K640" s="9"/>
      <c r="L640" s="21" t="s">
        <v>59</v>
      </c>
      <c r="M640" s="14" t="s">
        <v>1958</v>
      </c>
      <c r="N640" s="29" t="s">
        <v>1974</v>
      </c>
      <c r="O640" s="29" t="s">
        <v>1975</v>
      </c>
      <c r="P640" s="14" t="s">
        <v>562</v>
      </c>
      <c r="Q640" s="14" t="s">
        <v>533</v>
      </c>
      <c r="R640" s="16" t="str">
        <f t="shared" si="2"/>
        <v>Diferente</v>
      </c>
    </row>
    <row r="641">
      <c r="A641" s="7"/>
      <c r="B641" s="16"/>
      <c r="C641" s="12"/>
      <c r="D641" s="12"/>
      <c r="E641" s="9"/>
      <c r="F641" s="10"/>
      <c r="G641" s="11"/>
      <c r="H641" s="9"/>
      <c r="I641" s="31"/>
      <c r="J641" s="9"/>
      <c r="K641" s="9"/>
      <c r="L641" s="21" t="s">
        <v>65</v>
      </c>
      <c r="M641" s="14" t="s">
        <v>1960</v>
      </c>
      <c r="N641" s="29" t="s">
        <v>1073</v>
      </c>
      <c r="O641" s="29" t="s">
        <v>1916</v>
      </c>
      <c r="P641" s="14" t="s">
        <v>533</v>
      </c>
      <c r="Q641" s="14" t="s">
        <v>533</v>
      </c>
      <c r="R641" s="16" t="str">
        <f t="shared" si="2"/>
        <v>Igual</v>
      </c>
    </row>
    <row r="642">
      <c r="A642" s="7"/>
      <c r="B642" s="16"/>
      <c r="C642" s="12"/>
      <c r="D642" s="12"/>
      <c r="E642" s="9"/>
      <c r="F642" s="10"/>
      <c r="G642" s="11"/>
      <c r="H642" s="9"/>
      <c r="I642" s="31"/>
      <c r="J642" s="9"/>
      <c r="K642" s="9"/>
      <c r="L642" s="21" t="s">
        <v>71</v>
      </c>
      <c r="M642" s="14" t="s">
        <v>1976</v>
      </c>
      <c r="N642" s="29" t="s">
        <v>1073</v>
      </c>
      <c r="O642" s="29" t="s">
        <v>1977</v>
      </c>
      <c r="P642" s="14" t="s">
        <v>533</v>
      </c>
      <c r="Q642" s="14" t="s">
        <v>533</v>
      </c>
      <c r="R642" s="16" t="str">
        <f t="shared" si="2"/>
        <v>Igual</v>
      </c>
    </row>
    <row r="643">
      <c r="A643" s="7" t="s">
        <v>327</v>
      </c>
      <c r="B643" s="14" t="s">
        <v>1057</v>
      </c>
      <c r="C643" s="12"/>
      <c r="D643" s="17" t="s">
        <v>1541</v>
      </c>
      <c r="E643" s="9" t="s">
        <v>328</v>
      </c>
      <c r="F643" s="10" t="s">
        <v>329</v>
      </c>
      <c r="G643" s="11">
        <v>2025.0</v>
      </c>
      <c r="H643" s="9" t="s">
        <v>330</v>
      </c>
      <c r="I643" s="29" t="s">
        <v>528</v>
      </c>
      <c r="J643" s="9"/>
      <c r="K643" s="9" t="s">
        <v>152</v>
      </c>
      <c r="L643" s="21" t="s">
        <v>25</v>
      </c>
      <c r="M643" s="14" t="s">
        <v>1942</v>
      </c>
      <c r="N643" s="29" t="s">
        <v>1978</v>
      </c>
      <c r="O643" s="29" t="s">
        <v>1979</v>
      </c>
      <c r="P643" s="16"/>
      <c r="Q643" s="16"/>
      <c r="R643" s="16" t="str">
        <f t="shared" si="2"/>
        <v/>
      </c>
    </row>
    <row r="644">
      <c r="A644" s="7"/>
      <c r="B644" s="16"/>
      <c r="C644" s="12"/>
      <c r="D644" s="12"/>
      <c r="E644" s="9"/>
      <c r="F644" s="10"/>
      <c r="G644" s="11"/>
      <c r="H644" s="9"/>
      <c r="I644" s="31"/>
      <c r="J644" s="9"/>
      <c r="K644" s="9"/>
      <c r="L644" s="21" t="s">
        <v>31</v>
      </c>
      <c r="M644" s="14" t="s">
        <v>1980</v>
      </c>
      <c r="N644" s="29" t="s">
        <v>1981</v>
      </c>
      <c r="O644" s="29" t="s">
        <v>1982</v>
      </c>
      <c r="P644" s="16"/>
      <c r="Q644" s="16"/>
      <c r="R644" s="16" t="str">
        <f t="shared" si="2"/>
        <v/>
      </c>
    </row>
    <row r="645">
      <c r="A645" s="7"/>
      <c r="B645" s="16"/>
      <c r="C645" s="12"/>
      <c r="D645" s="12"/>
      <c r="E645" s="9"/>
      <c r="F645" s="10"/>
      <c r="G645" s="11"/>
      <c r="H645" s="9"/>
      <c r="I645" s="31"/>
      <c r="J645" s="9"/>
      <c r="K645" s="9"/>
      <c r="L645" s="21" t="s">
        <v>36</v>
      </c>
      <c r="M645" s="14" t="s">
        <v>1983</v>
      </c>
      <c r="N645" s="29" t="s">
        <v>1984</v>
      </c>
      <c r="O645" s="29" t="s">
        <v>1985</v>
      </c>
      <c r="P645" s="16"/>
      <c r="Q645" s="16"/>
      <c r="R645" s="16" t="str">
        <f t="shared" si="2"/>
        <v/>
      </c>
    </row>
    <row r="646">
      <c r="A646" s="7"/>
      <c r="B646" s="16"/>
      <c r="C646" s="12"/>
      <c r="D646" s="12"/>
      <c r="E646" s="9"/>
      <c r="F646" s="10"/>
      <c r="G646" s="11"/>
      <c r="H646" s="9"/>
      <c r="I646" s="31"/>
      <c r="J646" s="9"/>
      <c r="K646" s="9"/>
      <c r="L646" s="21" t="s">
        <v>41</v>
      </c>
      <c r="M646" s="14" t="s">
        <v>1986</v>
      </c>
      <c r="N646" s="29" t="s">
        <v>1987</v>
      </c>
      <c r="O646" s="29" t="s">
        <v>1988</v>
      </c>
      <c r="P646" s="14" t="s">
        <v>562</v>
      </c>
      <c r="Q646" s="14" t="s">
        <v>533</v>
      </c>
      <c r="R646" s="16" t="str">
        <f t="shared" si="2"/>
        <v>Diferente</v>
      </c>
    </row>
    <row r="647">
      <c r="A647" s="7"/>
      <c r="B647" s="16"/>
      <c r="C647" s="12"/>
      <c r="D647" s="12"/>
      <c r="E647" s="9"/>
      <c r="F647" s="10"/>
      <c r="G647" s="11"/>
      <c r="H647" s="9"/>
      <c r="I647" s="31"/>
      <c r="J647" s="9"/>
      <c r="K647" s="9"/>
      <c r="L647" s="21" t="s">
        <v>47</v>
      </c>
      <c r="M647" s="14" t="s">
        <v>1954</v>
      </c>
      <c r="N647" s="29" t="s">
        <v>1073</v>
      </c>
      <c r="O647" s="29" t="s">
        <v>1910</v>
      </c>
      <c r="P647" s="14" t="s">
        <v>533</v>
      </c>
      <c r="Q647" s="14" t="s">
        <v>533</v>
      </c>
      <c r="R647" s="16" t="str">
        <f t="shared" si="2"/>
        <v>Igual</v>
      </c>
    </row>
    <row r="648">
      <c r="A648" s="7"/>
      <c r="B648" s="16"/>
      <c r="C648" s="12"/>
      <c r="D648" s="12"/>
      <c r="E648" s="9"/>
      <c r="F648" s="10"/>
      <c r="G648" s="11"/>
      <c r="H648" s="9"/>
      <c r="I648" s="31"/>
      <c r="J648" s="9"/>
      <c r="K648" s="9"/>
      <c r="L648" s="21" t="s">
        <v>53</v>
      </c>
      <c r="M648" s="14" t="s">
        <v>1957</v>
      </c>
      <c r="N648" s="29" t="s">
        <v>1073</v>
      </c>
      <c r="O648" s="29" t="s">
        <v>1911</v>
      </c>
      <c r="P648" s="14" t="s">
        <v>533</v>
      </c>
      <c r="Q648" s="14" t="s">
        <v>533</v>
      </c>
      <c r="R648" s="16" t="str">
        <f t="shared" si="2"/>
        <v>Igual</v>
      </c>
    </row>
    <row r="649">
      <c r="A649" s="7"/>
      <c r="B649" s="16"/>
      <c r="C649" s="12"/>
      <c r="D649" s="12"/>
      <c r="E649" s="9"/>
      <c r="F649" s="10"/>
      <c r="G649" s="11"/>
      <c r="H649" s="9"/>
      <c r="I649" s="31"/>
      <c r="J649" s="9"/>
      <c r="K649" s="9"/>
      <c r="L649" s="21" t="s">
        <v>59</v>
      </c>
      <c r="M649" s="14" t="s">
        <v>1958</v>
      </c>
      <c r="N649" s="29" t="s">
        <v>1989</v>
      </c>
      <c r="O649" s="29" t="s">
        <v>1990</v>
      </c>
      <c r="P649" s="16"/>
      <c r="Q649" s="16"/>
      <c r="R649" s="16" t="str">
        <f t="shared" si="2"/>
        <v/>
      </c>
    </row>
    <row r="650">
      <c r="A650" s="7"/>
      <c r="B650" s="16"/>
      <c r="C650" s="12"/>
      <c r="D650" s="12"/>
      <c r="E650" s="9"/>
      <c r="F650" s="10"/>
      <c r="G650" s="11"/>
      <c r="H650" s="9"/>
      <c r="I650" s="31"/>
      <c r="J650" s="9"/>
      <c r="K650" s="9"/>
      <c r="L650" s="21" t="s">
        <v>65</v>
      </c>
      <c r="M650" s="14" t="s">
        <v>1960</v>
      </c>
      <c r="N650" s="29" t="s">
        <v>1073</v>
      </c>
      <c r="O650" s="29" t="s">
        <v>1916</v>
      </c>
      <c r="P650" s="16"/>
      <c r="Q650" s="16"/>
      <c r="R650" s="16" t="str">
        <f t="shared" si="2"/>
        <v/>
      </c>
    </row>
    <row r="651">
      <c r="A651" s="7"/>
      <c r="B651" s="16"/>
      <c r="C651" s="12"/>
      <c r="D651" s="12"/>
      <c r="E651" s="9"/>
      <c r="F651" s="10"/>
      <c r="G651" s="11"/>
      <c r="H651" s="9"/>
      <c r="I651" s="31"/>
      <c r="J651" s="9"/>
      <c r="K651" s="9"/>
      <c r="L651" s="21" t="s">
        <v>71</v>
      </c>
      <c r="M651" s="14" t="s">
        <v>1976</v>
      </c>
      <c r="N651" s="29" t="s">
        <v>1991</v>
      </c>
      <c r="O651" s="29" t="s">
        <v>1992</v>
      </c>
      <c r="P651" s="14" t="s">
        <v>562</v>
      </c>
      <c r="Q651" s="14" t="s">
        <v>533</v>
      </c>
      <c r="R651" s="16" t="str">
        <f t="shared" si="2"/>
        <v>Diferente</v>
      </c>
    </row>
    <row r="652">
      <c r="A652" s="7" t="s">
        <v>331</v>
      </c>
      <c r="B652" s="14" t="s">
        <v>1057</v>
      </c>
      <c r="C652" s="12"/>
      <c r="D652" s="17" t="s">
        <v>1541</v>
      </c>
      <c r="E652" s="9" t="s">
        <v>332</v>
      </c>
      <c r="F652" s="10" t="s">
        <v>333</v>
      </c>
      <c r="G652" s="11">
        <v>2024.0</v>
      </c>
      <c r="H652" s="9" t="s">
        <v>334</v>
      </c>
      <c r="I652" s="29" t="s">
        <v>1021</v>
      </c>
      <c r="J652" s="9"/>
      <c r="K652" s="9" t="s">
        <v>152</v>
      </c>
      <c r="L652" s="21" t="s">
        <v>25</v>
      </c>
      <c r="M652" s="14" t="s">
        <v>1942</v>
      </c>
      <c r="N652" s="29" t="s">
        <v>1993</v>
      </c>
      <c r="O652" s="29" t="s">
        <v>1994</v>
      </c>
      <c r="P652" s="14" t="s">
        <v>533</v>
      </c>
      <c r="Q652" s="14" t="s">
        <v>533</v>
      </c>
      <c r="R652" s="16" t="str">
        <f t="shared" si="2"/>
        <v>Igual</v>
      </c>
    </row>
    <row r="653">
      <c r="A653" s="7"/>
      <c r="B653" s="16"/>
      <c r="C653" s="12"/>
      <c r="D653" s="12"/>
      <c r="E653" s="9"/>
      <c r="F653" s="10"/>
      <c r="G653" s="11"/>
      <c r="H653" s="9"/>
      <c r="I653" s="31"/>
      <c r="J653" s="9"/>
      <c r="K653" s="9"/>
      <c r="L653" s="21" t="s">
        <v>31</v>
      </c>
      <c r="M653" s="14" t="s">
        <v>1945</v>
      </c>
      <c r="N653" s="29" t="s">
        <v>1995</v>
      </c>
      <c r="O653" s="29" t="s">
        <v>1996</v>
      </c>
      <c r="P653" s="14" t="s">
        <v>533</v>
      </c>
      <c r="Q653" s="14" t="s">
        <v>533</v>
      </c>
      <c r="R653" s="16" t="str">
        <f t="shared" si="2"/>
        <v>Igual</v>
      </c>
    </row>
    <row r="654">
      <c r="A654" s="7"/>
      <c r="B654" s="16"/>
      <c r="C654" s="12"/>
      <c r="D654" s="12"/>
      <c r="E654" s="9"/>
      <c r="F654" s="10"/>
      <c r="G654" s="11"/>
      <c r="H654" s="9"/>
      <c r="I654" s="31"/>
      <c r="J654" s="9"/>
      <c r="K654" s="9"/>
      <c r="L654" s="21" t="s">
        <v>36</v>
      </c>
      <c r="M654" s="14" t="s">
        <v>1983</v>
      </c>
      <c r="N654" s="29" t="s">
        <v>1997</v>
      </c>
      <c r="O654" s="29" t="s">
        <v>1998</v>
      </c>
      <c r="P654" s="14" t="s">
        <v>533</v>
      </c>
      <c r="Q654" s="14" t="s">
        <v>533</v>
      </c>
      <c r="R654" s="16" t="str">
        <f t="shared" si="2"/>
        <v>Igual</v>
      </c>
    </row>
    <row r="655">
      <c r="A655" s="7"/>
      <c r="B655" s="16"/>
      <c r="C655" s="12"/>
      <c r="D655" s="12"/>
      <c r="E655" s="9"/>
      <c r="F655" s="10"/>
      <c r="G655" s="11"/>
      <c r="H655" s="9"/>
      <c r="I655" s="31"/>
      <c r="J655" s="9"/>
      <c r="K655" s="9"/>
      <c r="L655" s="21" t="s">
        <v>41</v>
      </c>
      <c r="M655" s="14" t="s">
        <v>1999</v>
      </c>
      <c r="N655" s="47" t="s">
        <v>2000</v>
      </c>
      <c r="O655" s="29" t="s">
        <v>2001</v>
      </c>
      <c r="P655" s="14" t="s">
        <v>533</v>
      </c>
      <c r="Q655" s="14" t="s">
        <v>533</v>
      </c>
      <c r="R655" s="16" t="str">
        <f t="shared" si="2"/>
        <v>Igual</v>
      </c>
    </row>
    <row r="656">
      <c r="A656" s="7"/>
      <c r="B656" s="16"/>
      <c r="C656" s="12"/>
      <c r="D656" s="12"/>
      <c r="E656" s="9"/>
      <c r="F656" s="10"/>
      <c r="G656" s="11"/>
      <c r="H656" s="9"/>
      <c r="I656" s="31"/>
      <c r="J656" s="9"/>
      <c r="K656" s="9"/>
      <c r="L656" s="21" t="s">
        <v>47</v>
      </c>
      <c r="M656" s="14" t="s">
        <v>1954</v>
      </c>
      <c r="N656" s="29" t="s">
        <v>1073</v>
      </c>
      <c r="O656" s="29" t="s">
        <v>1910</v>
      </c>
      <c r="P656" s="14" t="s">
        <v>533</v>
      </c>
      <c r="Q656" s="14" t="s">
        <v>533</v>
      </c>
      <c r="R656" s="16" t="str">
        <f t="shared" si="2"/>
        <v>Igual</v>
      </c>
    </row>
    <row r="657">
      <c r="A657" s="7"/>
      <c r="B657" s="16"/>
      <c r="C657" s="12"/>
      <c r="D657" s="12"/>
      <c r="E657" s="9"/>
      <c r="F657" s="10"/>
      <c r="G657" s="11"/>
      <c r="H657" s="9"/>
      <c r="I657" s="31"/>
      <c r="J657" s="9"/>
      <c r="K657" s="9"/>
      <c r="L657" s="21" t="s">
        <v>53</v>
      </c>
      <c r="M657" s="14" t="s">
        <v>1957</v>
      </c>
      <c r="N657" s="29" t="s">
        <v>1073</v>
      </c>
      <c r="O657" s="29" t="s">
        <v>1911</v>
      </c>
      <c r="P657" s="14" t="s">
        <v>533</v>
      </c>
      <c r="Q657" s="14" t="s">
        <v>533</v>
      </c>
      <c r="R657" s="16" t="str">
        <f t="shared" si="2"/>
        <v>Igual</v>
      </c>
    </row>
    <row r="658">
      <c r="A658" s="7"/>
      <c r="B658" s="16"/>
      <c r="C658" s="12"/>
      <c r="D658" s="12"/>
      <c r="E658" s="9"/>
      <c r="F658" s="10"/>
      <c r="G658" s="11"/>
      <c r="H658" s="9"/>
      <c r="I658" s="31"/>
      <c r="J658" s="9"/>
      <c r="K658" s="9"/>
      <c r="L658" s="21" t="s">
        <v>59</v>
      </c>
      <c r="M658" s="14" t="s">
        <v>1958</v>
      </c>
      <c r="N658" s="29" t="s">
        <v>2002</v>
      </c>
      <c r="O658" s="29" t="s">
        <v>2003</v>
      </c>
      <c r="P658" s="14" t="s">
        <v>533</v>
      </c>
      <c r="Q658" s="14" t="s">
        <v>533</v>
      </c>
      <c r="R658" s="16" t="str">
        <f t="shared" si="2"/>
        <v>Igual</v>
      </c>
    </row>
    <row r="659">
      <c r="A659" s="7"/>
      <c r="B659" s="16"/>
      <c r="C659" s="12"/>
      <c r="D659" s="12"/>
      <c r="E659" s="9"/>
      <c r="F659" s="10"/>
      <c r="G659" s="11"/>
      <c r="H659" s="9"/>
      <c r="I659" s="31"/>
      <c r="J659" s="9"/>
      <c r="K659" s="9"/>
      <c r="L659" s="21" t="s">
        <v>65</v>
      </c>
      <c r="M659" s="14" t="s">
        <v>1960</v>
      </c>
      <c r="N659" s="29" t="s">
        <v>1073</v>
      </c>
      <c r="O659" s="29" t="s">
        <v>1916</v>
      </c>
      <c r="P659" s="14" t="s">
        <v>533</v>
      </c>
      <c r="Q659" s="14" t="s">
        <v>533</v>
      </c>
      <c r="R659" s="16" t="str">
        <f t="shared" si="2"/>
        <v>Igual</v>
      </c>
    </row>
    <row r="660">
      <c r="A660" s="7"/>
      <c r="B660" s="16"/>
      <c r="C660" s="12"/>
      <c r="D660" s="12"/>
      <c r="E660" s="9"/>
      <c r="F660" s="10"/>
      <c r="G660" s="11"/>
      <c r="H660" s="9"/>
      <c r="I660" s="31"/>
      <c r="J660" s="9"/>
      <c r="K660" s="9"/>
      <c r="L660" s="21" t="s">
        <v>71</v>
      </c>
      <c r="M660" s="14" t="s">
        <v>1976</v>
      </c>
      <c r="N660" s="29" t="s">
        <v>1073</v>
      </c>
      <c r="O660" s="29" t="s">
        <v>2004</v>
      </c>
      <c r="P660" s="14" t="s">
        <v>533</v>
      </c>
      <c r="Q660" s="14" t="s">
        <v>533</v>
      </c>
      <c r="R660" s="16" t="str">
        <f t="shared" si="2"/>
        <v>Igual</v>
      </c>
    </row>
    <row r="661">
      <c r="A661" s="7" t="s">
        <v>335</v>
      </c>
      <c r="B661" s="14" t="s">
        <v>20</v>
      </c>
      <c r="C661" s="12"/>
      <c r="D661" s="17" t="s">
        <v>2005</v>
      </c>
      <c r="E661" s="9" t="s">
        <v>336</v>
      </c>
      <c r="F661" s="10" t="s">
        <v>337</v>
      </c>
      <c r="G661" s="11">
        <v>2023.0</v>
      </c>
      <c r="H661" s="9" t="s">
        <v>338</v>
      </c>
      <c r="I661" s="29" t="s">
        <v>528</v>
      </c>
      <c r="J661" s="9"/>
      <c r="K661" s="9" t="s">
        <v>152</v>
      </c>
      <c r="L661" s="21" t="s">
        <v>25</v>
      </c>
      <c r="M661" s="30" t="s">
        <v>2006</v>
      </c>
      <c r="N661" s="30" t="s">
        <v>2007</v>
      </c>
      <c r="O661" s="31"/>
      <c r="P661" s="14" t="s">
        <v>533</v>
      </c>
      <c r="Q661" s="14" t="s">
        <v>562</v>
      </c>
      <c r="R661" s="16" t="str">
        <f t="shared" si="2"/>
        <v>Diferente</v>
      </c>
    </row>
    <row r="662">
      <c r="A662" s="7"/>
      <c r="B662" s="16"/>
      <c r="C662" s="12"/>
      <c r="D662" s="12"/>
      <c r="E662" s="9"/>
      <c r="F662" s="10"/>
      <c r="G662" s="11"/>
      <c r="H662" s="9"/>
      <c r="I662" s="31"/>
      <c r="J662" s="9"/>
      <c r="K662" s="9"/>
      <c r="L662" s="21" t="s">
        <v>31</v>
      </c>
      <c r="M662" s="30" t="s">
        <v>2008</v>
      </c>
      <c r="N662" s="30" t="s">
        <v>2007</v>
      </c>
      <c r="O662" s="31"/>
      <c r="P662" s="14" t="s">
        <v>533</v>
      </c>
      <c r="Q662" s="14" t="s">
        <v>562</v>
      </c>
      <c r="R662" s="16" t="str">
        <f t="shared" si="2"/>
        <v>Diferente</v>
      </c>
    </row>
    <row r="663">
      <c r="A663" s="7"/>
      <c r="B663" s="16"/>
      <c r="C663" s="12"/>
      <c r="D663" s="12"/>
      <c r="E663" s="9"/>
      <c r="F663" s="10"/>
      <c r="G663" s="11"/>
      <c r="H663" s="9"/>
      <c r="I663" s="31"/>
      <c r="J663" s="9"/>
      <c r="K663" s="9"/>
      <c r="L663" s="21" t="s">
        <v>36</v>
      </c>
      <c r="M663" s="30" t="s">
        <v>2009</v>
      </c>
      <c r="N663" s="30" t="s">
        <v>2007</v>
      </c>
      <c r="O663" s="31"/>
      <c r="P663" s="14" t="s">
        <v>533</v>
      </c>
      <c r="Q663" s="14" t="s">
        <v>562</v>
      </c>
      <c r="R663" s="16" t="str">
        <f t="shared" si="2"/>
        <v>Diferente</v>
      </c>
    </row>
    <row r="664">
      <c r="A664" s="7"/>
      <c r="B664" s="16"/>
      <c r="C664" s="12"/>
      <c r="D664" s="12"/>
      <c r="E664" s="9"/>
      <c r="F664" s="10"/>
      <c r="G664" s="11"/>
      <c r="H664" s="9"/>
      <c r="I664" s="31"/>
      <c r="J664" s="9"/>
      <c r="K664" s="9"/>
      <c r="L664" s="21" t="s">
        <v>41</v>
      </c>
      <c r="M664" s="30" t="s">
        <v>2010</v>
      </c>
      <c r="N664" s="30" t="s">
        <v>2007</v>
      </c>
      <c r="O664" s="31"/>
      <c r="P664" s="14" t="s">
        <v>533</v>
      </c>
      <c r="Q664" s="14" t="s">
        <v>562</v>
      </c>
      <c r="R664" s="16" t="str">
        <f t="shared" si="2"/>
        <v>Diferente</v>
      </c>
    </row>
    <row r="665">
      <c r="A665" s="7"/>
      <c r="B665" s="16"/>
      <c r="C665" s="12"/>
      <c r="D665" s="12"/>
      <c r="E665" s="9"/>
      <c r="F665" s="10"/>
      <c r="G665" s="11"/>
      <c r="H665" s="9"/>
      <c r="I665" s="31"/>
      <c r="J665" s="9"/>
      <c r="K665" s="9"/>
      <c r="L665" s="21" t="s">
        <v>47</v>
      </c>
      <c r="M665" s="30" t="s">
        <v>2011</v>
      </c>
      <c r="N665" s="30" t="s">
        <v>2007</v>
      </c>
      <c r="O665" s="31"/>
      <c r="P665" s="14" t="s">
        <v>533</v>
      </c>
      <c r="Q665" s="14" t="s">
        <v>562</v>
      </c>
      <c r="R665" s="16" t="str">
        <f t="shared" si="2"/>
        <v>Diferente</v>
      </c>
    </row>
    <row r="666">
      <c r="A666" s="7"/>
      <c r="B666" s="16"/>
      <c r="C666" s="12"/>
      <c r="D666" s="12"/>
      <c r="E666" s="9"/>
      <c r="F666" s="10"/>
      <c r="G666" s="11"/>
      <c r="H666" s="9"/>
      <c r="I666" s="31"/>
      <c r="J666" s="9"/>
      <c r="K666" s="9"/>
      <c r="L666" s="21" t="s">
        <v>53</v>
      </c>
      <c r="M666" s="30" t="s">
        <v>2012</v>
      </c>
      <c r="N666" s="30" t="s">
        <v>2007</v>
      </c>
      <c r="O666" s="31"/>
      <c r="P666" s="14" t="s">
        <v>533</v>
      </c>
      <c r="Q666" s="14" t="s">
        <v>562</v>
      </c>
      <c r="R666" s="16" t="str">
        <f t="shared" si="2"/>
        <v>Diferente</v>
      </c>
    </row>
    <row r="667">
      <c r="A667" s="7"/>
      <c r="B667" s="16"/>
      <c r="C667" s="12"/>
      <c r="D667" s="12"/>
      <c r="E667" s="9"/>
      <c r="F667" s="10"/>
      <c r="G667" s="11"/>
      <c r="H667" s="9"/>
      <c r="I667" s="31"/>
      <c r="J667" s="9"/>
      <c r="K667" s="9"/>
      <c r="L667" s="21" t="s">
        <v>59</v>
      </c>
      <c r="M667" s="30" t="s">
        <v>2013</v>
      </c>
      <c r="N667" s="30" t="s">
        <v>2007</v>
      </c>
      <c r="O667" s="31"/>
      <c r="P667" s="14" t="s">
        <v>533</v>
      </c>
      <c r="Q667" s="14" t="s">
        <v>562</v>
      </c>
      <c r="R667" s="16" t="str">
        <f t="shared" si="2"/>
        <v>Diferente</v>
      </c>
    </row>
    <row r="668">
      <c r="A668" s="7"/>
      <c r="B668" s="16"/>
      <c r="C668" s="12"/>
      <c r="D668" s="12"/>
      <c r="E668" s="9"/>
      <c r="F668" s="10"/>
      <c r="G668" s="11"/>
      <c r="H668" s="9"/>
      <c r="I668" s="31"/>
      <c r="J668" s="9"/>
      <c r="K668" s="9"/>
      <c r="L668" s="21" t="s">
        <v>65</v>
      </c>
      <c r="M668" s="30" t="s">
        <v>2014</v>
      </c>
      <c r="N668" s="30" t="s">
        <v>2007</v>
      </c>
      <c r="O668" s="31"/>
      <c r="P668" s="14" t="s">
        <v>533</v>
      </c>
      <c r="Q668" s="14" t="s">
        <v>562</v>
      </c>
      <c r="R668" s="16" t="str">
        <f t="shared" si="2"/>
        <v>Diferente</v>
      </c>
    </row>
    <row r="669">
      <c r="A669" s="7"/>
      <c r="B669" s="16"/>
      <c r="C669" s="12"/>
      <c r="D669" s="12"/>
      <c r="E669" s="9"/>
      <c r="F669" s="10"/>
      <c r="G669" s="11"/>
      <c r="H669" s="9"/>
      <c r="I669" s="31"/>
      <c r="J669" s="9"/>
      <c r="K669" s="9"/>
      <c r="L669" s="21" t="s">
        <v>71</v>
      </c>
      <c r="M669" s="30" t="s">
        <v>2015</v>
      </c>
      <c r="N669" s="30" t="s">
        <v>2007</v>
      </c>
      <c r="O669" s="31"/>
      <c r="P669" s="14" t="s">
        <v>533</v>
      </c>
      <c r="Q669" s="14" t="s">
        <v>562</v>
      </c>
      <c r="R669" s="16" t="str">
        <f t="shared" si="2"/>
        <v>Diferente</v>
      </c>
    </row>
    <row r="670">
      <c r="A670" s="7" t="s">
        <v>339</v>
      </c>
      <c r="B670" s="14" t="s">
        <v>1057</v>
      </c>
      <c r="C670" s="12"/>
      <c r="D670" s="17" t="s">
        <v>1541</v>
      </c>
      <c r="E670" s="9" t="s">
        <v>340</v>
      </c>
      <c r="F670" s="10" t="s">
        <v>341</v>
      </c>
      <c r="G670" s="11">
        <v>2024.0</v>
      </c>
      <c r="H670" s="9" t="s">
        <v>342</v>
      </c>
      <c r="I670" s="29" t="s">
        <v>998</v>
      </c>
      <c r="J670" s="9"/>
      <c r="K670" s="9" t="s">
        <v>152</v>
      </c>
      <c r="L670" s="21" t="s">
        <v>25</v>
      </c>
      <c r="M670" s="30" t="s">
        <v>2016</v>
      </c>
      <c r="N670" s="30" t="s">
        <v>2017</v>
      </c>
      <c r="O670" s="31"/>
      <c r="P670" s="14" t="s">
        <v>562</v>
      </c>
      <c r="Q670" s="14" t="s">
        <v>533</v>
      </c>
      <c r="R670" s="16" t="str">
        <f t="shared" si="2"/>
        <v>Diferente</v>
      </c>
    </row>
    <row r="671">
      <c r="A671" s="7"/>
      <c r="B671" s="16"/>
      <c r="C671" s="12"/>
      <c r="D671" s="12"/>
      <c r="E671" s="9"/>
      <c r="F671" s="10"/>
      <c r="G671" s="11"/>
      <c r="H671" s="9"/>
      <c r="I671" s="31"/>
      <c r="J671" s="9"/>
      <c r="K671" s="9"/>
      <c r="L671" s="21" t="s">
        <v>31</v>
      </c>
      <c r="M671" s="30" t="s">
        <v>2018</v>
      </c>
      <c r="N671" s="30" t="s">
        <v>2019</v>
      </c>
      <c r="O671" s="31"/>
      <c r="P671" s="14" t="s">
        <v>533</v>
      </c>
      <c r="Q671" s="14" t="s">
        <v>533</v>
      </c>
      <c r="R671" s="16" t="str">
        <f t="shared" si="2"/>
        <v>Igual</v>
      </c>
    </row>
    <row r="672">
      <c r="A672" s="7"/>
      <c r="B672" s="16"/>
      <c r="C672" s="12"/>
      <c r="D672" s="12"/>
      <c r="E672" s="9"/>
      <c r="F672" s="10"/>
      <c r="G672" s="11"/>
      <c r="H672" s="9"/>
      <c r="I672" s="31"/>
      <c r="J672" s="9"/>
      <c r="K672" s="9"/>
      <c r="L672" s="21" t="s">
        <v>36</v>
      </c>
      <c r="M672" s="30" t="s">
        <v>2020</v>
      </c>
      <c r="N672" s="30" t="s">
        <v>2021</v>
      </c>
      <c r="O672" s="31"/>
      <c r="P672" s="14" t="s">
        <v>542</v>
      </c>
      <c r="Q672" s="14" t="s">
        <v>562</v>
      </c>
      <c r="R672" s="16" t="str">
        <f t="shared" si="2"/>
        <v>Diferente</v>
      </c>
    </row>
    <row r="673">
      <c r="A673" s="7"/>
      <c r="B673" s="16"/>
      <c r="C673" s="12"/>
      <c r="D673" s="12"/>
      <c r="E673" s="9"/>
      <c r="F673" s="10"/>
      <c r="G673" s="11"/>
      <c r="H673" s="9"/>
      <c r="I673" s="31"/>
      <c r="J673" s="9"/>
      <c r="K673" s="9"/>
      <c r="L673" s="21" t="s">
        <v>41</v>
      </c>
      <c r="M673" s="30" t="s">
        <v>2022</v>
      </c>
      <c r="N673" s="30" t="s">
        <v>2023</v>
      </c>
      <c r="O673" s="31"/>
      <c r="P673" s="14" t="s">
        <v>542</v>
      </c>
      <c r="Q673" s="14" t="s">
        <v>562</v>
      </c>
      <c r="R673" s="16" t="str">
        <f t="shared" si="2"/>
        <v>Diferente</v>
      </c>
    </row>
    <row r="674">
      <c r="A674" s="7"/>
      <c r="B674" s="16"/>
      <c r="C674" s="12"/>
      <c r="D674" s="12"/>
      <c r="E674" s="9"/>
      <c r="F674" s="10"/>
      <c r="G674" s="11"/>
      <c r="H674" s="9"/>
      <c r="I674" s="31"/>
      <c r="J674" s="9"/>
      <c r="K674" s="9"/>
      <c r="L674" s="21" t="s">
        <v>47</v>
      </c>
      <c r="M674" s="30" t="s">
        <v>2024</v>
      </c>
      <c r="N674" s="30" t="s">
        <v>2025</v>
      </c>
      <c r="O674" s="31"/>
      <c r="P674" s="14" t="s">
        <v>533</v>
      </c>
      <c r="Q674" s="14" t="s">
        <v>533</v>
      </c>
      <c r="R674" s="16" t="str">
        <f t="shared" si="2"/>
        <v>Igual</v>
      </c>
    </row>
    <row r="675">
      <c r="A675" s="7"/>
      <c r="B675" s="16"/>
      <c r="C675" s="12"/>
      <c r="D675" s="12"/>
      <c r="E675" s="9"/>
      <c r="F675" s="10"/>
      <c r="G675" s="11"/>
      <c r="H675" s="9"/>
      <c r="I675" s="31"/>
      <c r="J675" s="9"/>
      <c r="K675" s="9"/>
      <c r="L675" s="21" t="s">
        <v>53</v>
      </c>
      <c r="M675" s="30" t="s">
        <v>2026</v>
      </c>
      <c r="N675" s="30" t="s">
        <v>2027</v>
      </c>
      <c r="O675" s="31"/>
      <c r="P675" s="14" t="s">
        <v>533</v>
      </c>
      <c r="Q675" s="14" t="s">
        <v>533</v>
      </c>
      <c r="R675" s="16" t="str">
        <f t="shared" si="2"/>
        <v>Igual</v>
      </c>
    </row>
    <row r="676">
      <c r="A676" s="7"/>
      <c r="B676" s="16"/>
      <c r="C676" s="12"/>
      <c r="D676" s="12"/>
      <c r="E676" s="9"/>
      <c r="F676" s="10"/>
      <c r="G676" s="11"/>
      <c r="H676" s="9"/>
      <c r="I676" s="31"/>
      <c r="J676" s="9"/>
      <c r="K676" s="9"/>
      <c r="L676" s="21" t="s">
        <v>59</v>
      </c>
      <c r="M676" s="30" t="s">
        <v>2028</v>
      </c>
      <c r="N676" s="30" t="s">
        <v>2029</v>
      </c>
      <c r="O676" s="31"/>
      <c r="P676" s="14" t="s">
        <v>533</v>
      </c>
      <c r="Q676" s="14" t="s">
        <v>533</v>
      </c>
      <c r="R676" s="16" t="str">
        <f t="shared" si="2"/>
        <v>Igual</v>
      </c>
    </row>
    <row r="677">
      <c r="A677" s="7"/>
      <c r="B677" s="16"/>
      <c r="C677" s="12"/>
      <c r="D677" s="12"/>
      <c r="E677" s="9"/>
      <c r="F677" s="10"/>
      <c r="G677" s="11"/>
      <c r="H677" s="9"/>
      <c r="I677" s="31"/>
      <c r="J677" s="9"/>
      <c r="K677" s="9"/>
      <c r="L677" s="21" t="s">
        <v>65</v>
      </c>
      <c r="M677" s="30" t="s">
        <v>2030</v>
      </c>
      <c r="N677" s="30" t="s">
        <v>2031</v>
      </c>
      <c r="O677" s="31"/>
      <c r="P677" s="14" t="s">
        <v>533</v>
      </c>
      <c r="Q677" s="14" t="s">
        <v>533</v>
      </c>
      <c r="R677" s="16" t="str">
        <f t="shared" si="2"/>
        <v>Igual</v>
      </c>
    </row>
    <row r="678">
      <c r="A678" s="7"/>
      <c r="B678" s="16"/>
      <c r="C678" s="12"/>
      <c r="D678" s="12"/>
      <c r="E678" s="9"/>
      <c r="F678" s="10"/>
      <c r="G678" s="11"/>
      <c r="H678" s="9"/>
      <c r="I678" s="31"/>
      <c r="J678" s="9"/>
      <c r="K678" s="9"/>
      <c r="L678" s="21" t="s">
        <v>71</v>
      </c>
      <c r="M678" s="30" t="s">
        <v>2032</v>
      </c>
      <c r="N678" s="30" t="s">
        <v>2033</v>
      </c>
      <c r="O678" s="31"/>
      <c r="P678" s="14" t="s">
        <v>533</v>
      </c>
      <c r="Q678" s="14" t="s">
        <v>562</v>
      </c>
      <c r="R678" s="16" t="str">
        <f t="shared" si="2"/>
        <v>Diferente</v>
      </c>
    </row>
    <row r="679">
      <c r="A679" s="7" t="s">
        <v>343</v>
      </c>
      <c r="B679" s="14" t="s">
        <v>1057</v>
      </c>
      <c r="C679" s="12"/>
      <c r="D679" s="17" t="s">
        <v>1541</v>
      </c>
      <c r="E679" s="9" t="s">
        <v>344</v>
      </c>
      <c r="F679" s="10" t="s">
        <v>345</v>
      </c>
      <c r="G679" s="11">
        <v>2023.0</v>
      </c>
      <c r="H679" s="9" t="s">
        <v>346</v>
      </c>
      <c r="I679" s="29" t="s">
        <v>528</v>
      </c>
      <c r="J679" s="9"/>
      <c r="K679" s="9" t="s">
        <v>152</v>
      </c>
      <c r="L679" s="21" t="s">
        <v>25</v>
      </c>
      <c r="M679" s="30"/>
      <c r="N679" s="46"/>
      <c r="O679" s="31"/>
      <c r="P679" s="16"/>
      <c r="Q679" s="16"/>
      <c r="R679" s="16" t="str">
        <f t="shared" si="2"/>
        <v/>
      </c>
    </row>
    <row r="680">
      <c r="A680" s="7"/>
      <c r="B680" s="16"/>
      <c r="C680" s="12"/>
      <c r="D680" s="12"/>
      <c r="E680" s="9"/>
      <c r="F680" s="10"/>
      <c r="G680" s="11"/>
      <c r="H680" s="9"/>
      <c r="I680" s="31"/>
      <c r="J680" s="9"/>
      <c r="K680" s="9"/>
      <c r="L680" s="21" t="s">
        <v>31</v>
      </c>
      <c r="M680" s="30"/>
      <c r="N680" s="46"/>
      <c r="O680" s="31"/>
      <c r="P680" s="16"/>
      <c r="Q680" s="16"/>
      <c r="R680" s="16" t="str">
        <f t="shared" si="2"/>
        <v/>
      </c>
    </row>
    <row r="681">
      <c r="A681" s="7"/>
      <c r="B681" s="16"/>
      <c r="C681" s="12"/>
      <c r="D681" s="12"/>
      <c r="E681" s="9"/>
      <c r="F681" s="10"/>
      <c r="G681" s="11"/>
      <c r="H681" s="9"/>
      <c r="I681" s="31"/>
      <c r="J681" s="9"/>
      <c r="K681" s="9"/>
      <c r="L681" s="21" t="s">
        <v>36</v>
      </c>
      <c r="M681" s="30"/>
      <c r="N681" s="46"/>
      <c r="O681" s="31"/>
      <c r="P681" s="16"/>
      <c r="Q681" s="16"/>
      <c r="R681" s="16" t="str">
        <f t="shared" si="2"/>
        <v/>
      </c>
    </row>
    <row r="682">
      <c r="A682" s="7"/>
      <c r="B682" s="16"/>
      <c r="C682" s="12"/>
      <c r="D682" s="12"/>
      <c r="E682" s="9"/>
      <c r="F682" s="10"/>
      <c r="G682" s="11"/>
      <c r="H682" s="9"/>
      <c r="I682" s="31"/>
      <c r="J682" s="9"/>
      <c r="K682" s="9"/>
      <c r="L682" s="21" t="s">
        <v>41</v>
      </c>
      <c r="M682" s="30"/>
      <c r="N682" s="46"/>
      <c r="O682" s="31"/>
      <c r="P682" s="16"/>
      <c r="Q682" s="16"/>
      <c r="R682" s="16" t="str">
        <f t="shared" si="2"/>
        <v/>
      </c>
    </row>
    <row r="683">
      <c r="A683" s="7"/>
      <c r="B683" s="16"/>
      <c r="C683" s="12"/>
      <c r="D683" s="12"/>
      <c r="E683" s="9"/>
      <c r="F683" s="10"/>
      <c r="G683" s="11"/>
      <c r="H683" s="9"/>
      <c r="I683" s="31"/>
      <c r="J683" s="9"/>
      <c r="K683" s="9"/>
      <c r="L683" s="21" t="s">
        <v>47</v>
      </c>
      <c r="M683" s="30"/>
      <c r="N683" s="46"/>
      <c r="O683" s="31"/>
      <c r="P683" s="16"/>
      <c r="Q683" s="16"/>
      <c r="R683" s="16" t="str">
        <f t="shared" si="2"/>
        <v/>
      </c>
    </row>
    <row r="684">
      <c r="A684" s="7"/>
      <c r="B684" s="16"/>
      <c r="C684" s="12"/>
      <c r="D684" s="12"/>
      <c r="E684" s="9"/>
      <c r="F684" s="10"/>
      <c r="G684" s="11"/>
      <c r="H684" s="9"/>
      <c r="I684" s="31"/>
      <c r="J684" s="9"/>
      <c r="K684" s="9"/>
      <c r="L684" s="21" t="s">
        <v>53</v>
      </c>
      <c r="M684" s="30"/>
      <c r="N684" s="46"/>
      <c r="O684" s="31"/>
      <c r="P684" s="16"/>
      <c r="Q684" s="16"/>
      <c r="R684" s="16" t="str">
        <f t="shared" si="2"/>
        <v/>
      </c>
    </row>
    <row r="685">
      <c r="A685" s="7"/>
      <c r="B685" s="16"/>
      <c r="C685" s="12"/>
      <c r="D685" s="12"/>
      <c r="E685" s="9"/>
      <c r="F685" s="10"/>
      <c r="G685" s="11"/>
      <c r="H685" s="9"/>
      <c r="I685" s="31"/>
      <c r="J685" s="9"/>
      <c r="K685" s="9"/>
      <c r="L685" s="21" t="s">
        <v>59</v>
      </c>
      <c r="M685" s="30"/>
      <c r="N685" s="46"/>
      <c r="O685" s="31"/>
      <c r="P685" s="16"/>
      <c r="Q685" s="16"/>
      <c r="R685" s="16" t="str">
        <f t="shared" si="2"/>
        <v/>
      </c>
    </row>
    <row r="686">
      <c r="A686" s="7"/>
      <c r="B686" s="16"/>
      <c r="C686" s="12"/>
      <c r="D686" s="12"/>
      <c r="E686" s="9"/>
      <c r="F686" s="10"/>
      <c r="G686" s="11"/>
      <c r="H686" s="9"/>
      <c r="I686" s="31"/>
      <c r="J686" s="9"/>
      <c r="K686" s="9"/>
      <c r="L686" s="21" t="s">
        <v>65</v>
      </c>
      <c r="M686" s="30"/>
      <c r="N686" s="46"/>
      <c r="O686" s="31"/>
      <c r="P686" s="16"/>
      <c r="Q686" s="16"/>
      <c r="R686" s="16" t="str">
        <f t="shared" si="2"/>
        <v/>
      </c>
    </row>
    <row r="687">
      <c r="A687" s="7"/>
      <c r="B687" s="16"/>
      <c r="C687" s="12"/>
      <c r="D687" s="12"/>
      <c r="E687" s="9"/>
      <c r="F687" s="10"/>
      <c r="G687" s="11"/>
      <c r="H687" s="9"/>
      <c r="I687" s="31"/>
      <c r="J687" s="9"/>
      <c r="K687" s="9"/>
      <c r="L687" s="21" t="s">
        <v>71</v>
      </c>
      <c r="M687" s="30"/>
      <c r="N687" s="46"/>
      <c r="O687" s="31"/>
      <c r="P687" s="16"/>
      <c r="Q687" s="16"/>
      <c r="R687" s="16" t="str">
        <f t="shared" si="2"/>
        <v/>
      </c>
    </row>
    <row r="688">
      <c r="A688" s="7" t="s">
        <v>347</v>
      </c>
      <c r="B688" s="14" t="s">
        <v>1057</v>
      </c>
      <c r="C688" s="12"/>
      <c r="D688" s="17" t="s">
        <v>1541</v>
      </c>
      <c r="E688" s="9" t="s">
        <v>348</v>
      </c>
      <c r="F688" s="10" t="s">
        <v>349</v>
      </c>
      <c r="G688" s="11">
        <v>2025.0</v>
      </c>
      <c r="H688" s="9" t="s">
        <v>350</v>
      </c>
      <c r="I688" s="29" t="s">
        <v>528</v>
      </c>
      <c r="J688" s="9"/>
      <c r="K688" s="9" t="s">
        <v>152</v>
      </c>
      <c r="L688" s="21" t="s">
        <v>25</v>
      </c>
      <c r="M688" s="30"/>
      <c r="N688" s="46"/>
      <c r="O688" s="31"/>
      <c r="P688" s="16"/>
      <c r="Q688" s="16"/>
      <c r="R688" s="16" t="str">
        <f t="shared" si="2"/>
        <v/>
      </c>
    </row>
    <row r="689">
      <c r="A689" s="7"/>
      <c r="B689" s="16"/>
      <c r="C689" s="12"/>
      <c r="D689" s="12"/>
      <c r="E689" s="9"/>
      <c r="F689" s="10"/>
      <c r="G689" s="11"/>
      <c r="H689" s="9"/>
      <c r="I689" s="31"/>
      <c r="J689" s="9"/>
      <c r="K689" s="9"/>
      <c r="L689" s="21" t="s">
        <v>31</v>
      </c>
      <c r="M689" s="30"/>
      <c r="N689" s="46"/>
      <c r="O689" s="31"/>
      <c r="P689" s="16"/>
      <c r="Q689" s="16"/>
      <c r="R689" s="16" t="str">
        <f t="shared" si="2"/>
        <v/>
      </c>
    </row>
    <row r="690">
      <c r="A690" s="7"/>
      <c r="B690" s="16"/>
      <c r="C690" s="12"/>
      <c r="D690" s="12"/>
      <c r="E690" s="9"/>
      <c r="F690" s="10"/>
      <c r="G690" s="11"/>
      <c r="H690" s="9"/>
      <c r="I690" s="31"/>
      <c r="J690" s="9"/>
      <c r="K690" s="9"/>
      <c r="L690" s="21" t="s">
        <v>36</v>
      </c>
      <c r="M690" s="30"/>
      <c r="N690" s="46"/>
      <c r="O690" s="31"/>
      <c r="P690" s="16"/>
      <c r="Q690" s="16"/>
      <c r="R690" s="16" t="str">
        <f t="shared" si="2"/>
        <v/>
      </c>
    </row>
    <row r="691">
      <c r="A691" s="7"/>
      <c r="B691" s="16"/>
      <c r="C691" s="12"/>
      <c r="D691" s="12"/>
      <c r="E691" s="9"/>
      <c r="F691" s="10"/>
      <c r="G691" s="11"/>
      <c r="H691" s="9"/>
      <c r="I691" s="31"/>
      <c r="J691" s="9"/>
      <c r="K691" s="9"/>
      <c r="L691" s="21" t="s">
        <v>41</v>
      </c>
      <c r="M691" s="30"/>
      <c r="N691" s="46"/>
      <c r="O691" s="31"/>
      <c r="P691" s="16"/>
      <c r="Q691" s="16"/>
      <c r="R691" s="16" t="str">
        <f t="shared" si="2"/>
        <v/>
      </c>
    </row>
    <row r="692">
      <c r="A692" s="7"/>
      <c r="B692" s="16"/>
      <c r="C692" s="12"/>
      <c r="D692" s="12"/>
      <c r="E692" s="9"/>
      <c r="F692" s="10"/>
      <c r="G692" s="11"/>
      <c r="H692" s="9"/>
      <c r="I692" s="31"/>
      <c r="J692" s="9"/>
      <c r="K692" s="9"/>
      <c r="L692" s="21" t="s">
        <v>47</v>
      </c>
      <c r="M692" s="30"/>
      <c r="N692" s="46"/>
      <c r="O692" s="31"/>
      <c r="P692" s="16"/>
      <c r="Q692" s="16"/>
      <c r="R692" s="16" t="str">
        <f t="shared" si="2"/>
        <v/>
      </c>
    </row>
    <row r="693">
      <c r="A693" s="7"/>
      <c r="B693" s="16"/>
      <c r="C693" s="12"/>
      <c r="D693" s="12"/>
      <c r="E693" s="9"/>
      <c r="F693" s="10"/>
      <c r="G693" s="11"/>
      <c r="H693" s="9"/>
      <c r="I693" s="31"/>
      <c r="J693" s="9"/>
      <c r="K693" s="9"/>
      <c r="L693" s="21" t="s">
        <v>53</v>
      </c>
      <c r="M693" s="30"/>
      <c r="N693" s="46"/>
      <c r="O693" s="31"/>
      <c r="P693" s="16"/>
      <c r="Q693" s="16"/>
      <c r="R693" s="16" t="str">
        <f t="shared" si="2"/>
        <v/>
      </c>
    </row>
    <row r="694">
      <c r="A694" s="7"/>
      <c r="B694" s="16"/>
      <c r="C694" s="12"/>
      <c r="D694" s="12"/>
      <c r="E694" s="9"/>
      <c r="F694" s="10"/>
      <c r="G694" s="11"/>
      <c r="H694" s="9"/>
      <c r="I694" s="31"/>
      <c r="J694" s="9"/>
      <c r="K694" s="9"/>
      <c r="L694" s="21" t="s">
        <v>59</v>
      </c>
      <c r="M694" s="30"/>
      <c r="N694" s="46"/>
      <c r="O694" s="31"/>
      <c r="P694" s="16"/>
      <c r="Q694" s="16"/>
      <c r="R694" s="16" t="str">
        <f t="shared" si="2"/>
        <v/>
      </c>
    </row>
    <row r="695">
      <c r="A695" s="7"/>
      <c r="B695" s="16"/>
      <c r="C695" s="12"/>
      <c r="D695" s="12"/>
      <c r="E695" s="9"/>
      <c r="F695" s="10"/>
      <c r="G695" s="11"/>
      <c r="H695" s="9"/>
      <c r="I695" s="31"/>
      <c r="J695" s="9"/>
      <c r="K695" s="9"/>
      <c r="L695" s="21" t="s">
        <v>65</v>
      </c>
      <c r="M695" s="30"/>
      <c r="N695" s="46"/>
      <c r="O695" s="31"/>
      <c r="P695" s="16"/>
      <c r="Q695" s="16"/>
      <c r="R695" s="16" t="str">
        <f t="shared" si="2"/>
        <v/>
      </c>
    </row>
    <row r="696">
      <c r="A696" s="7"/>
      <c r="B696" s="16"/>
      <c r="C696" s="12"/>
      <c r="D696" s="12"/>
      <c r="E696" s="9"/>
      <c r="F696" s="10"/>
      <c r="G696" s="11"/>
      <c r="H696" s="9"/>
      <c r="I696" s="31"/>
      <c r="J696" s="9"/>
      <c r="K696" s="9"/>
      <c r="L696" s="21" t="s">
        <v>71</v>
      </c>
      <c r="M696" s="30"/>
      <c r="N696" s="46"/>
      <c r="O696" s="31"/>
      <c r="P696" s="16"/>
      <c r="Q696" s="16"/>
      <c r="R696" s="16" t="str">
        <f t="shared" si="2"/>
        <v/>
      </c>
    </row>
    <row r="697">
      <c r="A697" s="7" t="s">
        <v>351</v>
      </c>
      <c r="B697" s="14" t="s">
        <v>1057</v>
      </c>
      <c r="C697" s="12"/>
      <c r="D697" s="17" t="s">
        <v>1541</v>
      </c>
      <c r="E697" s="9" t="s">
        <v>352</v>
      </c>
      <c r="F697" s="10" t="s">
        <v>353</v>
      </c>
      <c r="G697" s="11">
        <v>2025.0</v>
      </c>
      <c r="H697" s="9" t="s">
        <v>354</v>
      </c>
      <c r="I697" s="29" t="s">
        <v>680</v>
      </c>
      <c r="J697" s="9"/>
      <c r="K697" s="9" t="s">
        <v>152</v>
      </c>
      <c r="L697" s="21" t="s">
        <v>25</v>
      </c>
      <c r="M697" s="30"/>
      <c r="N697" s="46"/>
      <c r="O697" s="31"/>
      <c r="P697" s="16"/>
      <c r="Q697" s="16"/>
      <c r="R697" s="16" t="str">
        <f t="shared" si="2"/>
        <v/>
      </c>
    </row>
    <row r="698">
      <c r="A698" s="7"/>
      <c r="B698" s="16"/>
      <c r="C698" s="12"/>
      <c r="D698" s="12"/>
      <c r="E698" s="9"/>
      <c r="F698" s="10"/>
      <c r="G698" s="11"/>
      <c r="H698" s="9"/>
      <c r="I698" s="31"/>
      <c r="J698" s="9"/>
      <c r="K698" s="9"/>
      <c r="L698" s="21" t="s">
        <v>31</v>
      </c>
      <c r="M698" s="30"/>
      <c r="N698" s="46"/>
      <c r="O698" s="31"/>
      <c r="P698" s="16"/>
      <c r="Q698" s="16"/>
      <c r="R698" s="16" t="str">
        <f t="shared" si="2"/>
        <v/>
      </c>
    </row>
    <row r="699">
      <c r="A699" s="7"/>
      <c r="B699" s="16"/>
      <c r="C699" s="12"/>
      <c r="D699" s="12"/>
      <c r="E699" s="9"/>
      <c r="F699" s="10"/>
      <c r="G699" s="11"/>
      <c r="H699" s="9"/>
      <c r="I699" s="31"/>
      <c r="J699" s="9"/>
      <c r="K699" s="9"/>
      <c r="L699" s="21" t="s">
        <v>36</v>
      </c>
      <c r="M699" s="30"/>
      <c r="N699" s="46"/>
      <c r="O699" s="31"/>
      <c r="P699" s="16"/>
      <c r="Q699" s="16"/>
      <c r="R699" s="16" t="str">
        <f t="shared" si="2"/>
        <v/>
      </c>
    </row>
    <row r="700">
      <c r="A700" s="7"/>
      <c r="B700" s="16"/>
      <c r="C700" s="12"/>
      <c r="D700" s="12"/>
      <c r="E700" s="9"/>
      <c r="F700" s="10"/>
      <c r="G700" s="11"/>
      <c r="H700" s="9"/>
      <c r="I700" s="31"/>
      <c r="J700" s="9"/>
      <c r="K700" s="9"/>
      <c r="L700" s="21" t="s">
        <v>41</v>
      </c>
      <c r="M700" s="30"/>
      <c r="N700" s="46"/>
      <c r="O700" s="31"/>
      <c r="P700" s="16"/>
      <c r="Q700" s="16"/>
      <c r="R700" s="16" t="str">
        <f t="shared" si="2"/>
        <v/>
      </c>
    </row>
    <row r="701">
      <c r="A701" s="7"/>
      <c r="B701" s="16"/>
      <c r="C701" s="12"/>
      <c r="D701" s="12"/>
      <c r="E701" s="9"/>
      <c r="F701" s="10"/>
      <c r="G701" s="11"/>
      <c r="H701" s="9"/>
      <c r="I701" s="31"/>
      <c r="J701" s="9"/>
      <c r="K701" s="9"/>
      <c r="L701" s="21" t="s">
        <v>47</v>
      </c>
      <c r="M701" s="30"/>
      <c r="N701" s="46"/>
      <c r="O701" s="31"/>
      <c r="P701" s="16"/>
      <c r="Q701" s="16"/>
      <c r="R701" s="16" t="str">
        <f t="shared" si="2"/>
        <v/>
      </c>
    </row>
    <row r="702">
      <c r="A702" s="7"/>
      <c r="B702" s="16"/>
      <c r="C702" s="12"/>
      <c r="D702" s="12"/>
      <c r="E702" s="9"/>
      <c r="F702" s="10"/>
      <c r="G702" s="11"/>
      <c r="H702" s="9"/>
      <c r="I702" s="31"/>
      <c r="J702" s="9"/>
      <c r="K702" s="9"/>
      <c r="L702" s="21" t="s">
        <v>53</v>
      </c>
      <c r="M702" s="30"/>
      <c r="N702" s="46"/>
      <c r="O702" s="31"/>
      <c r="P702" s="16"/>
      <c r="Q702" s="16"/>
      <c r="R702" s="16" t="str">
        <f t="shared" si="2"/>
        <v/>
      </c>
    </row>
    <row r="703">
      <c r="A703" s="7"/>
      <c r="B703" s="16"/>
      <c r="C703" s="12"/>
      <c r="D703" s="12"/>
      <c r="E703" s="9"/>
      <c r="F703" s="10"/>
      <c r="G703" s="11"/>
      <c r="H703" s="9"/>
      <c r="I703" s="31"/>
      <c r="J703" s="9"/>
      <c r="K703" s="9"/>
      <c r="L703" s="21" t="s">
        <v>59</v>
      </c>
      <c r="M703" s="30"/>
      <c r="N703" s="46"/>
      <c r="O703" s="31"/>
      <c r="P703" s="16"/>
      <c r="Q703" s="16"/>
      <c r="R703" s="16" t="str">
        <f t="shared" si="2"/>
        <v/>
      </c>
    </row>
    <row r="704">
      <c r="A704" s="7"/>
      <c r="B704" s="16"/>
      <c r="C704" s="12"/>
      <c r="D704" s="12"/>
      <c r="E704" s="9"/>
      <c r="F704" s="10"/>
      <c r="G704" s="11"/>
      <c r="H704" s="9"/>
      <c r="I704" s="31"/>
      <c r="J704" s="9"/>
      <c r="K704" s="9"/>
      <c r="L704" s="21" t="s">
        <v>65</v>
      </c>
      <c r="M704" s="30"/>
      <c r="N704" s="46"/>
      <c r="O704" s="31"/>
      <c r="P704" s="16"/>
      <c r="Q704" s="16"/>
      <c r="R704" s="16" t="str">
        <f t="shared" si="2"/>
        <v/>
      </c>
    </row>
    <row r="705">
      <c r="A705" s="7"/>
      <c r="B705" s="16"/>
      <c r="C705" s="12"/>
      <c r="D705" s="12"/>
      <c r="E705" s="9"/>
      <c r="F705" s="10"/>
      <c r="G705" s="11"/>
      <c r="H705" s="9"/>
      <c r="I705" s="31"/>
      <c r="J705" s="9"/>
      <c r="K705" s="9"/>
      <c r="L705" s="21" t="s">
        <v>71</v>
      </c>
      <c r="M705" s="30"/>
      <c r="N705" s="46"/>
      <c r="O705" s="31"/>
      <c r="P705" s="16"/>
      <c r="Q705" s="16"/>
      <c r="R705" s="16" t="str">
        <f t="shared" si="2"/>
        <v/>
      </c>
    </row>
    <row r="706">
      <c r="A706" s="7" t="s">
        <v>355</v>
      </c>
      <c r="B706" s="14" t="s">
        <v>20</v>
      </c>
      <c r="C706" s="12"/>
      <c r="D706" s="17" t="s">
        <v>1541</v>
      </c>
      <c r="E706" s="9" t="s">
        <v>356</v>
      </c>
      <c r="F706" s="10" t="s">
        <v>357</v>
      </c>
      <c r="G706" s="11">
        <v>2025.0</v>
      </c>
      <c r="H706" s="9" t="s">
        <v>358</v>
      </c>
      <c r="I706" s="29" t="s">
        <v>680</v>
      </c>
      <c r="J706" s="9"/>
      <c r="K706" s="9" t="s">
        <v>152</v>
      </c>
      <c r="L706" s="21" t="s">
        <v>25</v>
      </c>
      <c r="M706" s="30"/>
      <c r="N706" s="46"/>
      <c r="O706" s="31"/>
      <c r="P706" s="16"/>
      <c r="Q706" s="16"/>
      <c r="R706" s="16" t="str">
        <f t="shared" si="2"/>
        <v/>
      </c>
    </row>
    <row r="707">
      <c r="A707" s="7"/>
      <c r="B707" s="16"/>
      <c r="C707" s="12"/>
      <c r="D707" s="12"/>
      <c r="E707" s="9"/>
      <c r="F707" s="10"/>
      <c r="G707" s="11"/>
      <c r="H707" s="9"/>
      <c r="I707" s="31"/>
      <c r="J707" s="9"/>
      <c r="K707" s="9"/>
      <c r="L707" s="21" t="s">
        <v>31</v>
      </c>
      <c r="M707" s="30" t="s">
        <v>2034</v>
      </c>
      <c r="N707" s="46"/>
      <c r="O707" s="31"/>
      <c r="P707" s="16"/>
      <c r="Q707" s="16"/>
      <c r="R707" s="16" t="str">
        <f t="shared" si="2"/>
        <v/>
      </c>
    </row>
    <row r="708">
      <c r="A708" s="7"/>
      <c r="B708" s="16"/>
      <c r="C708" s="12"/>
      <c r="D708" s="12"/>
      <c r="E708" s="9"/>
      <c r="F708" s="10"/>
      <c r="G708" s="11"/>
      <c r="H708" s="9"/>
      <c r="I708" s="31"/>
      <c r="J708" s="9"/>
      <c r="K708" s="9"/>
      <c r="L708" s="21" t="s">
        <v>36</v>
      </c>
      <c r="M708" s="46"/>
      <c r="N708" s="46"/>
      <c r="O708" s="31"/>
      <c r="P708" s="16"/>
      <c r="Q708" s="16"/>
      <c r="R708" s="16" t="str">
        <f t="shared" si="2"/>
        <v/>
      </c>
    </row>
    <row r="709">
      <c r="A709" s="7"/>
      <c r="B709" s="16"/>
      <c r="C709" s="12"/>
      <c r="D709" s="12"/>
      <c r="E709" s="9"/>
      <c r="F709" s="10"/>
      <c r="G709" s="11"/>
      <c r="H709" s="9"/>
      <c r="I709" s="31"/>
      <c r="J709" s="9"/>
      <c r="K709" s="9"/>
      <c r="L709" s="21" t="s">
        <v>41</v>
      </c>
      <c r="M709" s="30" t="s">
        <v>2034</v>
      </c>
      <c r="N709" s="46"/>
      <c r="O709" s="31"/>
      <c r="P709" s="16"/>
      <c r="Q709" s="16"/>
      <c r="R709" s="16" t="str">
        <f t="shared" si="2"/>
        <v/>
      </c>
    </row>
    <row r="710">
      <c r="A710" s="7"/>
      <c r="B710" s="16"/>
      <c r="C710" s="12"/>
      <c r="D710" s="12"/>
      <c r="E710" s="9"/>
      <c r="F710" s="10"/>
      <c r="G710" s="11"/>
      <c r="H710" s="9"/>
      <c r="I710" s="31"/>
      <c r="J710" s="9"/>
      <c r="K710" s="9"/>
      <c r="L710" s="21" t="s">
        <v>47</v>
      </c>
      <c r="M710" s="46"/>
      <c r="N710" s="46"/>
      <c r="O710" s="31"/>
      <c r="P710" s="16"/>
      <c r="Q710" s="16"/>
      <c r="R710" s="16" t="str">
        <f t="shared" si="2"/>
        <v/>
      </c>
    </row>
    <row r="711">
      <c r="A711" s="7"/>
      <c r="B711" s="16"/>
      <c r="C711" s="12"/>
      <c r="D711" s="12"/>
      <c r="E711" s="9"/>
      <c r="F711" s="10"/>
      <c r="G711" s="11"/>
      <c r="H711" s="9"/>
      <c r="I711" s="31"/>
      <c r="J711" s="9"/>
      <c r="K711" s="9"/>
      <c r="L711" s="21" t="s">
        <v>53</v>
      </c>
      <c r="M711" s="46"/>
      <c r="N711" s="46"/>
      <c r="O711" s="31"/>
      <c r="P711" s="16"/>
      <c r="Q711" s="16"/>
      <c r="R711" s="16" t="str">
        <f t="shared" si="2"/>
        <v/>
      </c>
    </row>
    <row r="712">
      <c r="A712" s="7"/>
      <c r="B712" s="16"/>
      <c r="C712" s="12"/>
      <c r="D712" s="12"/>
      <c r="E712" s="9"/>
      <c r="F712" s="10"/>
      <c r="G712" s="11"/>
      <c r="H712" s="9"/>
      <c r="I712" s="31"/>
      <c r="J712" s="9"/>
      <c r="K712" s="9"/>
      <c r="L712" s="21" t="s">
        <v>59</v>
      </c>
      <c r="M712" s="46"/>
      <c r="N712" s="46"/>
      <c r="O712" s="31"/>
      <c r="P712" s="16"/>
      <c r="Q712" s="16"/>
      <c r="R712" s="16" t="str">
        <f t="shared" si="2"/>
        <v/>
      </c>
    </row>
    <row r="713">
      <c r="A713" s="7"/>
      <c r="B713" s="16"/>
      <c r="C713" s="12"/>
      <c r="D713" s="12"/>
      <c r="E713" s="9"/>
      <c r="F713" s="10"/>
      <c r="G713" s="11"/>
      <c r="H713" s="9"/>
      <c r="I713" s="31"/>
      <c r="J713" s="9"/>
      <c r="K713" s="9"/>
      <c r="L713" s="21" t="s">
        <v>65</v>
      </c>
      <c r="M713" s="46"/>
      <c r="N713" s="46"/>
      <c r="O713" s="31"/>
      <c r="P713" s="16"/>
      <c r="Q713" s="16"/>
      <c r="R713" s="16" t="str">
        <f t="shared" si="2"/>
        <v/>
      </c>
    </row>
    <row r="714">
      <c r="A714" s="7"/>
      <c r="B714" s="16"/>
      <c r="C714" s="12"/>
      <c r="D714" s="12"/>
      <c r="E714" s="9"/>
      <c r="F714" s="10"/>
      <c r="G714" s="11"/>
      <c r="H714" s="9"/>
      <c r="I714" s="31"/>
      <c r="J714" s="9"/>
      <c r="K714" s="9"/>
      <c r="L714" s="21" t="s">
        <v>71</v>
      </c>
      <c r="M714" s="46"/>
      <c r="N714" s="46"/>
      <c r="O714" s="31"/>
      <c r="P714" s="16"/>
      <c r="Q714" s="16"/>
      <c r="R714" s="16" t="str">
        <f t="shared" si="2"/>
        <v/>
      </c>
    </row>
    <row r="715">
      <c r="A715" s="7" t="s">
        <v>359</v>
      </c>
      <c r="B715" s="14" t="s">
        <v>20</v>
      </c>
      <c r="C715" s="12"/>
      <c r="D715" s="12"/>
      <c r="E715" s="9" t="s">
        <v>360</v>
      </c>
      <c r="F715" s="10" t="s">
        <v>361</v>
      </c>
      <c r="G715" s="11">
        <v>2023.0</v>
      </c>
      <c r="H715" s="9" t="s">
        <v>362</v>
      </c>
      <c r="I715" s="29" t="s">
        <v>998</v>
      </c>
      <c r="J715" s="9"/>
      <c r="K715" s="9" t="s">
        <v>152</v>
      </c>
      <c r="L715" s="21" t="s">
        <v>25</v>
      </c>
      <c r="M715" s="46"/>
      <c r="N715" s="46"/>
      <c r="O715" s="31"/>
      <c r="P715" s="16"/>
      <c r="Q715" s="16"/>
      <c r="R715" s="16" t="str">
        <f t="shared" si="2"/>
        <v/>
      </c>
    </row>
    <row r="716">
      <c r="A716" s="7"/>
      <c r="B716" s="16"/>
      <c r="C716" s="12"/>
      <c r="D716" s="12"/>
      <c r="E716" s="9"/>
      <c r="F716" s="10"/>
      <c r="G716" s="11"/>
      <c r="H716" s="9"/>
      <c r="I716" s="31"/>
      <c r="J716" s="9"/>
      <c r="K716" s="9"/>
      <c r="L716" s="21" t="s">
        <v>31</v>
      </c>
      <c r="M716" s="46"/>
      <c r="N716" s="46"/>
      <c r="O716" s="31"/>
      <c r="P716" s="16"/>
      <c r="Q716" s="16"/>
      <c r="R716" s="16" t="str">
        <f t="shared" si="2"/>
        <v/>
      </c>
    </row>
    <row r="717">
      <c r="A717" s="7"/>
      <c r="B717" s="16"/>
      <c r="C717" s="12"/>
      <c r="D717" s="12"/>
      <c r="E717" s="9"/>
      <c r="F717" s="10"/>
      <c r="G717" s="11"/>
      <c r="H717" s="9"/>
      <c r="I717" s="31"/>
      <c r="J717" s="9"/>
      <c r="K717" s="9"/>
      <c r="L717" s="21" t="s">
        <v>36</v>
      </c>
      <c r="M717" s="46"/>
      <c r="N717" s="46"/>
      <c r="O717" s="31"/>
      <c r="P717" s="16"/>
      <c r="Q717" s="16"/>
      <c r="R717" s="16" t="str">
        <f t="shared" si="2"/>
        <v/>
      </c>
    </row>
    <row r="718">
      <c r="A718" s="7"/>
      <c r="B718" s="16"/>
      <c r="C718" s="12"/>
      <c r="D718" s="12"/>
      <c r="E718" s="9"/>
      <c r="F718" s="10"/>
      <c r="G718" s="11"/>
      <c r="H718" s="9"/>
      <c r="I718" s="31"/>
      <c r="J718" s="9"/>
      <c r="K718" s="9"/>
      <c r="L718" s="21" t="s">
        <v>41</v>
      </c>
      <c r="M718" s="46"/>
      <c r="N718" s="46"/>
      <c r="O718" s="31"/>
      <c r="P718" s="16"/>
      <c r="Q718" s="16"/>
      <c r="R718" s="16" t="str">
        <f t="shared" si="2"/>
        <v/>
      </c>
    </row>
    <row r="719">
      <c r="A719" s="7"/>
      <c r="B719" s="16"/>
      <c r="C719" s="12"/>
      <c r="D719" s="12"/>
      <c r="E719" s="9"/>
      <c r="F719" s="10"/>
      <c r="G719" s="11"/>
      <c r="H719" s="9"/>
      <c r="I719" s="31"/>
      <c r="J719" s="9"/>
      <c r="K719" s="9"/>
      <c r="L719" s="21" t="s">
        <v>47</v>
      </c>
      <c r="M719" s="46"/>
      <c r="N719" s="46"/>
      <c r="O719" s="31"/>
      <c r="P719" s="16"/>
      <c r="Q719" s="16"/>
      <c r="R719" s="16" t="str">
        <f t="shared" si="2"/>
        <v/>
      </c>
    </row>
    <row r="720">
      <c r="A720" s="7"/>
      <c r="B720" s="16"/>
      <c r="C720" s="12"/>
      <c r="D720" s="12"/>
      <c r="E720" s="9"/>
      <c r="F720" s="10"/>
      <c r="G720" s="11"/>
      <c r="H720" s="9"/>
      <c r="I720" s="31"/>
      <c r="J720" s="9"/>
      <c r="K720" s="9"/>
      <c r="L720" s="21" t="s">
        <v>53</v>
      </c>
      <c r="M720" s="46"/>
      <c r="N720" s="46"/>
      <c r="O720" s="31"/>
      <c r="P720" s="16"/>
      <c r="Q720" s="16"/>
      <c r="R720" s="16" t="str">
        <f t="shared" si="2"/>
        <v/>
      </c>
    </row>
    <row r="721">
      <c r="A721" s="7"/>
      <c r="B721" s="16"/>
      <c r="C721" s="12"/>
      <c r="D721" s="12"/>
      <c r="E721" s="9"/>
      <c r="F721" s="10"/>
      <c r="G721" s="11"/>
      <c r="H721" s="9"/>
      <c r="I721" s="31"/>
      <c r="J721" s="9"/>
      <c r="K721" s="9"/>
      <c r="L721" s="21" t="s">
        <v>59</v>
      </c>
      <c r="M721" s="46"/>
      <c r="N721" s="46"/>
      <c r="O721" s="31"/>
      <c r="P721" s="16"/>
      <c r="Q721" s="16"/>
      <c r="R721" s="16" t="str">
        <f t="shared" si="2"/>
        <v/>
      </c>
    </row>
    <row r="722">
      <c r="A722" s="7"/>
      <c r="B722" s="16"/>
      <c r="C722" s="12"/>
      <c r="D722" s="12"/>
      <c r="E722" s="9"/>
      <c r="F722" s="10"/>
      <c r="G722" s="11"/>
      <c r="H722" s="9"/>
      <c r="I722" s="31"/>
      <c r="J722" s="9"/>
      <c r="K722" s="9"/>
      <c r="L722" s="21" t="s">
        <v>65</v>
      </c>
      <c r="M722" s="46"/>
      <c r="N722" s="46"/>
      <c r="O722" s="31"/>
      <c r="P722" s="16"/>
      <c r="Q722" s="16"/>
      <c r="R722" s="16" t="str">
        <f t="shared" si="2"/>
        <v/>
      </c>
    </row>
    <row r="723">
      <c r="A723" s="7"/>
      <c r="B723" s="16"/>
      <c r="C723" s="12"/>
      <c r="D723" s="12"/>
      <c r="E723" s="9"/>
      <c r="F723" s="10"/>
      <c r="G723" s="11"/>
      <c r="H723" s="9"/>
      <c r="I723" s="31"/>
      <c r="J723" s="9"/>
      <c r="K723" s="9"/>
      <c r="L723" s="21" t="s">
        <v>71</v>
      </c>
      <c r="M723" s="46"/>
      <c r="N723" s="46"/>
      <c r="O723" s="31"/>
      <c r="P723" s="16"/>
      <c r="Q723" s="16"/>
      <c r="R723" s="16" t="str">
        <f t="shared" si="2"/>
        <v/>
      </c>
    </row>
    <row r="724">
      <c r="A724" s="7" t="s">
        <v>363</v>
      </c>
      <c r="B724" s="14" t="s">
        <v>20</v>
      </c>
      <c r="C724" s="12"/>
      <c r="D724" s="17" t="s">
        <v>2035</v>
      </c>
      <c r="E724" s="9" t="s">
        <v>364</v>
      </c>
      <c r="F724" s="10" t="s">
        <v>365</v>
      </c>
      <c r="G724" s="11">
        <v>2025.0</v>
      </c>
      <c r="H724" s="9" t="s">
        <v>366</v>
      </c>
      <c r="I724" s="29" t="s">
        <v>565</v>
      </c>
      <c r="J724" s="9"/>
      <c r="K724" s="9" t="s">
        <v>152</v>
      </c>
      <c r="L724" s="21" t="s">
        <v>25</v>
      </c>
      <c r="M724" s="46"/>
      <c r="N724" s="46"/>
      <c r="O724" s="31"/>
      <c r="P724" s="16"/>
      <c r="Q724" s="16"/>
      <c r="R724" s="16" t="str">
        <f t="shared" si="2"/>
        <v/>
      </c>
    </row>
    <row r="725">
      <c r="A725" s="7"/>
      <c r="B725" s="16"/>
      <c r="C725" s="12"/>
      <c r="D725" s="12"/>
      <c r="E725" s="9"/>
      <c r="F725" s="10"/>
      <c r="G725" s="11"/>
      <c r="H725" s="9"/>
      <c r="I725" s="31"/>
      <c r="J725" s="9"/>
      <c r="K725" s="9"/>
      <c r="L725" s="21" t="s">
        <v>31</v>
      </c>
      <c r="M725" s="46"/>
      <c r="N725" s="46"/>
      <c r="O725" s="31"/>
      <c r="P725" s="16"/>
      <c r="Q725" s="16"/>
      <c r="R725" s="16" t="str">
        <f t="shared" si="2"/>
        <v/>
      </c>
    </row>
    <row r="726">
      <c r="A726" s="7"/>
      <c r="B726" s="16"/>
      <c r="C726" s="12"/>
      <c r="D726" s="12"/>
      <c r="E726" s="9"/>
      <c r="F726" s="10"/>
      <c r="G726" s="11"/>
      <c r="H726" s="9"/>
      <c r="I726" s="31"/>
      <c r="J726" s="9"/>
      <c r="K726" s="9"/>
      <c r="L726" s="21" t="s">
        <v>36</v>
      </c>
      <c r="M726" s="46"/>
      <c r="N726" s="46"/>
      <c r="O726" s="31"/>
      <c r="P726" s="16"/>
      <c r="Q726" s="16"/>
      <c r="R726" s="16" t="str">
        <f t="shared" si="2"/>
        <v/>
      </c>
    </row>
    <row r="727">
      <c r="A727" s="7"/>
      <c r="B727" s="16"/>
      <c r="C727" s="12"/>
      <c r="D727" s="12"/>
      <c r="E727" s="9"/>
      <c r="F727" s="10"/>
      <c r="G727" s="11"/>
      <c r="H727" s="9"/>
      <c r="I727" s="31"/>
      <c r="J727" s="9"/>
      <c r="K727" s="9"/>
      <c r="L727" s="21" t="s">
        <v>41</v>
      </c>
      <c r="M727" s="46"/>
      <c r="N727" s="46"/>
      <c r="O727" s="31"/>
      <c r="P727" s="16"/>
      <c r="Q727" s="16"/>
      <c r="R727" s="16" t="str">
        <f t="shared" si="2"/>
        <v/>
      </c>
    </row>
    <row r="728">
      <c r="A728" s="7"/>
      <c r="B728" s="16"/>
      <c r="C728" s="12"/>
      <c r="D728" s="12"/>
      <c r="E728" s="9"/>
      <c r="F728" s="10"/>
      <c r="G728" s="11"/>
      <c r="H728" s="9"/>
      <c r="I728" s="31"/>
      <c r="J728" s="9"/>
      <c r="K728" s="9"/>
      <c r="L728" s="21" t="s">
        <v>47</v>
      </c>
      <c r="M728" s="46"/>
      <c r="N728" s="46"/>
      <c r="O728" s="31"/>
      <c r="P728" s="16"/>
      <c r="Q728" s="16"/>
      <c r="R728" s="16" t="str">
        <f t="shared" si="2"/>
        <v/>
      </c>
    </row>
    <row r="729">
      <c r="A729" s="7"/>
      <c r="B729" s="16"/>
      <c r="C729" s="12"/>
      <c r="D729" s="12"/>
      <c r="E729" s="9"/>
      <c r="F729" s="10"/>
      <c r="G729" s="11"/>
      <c r="H729" s="9"/>
      <c r="I729" s="31"/>
      <c r="J729" s="9"/>
      <c r="K729" s="9"/>
      <c r="L729" s="21" t="s">
        <v>53</v>
      </c>
      <c r="M729" s="46"/>
      <c r="N729" s="46"/>
      <c r="O729" s="31"/>
      <c r="P729" s="16"/>
      <c r="Q729" s="16"/>
      <c r="R729" s="16" t="str">
        <f t="shared" si="2"/>
        <v/>
      </c>
    </row>
    <row r="730">
      <c r="A730" s="7"/>
      <c r="B730" s="16"/>
      <c r="C730" s="12"/>
      <c r="D730" s="12"/>
      <c r="E730" s="9"/>
      <c r="F730" s="10"/>
      <c r="G730" s="11"/>
      <c r="H730" s="9"/>
      <c r="I730" s="31"/>
      <c r="J730" s="9"/>
      <c r="K730" s="9"/>
      <c r="L730" s="21" t="s">
        <v>59</v>
      </c>
      <c r="M730" s="46"/>
      <c r="N730" s="46"/>
      <c r="O730" s="31"/>
      <c r="P730" s="16"/>
      <c r="Q730" s="16"/>
      <c r="R730" s="16" t="str">
        <f t="shared" si="2"/>
        <v/>
      </c>
    </row>
    <row r="731">
      <c r="A731" s="7"/>
      <c r="B731" s="16"/>
      <c r="C731" s="12"/>
      <c r="D731" s="12"/>
      <c r="E731" s="9"/>
      <c r="F731" s="10"/>
      <c r="G731" s="11"/>
      <c r="H731" s="9"/>
      <c r="I731" s="31"/>
      <c r="J731" s="9"/>
      <c r="K731" s="9"/>
      <c r="L731" s="21" t="s">
        <v>65</v>
      </c>
      <c r="M731" s="46"/>
      <c r="N731" s="46"/>
      <c r="O731" s="31"/>
      <c r="P731" s="16"/>
      <c r="Q731" s="16"/>
      <c r="R731" s="16" t="str">
        <f t="shared" si="2"/>
        <v/>
      </c>
    </row>
    <row r="732">
      <c r="A732" s="7"/>
      <c r="B732" s="16"/>
      <c r="C732" s="12"/>
      <c r="D732" s="12"/>
      <c r="E732" s="9"/>
      <c r="F732" s="10"/>
      <c r="G732" s="11"/>
      <c r="H732" s="9"/>
      <c r="I732" s="31"/>
      <c r="J732" s="9"/>
      <c r="K732" s="9"/>
      <c r="L732" s="21" t="s">
        <v>71</v>
      </c>
      <c r="M732" s="46"/>
      <c r="N732" s="46"/>
      <c r="O732" s="31"/>
      <c r="P732" s="16"/>
      <c r="Q732" s="16"/>
      <c r="R732" s="16" t="str">
        <f t="shared" si="2"/>
        <v/>
      </c>
    </row>
    <row r="733">
      <c r="A733" s="7" t="s">
        <v>367</v>
      </c>
      <c r="B733" s="14" t="s">
        <v>20</v>
      </c>
      <c r="C733" s="12"/>
      <c r="D733" s="17" t="s">
        <v>2036</v>
      </c>
      <c r="E733" s="9" t="s">
        <v>368</v>
      </c>
      <c r="F733" s="10" t="s">
        <v>369</v>
      </c>
      <c r="G733" s="11">
        <v>2023.0</v>
      </c>
      <c r="H733" s="9" t="s">
        <v>370</v>
      </c>
      <c r="I733" s="29" t="s">
        <v>715</v>
      </c>
      <c r="J733" s="9"/>
      <c r="K733" s="9" t="s">
        <v>152</v>
      </c>
      <c r="L733" s="21" t="s">
        <v>25</v>
      </c>
      <c r="M733" s="46"/>
      <c r="N733" s="46"/>
      <c r="O733" s="31"/>
      <c r="P733" s="16"/>
      <c r="Q733" s="16"/>
      <c r="R733" s="16" t="str">
        <f t="shared" si="2"/>
        <v/>
      </c>
    </row>
    <row r="734">
      <c r="A734" s="7"/>
      <c r="B734" s="16"/>
      <c r="C734" s="12"/>
      <c r="D734" s="12"/>
      <c r="E734" s="9"/>
      <c r="F734" s="10"/>
      <c r="G734" s="11"/>
      <c r="H734" s="9"/>
      <c r="I734" s="31"/>
      <c r="J734" s="9"/>
      <c r="K734" s="9"/>
      <c r="L734" s="21" t="s">
        <v>31</v>
      </c>
      <c r="M734" s="46"/>
      <c r="N734" s="46"/>
      <c r="O734" s="31"/>
      <c r="P734" s="16"/>
      <c r="Q734" s="16"/>
      <c r="R734" s="16" t="str">
        <f t="shared" si="2"/>
        <v/>
      </c>
    </row>
    <row r="735">
      <c r="A735" s="7"/>
      <c r="B735" s="16"/>
      <c r="C735" s="12"/>
      <c r="D735" s="12"/>
      <c r="E735" s="9"/>
      <c r="F735" s="10"/>
      <c r="G735" s="11"/>
      <c r="H735" s="9"/>
      <c r="I735" s="31"/>
      <c r="J735" s="9"/>
      <c r="K735" s="9"/>
      <c r="L735" s="21" t="s">
        <v>36</v>
      </c>
      <c r="M735" s="46"/>
      <c r="N735" s="46"/>
      <c r="O735" s="31"/>
      <c r="P735" s="16"/>
      <c r="Q735" s="16"/>
      <c r="R735" s="16" t="str">
        <f t="shared" si="2"/>
        <v/>
      </c>
    </row>
    <row r="736">
      <c r="A736" s="7"/>
      <c r="B736" s="16"/>
      <c r="C736" s="12"/>
      <c r="D736" s="12"/>
      <c r="E736" s="9"/>
      <c r="F736" s="10"/>
      <c r="G736" s="11"/>
      <c r="H736" s="9"/>
      <c r="I736" s="31"/>
      <c r="J736" s="9"/>
      <c r="K736" s="9"/>
      <c r="L736" s="21" t="s">
        <v>41</v>
      </c>
      <c r="M736" s="46"/>
      <c r="N736" s="46"/>
      <c r="O736" s="31"/>
      <c r="P736" s="16"/>
      <c r="Q736" s="16"/>
      <c r="R736" s="16" t="str">
        <f t="shared" si="2"/>
        <v/>
      </c>
    </row>
    <row r="737">
      <c r="A737" s="7"/>
      <c r="B737" s="16"/>
      <c r="C737" s="12"/>
      <c r="D737" s="12"/>
      <c r="E737" s="9"/>
      <c r="F737" s="10"/>
      <c r="G737" s="11"/>
      <c r="H737" s="9"/>
      <c r="I737" s="31"/>
      <c r="J737" s="9"/>
      <c r="K737" s="9"/>
      <c r="L737" s="21" t="s">
        <v>47</v>
      </c>
      <c r="M737" s="46"/>
      <c r="N737" s="46"/>
      <c r="O737" s="31"/>
      <c r="P737" s="16"/>
      <c r="Q737" s="16"/>
      <c r="R737" s="16" t="str">
        <f t="shared" si="2"/>
        <v/>
      </c>
    </row>
    <row r="738">
      <c r="A738" s="7"/>
      <c r="B738" s="16"/>
      <c r="C738" s="12"/>
      <c r="D738" s="12"/>
      <c r="E738" s="9"/>
      <c r="F738" s="10"/>
      <c r="G738" s="11"/>
      <c r="H738" s="9"/>
      <c r="I738" s="31"/>
      <c r="J738" s="9"/>
      <c r="K738" s="9"/>
      <c r="L738" s="21" t="s">
        <v>53</v>
      </c>
      <c r="M738" s="46"/>
      <c r="N738" s="46"/>
      <c r="O738" s="31"/>
      <c r="P738" s="16"/>
      <c r="Q738" s="16"/>
      <c r="R738" s="16" t="str">
        <f t="shared" si="2"/>
        <v/>
      </c>
    </row>
    <row r="739">
      <c r="A739" s="7"/>
      <c r="B739" s="16"/>
      <c r="C739" s="12"/>
      <c r="D739" s="12"/>
      <c r="E739" s="9"/>
      <c r="F739" s="10"/>
      <c r="G739" s="11"/>
      <c r="H739" s="9"/>
      <c r="I739" s="31"/>
      <c r="J739" s="9"/>
      <c r="K739" s="9"/>
      <c r="L739" s="21" t="s">
        <v>59</v>
      </c>
      <c r="M739" s="46"/>
      <c r="N739" s="46"/>
      <c r="O739" s="31"/>
      <c r="P739" s="16"/>
      <c r="Q739" s="16"/>
      <c r="R739" s="16" t="str">
        <f t="shared" si="2"/>
        <v/>
      </c>
    </row>
    <row r="740">
      <c r="A740" s="7"/>
      <c r="B740" s="16"/>
      <c r="C740" s="12"/>
      <c r="D740" s="12"/>
      <c r="E740" s="9"/>
      <c r="F740" s="10"/>
      <c r="G740" s="11"/>
      <c r="H740" s="9"/>
      <c r="I740" s="31"/>
      <c r="J740" s="9"/>
      <c r="K740" s="9"/>
      <c r="L740" s="21" t="s">
        <v>65</v>
      </c>
      <c r="M740" s="46"/>
      <c r="N740" s="46"/>
      <c r="O740" s="31"/>
      <c r="P740" s="16"/>
      <c r="Q740" s="16"/>
      <c r="R740" s="16" t="str">
        <f t="shared" si="2"/>
        <v/>
      </c>
    </row>
    <row r="741">
      <c r="A741" s="7"/>
      <c r="B741" s="16"/>
      <c r="C741" s="12"/>
      <c r="D741" s="12"/>
      <c r="E741" s="9"/>
      <c r="F741" s="10"/>
      <c r="G741" s="11"/>
      <c r="H741" s="9"/>
      <c r="I741" s="31"/>
      <c r="J741" s="9"/>
      <c r="K741" s="9"/>
      <c r="L741" s="21" t="s">
        <v>71</v>
      </c>
      <c r="M741" s="46"/>
      <c r="N741" s="46"/>
      <c r="O741" s="31"/>
      <c r="P741" s="16"/>
      <c r="Q741" s="16"/>
      <c r="R741" s="16" t="str">
        <f t="shared" si="2"/>
        <v/>
      </c>
    </row>
    <row r="742">
      <c r="A742" s="7" t="s">
        <v>371</v>
      </c>
      <c r="B742" s="14" t="s">
        <v>1057</v>
      </c>
      <c r="C742" s="12"/>
      <c r="D742" s="17" t="s">
        <v>2037</v>
      </c>
      <c r="E742" s="9" t="s">
        <v>372</v>
      </c>
      <c r="F742" s="10" t="s">
        <v>373</v>
      </c>
      <c r="G742" s="11">
        <v>2024.0</v>
      </c>
      <c r="H742" s="9" t="s">
        <v>374</v>
      </c>
      <c r="I742" s="29" t="s">
        <v>823</v>
      </c>
      <c r="J742" s="9"/>
      <c r="K742" s="9" t="s">
        <v>152</v>
      </c>
      <c r="L742" s="21" t="s">
        <v>25</v>
      </c>
      <c r="M742" s="46"/>
      <c r="N742" s="46"/>
      <c r="O742" s="31"/>
      <c r="P742" s="16"/>
      <c r="Q742" s="16"/>
      <c r="R742" s="16" t="str">
        <f t="shared" si="2"/>
        <v/>
      </c>
    </row>
    <row r="743">
      <c r="A743" s="7"/>
      <c r="B743" s="16"/>
      <c r="C743" s="12"/>
      <c r="D743" s="12"/>
      <c r="E743" s="9"/>
      <c r="F743" s="10"/>
      <c r="G743" s="11"/>
      <c r="H743" s="9"/>
      <c r="I743" s="31"/>
      <c r="J743" s="13"/>
      <c r="K743" s="13"/>
      <c r="L743" s="21" t="s">
        <v>31</v>
      </c>
      <c r="M743" s="46"/>
      <c r="N743" s="46"/>
      <c r="O743" s="31"/>
      <c r="P743" s="16"/>
      <c r="Q743" s="16"/>
      <c r="R743" s="16" t="str">
        <f t="shared" si="2"/>
        <v/>
      </c>
    </row>
    <row r="744">
      <c r="A744" s="7"/>
      <c r="B744" s="16"/>
      <c r="C744" s="12"/>
      <c r="D744" s="12"/>
      <c r="E744" s="9"/>
      <c r="F744" s="10"/>
      <c r="G744" s="11"/>
      <c r="H744" s="9"/>
      <c r="I744" s="31"/>
      <c r="J744" s="13"/>
      <c r="K744" s="13"/>
      <c r="L744" s="21" t="s">
        <v>36</v>
      </c>
      <c r="M744" s="46"/>
      <c r="N744" s="46"/>
      <c r="O744" s="31"/>
      <c r="P744" s="16"/>
      <c r="Q744" s="16"/>
      <c r="R744" s="16" t="str">
        <f t="shared" si="2"/>
        <v/>
      </c>
    </row>
    <row r="745">
      <c r="A745" s="7"/>
      <c r="B745" s="16"/>
      <c r="C745" s="12"/>
      <c r="D745" s="12"/>
      <c r="E745" s="9"/>
      <c r="F745" s="10"/>
      <c r="G745" s="11"/>
      <c r="H745" s="9"/>
      <c r="I745" s="31"/>
      <c r="J745" s="13"/>
      <c r="K745" s="13"/>
      <c r="L745" s="21" t="s">
        <v>41</v>
      </c>
      <c r="M745" s="46"/>
      <c r="N745" s="46"/>
      <c r="O745" s="31"/>
      <c r="P745" s="16"/>
      <c r="Q745" s="16"/>
      <c r="R745" s="16" t="str">
        <f t="shared" si="2"/>
        <v/>
      </c>
    </row>
    <row r="746">
      <c r="A746" s="7"/>
      <c r="B746" s="16"/>
      <c r="C746" s="12"/>
      <c r="D746" s="12"/>
      <c r="E746" s="9"/>
      <c r="F746" s="10"/>
      <c r="G746" s="11"/>
      <c r="H746" s="9"/>
      <c r="I746" s="31"/>
      <c r="J746" s="13"/>
      <c r="K746" s="13"/>
      <c r="L746" s="21" t="s">
        <v>47</v>
      </c>
      <c r="M746" s="46"/>
      <c r="N746" s="46"/>
      <c r="O746" s="31"/>
      <c r="P746" s="16"/>
      <c r="Q746" s="16"/>
      <c r="R746" s="16" t="str">
        <f t="shared" si="2"/>
        <v/>
      </c>
    </row>
    <row r="747">
      <c r="A747" s="7"/>
      <c r="B747" s="16"/>
      <c r="C747" s="12"/>
      <c r="D747" s="12"/>
      <c r="E747" s="9"/>
      <c r="F747" s="10"/>
      <c r="G747" s="11"/>
      <c r="H747" s="9"/>
      <c r="I747" s="31"/>
      <c r="J747" s="13"/>
      <c r="K747" s="13"/>
      <c r="L747" s="21" t="s">
        <v>53</v>
      </c>
      <c r="M747" s="46"/>
      <c r="N747" s="46"/>
      <c r="O747" s="31"/>
      <c r="P747" s="16"/>
      <c r="Q747" s="16"/>
      <c r="R747" s="16" t="str">
        <f t="shared" si="2"/>
        <v/>
      </c>
    </row>
    <row r="748">
      <c r="A748" s="7"/>
      <c r="B748" s="16"/>
      <c r="C748" s="12"/>
      <c r="D748" s="12"/>
      <c r="E748" s="9"/>
      <c r="F748" s="10"/>
      <c r="G748" s="11"/>
      <c r="H748" s="9"/>
      <c r="I748" s="31"/>
      <c r="J748" s="13"/>
      <c r="K748" s="13"/>
      <c r="L748" s="21" t="s">
        <v>59</v>
      </c>
      <c r="M748" s="46"/>
      <c r="N748" s="46"/>
      <c r="O748" s="31"/>
      <c r="P748" s="16"/>
      <c r="Q748" s="16"/>
      <c r="R748" s="16" t="str">
        <f t="shared" si="2"/>
        <v/>
      </c>
    </row>
    <row r="749">
      <c r="A749" s="7"/>
      <c r="B749" s="16"/>
      <c r="C749" s="12"/>
      <c r="D749" s="12"/>
      <c r="E749" s="9"/>
      <c r="F749" s="10"/>
      <c r="G749" s="11"/>
      <c r="H749" s="9"/>
      <c r="I749" s="31"/>
      <c r="J749" s="13"/>
      <c r="K749" s="13"/>
      <c r="L749" s="21" t="s">
        <v>65</v>
      </c>
      <c r="M749" s="46"/>
      <c r="N749" s="46"/>
      <c r="O749" s="31"/>
      <c r="P749" s="16"/>
      <c r="Q749" s="16"/>
      <c r="R749" s="16" t="str">
        <f t="shared" si="2"/>
        <v/>
      </c>
    </row>
    <row r="750">
      <c r="A750" s="7"/>
      <c r="B750" s="16"/>
      <c r="C750" s="12"/>
      <c r="D750" s="12"/>
      <c r="E750" s="9"/>
      <c r="F750" s="10"/>
      <c r="G750" s="11"/>
      <c r="H750" s="9"/>
      <c r="I750" s="31"/>
      <c r="J750" s="13"/>
      <c r="K750" s="13"/>
      <c r="L750" s="21" t="s">
        <v>71</v>
      </c>
      <c r="M750" s="46"/>
      <c r="N750" s="46"/>
      <c r="O750" s="31"/>
      <c r="P750" s="16"/>
      <c r="Q750" s="16"/>
      <c r="R750" s="16" t="str">
        <f t="shared" si="2"/>
        <v/>
      </c>
    </row>
    <row r="751">
      <c r="A751" s="7" t="s">
        <v>375</v>
      </c>
      <c r="B751" s="14" t="s">
        <v>20</v>
      </c>
      <c r="C751" s="12"/>
      <c r="D751" s="17" t="s">
        <v>2038</v>
      </c>
      <c r="E751" s="9" t="s">
        <v>376</v>
      </c>
      <c r="F751" s="10" t="s">
        <v>377</v>
      </c>
      <c r="G751" s="22" t="s">
        <v>115</v>
      </c>
      <c r="H751" s="9" t="s">
        <v>378</v>
      </c>
      <c r="I751" s="29" t="s">
        <v>1542</v>
      </c>
      <c r="J751" s="13"/>
      <c r="K751" s="13" t="s">
        <v>379</v>
      </c>
      <c r="L751" s="21" t="s">
        <v>25</v>
      </c>
      <c r="M751" s="46"/>
      <c r="N751" s="46"/>
      <c r="O751" s="31"/>
      <c r="P751" s="16"/>
      <c r="Q751" s="16"/>
      <c r="R751" s="16" t="str">
        <f t="shared" si="2"/>
        <v/>
      </c>
    </row>
    <row r="752">
      <c r="A752" s="7"/>
      <c r="B752" s="16"/>
      <c r="C752" s="12"/>
      <c r="D752" s="12"/>
      <c r="E752" s="9"/>
      <c r="F752" s="10"/>
      <c r="G752" s="11"/>
      <c r="H752" s="9"/>
      <c r="I752" s="31"/>
      <c r="J752" s="13"/>
      <c r="K752" s="13"/>
      <c r="L752" s="21" t="s">
        <v>31</v>
      </c>
      <c r="M752" s="46"/>
      <c r="N752" s="46"/>
      <c r="O752" s="31"/>
      <c r="P752" s="16"/>
      <c r="Q752" s="16"/>
      <c r="R752" s="16" t="str">
        <f t="shared" si="2"/>
        <v/>
      </c>
    </row>
    <row r="753">
      <c r="A753" s="7"/>
      <c r="B753" s="16"/>
      <c r="C753" s="12"/>
      <c r="D753" s="12"/>
      <c r="E753" s="9"/>
      <c r="F753" s="10"/>
      <c r="G753" s="11"/>
      <c r="H753" s="9"/>
      <c r="I753" s="31"/>
      <c r="J753" s="13"/>
      <c r="K753" s="13"/>
      <c r="L753" s="21" t="s">
        <v>36</v>
      </c>
      <c r="M753" s="46"/>
      <c r="N753" s="46"/>
      <c r="O753" s="31"/>
      <c r="P753" s="16"/>
      <c r="Q753" s="16"/>
      <c r="R753" s="16" t="str">
        <f t="shared" si="2"/>
        <v/>
      </c>
    </row>
    <row r="754">
      <c r="A754" s="7"/>
      <c r="B754" s="16"/>
      <c r="C754" s="12"/>
      <c r="D754" s="12"/>
      <c r="E754" s="9"/>
      <c r="F754" s="10"/>
      <c r="G754" s="11"/>
      <c r="H754" s="9"/>
      <c r="I754" s="31"/>
      <c r="J754" s="13"/>
      <c r="K754" s="13"/>
      <c r="L754" s="21" t="s">
        <v>41</v>
      </c>
      <c r="M754" s="46"/>
      <c r="N754" s="46"/>
      <c r="O754" s="31"/>
      <c r="P754" s="16"/>
      <c r="Q754" s="16"/>
      <c r="R754" s="16" t="str">
        <f t="shared" si="2"/>
        <v/>
      </c>
    </row>
    <row r="755">
      <c r="A755" s="7"/>
      <c r="B755" s="16"/>
      <c r="C755" s="12"/>
      <c r="D755" s="12"/>
      <c r="E755" s="9"/>
      <c r="F755" s="10"/>
      <c r="G755" s="11"/>
      <c r="H755" s="9"/>
      <c r="I755" s="31"/>
      <c r="J755" s="13"/>
      <c r="K755" s="13"/>
      <c r="L755" s="21" t="s">
        <v>47</v>
      </c>
      <c r="M755" s="46"/>
      <c r="N755" s="46"/>
      <c r="O755" s="31"/>
      <c r="P755" s="16"/>
      <c r="Q755" s="16"/>
      <c r="R755" s="16" t="str">
        <f t="shared" si="2"/>
        <v/>
      </c>
    </row>
    <row r="756">
      <c r="A756" s="7"/>
      <c r="B756" s="16"/>
      <c r="C756" s="12"/>
      <c r="D756" s="12"/>
      <c r="E756" s="9"/>
      <c r="F756" s="10"/>
      <c r="G756" s="11"/>
      <c r="H756" s="9"/>
      <c r="I756" s="31"/>
      <c r="J756" s="13"/>
      <c r="K756" s="13"/>
      <c r="L756" s="21" t="s">
        <v>53</v>
      </c>
      <c r="M756" s="46"/>
      <c r="N756" s="46"/>
      <c r="O756" s="31"/>
      <c r="P756" s="16"/>
      <c r="Q756" s="16"/>
      <c r="R756" s="16" t="str">
        <f t="shared" si="2"/>
        <v/>
      </c>
    </row>
    <row r="757">
      <c r="A757" s="7"/>
      <c r="B757" s="16"/>
      <c r="C757" s="12"/>
      <c r="D757" s="12"/>
      <c r="E757" s="9"/>
      <c r="F757" s="10"/>
      <c r="G757" s="11"/>
      <c r="H757" s="9"/>
      <c r="I757" s="31"/>
      <c r="J757" s="13"/>
      <c r="K757" s="13"/>
      <c r="L757" s="21" t="s">
        <v>59</v>
      </c>
      <c r="M757" s="46"/>
      <c r="N757" s="46"/>
      <c r="O757" s="31"/>
      <c r="P757" s="16"/>
      <c r="Q757" s="16"/>
      <c r="R757" s="16" t="str">
        <f t="shared" si="2"/>
        <v/>
      </c>
    </row>
    <row r="758">
      <c r="A758" s="7"/>
      <c r="B758" s="16"/>
      <c r="C758" s="12"/>
      <c r="D758" s="12"/>
      <c r="E758" s="9"/>
      <c r="F758" s="10"/>
      <c r="G758" s="11"/>
      <c r="H758" s="9"/>
      <c r="I758" s="31"/>
      <c r="J758" s="13"/>
      <c r="K758" s="13"/>
      <c r="L758" s="21" t="s">
        <v>65</v>
      </c>
      <c r="M758" s="46"/>
      <c r="N758" s="46"/>
      <c r="O758" s="31"/>
      <c r="P758" s="16"/>
      <c r="Q758" s="16"/>
      <c r="R758" s="16" t="str">
        <f t="shared" si="2"/>
        <v/>
      </c>
    </row>
    <row r="759">
      <c r="A759" s="7"/>
      <c r="B759" s="16"/>
      <c r="C759" s="12"/>
      <c r="D759" s="12"/>
      <c r="E759" s="9"/>
      <c r="F759" s="10"/>
      <c r="G759" s="11"/>
      <c r="H759" s="9"/>
      <c r="I759" s="31"/>
      <c r="J759" s="13"/>
      <c r="K759" s="13"/>
      <c r="L759" s="21" t="s">
        <v>71</v>
      </c>
      <c r="M759" s="46"/>
      <c r="N759" s="46"/>
      <c r="O759" s="31"/>
      <c r="P759" s="16"/>
      <c r="Q759" s="16"/>
      <c r="R759" s="16" t="str">
        <f t="shared" si="2"/>
        <v/>
      </c>
    </row>
    <row r="760">
      <c r="A760" s="7" t="s">
        <v>380</v>
      </c>
      <c r="B760" s="14" t="s">
        <v>20</v>
      </c>
      <c r="C760" s="12"/>
      <c r="D760" s="17" t="s">
        <v>2039</v>
      </c>
      <c r="E760" s="9" t="s">
        <v>381</v>
      </c>
      <c r="F760" s="10" t="s">
        <v>382</v>
      </c>
      <c r="G760" s="22" t="s">
        <v>115</v>
      </c>
      <c r="H760" s="9" t="s">
        <v>383</v>
      </c>
      <c r="I760" s="29" t="s">
        <v>1333</v>
      </c>
      <c r="J760" s="13"/>
      <c r="K760" s="13" t="s">
        <v>379</v>
      </c>
      <c r="L760" s="21" t="s">
        <v>25</v>
      </c>
      <c r="M760" s="46"/>
      <c r="N760" s="46"/>
      <c r="O760" s="31"/>
      <c r="P760" s="16"/>
      <c r="Q760" s="16"/>
      <c r="R760" s="16" t="str">
        <f t="shared" si="2"/>
        <v/>
      </c>
    </row>
    <row r="761">
      <c r="A761" s="7"/>
      <c r="B761" s="16"/>
      <c r="C761" s="12"/>
      <c r="D761" s="12"/>
      <c r="E761" s="18"/>
      <c r="F761" s="48"/>
      <c r="G761" s="20"/>
      <c r="H761" s="18"/>
      <c r="I761" s="31"/>
      <c r="J761" s="9"/>
      <c r="K761" s="9"/>
      <c r="L761" s="21" t="s">
        <v>31</v>
      </c>
      <c r="M761" s="46"/>
      <c r="N761" s="46"/>
      <c r="O761" s="31"/>
      <c r="P761" s="16"/>
      <c r="Q761" s="16"/>
      <c r="R761" s="16" t="str">
        <f t="shared" si="2"/>
        <v/>
      </c>
    </row>
    <row r="762">
      <c r="A762" s="7"/>
      <c r="B762" s="16"/>
      <c r="C762" s="12"/>
      <c r="D762" s="12"/>
      <c r="E762" s="18"/>
      <c r="F762" s="48"/>
      <c r="G762" s="20"/>
      <c r="H762" s="18"/>
      <c r="I762" s="31"/>
      <c r="J762" s="9"/>
      <c r="K762" s="9"/>
      <c r="L762" s="21" t="s">
        <v>36</v>
      </c>
      <c r="M762" s="46"/>
      <c r="N762" s="46"/>
      <c r="O762" s="31"/>
      <c r="P762" s="16"/>
      <c r="Q762" s="16"/>
      <c r="R762" s="16" t="str">
        <f t="shared" si="2"/>
        <v/>
      </c>
    </row>
    <row r="763">
      <c r="A763" s="7"/>
      <c r="B763" s="16"/>
      <c r="C763" s="12"/>
      <c r="D763" s="12"/>
      <c r="E763" s="18"/>
      <c r="F763" s="48"/>
      <c r="G763" s="20"/>
      <c r="H763" s="18"/>
      <c r="I763" s="31"/>
      <c r="J763" s="9"/>
      <c r="K763" s="9"/>
      <c r="L763" s="21" t="s">
        <v>41</v>
      </c>
      <c r="M763" s="46"/>
      <c r="N763" s="46"/>
      <c r="O763" s="31"/>
      <c r="P763" s="16"/>
      <c r="Q763" s="16"/>
      <c r="R763" s="16" t="str">
        <f t="shared" si="2"/>
        <v/>
      </c>
    </row>
    <row r="764">
      <c r="A764" s="7"/>
      <c r="B764" s="16"/>
      <c r="C764" s="12"/>
      <c r="D764" s="12"/>
      <c r="E764" s="18"/>
      <c r="F764" s="48"/>
      <c r="G764" s="20"/>
      <c r="H764" s="18"/>
      <c r="I764" s="31"/>
      <c r="J764" s="9"/>
      <c r="K764" s="9"/>
      <c r="L764" s="21" t="s">
        <v>47</v>
      </c>
      <c r="M764" s="46"/>
      <c r="N764" s="46"/>
      <c r="O764" s="31"/>
      <c r="P764" s="16"/>
      <c r="Q764" s="16"/>
      <c r="R764" s="16" t="str">
        <f t="shared" si="2"/>
        <v/>
      </c>
    </row>
    <row r="765">
      <c r="A765" s="7"/>
      <c r="B765" s="16"/>
      <c r="C765" s="12"/>
      <c r="D765" s="12"/>
      <c r="E765" s="18"/>
      <c r="F765" s="48"/>
      <c r="G765" s="20"/>
      <c r="H765" s="18"/>
      <c r="I765" s="31"/>
      <c r="J765" s="9"/>
      <c r="K765" s="9"/>
      <c r="L765" s="21" t="s">
        <v>53</v>
      </c>
      <c r="M765" s="46"/>
      <c r="N765" s="46"/>
      <c r="O765" s="31"/>
      <c r="P765" s="16"/>
      <c r="Q765" s="16"/>
      <c r="R765" s="16" t="str">
        <f t="shared" si="2"/>
        <v/>
      </c>
    </row>
    <row r="766">
      <c r="A766" s="7"/>
      <c r="B766" s="16"/>
      <c r="C766" s="12"/>
      <c r="D766" s="12"/>
      <c r="E766" s="18"/>
      <c r="F766" s="48"/>
      <c r="G766" s="20"/>
      <c r="H766" s="18"/>
      <c r="I766" s="31"/>
      <c r="J766" s="9"/>
      <c r="K766" s="9"/>
      <c r="L766" s="21" t="s">
        <v>59</v>
      </c>
      <c r="M766" s="46"/>
      <c r="N766" s="46"/>
      <c r="O766" s="31"/>
      <c r="P766" s="16"/>
      <c r="Q766" s="16"/>
      <c r="R766" s="16" t="str">
        <f t="shared" si="2"/>
        <v/>
      </c>
    </row>
    <row r="767">
      <c r="A767" s="7"/>
      <c r="B767" s="16"/>
      <c r="C767" s="12"/>
      <c r="D767" s="12"/>
      <c r="E767" s="18"/>
      <c r="F767" s="48"/>
      <c r="G767" s="20"/>
      <c r="H767" s="18"/>
      <c r="I767" s="31"/>
      <c r="J767" s="9"/>
      <c r="K767" s="9"/>
      <c r="L767" s="21" t="s">
        <v>65</v>
      </c>
      <c r="M767" s="46"/>
      <c r="N767" s="46"/>
      <c r="O767" s="31"/>
      <c r="P767" s="16"/>
      <c r="Q767" s="16"/>
      <c r="R767" s="16" t="str">
        <f t="shared" si="2"/>
        <v/>
      </c>
    </row>
    <row r="768">
      <c r="A768" s="7"/>
      <c r="B768" s="16"/>
      <c r="C768" s="12"/>
      <c r="D768" s="12"/>
      <c r="E768" s="18"/>
      <c r="F768" s="48"/>
      <c r="G768" s="20"/>
      <c r="H768" s="18"/>
      <c r="I768" s="31"/>
      <c r="J768" s="9"/>
      <c r="K768" s="9"/>
      <c r="L768" s="21" t="s">
        <v>71</v>
      </c>
      <c r="M768" s="46"/>
      <c r="N768" s="46"/>
      <c r="O768" s="31"/>
      <c r="P768" s="16"/>
      <c r="Q768" s="16"/>
      <c r="R768" s="16" t="str">
        <f t="shared" si="2"/>
        <v/>
      </c>
    </row>
    <row r="769">
      <c r="A769" s="7" t="s">
        <v>384</v>
      </c>
      <c r="B769" s="14" t="s">
        <v>20</v>
      </c>
      <c r="C769" s="12"/>
      <c r="D769" s="17" t="s">
        <v>2040</v>
      </c>
      <c r="E769" s="18" t="s">
        <v>385</v>
      </c>
      <c r="F769" s="48" t="s">
        <v>386</v>
      </c>
      <c r="G769" s="24" t="s">
        <v>115</v>
      </c>
      <c r="H769" s="18" t="s">
        <v>387</v>
      </c>
      <c r="I769" s="29" t="s">
        <v>739</v>
      </c>
      <c r="J769" s="9"/>
      <c r="K769" s="9" t="s">
        <v>379</v>
      </c>
      <c r="L769" s="21" t="s">
        <v>25</v>
      </c>
      <c r="M769" s="46"/>
      <c r="N769" s="46"/>
      <c r="O769" s="31"/>
      <c r="P769" s="16"/>
      <c r="Q769" s="16"/>
      <c r="R769" s="16" t="str">
        <f t="shared" si="2"/>
        <v/>
      </c>
    </row>
    <row r="770">
      <c r="A770" s="7"/>
      <c r="B770" s="16"/>
      <c r="C770" s="12"/>
      <c r="D770" s="12"/>
      <c r="E770" s="9"/>
      <c r="F770" s="10"/>
      <c r="G770" s="11"/>
      <c r="H770" s="9"/>
      <c r="I770" s="31"/>
      <c r="J770" s="9"/>
      <c r="K770" s="9"/>
      <c r="L770" s="21" t="s">
        <v>31</v>
      </c>
      <c r="M770" s="46"/>
      <c r="N770" s="46"/>
      <c r="O770" s="31"/>
      <c r="P770" s="16"/>
      <c r="Q770" s="16"/>
      <c r="R770" s="16" t="str">
        <f t="shared" si="2"/>
        <v/>
      </c>
    </row>
    <row r="771">
      <c r="A771" s="7"/>
      <c r="B771" s="16"/>
      <c r="C771" s="12"/>
      <c r="D771" s="12"/>
      <c r="E771" s="9"/>
      <c r="F771" s="10"/>
      <c r="G771" s="11"/>
      <c r="H771" s="9"/>
      <c r="I771" s="31"/>
      <c r="J771" s="9"/>
      <c r="K771" s="9"/>
      <c r="L771" s="21" t="s">
        <v>36</v>
      </c>
      <c r="M771" s="46"/>
      <c r="N771" s="46"/>
      <c r="O771" s="31"/>
      <c r="P771" s="16"/>
      <c r="Q771" s="16"/>
      <c r="R771" s="16" t="str">
        <f t="shared" si="2"/>
        <v/>
      </c>
    </row>
    <row r="772">
      <c r="A772" s="7"/>
      <c r="B772" s="16"/>
      <c r="C772" s="12"/>
      <c r="D772" s="12"/>
      <c r="E772" s="9"/>
      <c r="F772" s="10"/>
      <c r="G772" s="11"/>
      <c r="H772" s="9"/>
      <c r="I772" s="31"/>
      <c r="J772" s="9"/>
      <c r="K772" s="9"/>
      <c r="L772" s="21" t="s">
        <v>41</v>
      </c>
      <c r="M772" s="46"/>
      <c r="N772" s="46"/>
      <c r="O772" s="31"/>
      <c r="P772" s="16"/>
      <c r="Q772" s="16"/>
      <c r="R772" s="16" t="str">
        <f t="shared" si="2"/>
        <v/>
      </c>
    </row>
    <row r="773">
      <c r="A773" s="7"/>
      <c r="B773" s="16"/>
      <c r="C773" s="12"/>
      <c r="D773" s="12"/>
      <c r="E773" s="9"/>
      <c r="F773" s="10"/>
      <c r="G773" s="11"/>
      <c r="H773" s="9"/>
      <c r="I773" s="31"/>
      <c r="J773" s="9"/>
      <c r="K773" s="9"/>
      <c r="L773" s="21" t="s">
        <v>47</v>
      </c>
      <c r="M773" s="46"/>
      <c r="N773" s="46"/>
      <c r="O773" s="31"/>
      <c r="P773" s="16"/>
      <c r="Q773" s="16"/>
      <c r="R773" s="16" t="str">
        <f t="shared" si="2"/>
        <v/>
      </c>
    </row>
    <row r="774">
      <c r="A774" s="7"/>
      <c r="B774" s="16"/>
      <c r="C774" s="12"/>
      <c r="D774" s="12"/>
      <c r="E774" s="9"/>
      <c r="F774" s="10"/>
      <c r="G774" s="11"/>
      <c r="H774" s="9"/>
      <c r="I774" s="31"/>
      <c r="J774" s="9"/>
      <c r="K774" s="9"/>
      <c r="L774" s="21" t="s">
        <v>53</v>
      </c>
      <c r="M774" s="46"/>
      <c r="N774" s="46"/>
      <c r="O774" s="31"/>
      <c r="P774" s="16"/>
      <c r="Q774" s="16"/>
      <c r="R774" s="16" t="str">
        <f t="shared" si="2"/>
        <v/>
      </c>
    </row>
    <row r="775">
      <c r="A775" s="7"/>
      <c r="B775" s="16"/>
      <c r="C775" s="12"/>
      <c r="D775" s="12"/>
      <c r="E775" s="9"/>
      <c r="F775" s="10"/>
      <c r="G775" s="11"/>
      <c r="H775" s="9"/>
      <c r="I775" s="31"/>
      <c r="J775" s="9"/>
      <c r="K775" s="9"/>
      <c r="L775" s="21" t="s">
        <v>59</v>
      </c>
      <c r="M775" s="46"/>
      <c r="N775" s="46"/>
      <c r="O775" s="31"/>
      <c r="P775" s="16"/>
      <c r="Q775" s="16"/>
      <c r="R775" s="16" t="str">
        <f t="shared" si="2"/>
        <v/>
      </c>
    </row>
    <row r="776">
      <c r="A776" s="7"/>
      <c r="B776" s="16"/>
      <c r="C776" s="12"/>
      <c r="D776" s="12"/>
      <c r="E776" s="9"/>
      <c r="F776" s="10"/>
      <c r="G776" s="11"/>
      <c r="H776" s="9"/>
      <c r="I776" s="31"/>
      <c r="J776" s="9"/>
      <c r="K776" s="9"/>
      <c r="L776" s="21" t="s">
        <v>65</v>
      </c>
      <c r="M776" s="46"/>
      <c r="N776" s="46"/>
      <c r="O776" s="31"/>
      <c r="P776" s="16"/>
      <c r="Q776" s="16"/>
      <c r="R776" s="16" t="str">
        <f t="shared" si="2"/>
        <v/>
      </c>
    </row>
    <row r="777">
      <c r="A777" s="7"/>
      <c r="B777" s="16"/>
      <c r="C777" s="12"/>
      <c r="D777" s="12"/>
      <c r="E777" s="9"/>
      <c r="F777" s="10"/>
      <c r="G777" s="11"/>
      <c r="H777" s="9"/>
      <c r="I777" s="31"/>
      <c r="J777" s="9"/>
      <c r="K777" s="9"/>
      <c r="L777" s="21" t="s">
        <v>71</v>
      </c>
      <c r="M777" s="46"/>
      <c r="N777" s="46"/>
      <c r="O777" s="31"/>
      <c r="P777" s="16"/>
      <c r="Q777" s="16"/>
      <c r="R777" s="16" t="str">
        <f t="shared" si="2"/>
        <v/>
      </c>
    </row>
    <row r="778">
      <c r="A778" s="7" t="s">
        <v>388</v>
      </c>
      <c r="B778" s="14" t="s">
        <v>20</v>
      </c>
      <c r="C778" s="12"/>
      <c r="D778" s="17" t="s">
        <v>2041</v>
      </c>
      <c r="E778" s="9" t="s">
        <v>389</v>
      </c>
      <c r="F778" s="10" t="s">
        <v>390</v>
      </c>
      <c r="G778" s="22" t="s">
        <v>91</v>
      </c>
      <c r="H778" s="9" t="s">
        <v>391</v>
      </c>
      <c r="I778" s="29" t="s">
        <v>2042</v>
      </c>
      <c r="J778" s="9"/>
      <c r="K778" s="9" t="s">
        <v>392</v>
      </c>
      <c r="L778" s="21" t="s">
        <v>25</v>
      </c>
      <c r="M778" s="46"/>
      <c r="N778" s="46"/>
      <c r="O778" s="31"/>
      <c r="P778" s="16"/>
      <c r="Q778" s="16"/>
      <c r="R778" s="16" t="str">
        <f t="shared" si="2"/>
        <v/>
      </c>
    </row>
    <row r="779">
      <c r="A779" s="7"/>
      <c r="B779" s="16"/>
      <c r="C779" s="12"/>
      <c r="D779" s="12"/>
      <c r="E779" s="9"/>
      <c r="F779" s="10"/>
      <c r="G779" s="11"/>
      <c r="H779" s="9"/>
      <c r="I779" s="31"/>
      <c r="J779" s="9"/>
      <c r="K779" s="9"/>
      <c r="L779" s="21" t="s">
        <v>31</v>
      </c>
      <c r="M779" s="46"/>
      <c r="N779" s="46"/>
      <c r="O779" s="31"/>
      <c r="P779" s="16"/>
      <c r="Q779" s="16"/>
      <c r="R779" s="16" t="str">
        <f t="shared" si="2"/>
        <v/>
      </c>
    </row>
    <row r="780">
      <c r="A780" s="7"/>
      <c r="B780" s="16"/>
      <c r="C780" s="12"/>
      <c r="D780" s="12"/>
      <c r="E780" s="9"/>
      <c r="F780" s="10"/>
      <c r="G780" s="11"/>
      <c r="H780" s="9"/>
      <c r="I780" s="31"/>
      <c r="J780" s="9"/>
      <c r="K780" s="9"/>
      <c r="L780" s="21" t="s">
        <v>36</v>
      </c>
      <c r="M780" s="46"/>
      <c r="N780" s="46"/>
      <c r="O780" s="31"/>
      <c r="P780" s="16"/>
      <c r="Q780" s="16"/>
      <c r="R780" s="16" t="str">
        <f t="shared" si="2"/>
        <v/>
      </c>
    </row>
    <row r="781">
      <c r="A781" s="7"/>
      <c r="B781" s="16"/>
      <c r="C781" s="12"/>
      <c r="D781" s="12"/>
      <c r="E781" s="9"/>
      <c r="F781" s="10"/>
      <c r="G781" s="11"/>
      <c r="H781" s="9"/>
      <c r="I781" s="31"/>
      <c r="J781" s="9"/>
      <c r="K781" s="9"/>
      <c r="L781" s="21" t="s">
        <v>41</v>
      </c>
      <c r="M781" s="46"/>
      <c r="N781" s="46"/>
      <c r="O781" s="31"/>
      <c r="P781" s="16"/>
      <c r="Q781" s="16"/>
      <c r="R781" s="16" t="str">
        <f t="shared" si="2"/>
        <v/>
      </c>
    </row>
    <row r="782">
      <c r="A782" s="7"/>
      <c r="B782" s="16"/>
      <c r="C782" s="12"/>
      <c r="D782" s="12"/>
      <c r="E782" s="9"/>
      <c r="F782" s="10"/>
      <c r="G782" s="11"/>
      <c r="H782" s="9"/>
      <c r="I782" s="31"/>
      <c r="J782" s="9"/>
      <c r="K782" s="9"/>
      <c r="L782" s="21" t="s">
        <v>47</v>
      </c>
      <c r="M782" s="46"/>
      <c r="N782" s="46"/>
      <c r="O782" s="31"/>
      <c r="P782" s="16"/>
      <c r="Q782" s="16"/>
      <c r="R782" s="16" t="str">
        <f t="shared" si="2"/>
        <v/>
      </c>
    </row>
    <row r="783">
      <c r="A783" s="7"/>
      <c r="B783" s="16"/>
      <c r="C783" s="12"/>
      <c r="D783" s="12"/>
      <c r="E783" s="9"/>
      <c r="F783" s="10"/>
      <c r="G783" s="11"/>
      <c r="H783" s="9"/>
      <c r="I783" s="31"/>
      <c r="J783" s="9"/>
      <c r="K783" s="9"/>
      <c r="L783" s="21" t="s">
        <v>53</v>
      </c>
      <c r="M783" s="46"/>
      <c r="N783" s="46"/>
      <c r="O783" s="31"/>
      <c r="P783" s="16"/>
      <c r="Q783" s="16"/>
      <c r="R783" s="16" t="str">
        <f t="shared" si="2"/>
        <v/>
      </c>
    </row>
    <row r="784">
      <c r="A784" s="7"/>
      <c r="B784" s="16"/>
      <c r="C784" s="12"/>
      <c r="D784" s="12"/>
      <c r="E784" s="9"/>
      <c r="F784" s="10"/>
      <c r="G784" s="11"/>
      <c r="H784" s="9"/>
      <c r="I784" s="31"/>
      <c r="J784" s="9"/>
      <c r="K784" s="9"/>
      <c r="L784" s="21" t="s">
        <v>59</v>
      </c>
      <c r="M784" s="46"/>
      <c r="N784" s="46"/>
      <c r="O784" s="31"/>
      <c r="P784" s="16"/>
      <c r="Q784" s="16"/>
      <c r="R784" s="16" t="str">
        <f t="shared" si="2"/>
        <v/>
      </c>
    </row>
    <row r="785">
      <c r="A785" s="7"/>
      <c r="B785" s="16"/>
      <c r="C785" s="12"/>
      <c r="D785" s="12"/>
      <c r="E785" s="9"/>
      <c r="F785" s="10"/>
      <c r="G785" s="11"/>
      <c r="H785" s="9"/>
      <c r="I785" s="31"/>
      <c r="J785" s="9"/>
      <c r="K785" s="9"/>
      <c r="L785" s="21" t="s">
        <v>65</v>
      </c>
      <c r="M785" s="46"/>
      <c r="N785" s="46"/>
      <c r="O785" s="31"/>
      <c r="P785" s="16"/>
      <c r="Q785" s="16"/>
      <c r="R785" s="16" t="str">
        <f t="shared" si="2"/>
        <v/>
      </c>
    </row>
    <row r="786">
      <c r="A786" s="7"/>
      <c r="B786" s="16"/>
      <c r="C786" s="12"/>
      <c r="D786" s="12"/>
      <c r="E786" s="9"/>
      <c r="F786" s="10"/>
      <c r="G786" s="11"/>
      <c r="H786" s="9"/>
      <c r="I786" s="31"/>
      <c r="J786" s="9"/>
      <c r="K786" s="9"/>
      <c r="L786" s="21" t="s">
        <v>71</v>
      </c>
      <c r="M786" s="46"/>
      <c r="N786" s="46"/>
      <c r="O786" s="31"/>
      <c r="P786" s="16"/>
      <c r="Q786" s="16"/>
      <c r="R786" s="16" t="str">
        <f t="shared" si="2"/>
        <v/>
      </c>
    </row>
    <row r="787">
      <c r="A787" s="7" t="s">
        <v>393</v>
      </c>
      <c r="B787" s="14" t="s">
        <v>20</v>
      </c>
      <c r="C787" s="12"/>
      <c r="D787" s="17" t="s">
        <v>2043</v>
      </c>
      <c r="E787" s="9" t="s">
        <v>394</v>
      </c>
      <c r="F787" s="10" t="s">
        <v>395</v>
      </c>
      <c r="G787" s="22" t="s">
        <v>91</v>
      </c>
      <c r="H787" s="9" t="s">
        <v>396</v>
      </c>
      <c r="I787" s="29" t="s">
        <v>1333</v>
      </c>
      <c r="J787" s="9"/>
      <c r="K787" s="9" t="s">
        <v>392</v>
      </c>
      <c r="L787" s="21" t="s">
        <v>25</v>
      </c>
      <c r="M787" s="46"/>
      <c r="N787" s="46"/>
      <c r="O787" s="31"/>
      <c r="P787" s="16"/>
      <c r="Q787" s="16"/>
      <c r="R787" s="16" t="str">
        <f t="shared" si="2"/>
        <v/>
      </c>
    </row>
    <row r="788">
      <c r="A788" s="7"/>
      <c r="B788" s="16"/>
      <c r="C788" s="12"/>
      <c r="D788" s="12"/>
      <c r="E788" s="9"/>
      <c r="F788" s="10"/>
      <c r="G788" s="11"/>
      <c r="H788" s="9"/>
      <c r="I788" s="31"/>
      <c r="J788" s="9"/>
      <c r="K788" s="9"/>
      <c r="L788" s="21" t="s">
        <v>31</v>
      </c>
      <c r="M788" s="46"/>
      <c r="N788" s="46"/>
      <c r="O788" s="31"/>
      <c r="P788" s="16"/>
      <c r="Q788" s="16"/>
      <c r="R788" s="16" t="str">
        <f t="shared" si="2"/>
        <v/>
      </c>
    </row>
    <row r="789">
      <c r="A789" s="7"/>
      <c r="B789" s="16"/>
      <c r="C789" s="12"/>
      <c r="D789" s="12"/>
      <c r="E789" s="9"/>
      <c r="F789" s="10"/>
      <c r="G789" s="11"/>
      <c r="H789" s="9"/>
      <c r="I789" s="31"/>
      <c r="J789" s="9"/>
      <c r="K789" s="9"/>
      <c r="L789" s="21" t="s">
        <v>36</v>
      </c>
      <c r="M789" s="46"/>
      <c r="N789" s="46"/>
      <c r="O789" s="31"/>
      <c r="P789" s="16"/>
      <c r="Q789" s="16"/>
      <c r="R789" s="16" t="str">
        <f t="shared" si="2"/>
        <v/>
      </c>
    </row>
    <row r="790">
      <c r="A790" s="7"/>
      <c r="B790" s="16"/>
      <c r="C790" s="12"/>
      <c r="D790" s="12"/>
      <c r="E790" s="9"/>
      <c r="F790" s="10"/>
      <c r="G790" s="11"/>
      <c r="H790" s="9"/>
      <c r="I790" s="31"/>
      <c r="J790" s="9"/>
      <c r="K790" s="9"/>
      <c r="L790" s="21" t="s">
        <v>41</v>
      </c>
      <c r="M790" s="46"/>
      <c r="N790" s="46"/>
      <c r="O790" s="31"/>
      <c r="P790" s="16"/>
      <c r="Q790" s="16"/>
      <c r="R790" s="16" t="str">
        <f t="shared" si="2"/>
        <v/>
      </c>
    </row>
    <row r="791">
      <c r="A791" s="7"/>
      <c r="B791" s="16"/>
      <c r="C791" s="12"/>
      <c r="D791" s="12"/>
      <c r="E791" s="9"/>
      <c r="F791" s="10"/>
      <c r="G791" s="11"/>
      <c r="H791" s="9"/>
      <c r="I791" s="31"/>
      <c r="J791" s="9"/>
      <c r="K791" s="9"/>
      <c r="L791" s="21" t="s">
        <v>47</v>
      </c>
      <c r="M791" s="46"/>
      <c r="N791" s="46"/>
      <c r="O791" s="31"/>
      <c r="P791" s="16"/>
      <c r="Q791" s="16"/>
      <c r="R791" s="16" t="str">
        <f t="shared" si="2"/>
        <v/>
      </c>
    </row>
    <row r="792">
      <c r="A792" s="7"/>
      <c r="B792" s="16"/>
      <c r="C792" s="12"/>
      <c r="D792" s="12"/>
      <c r="E792" s="9"/>
      <c r="F792" s="10"/>
      <c r="G792" s="11"/>
      <c r="H792" s="9"/>
      <c r="I792" s="31"/>
      <c r="J792" s="9"/>
      <c r="K792" s="9"/>
      <c r="L792" s="21" t="s">
        <v>53</v>
      </c>
      <c r="M792" s="46"/>
      <c r="N792" s="46"/>
      <c r="O792" s="31"/>
      <c r="P792" s="16"/>
      <c r="Q792" s="16"/>
      <c r="R792" s="16" t="str">
        <f t="shared" si="2"/>
        <v/>
      </c>
    </row>
    <row r="793">
      <c r="A793" s="7"/>
      <c r="B793" s="16"/>
      <c r="C793" s="12"/>
      <c r="D793" s="12"/>
      <c r="E793" s="9"/>
      <c r="F793" s="10"/>
      <c r="G793" s="11"/>
      <c r="H793" s="9"/>
      <c r="I793" s="31"/>
      <c r="J793" s="9"/>
      <c r="K793" s="9"/>
      <c r="L793" s="21" t="s">
        <v>59</v>
      </c>
      <c r="M793" s="46"/>
      <c r="N793" s="46"/>
      <c r="O793" s="31"/>
      <c r="P793" s="16"/>
      <c r="Q793" s="16"/>
      <c r="R793" s="16" t="str">
        <f t="shared" si="2"/>
        <v/>
      </c>
    </row>
    <row r="794">
      <c r="A794" s="7"/>
      <c r="B794" s="16"/>
      <c r="C794" s="12"/>
      <c r="D794" s="12"/>
      <c r="E794" s="9"/>
      <c r="F794" s="10"/>
      <c r="G794" s="11"/>
      <c r="H794" s="9"/>
      <c r="I794" s="31"/>
      <c r="J794" s="9"/>
      <c r="K794" s="9"/>
      <c r="L794" s="21" t="s">
        <v>65</v>
      </c>
      <c r="M794" s="46"/>
      <c r="N794" s="46"/>
      <c r="O794" s="31"/>
      <c r="P794" s="16"/>
      <c r="Q794" s="16"/>
      <c r="R794" s="16" t="str">
        <f t="shared" si="2"/>
        <v/>
      </c>
    </row>
    <row r="795">
      <c r="A795" s="7"/>
      <c r="B795" s="16"/>
      <c r="C795" s="12"/>
      <c r="D795" s="12"/>
      <c r="E795" s="9"/>
      <c r="F795" s="10"/>
      <c r="G795" s="11"/>
      <c r="H795" s="9"/>
      <c r="I795" s="31"/>
      <c r="J795" s="9"/>
      <c r="K795" s="9"/>
      <c r="L795" s="21" t="s">
        <v>71</v>
      </c>
      <c r="M795" s="46"/>
      <c r="N795" s="46"/>
      <c r="O795" s="31"/>
      <c r="P795" s="16"/>
      <c r="Q795" s="16"/>
      <c r="R795" s="16" t="str">
        <f t="shared" si="2"/>
        <v/>
      </c>
    </row>
    <row r="796">
      <c r="A796" s="7" t="s">
        <v>397</v>
      </c>
      <c r="B796" s="14" t="s">
        <v>20</v>
      </c>
      <c r="C796" s="12"/>
      <c r="D796" s="17" t="s">
        <v>2043</v>
      </c>
      <c r="E796" s="9" t="s">
        <v>398</v>
      </c>
      <c r="F796" s="10" t="s">
        <v>399</v>
      </c>
      <c r="G796" s="22" t="s">
        <v>91</v>
      </c>
      <c r="H796" s="9" t="s">
        <v>400</v>
      </c>
      <c r="I796" s="29" t="s">
        <v>2044</v>
      </c>
      <c r="J796" s="9"/>
      <c r="K796" s="9" t="s">
        <v>392</v>
      </c>
      <c r="L796" s="21" t="s">
        <v>25</v>
      </c>
      <c r="M796" s="46"/>
      <c r="N796" s="46"/>
      <c r="O796" s="31"/>
      <c r="P796" s="16"/>
      <c r="Q796" s="16"/>
      <c r="R796" s="16" t="str">
        <f t="shared" si="2"/>
        <v/>
      </c>
    </row>
    <row r="797">
      <c r="A797" s="7"/>
      <c r="B797" s="16"/>
      <c r="C797" s="12"/>
      <c r="D797" s="12"/>
      <c r="E797" s="9"/>
      <c r="F797" s="10"/>
      <c r="G797" s="11"/>
      <c r="H797" s="9"/>
      <c r="I797" s="31"/>
      <c r="J797" s="9"/>
      <c r="K797" s="9"/>
      <c r="L797" s="21" t="s">
        <v>31</v>
      </c>
      <c r="M797" s="46"/>
      <c r="N797" s="46"/>
      <c r="O797" s="31"/>
      <c r="P797" s="16"/>
      <c r="Q797" s="16"/>
      <c r="R797" s="16" t="str">
        <f t="shared" si="2"/>
        <v/>
      </c>
    </row>
    <row r="798">
      <c r="A798" s="7"/>
      <c r="B798" s="16"/>
      <c r="C798" s="12"/>
      <c r="D798" s="12"/>
      <c r="E798" s="9"/>
      <c r="F798" s="10"/>
      <c r="G798" s="11"/>
      <c r="H798" s="9"/>
      <c r="I798" s="31"/>
      <c r="J798" s="9"/>
      <c r="K798" s="9"/>
      <c r="L798" s="21" t="s">
        <v>36</v>
      </c>
      <c r="M798" s="46"/>
      <c r="N798" s="46"/>
      <c r="O798" s="31"/>
      <c r="P798" s="16"/>
      <c r="Q798" s="16"/>
      <c r="R798" s="16" t="str">
        <f t="shared" si="2"/>
        <v/>
      </c>
    </row>
    <row r="799">
      <c r="A799" s="7"/>
      <c r="B799" s="16"/>
      <c r="C799" s="12"/>
      <c r="D799" s="12"/>
      <c r="E799" s="9"/>
      <c r="F799" s="10"/>
      <c r="G799" s="11"/>
      <c r="H799" s="9"/>
      <c r="I799" s="31"/>
      <c r="J799" s="9"/>
      <c r="K799" s="9"/>
      <c r="L799" s="21" t="s">
        <v>41</v>
      </c>
      <c r="M799" s="46"/>
      <c r="N799" s="46"/>
      <c r="O799" s="31"/>
      <c r="P799" s="16"/>
      <c r="Q799" s="16"/>
      <c r="R799" s="16" t="str">
        <f t="shared" si="2"/>
        <v/>
      </c>
    </row>
    <row r="800">
      <c r="A800" s="7"/>
      <c r="B800" s="16"/>
      <c r="C800" s="12"/>
      <c r="D800" s="12"/>
      <c r="E800" s="9"/>
      <c r="F800" s="10"/>
      <c r="G800" s="11"/>
      <c r="H800" s="9"/>
      <c r="I800" s="31"/>
      <c r="J800" s="9"/>
      <c r="K800" s="9"/>
      <c r="L800" s="21" t="s">
        <v>47</v>
      </c>
      <c r="M800" s="46"/>
      <c r="N800" s="46"/>
      <c r="O800" s="31"/>
      <c r="P800" s="16"/>
      <c r="Q800" s="16"/>
      <c r="R800" s="16" t="str">
        <f t="shared" si="2"/>
        <v/>
      </c>
    </row>
    <row r="801">
      <c r="A801" s="7"/>
      <c r="B801" s="16"/>
      <c r="C801" s="12"/>
      <c r="D801" s="12"/>
      <c r="E801" s="9"/>
      <c r="F801" s="10"/>
      <c r="G801" s="11"/>
      <c r="H801" s="9"/>
      <c r="I801" s="31"/>
      <c r="J801" s="9"/>
      <c r="K801" s="9"/>
      <c r="L801" s="21" t="s">
        <v>53</v>
      </c>
      <c r="M801" s="46"/>
      <c r="N801" s="46"/>
      <c r="O801" s="31"/>
      <c r="P801" s="16"/>
      <c r="Q801" s="16"/>
      <c r="R801" s="16" t="str">
        <f t="shared" si="2"/>
        <v/>
      </c>
    </row>
    <row r="802">
      <c r="A802" s="7"/>
      <c r="B802" s="16"/>
      <c r="C802" s="12"/>
      <c r="D802" s="12"/>
      <c r="E802" s="9"/>
      <c r="F802" s="10"/>
      <c r="G802" s="11"/>
      <c r="H802" s="9"/>
      <c r="I802" s="31"/>
      <c r="J802" s="9"/>
      <c r="K802" s="9"/>
      <c r="L802" s="21" t="s">
        <v>59</v>
      </c>
      <c r="M802" s="46"/>
      <c r="N802" s="46"/>
      <c r="O802" s="31"/>
      <c r="P802" s="16"/>
      <c r="Q802" s="16"/>
      <c r="R802" s="16" t="str">
        <f t="shared" si="2"/>
        <v/>
      </c>
    </row>
    <row r="803">
      <c r="A803" s="7"/>
      <c r="B803" s="16"/>
      <c r="C803" s="12"/>
      <c r="D803" s="12"/>
      <c r="E803" s="9"/>
      <c r="F803" s="10"/>
      <c r="G803" s="11"/>
      <c r="H803" s="9"/>
      <c r="I803" s="31"/>
      <c r="J803" s="9"/>
      <c r="K803" s="9"/>
      <c r="L803" s="21" t="s">
        <v>65</v>
      </c>
      <c r="M803" s="46"/>
      <c r="N803" s="46"/>
      <c r="O803" s="31"/>
      <c r="P803" s="16"/>
      <c r="Q803" s="16"/>
      <c r="R803" s="16" t="str">
        <f t="shared" si="2"/>
        <v/>
      </c>
    </row>
    <row r="804">
      <c r="A804" s="7"/>
      <c r="B804" s="16"/>
      <c r="C804" s="12"/>
      <c r="D804" s="12"/>
      <c r="E804" s="9"/>
      <c r="F804" s="10"/>
      <c r="G804" s="11"/>
      <c r="H804" s="9"/>
      <c r="I804" s="31"/>
      <c r="J804" s="9"/>
      <c r="K804" s="9"/>
      <c r="L804" s="21" t="s">
        <v>71</v>
      </c>
      <c r="M804" s="46"/>
      <c r="N804" s="46"/>
      <c r="O804" s="31"/>
      <c r="P804" s="16"/>
      <c r="Q804" s="16"/>
      <c r="R804" s="16" t="str">
        <f t="shared" si="2"/>
        <v/>
      </c>
    </row>
    <row r="805">
      <c r="A805" s="7" t="s">
        <v>401</v>
      </c>
      <c r="B805" s="14" t="s">
        <v>20</v>
      </c>
      <c r="C805" s="12"/>
      <c r="D805" s="17" t="s">
        <v>2045</v>
      </c>
      <c r="E805" s="9" t="s">
        <v>402</v>
      </c>
      <c r="F805" s="10" t="s">
        <v>403</v>
      </c>
      <c r="G805" s="22" t="s">
        <v>91</v>
      </c>
      <c r="H805" s="9" t="s">
        <v>404</v>
      </c>
      <c r="I805" s="29" t="s">
        <v>1021</v>
      </c>
      <c r="J805" s="9"/>
      <c r="K805" s="9" t="s">
        <v>392</v>
      </c>
      <c r="L805" s="21" t="s">
        <v>25</v>
      </c>
      <c r="M805" s="46"/>
      <c r="N805" s="46"/>
      <c r="O805" s="31"/>
      <c r="P805" s="16"/>
      <c r="Q805" s="16"/>
      <c r="R805" s="16" t="str">
        <f t="shared" si="2"/>
        <v/>
      </c>
    </row>
    <row r="806">
      <c r="A806" s="7"/>
      <c r="B806" s="16"/>
      <c r="C806" s="12"/>
      <c r="D806" s="12"/>
      <c r="E806" s="9"/>
      <c r="F806" s="10"/>
      <c r="G806" s="11"/>
      <c r="H806" s="9"/>
      <c r="I806" s="31"/>
      <c r="J806" s="9"/>
      <c r="K806" s="9"/>
      <c r="L806" s="21" t="s">
        <v>31</v>
      </c>
      <c r="M806" s="46"/>
      <c r="N806" s="46"/>
      <c r="O806" s="31"/>
      <c r="P806" s="16"/>
      <c r="Q806" s="16"/>
      <c r="R806" s="16" t="str">
        <f t="shared" si="2"/>
        <v/>
      </c>
    </row>
    <row r="807">
      <c r="A807" s="7"/>
      <c r="B807" s="16"/>
      <c r="C807" s="12"/>
      <c r="D807" s="12"/>
      <c r="E807" s="9"/>
      <c r="F807" s="10"/>
      <c r="G807" s="11"/>
      <c r="H807" s="9"/>
      <c r="I807" s="31"/>
      <c r="J807" s="9"/>
      <c r="K807" s="9"/>
      <c r="L807" s="21" t="s">
        <v>36</v>
      </c>
      <c r="M807" s="46"/>
      <c r="N807" s="46"/>
      <c r="O807" s="31"/>
      <c r="P807" s="16"/>
      <c r="Q807" s="16"/>
      <c r="R807" s="16" t="str">
        <f t="shared" si="2"/>
        <v/>
      </c>
    </row>
    <row r="808">
      <c r="A808" s="7"/>
      <c r="B808" s="16"/>
      <c r="C808" s="12"/>
      <c r="D808" s="12"/>
      <c r="E808" s="9"/>
      <c r="F808" s="10"/>
      <c r="G808" s="11"/>
      <c r="H808" s="9"/>
      <c r="I808" s="31"/>
      <c r="J808" s="9"/>
      <c r="K808" s="9"/>
      <c r="L808" s="21" t="s">
        <v>41</v>
      </c>
      <c r="M808" s="46"/>
      <c r="N808" s="46"/>
      <c r="O808" s="31"/>
      <c r="P808" s="16"/>
      <c r="Q808" s="16"/>
      <c r="R808" s="16" t="str">
        <f t="shared" si="2"/>
        <v/>
      </c>
    </row>
    <row r="809">
      <c r="A809" s="7"/>
      <c r="B809" s="16"/>
      <c r="C809" s="12"/>
      <c r="D809" s="12"/>
      <c r="E809" s="9"/>
      <c r="F809" s="10"/>
      <c r="G809" s="11"/>
      <c r="H809" s="9"/>
      <c r="I809" s="31"/>
      <c r="J809" s="9"/>
      <c r="K809" s="9"/>
      <c r="L809" s="21" t="s">
        <v>47</v>
      </c>
      <c r="M809" s="46"/>
      <c r="N809" s="46"/>
      <c r="O809" s="31"/>
      <c r="P809" s="16"/>
      <c r="Q809" s="16"/>
      <c r="R809" s="16" t="str">
        <f t="shared" si="2"/>
        <v/>
      </c>
    </row>
    <row r="810">
      <c r="A810" s="7"/>
      <c r="B810" s="16"/>
      <c r="C810" s="12"/>
      <c r="D810" s="12"/>
      <c r="E810" s="9"/>
      <c r="F810" s="10"/>
      <c r="G810" s="11"/>
      <c r="H810" s="9"/>
      <c r="I810" s="31"/>
      <c r="J810" s="9"/>
      <c r="K810" s="9"/>
      <c r="L810" s="21" t="s">
        <v>53</v>
      </c>
      <c r="M810" s="46"/>
      <c r="N810" s="46"/>
      <c r="O810" s="31"/>
      <c r="P810" s="16"/>
      <c r="Q810" s="16"/>
      <c r="R810" s="16" t="str">
        <f t="shared" si="2"/>
        <v/>
      </c>
    </row>
    <row r="811">
      <c r="A811" s="7"/>
      <c r="B811" s="16"/>
      <c r="C811" s="12"/>
      <c r="D811" s="12"/>
      <c r="E811" s="9"/>
      <c r="F811" s="10"/>
      <c r="G811" s="11"/>
      <c r="H811" s="9"/>
      <c r="I811" s="31"/>
      <c r="J811" s="9"/>
      <c r="K811" s="9"/>
      <c r="L811" s="21" t="s">
        <v>59</v>
      </c>
      <c r="M811" s="46"/>
      <c r="N811" s="46"/>
      <c r="O811" s="31"/>
      <c r="P811" s="16"/>
      <c r="Q811" s="16"/>
      <c r="R811" s="16" t="str">
        <f t="shared" si="2"/>
        <v/>
      </c>
    </row>
    <row r="812">
      <c r="A812" s="7"/>
      <c r="B812" s="16"/>
      <c r="C812" s="12"/>
      <c r="D812" s="12"/>
      <c r="E812" s="9"/>
      <c r="F812" s="10"/>
      <c r="G812" s="11"/>
      <c r="H812" s="9"/>
      <c r="I812" s="31"/>
      <c r="J812" s="9"/>
      <c r="K812" s="9"/>
      <c r="L812" s="21" t="s">
        <v>65</v>
      </c>
      <c r="M812" s="46"/>
      <c r="N812" s="46"/>
      <c r="O812" s="31"/>
      <c r="P812" s="16"/>
      <c r="Q812" s="16"/>
      <c r="R812" s="16" t="str">
        <f t="shared" si="2"/>
        <v/>
      </c>
    </row>
    <row r="813">
      <c r="A813" s="7"/>
      <c r="B813" s="16"/>
      <c r="C813" s="12"/>
      <c r="D813" s="12"/>
      <c r="E813" s="9"/>
      <c r="F813" s="10"/>
      <c r="G813" s="11"/>
      <c r="H813" s="9"/>
      <c r="I813" s="31"/>
      <c r="J813" s="9"/>
      <c r="K813" s="9"/>
      <c r="L813" s="21" t="s">
        <v>71</v>
      </c>
      <c r="M813" s="46"/>
      <c r="N813" s="46"/>
      <c r="O813" s="31"/>
      <c r="P813" s="16"/>
      <c r="Q813" s="16"/>
      <c r="R813" s="16" t="str">
        <f t="shared" si="2"/>
        <v/>
      </c>
    </row>
    <row r="814">
      <c r="A814" s="7" t="s">
        <v>405</v>
      </c>
      <c r="B814" s="14" t="s">
        <v>20</v>
      </c>
      <c r="C814" s="12"/>
      <c r="D814" s="17" t="s">
        <v>2046</v>
      </c>
      <c r="E814" s="9" t="s">
        <v>406</v>
      </c>
      <c r="F814" s="10" t="s">
        <v>407</v>
      </c>
      <c r="G814" s="22" t="s">
        <v>91</v>
      </c>
      <c r="H814" s="9" t="s">
        <v>408</v>
      </c>
      <c r="I814" s="29" t="s">
        <v>898</v>
      </c>
      <c r="J814" s="9"/>
      <c r="K814" s="9" t="s">
        <v>392</v>
      </c>
      <c r="L814" s="21" t="s">
        <v>25</v>
      </c>
      <c r="M814" s="46"/>
      <c r="N814" s="46"/>
      <c r="O814" s="31"/>
      <c r="P814" s="16"/>
      <c r="Q814" s="16"/>
      <c r="R814" s="16" t="str">
        <f t="shared" si="2"/>
        <v/>
      </c>
    </row>
    <row r="815">
      <c r="A815" s="7"/>
      <c r="B815" s="16"/>
      <c r="C815" s="12"/>
      <c r="D815" s="12"/>
      <c r="E815" s="9"/>
      <c r="F815" s="10"/>
      <c r="G815" s="11"/>
      <c r="H815" s="9"/>
      <c r="I815" s="31"/>
      <c r="J815" s="9"/>
      <c r="K815" s="9"/>
      <c r="L815" s="21" t="s">
        <v>31</v>
      </c>
      <c r="M815" s="46"/>
      <c r="N815" s="46"/>
      <c r="O815" s="31"/>
      <c r="P815" s="16"/>
      <c r="Q815" s="16"/>
      <c r="R815" s="16" t="str">
        <f t="shared" si="2"/>
        <v/>
      </c>
    </row>
    <row r="816">
      <c r="A816" s="7"/>
      <c r="B816" s="16"/>
      <c r="C816" s="12"/>
      <c r="D816" s="12"/>
      <c r="E816" s="9"/>
      <c r="F816" s="10"/>
      <c r="G816" s="11"/>
      <c r="H816" s="9"/>
      <c r="I816" s="31"/>
      <c r="J816" s="9"/>
      <c r="K816" s="9"/>
      <c r="L816" s="21" t="s">
        <v>36</v>
      </c>
      <c r="M816" s="46"/>
      <c r="N816" s="46"/>
      <c r="O816" s="31"/>
      <c r="P816" s="16"/>
      <c r="Q816" s="16"/>
      <c r="R816" s="16" t="str">
        <f t="shared" si="2"/>
        <v/>
      </c>
    </row>
    <row r="817">
      <c r="A817" s="7"/>
      <c r="B817" s="16"/>
      <c r="C817" s="12"/>
      <c r="D817" s="12"/>
      <c r="E817" s="9"/>
      <c r="F817" s="10"/>
      <c r="G817" s="11"/>
      <c r="H817" s="9"/>
      <c r="I817" s="31"/>
      <c r="J817" s="9"/>
      <c r="K817" s="9"/>
      <c r="L817" s="21" t="s">
        <v>41</v>
      </c>
      <c r="M817" s="46"/>
      <c r="N817" s="46"/>
      <c r="O817" s="31"/>
      <c r="P817" s="16"/>
      <c r="Q817" s="16"/>
      <c r="R817" s="16" t="str">
        <f t="shared" si="2"/>
        <v/>
      </c>
    </row>
    <row r="818">
      <c r="A818" s="7"/>
      <c r="B818" s="16"/>
      <c r="C818" s="12"/>
      <c r="D818" s="12"/>
      <c r="E818" s="9"/>
      <c r="F818" s="10"/>
      <c r="G818" s="11"/>
      <c r="H818" s="9"/>
      <c r="I818" s="31"/>
      <c r="J818" s="9"/>
      <c r="K818" s="9"/>
      <c r="L818" s="21" t="s">
        <v>47</v>
      </c>
      <c r="M818" s="46"/>
      <c r="N818" s="46"/>
      <c r="O818" s="31"/>
      <c r="P818" s="16"/>
      <c r="Q818" s="16"/>
      <c r="R818" s="16" t="str">
        <f t="shared" si="2"/>
        <v/>
      </c>
    </row>
    <row r="819">
      <c r="A819" s="7"/>
      <c r="B819" s="16"/>
      <c r="C819" s="12"/>
      <c r="D819" s="12"/>
      <c r="E819" s="9"/>
      <c r="F819" s="10"/>
      <c r="G819" s="11"/>
      <c r="H819" s="9"/>
      <c r="I819" s="31"/>
      <c r="J819" s="9"/>
      <c r="K819" s="9"/>
      <c r="L819" s="21" t="s">
        <v>53</v>
      </c>
      <c r="M819" s="46"/>
      <c r="N819" s="46"/>
      <c r="O819" s="31"/>
      <c r="P819" s="16"/>
      <c r="Q819" s="16"/>
      <c r="R819" s="16" t="str">
        <f t="shared" si="2"/>
        <v/>
      </c>
    </row>
    <row r="820">
      <c r="A820" s="7"/>
      <c r="B820" s="16"/>
      <c r="C820" s="12"/>
      <c r="D820" s="12"/>
      <c r="E820" s="9"/>
      <c r="F820" s="10"/>
      <c r="G820" s="11"/>
      <c r="H820" s="9"/>
      <c r="I820" s="31"/>
      <c r="J820" s="9"/>
      <c r="K820" s="9"/>
      <c r="L820" s="21" t="s">
        <v>59</v>
      </c>
      <c r="M820" s="46"/>
      <c r="N820" s="46"/>
      <c r="O820" s="31"/>
      <c r="P820" s="16"/>
      <c r="Q820" s="16"/>
      <c r="R820" s="16" t="str">
        <f t="shared" si="2"/>
        <v/>
      </c>
    </row>
    <row r="821">
      <c r="A821" s="7"/>
      <c r="B821" s="16"/>
      <c r="C821" s="12"/>
      <c r="D821" s="12"/>
      <c r="E821" s="9"/>
      <c r="F821" s="10"/>
      <c r="G821" s="11"/>
      <c r="H821" s="9"/>
      <c r="I821" s="31"/>
      <c r="J821" s="9"/>
      <c r="K821" s="9"/>
      <c r="L821" s="21" t="s">
        <v>65</v>
      </c>
      <c r="M821" s="46"/>
      <c r="N821" s="46"/>
      <c r="O821" s="31"/>
      <c r="P821" s="16"/>
      <c r="Q821" s="16"/>
      <c r="R821" s="16" t="str">
        <f t="shared" si="2"/>
        <v/>
      </c>
    </row>
    <row r="822">
      <c r="A822" s="7"/>
      <c r="B822" s="16"/>
      <c r="C822" s="12"/>
      <c r="D822" s="12"/>
      <c r="E822" s="9"/>
      <c r="F822" s="10"/>
      <c r="G822" s="11"/>
      <c r="H822" s="9"/>
      <c r="I822" s="31"/>
      <c r="J822" s="9"/>
      <c r="K822" s="9"/>
      <c r="L822" s="21" t="s">
        <v>71</v>
      </c>
      <c r="M822" s="46"/>
      <c r="N822" s="46"/>
      <c r="O822" s="31"/>
      <c r="P822" s="16"/>
      <c r="Q822" s="16"/>
      <c r="R822" s="16" t="str">
        <f t="shared" si="2"/>
        <v/>
      </c>
    </row>
    <row r="823">
      <c r="A823" s="7" t="s">
        <v>409</v>
      </c>
      <c r="B823" s="14" t="s">
        <v>20</v>
      </c>
      <c r="C823" s="12"/>
      <c r="D823" s="17" t="s">
        <v>2047</v>
      </c>
      <c r="E823" s="9" t="s">
        <v>410</v>
      </c>
      <c r="F823" s="10" t="s">
        <v>411</v>
      </c>
      <c r="G823" s="22" t="s">
        <v>91</v>
      </c>
      <c r="H823" s="9" t="s">
        <v>412</v>
      </c>
      <c r="I823" s="29" t="s">
        <v>898</v>
      </c>
      <c r="J823" s="9"/>
      <c r="K823" s="9" t="s">
        <v>392</v>
      </c>
      <c r="L823" s="21" t="s">
        <v>25</v>
      </c>
      <c r="M823" s="46"/>
      <c r="N823" s="46"/>
      <c r="O823" s="31"/>
      <c r="P823" s="16"/>
      <c r="Q823" s="16"/>
      <c r="R823" s="16" t="str">
        <f t="shared" si="2"/>
        <v/>
      </c>
    </row>
    <row r="824">
      <c r="A824" s="7"/>
      <c r="B824" s="16"/>
      <c r="C824" s="12"/>
      <c r="D824" s="12"/>
      <c r="E824" s="9"/>
      <c r="F824" s="10"/>
      <c r="G824" s="11"/>
      <c r="H824" s="9"/>
      <c r="I824" s="31"/>
      <c r="J824" s="9"/>
      <c r="K824" s="9"/>
      <c r="L824" s="21" t="s">
        <v>31</v>
      </c>
      <c r="M824" s="46"/>
      <c r="N824" s="46"/>
      <c r="O824" s="31"/>
      <c r="P824" s="16"/>
      <c r="Q824" s="16"/>
      <c r="R824" s="16" t="str">
        <f t="shared" si="2"/>
        <v/>
      </c>
    </row>
    <row r="825">
      <c r="A825" s="7"/>
      <c r="B825" s="16"/>
      <c r="C825" s="12"/>
      <c r="D825" s="12"/>
      <c r="E825" s="9"/>
      <c r="F825" s="10"/>
      <c r="G825" s="11"/>
      <c r="H825" s="9"/>
      <c r="I825" s="31"/>
      <c r="J825" s="9"/>
      <c r="K825" s="9"/>
      <c r="L825" s="21" t="s">
        <v>36</v>
      </c>
      <c r="M825" s="46"/>
      <c r="N825" s="46"/>
      <c r="O825" s="31"/>
      <c r="P825" s="16"/>
      <c r="Q825" s="16"/>
      <c r="R825" s="16" t="str">
        <f t="shared" si="2"/>
        <v/>
      </c>
    </row>
    <row r="826">
      <c r="A826" s="7"/>
      <c r="B826" s="16"/>
      <c r="C826" s="12"/>
      <c r="D826" s="12"/>
      <c r="E826" s="9"/>
      <c r="F826" s="10"/>
      <c r="G826" s="11"/>
      <c r="H826" s="9"/>
      <c r="I826" s="31"/>
      <c r="J826" s="9"/>
      <c r="K826" s="9"/>
      <c r="L826" s="21" t="s">
        <v>41</v>
      </c>
      <c r="M826" s="46"/>
      <c r="N826" s="46"/>
      <c r="O826" s="31"/>
      <c r="P826" s="16"/>
      <c r="Q826" s="16"/>
      <c r="R826" s="16" t="str">
        <f t="shared" si="2"/>
        <v/>
      </c>
    </row>
    <row r="827">
      <c r="A827" s="7"/>
      <c r="B827" s="16"/>
      <c r="C827" s="12"/>
      <c r="D827" s="12"/>
      <c r="E827" s="9"/>
      <c r="F827" s="10"/>
      <c r="G827" s="11"/>
      <c r="H827" s="9"/>
      <c r="I827" s="31"/>
      <c r="J827" s="9"/>
      <c r="K827" s="9"/>
      <c r="L827" s="21" t="s">
        <v>47</v>
      </c>
      <c r="M827" s="46"/>
      <c r="N827" s="46"/>
      <c r="O827" s="31"/>
      <c r="P827" s="16"/>
      <c r="Q827" s="16"/>
      <c r="R827" s="16" t="str">
        <f t="shared" si="2"/>
        <v/>
      </c>
    </row>
    <row r="828">
      <c r="A828" s="7"/>
      <c r="B828" s="16"/>
      <c r="C828" s="12"/>
      <c r="D828" s="12"/>
      <c r="E828" s="9"/>
      <c r="F828" s="10"/>
      <c r="G828" s="11"/>
      <c r="H828" s="9"/>
      <c r="I828" s="31"/>
      <c r="J828" s="9"/>
      <c r="K828" s="9"/>
      <c r="L828" s="21" t="s">
        <v>53</v>
      </c>
      <c r="M828" s="46"/>
      <c r="N828" s="46"/>
      <c r="O828" s="31"/>
      <c r="P828" s="16"/>
      <c r="Q828" s="16"/>
      <c r="R828" s="16" t="str">
        <f t="shared" si="2"/>
        <v/>
      </c>
    </row>
    <row r="829">
      <c r="A829" s="7"/>
      <c r="B829" s="16"/>
      <c r="C829" s="12"/>
      <c r="D829" s="12"/>
      <c r="E829" s="9"/>
      <c r="F829" s="10"/>
      <c r="G829" s="11"/>
      <c r="H829" s="9"/>
      <c r="I829" s="31"/>
      <c r="J829" s="9"/>
      <c r="K829" s="9"/>
      <c r="L829" s="21" t="s">
        <v>59</v>
      </c>
      <c r="M829" s="46"/>
      <c r="N829" s="46"/>
      <c r="O829" s="31"/>
      <c r="P829" s="16"/>
      <c r="Q829" s="16"/>
      <c r="R829" s="16" t="str">
        <f t="shared" si="2"/>
        <v/>
      </c>
    </row>
    <row r="830">
      <c r="A830" s="7"/>
      <c r="B830" s="16"/>
      <c r="C830" s="12"/>
      <c r="D830" s="12"/>
      <c r="E830" s="9"/>
      <c r="F830" s="10"/>
      <c r="G830" s="11"/>
      <c r="H830" s="9"/>
      <c r="I830" s="31"/>
      <c r="J830" s="9"/>
      <c r="K830" s="9"/>
      <c r="L830" s="21" t="s">
        <v>65</v>
      </c>
      <c r="M830" s="46"/>
      <c r="N830" s="46"/>
      <c r="O830" s="31"/>
      <c r="P830" s="16"/>
      <c r="Q830" s="16"/>
      <c r="R830" s="16" t="str">
        <f t="shared" si="2"/>
        <v/>
      </c>
    </row>
    <row r="831">
      <c r="A831" s="7"/>
      <c r="B831" s="16"/>
      <c r="C831" s="12"/>
      <c r="D831" s="12"/>
      <c r="E831" s="9"/>
      <c r="F831" s="10"/>
      <c r="G831" s="11"/>
      <c r="H831" s="9"/>
      <c r="I831" s="31"/>
      <c r="J831" s="9"/>
      <c r="K831" s="9"/>
      <c r="L831" s="21" t="s">
        <v>71</v>
      </c>
      <c r="M831" s="46"/>
      <c r="N831" s="46"/>
      <c r="O831" s="31"/>
      <c r="P831" s="16"/>
      <c r="Q831" s="16"/>
      <c r="R831" s="16" t="str">
        <f t="shared" si="2"/>
        <v/>
      </c>
    </row>
    <row r="832">
      <c r="A832" s="7" t="s">
        <v>413</v>
      </c>
      <c r="B832" s="14" t="s">
        <v>20</v>
      </c>
      <c r="C832" s="12"/>
      <c r="D832" s="17" t="s">
        <v>2048</v>
      </c>
      <c r="E832" s="9" t="s">
        <v>414</v>
      </c>
      <c r="F832" s="10" t="s">
        <v>415</v>
      </c>
      <c r="G832" s="22" t="s">
        <v>91</v>
      </c>
      <c r="H832" s="9" t="s">
        <v>416</v>
      </c>
      <c r="I832" s="29" t="s">
        <v>2042</v>
      </c>
      <c r="J832" s="9"/>
      <c r="K832" s="9" t="s">
        <v>392</v>
      </c>
      <c r="L832" s="21" t="s">
        <v>25</v>
      </c>
      <c r="M832" s="46"/>
      <c r="N832" s="46"/>
      <c r="O832" s="31"/>
      <c r="P832" s="16"/>
      <c r="Q832" s="16"/>
      <c r="R832" s="16" t="str">
        <f t="shared" si="2"/>
        <v/>
      </c>
    </row>
    <row r="833">
      <c r="A833" s="7"/>
      <c r="B833" s="16"/>
      <c r="C833" s="12"/>
      <c r="D833" s="12"/>
      <c r="E833" s="9"/>
      <c r="F833" s="10"/>
      <c r="G833" s="11"/>
      <c r="H833" s="9"/>
      <c r="I833" s="31"/>
      <c r="J833" s="9"/>
      <c r="K833" s="9"/>
      <c r="L833" s="21" t="s">
        <v>31</v>
      </c>
      <c r="M833" s="46"/>
      <c r="N833" s="46"/>
      <c r="O833" s="31"/>
      <c r="P833" s="16"/>
      <c r="Q833" s="16"/>
      <c r="R833" s="16" t="str">
        <f t="shared" si="2"/>
        <v/>
      </c>
    </row>
    <row r="834">
      <c r="A834" s="7"/>
      <c r="B834" s="16"/>
      <c r="C834" s="12"/>
      <c r="D834" s="12"/>
      <c r="E834" s="9"/>
      <c r="F834" s="10"/>
      <c r="G834" s="11"/>
      <c r="H834" s="9"/>
      <c r="I834" s="31"/>
      <c r="J834" s="9"/>
      <c r="K834" s="9"/>
      <c r="L834" s="21" t="s">
        <v>36</v>
      </c>
      <c r="M834" s="46"/>
      <c r="N834" s="46"/>
      <c r="O834" s="31"/>
      <c r="P834" s="16"/>
      <c r="Q834" s="16"/>
      <c r="R834" s="16" t="str">
        <f t="shared" si="2"/>
        <v/>
      </c>
    </row>
    <row r="835">
      <c r="A835" s="7"/>
      <c r="B835" s="16"/>
      <c r="C835" s="12"/>
      <c r="D835" s="12"/>
      <c r="E835" s="9"/>
      <c r="F835" s="10"/>
      <c r="G835" s="11"/>
      <c r="H835" s="9"/>
      <c r="I835" s="31"/>
      <c r="J835" s="9"/>
      <c r="K835" s="9"/>
      <c r="L835" s="21" t="s">
        <v>41</v>
      </c>
      <c r="M835" s="46"/>
      <c r="N835" s="46"/>
      <c r="O835" s="31"/>
      <c r="P835" s="16"/>
      <c r="Q835" s="16"/>
      <c r="R835" s="16" t="str">
        <f t="shared" si="2"/>
        <v/>
      </c>
    </row>
    <row r="836">
      <c r="A836" s="7"/>
      <c r="B836" s="16"/>
      <c r="C836" s="12"/>
      <c r="D836" s="12"/>
      <c r="E836" s="9"/>
      <c r="F836" s="10"/>
      <c r="G836" s="11"/>
      <c r="H836" s="9"/>
      <c r="I836" s="31"/>
      <c r="J836" s="9"/>
      <c r="K836" s="9"/>
      <c r="L836" s="21" t="s">
        <v>47</v>
      </c>
      <c r="M836" s="46"/>
      <c r="N836" s="46"/>
      <c r="O836" s="31"/>
      <c r="P836" s="16"/>
      <c r="Q836" s="16"/>
      <c r="R836" s="16" t="str">
        <f t="shared" si="2"/>
        <v/>
      </c>
    </row>
    <row r="837">
      <c r="A837" s="7"/>
      <c r="B837" s="16"/>
      <c r="C837" s="12"/>
      <c r="D837" s="12"/>
      <c r="E837" s="9"/>
      <c r="F837" s="10"/>
      <c r="G837" s="11"/>
      <c r="H837" s="9"/>
      <c r="I837" s="31"/>
      <c r="J837" s="9"/>
      <c r="K837" s="9"/>
      <c r="L837" s="21" t="s">
        <v>53</v>
      </c>
      <c r="M837" s="46"/>
      <c r="N837" s="46"/>
      <c r="O837" s="31"/>
      <c r="P837" s="16"/>
      <c r="Q837" s="16"/>
      <c r="R837" s="16" t="str">
        <f t="shared" si="2"/>
        <v/>
      </c>
    </row>
    <row r="838">
      <c r="A838" s="7"/>
      <c r="B838" s="16"/>
      <c r="C838" s="12"/>
      <c r="D838" s="12"/>
      <c r="E838" s="9"/>
      <c r="F838" s="10"/>
      <c r="G838" s="11"/>
      <c r="H838" s="9"/>
      <c r="I838" s="31"/>
      <c r="J838" s="9"/>
      <c r="K838" s="9"/>
      <c r="L838" s="21" t="s">
        <v>59</v>
      </c>
      <c r="M838" s="46"/>
      <c r="N838" s="46"/>
      <c r="O838" s="31"/>
      <c r="P838" s="16"/>
      <c r="Q838" s="16"/>
      <c r="R838" s="16" t="str">
        <f t="shared" si="2"/>
        <v/>
      </c>
    </row>
    <row r="839">
      <c r="A839" s="7"/>
      <c r="B839" s="16"/>
      <c r="C839" s="12"/>
      <c r="D839" s="12"/>
      <c r="E839" s="9"/>
      <c r="F839" s="10"/>
      <c r="G839" s="11"/>
      <c r="H839" s="9"/>
      <c r="I839" s="31"/>
      <c r="J839" s="9"/>
      <c r="K839" s="9"/>
      <c r="L839" s="21" t="s">
        <v>65</v>
      </c>
      <c r="M839" s="46"/>
      <c r="N839" s="46"/>
      <c r="O839" s="31"/>
      <c r="P839" s="16"/>
      <c r="Q839" s="16"/>
      <c r="R839" s="16" t="str">
        <f t="shared" si="2"/>
        <v/>
      </c>
    </row>
    <row r="840">
      <c r="A840" s="7"/>
      <c r="B840" s="16"/>
      <c r="C840" s="12"/>
      <c r="D840" s="12"/>
      <c r="E840" s="9"/>
      <c r="F840" s="10"/>
      <c r="G840" s="11"/>
      <c r="H840" s="9"/>
      <c r="I840" s="31"/>
      <c r="J840" s="9"/>
      <c r="K840" s="9"/>
      <c r="L840" s="21" t="s">
        <v>71</v>
      </c>
      <c r="M840" s="46"/>
      <c r="N840" s="46"/>
      <c r="O840" s="31"/>
      <c r="P840" s="16"/>
      <c r="Q840" s="16"/>
      <c r="R840" s="16" t="str">
        <f t="shared" si="2"/>
        <v/>
      </c>
    </row>
    <row r="841">
      <c r="A841" s="7" t="s">
        <v>417</v>
      </c>
      <c r="B841" s="14" t="s">
        <v>20</v>
      </c>
      <c r="C841" s="12"/>
      <c r="D841" s="17" t="s">
        <v>2049</v>
      </c>
      <c r="E841" s="9" t="s">
        <v>418</v>
      </c>
      <c r="F841" s="10" t="s">
        <v>419</v>
      </c>
      <c r="G841" s="22" t="s">
        <v>91</v>
      </c>
      <c r="H841" s="9" t="s">
        <v>420</v>
      </c>
      <c r="I841" s="29" t="s">
        <v>528</v>
      </c>
      <c r="J841" s="9"/>
      <c r="K841" s="9" t="s">
        <v>392</v>
      </c>
      <c r="L841" s="21" t="s">
        <v>25</v>
      </c>
      <c r="M841" s="46"/>
      <c r="N841" s="46"/>
      <c r="O841" s="31"/>
      <c r="P841" s="16"/>
      <c r="Q841" s="16"/>
      <c r="R841" s="16" t="str">
        <f t="shared" si="2"/>
        <v/>
      </c>
    </row>
    <row r="842">
      <c r="A842" s="7"/>
      <c r="B842" s="16"/>
      <c r="C842" s="12"/>
      <c r="D842" s="12"/>
      <c r="E842" s="9"/>
      <c r="F842" s="10"/>
      <c r="G842" s="11"/>
      <c r="H842" s="9"/>
      <c r="I842" s="31"/>
      <c r="J842" s="9"/>
      <c r="K842" s="9"/>
      <c r="L842" s="21" t="s">
        <v>31</v>
      </c>
      <c r="M842" s="46"/>
      <c r="N842" s="46"/>
      <c r="O842" s="31"/>
      <c r="P842" s="16"/>
      <c r="Q842" s="16"/>
      <c r="R842" s="16" t="str">
        <f t="shared" si="2"/>
        <v/>
      </c>
    </row>
    <row r="843">
      <c r="A843" s="7"/>
      <c r="B843" s="16"/>
      <c r="C843" s="12"/>
      <c r="D843" s="12"/>
      <c r="E843" s="9"/>
      <c r="F843" s="10"/>
      <c r="G843" s="11"/>
      <c r="H843" s="9"/>
      <c r="I843" s="31"/>
      <c r="J843" s="9"/>
      <c r="K843" s="9"/>
      <c r="L843" s="21" t="s">
        <v>36</v>
      </c>
      <c r="M843" s="46"/>
      <c r="N843" s="46"/>
      <c r="O843" s="31"/>
      <c r="P843" s="16"/>
      <c r="Q843" s="16"/>
      <c r="R843" s="16" t="str">
        <f t="shared" si="2"/>
        <v/>
      </c>
    </row>
    <row r="844">
      <c r="A844" s="7"/>
      <c r="B844" s="16"/>
      <c r="C844" s="12"/>
      <c r="D844" s="12"/>
      <c r="E844" s="9"/>
      <c r="F844" s="10"/>
      <c r="G844" s="11"/>
      <c r="H844" s="9"/>
      <c r="I844" s="31"/>
      <c r="J844" s="9"/>
      <c r="K844" s="9"/>
      <c r="L844" s="21" t="s">
        <v>41</v>
      </c>
      <c r="M844" s="46"/>
      <c r="N844" s="46"/>
      <c r="O844" s="31"/>
      <c r="P844" s="16"/>
      <c r="Q844" s="16"/>
      <c r="R844" s="16" t="str">
        <f t="shared" si="2"/>
        <v/>
      </c>
    </row>
    <row r="845">
      <c r="A845" s="7"/>
      <c r="B845" s="16"/>
      <c r="C845" s="12"/>
      <c r="D845" s="12"/>
      <c r="E845" s="9"/>
      <c r="F845" s="10"/>
      <c r="G845" s="11"/>
      <c r="H845" s="9"/>
      <c r="I845" s="31"/>
      <c r="J845" s="9"/>
      <c r="K845" s="9"/>
      <c r="L845" s="21" t="s">
        <v>47</v>
      </c>
      <c r="M845" s="46"/>
      <c r="N845" s="46"/>
      <c r="O845" s="31"/>
      <c r="P845" s="16"/>
      <c r="Q845" s="16"/>
      <c r="R845" s="16" t="str">
        <f t="shared" si="2"/>
        <v/>
      </c>
    </row>
    <row r="846">
      <c r="A846" s="7"/>
      <c r="B846" s="16"/>
      <c r="C846" s="12"/>
      <c r="D846" s="12"/>
      <c r="E846" s="9"/>
      <c r="F846" s="10"/>
      <c r="G846" s="11"/>
      <c r="H846" s="9"/>
      <c r="I846" s="31"/>
      <c r="J846" s="9"/>
      <c r="K846" s="9"/>
      <c r="L846" s="21" t="s">
        <v>53</v>
      </c>
      <c r="M846" s="46"/>
      <c r="N846" s="46"/>
      <c r="O846" s="31"/>
      <c r="P846" s="16"/>
      <c r="Q846" s="16"/>
      <c r="R846" s="16" t="str">
        <f t="shared" si="2"/>
        <v/>
      </c>
    </row>
    <row r="847">
      <c r="A847" s="7"/>
      <c r="B847" s="16"/>
      <c r="C847" s="12"/>
      <c r="D847" s="12"/>
      <c r="E847" s="9"/>
      <c r="F847" s="10"/>
      <c r="G847" s="11"/>
      <c r="H847" s="9"/>
      <c r="I847" s="31"/>
      <c r="J847" s="9"/>
      <c r="K847" s="9"/>
      <c r="L847" s="21" t="s">
        <v>59</v>
      </c>
      <c r="M847" s="46"/>
      <c r="N847" s="46"/>
      <c r="O847" s="31"/>
      <c r="P847" s="16"/>
      <c r="Q847" s="16"/>
      <c r="R847" s="16" t="str">
        <f t="shared" si="2"/>
        <v/>
      </c>
    </row>
    <row r="848">
      <c r="A848" s="7"/>
      <c r="B848" s="16"/>
      <c r="C848" s="12"/>
      <c r="D848" s="12"/>
      <c r="E848" s="9"/>
      <c r="F848" s="10"/>
      <c r="G848" s="11"/>
      <c r="H848" s="9"/>
      <c r="I848" s="31"/>
      <c r="J848" s="9"/>
      <c r="K848" s="9"/>
      <c r="L848" s="21" t="s">
        <v>65</v>
      </c>
      <c r="M848" s="46"/>
      <c r="N848" s="46"/>
      <c r="O848" s="31"/>
      <c r="P848" s="16"/>
      <c r="Q848" s="16"/>
      <c r="R848" s="16" t="str">
        <f t="shared" si="2"/>
        <v/>
      </c>
    </row>
    <row r="849">
      <c r="A849" s="7"/>
      <c r="B849" s="16"/>
      <c r="C849" s="12"/>
      <c r="D849" s="12"/>
      <c r="E849" s="9"/>
      <c r="F849" s="10"/>
      <c r="G849" s="11"/>
      <c r="H849" s="9"/>
      <c r="I849" s="31"/>
      <c r="J849" s="9"/>
      <c r="K849" s="9"/>
      <c r="L849" s="21" t="s">
        <v>71</v>
      </c>
      <c r="M849" s="46"/>
      <c r="N849" s="46"/>
      <c r="O849" s="31"/>
      <c r="P849" s="16"/>
      <c r="Q849" s="16"/>
      <c r="R849" s="16" t="str">
        <f t="shared" si="2"/>
        <v/>
      </c>
    </row>
    <row r="850">
      <c r="A850" s="7" t="s">
        <v>421</v>
      </c>
      <c r="B850" s="14" t="s">
        <v>20</v>
      </c>
      <c r="C850" s="12"/>
      <c r="D850" s="17" t="s">
        <v>2050</v>
      </c>
      <c r="E850" s="9" t="s">
        <v>422</v>
      </c>
      <c r="F850" s="10" t="s">
        <v>423</v>
      </c>
      <c r="G850" s="22" t="s">
        <v>110</v>
      </c>
      <c r="H850" s="9" t="s">
        <v>424</v>
      </c>
      <c r="I850" s="29" t="s">
        <v>2051</v>
      </c>
      <c r="J850" s="9"/>
      <c r="K850" s="9" t="s">
        <v>392</v>
      </c>
      <c r="L850" s="21" t="s">
        <v>25</v>
      </c>
      <c r="M850" s="46"/>
      <c r="N850" s="46"/>
      <c r="O850" s="31"/>
      <c r="P850" s="16"/>
      <c r="Q850" s="16"/>
      <c r="R850" s="16" t="str">
        <f t="shared" si="2"/>
        <v/>
      </c>
    </row>
    <row r="851">
      <c r="A851" s="7"/>
      <c r="B851" s="16"/>
      <c r="C851" s="12"/>
      <c r="D851" s="12"/>
      <c r="E851" s="9"/>
      <c r="F851" s="10"/>
      <c r="G851" s="11"/>
      <c r="H851" s="9"/>
      <c r="I851" s="31"/>
      <c r="J851" s="9"/>
      <c r="K851" s="9"/>
      <c r="L851" s="21" t="s">
        <v>31</v>
      </c>
      <c r="M851" s="46"/>
      <c r="N851" s="46"/>
      <c r="O851" s="31"/>
      <c r="P851" s="16"/>
      <c r="Q851" s="16"/>
      <c r="R851" s="16" t="str">
        <f t="shared" si="2"/>
        <v/>
      </c>
    </row>
    <row r="852">
      <c r="A852" s="7"/>
      <c r="B852" s="16"/>
      <c r="C852" s="12"/>
      <c r="D852" s="12"/>
      <c r="E852" s="9"/>
      <c r="F852" s="10"/>
      <c r="G852" s="11"/>
      <c r="H852" s="9"/>
      <c r="I852" s="31"/>
      <c r="J852" s="9"/>
      <c r="K852" s="9"/>
      <c r="L852" s="21" t="s">
        <v>36</v>
      </c>
      <c r="M852" s="46"/>
      <c r="N852" s="46"/>
      <c r="O852" s="31"/>
      <c r="P852" s="16"/>
      <c r="Q852" s="16"/>
      <c r="R852" s="16" t="str">
        <f t="shared" si="2"/>
        <v/>
      </c>
    </row>
    <row r="853">
      <c r="A853" s="7"/>
      <c r="B853" s="16"/>
      <c r="C853" s="12"/>
      <c r="D853" s="12"/>
      <c r="E853" s="9"/>
      <c r="F853" s="10"/>
      <c r="G853" s="11"/>
      <c r="H853" s="9"/>
      <c r="I853" s="31"/>
      <c r="J853" s="9"/>
      <c r="K853" s="9"/>
      <c r="L853" s="21" t="s">
        <v>41</v>
      </c>
      <c r="M853" s="46"/>
      <c r="N853" s="46"/>
      <c r="O853" s="31"/>
      <c r="P853" s="16"/>
      <c r="Q853" s="16"/>
      <c r="R853" s="16" t="str">
        <f t="shared" si="2"/>
        <v/>
      </c>
    </row>
    <row r="854">
      <c r="A854" s="7"/>
      <c r="B854" s="16"/>
      <c r="C854" s="12"/>
      <c r="D854" s="12"/>
      <c r="E854" s="9"/>
      <c r="F854" s="10"/>
      <c r="G854" s="11"/>
      <c r="H854" s="9"/>
      <c r="I854" s="31"/>
      <c r="J854" s="9"/>
      <c r="K854" s="9"/>
      <c r="L854" s="21" t="s">
        <v>47</v>
      </c>
      <c r="M854" s="46"/>
      <c r="N854" s="46"/>
      <c r="O854" s="31"/>
      <c r="P854" s="16"/>
      <c r="Q854" s="16"/>
      <c r="R854" s="16" t="str">
        <f t="shared" si="2"/>
        <v/>
      </c>
    </row>
    <row r="855">
      <c r="A855" s="7"/>
      <c r="B855" s="16"/>
      <c r="C855" s="12"/>
      <c r="D855" s="12"/>
      <c r="E855" s="9"/>
      <c r="F855" s="10"/>
      <c r="G855" s="11"/>
      <c r="H855" s="9"/>
      <c r="I855" s="31"/>
      <c r="J855" s="9"/>
      <c r="K855" s="9"/>
      <c r="L855" s="21" t="s">
        <v>53</v>
      </c>
      <c r="M855" s="46"/>
      <c r="N855" s="46"/>
      <c r="O855" s="31"/>
      <c r="P855" s="16"/>
      <c r="Q855" s="16"/>
      <c r="R855" s="16" t="str">
        <f t="shared" si="2"/>
        <v/>
      </c>
    </row>
    <row r="856">
      <c r="A856" s="7"/>
      <c r="B856" s="16"/>
      <c r="C856" s="12"/>
      <c r="D856" s="12"/>
      <c r="E856" s="9"/>
      <c r="F856" s="10"/>
      <c r="G856" s="11"/>
      <c r="H856" s="9"/>
      <c r="I856" s="31"/>
      <c r="J856" s="9"/>
      <c r="K856" s="9"/>
      <c r="L856" s="21" t="s">
        <v>59</v>
      </c>
      <c r="M856" s="46"/>
      <c r="N856" s="46"/>
      <c r="O856" s="31"/>
      <c r="P856" s="16"/>
      <c r="Q856" s="16"/>
      <c r="R856" s="16" t="str">
        <f t="shared" si="2"/>
        <v/>
      </c>
    </row>
    <row r="857">
      <c r="A857" s="7"/>
      <c r="B857" s="16"/>
      <c r="C857" s="12"/>
      <c r="D857" s="12"/>
      <c r="E857" s="9"/>
      <c r="F857" s="10"/>
      <c r="G857" s="11"/>
      <c r="H857" s="9"/>
      <c r="I857" s="31"/>
      <c r="J857" s="9"/>
      <c r="K857" s="9"/>
      <c r="L857" s="21" t="s">
        <v>65</v>
      </c>
      <c r="M857" s="46"/>
      <c r="N857" s="46"/>
      <c r="O857" s="31"/>
      <c r="P857" s="16"/>
      <c r="Q857" s="16"/>
      <c r="R857" s="16" t="str">
        <f t="shared" si="2"/>
        <v/>
      </c>
    </row>
    <row r="858">
      <c r="A858" s="7"/>
      <c r="B858" s="16"/>
      <c r="C858" s="12"/>
      <c r="D858" s="12"/>
      <c r="E858" s="9"/>
      <c r="F858" s="10"/>
      <c r="G858" s="11"/>
      <c r="H858" s="9"/>
      <c r="I858" s="31"/>
      <c r="J858" s="9"/>
      <c r="K858" s="9"/>
      <c r="L858" s="21" t="s">
        <v>71</v>
      </c>
      <c r="M858" s="46"/>
      <c r="N858" s="46"/>
      <c r="O858" s="31"/>
      <c r="P858" s="16"/>
      <c r="Q858" s="16"/>
      <c r="R858" s="16" t="str">
        <f t="shared" si="2"/>
        <v/>
      </c>
    </row>
    <row r="859">
      <c r="A859" s="7" t="s">
        <v>425</v>
      </c>
      <c r="B859" s="14" t="s">
        <v>20</v>
      </c>
      <c r="C859" s="12"/>
      <c r="D859" s="17" t="s">
        <v>2052</v>
      </c>
      <c r="E859" s="9" t="s">
        <v>426</v>
      </c>
      <c r="F859" s="10" t="s">
        <v>427</v>
      </c>
      <c r="G859" s="22" t="s">
        <v>110</v>
      </c>
      <c r="H859" s="9" t="s">
        <v>428</v>
      </c>
      <c r="I859" s="29" t="s">
        <v>698</v>
      </c>
      <c r="J859" s="9"/>
      <c r="K859" s="9" t="s">
        <v>392</v>
      </c>
      <c r="L859" s="21" t="s">
        <v>25</v>
      </c>
      <c r="M859" s="46"/>
      <c r="N859" s="46"/>
      <c r="O859" s="31"/>
      <c r="P859" s="16"/>
      <c r="Q859" s="16"/>
      <c r="R859" s="16" t="str">
        <f t="shared" si="2"/>
        <v/>
      </c>
    </row>
    <row r="860">
      <c r="A860" s="7"/>
      <c r="B860" s="16"/>
      <c r="C860" s="12"/>
      <c r="D860" s="12"/>
      <c r="E860" s="9"/>
      <c r="F860" s="10"/>
      <c r="G860" s="11"/>
      <c r="H860" s="9"/>
      <c r="I860" s="31"/>
      <c r="J860" s="9"/>
      <c r="K860" s="9"/>
      <c r="L860" s="21" t="s">
        <v>31</v>
      </c>
      <c r="M860" s="46"/>
      <c r="N860" s="46"/>
      <c r="O860" s="31"/>
      <c r="P860" s="16"/>
      <c r="Q860" s="16"/>
      <c r="R860" s="16" t="str">
        <f t="shared" si="2"/>
        <v/>
      </c>
    </row>
    <row r="861">
      <c r="A861" s="7"/>
      <c r="B861" s="16"/>
      <c r="C861" s="12"/>
      <c r="D861" s="12"/>
      <c r="E861" s="9"/>
      <c r="F861" s="10"/>
      <c r="G861" s="11"/>
      <c r="H861" s="9"/>
      <c r="I861" s="31"/>
      <c r="J861" s="9"/>
      <c r="K861" s="9"/>
      <c r="L861" s="21" t="s">
        <v>36</v>
      </c>
      <c r="M861" s="46"/>
      <c r="N861" s="46"/>
      <c r="O861" s="31"/>
      <c r="P861" s="16"/>
      <c r="Q861" s="16"/>
      <c r="R861" s="16" t="str">
        <f t="shared" si="2"/>
        <v/>
      </c>
    </row>
    <row r="862">
      <c r="A862" s="7"/>
      <c r="B862" s="16"/>
      <c r="C862" s="12"/>
      <c r="D862" s="12"/>
      <c r="E862" s="9"/>
      <c r="F862" s="10"/>
      <c r="G862" s="11"/>
      <c r="H862" s="9"/>
      <c r="I862" s="31"/>
      <c r="J862" s="9"/>
      <c r="K862" s="9"/>
      <c r="L862" s="21" t="s">
        <v>41</v>
      </c>
      <c r="M862" s="46"/>
      <c r="N862" s="46"/>
      <c r="O862" s="31"/>
      <c r="P862" s="16"/>
      <c r="Q862" s="16"/>
      <c r="R862" s="16" t="str">
        <f t="shared" si="2"/>
        <v/>
      </c>
    </row>
    <row r="863">
      <c r="A863" s="7"/>
      <c r="B863" s="16"/>
      <c r="C863" s="12"/>
      <c r="D863" s="12"/>
      <c r="E863" s="9"/>
      <c r="F863" s="10"/>
      <c r="G863" s="11"/>
      <c r="H863" s="9"/>
      <c r="I863" s="31"/>
      <c r="J863" s="9"/>
      <c r="K863" s="9"/>
      <c r="L863" s="21" t="s">
        <v>47</v>
      </c>
      <c r="M863" s="46"/>
      <c r="N863" s="46"/>
      <c r="O863" s="31"/>
      <c r="P863" s="16"/>
      <c r="Q863" s="16"/>
      <c r="R863" s="16" t="str">
        <f t="shared" si="2"/>
        <v/>
      </c>
    </row>
    <row r="864">
      <c r="A864" s="7"/>
      <c r="B864" s="16"/>
      <c r="C864" s="12"/>
      <c r="D864" s="12"/>
      <c r="E864" s="9"/>
      <c r="F864" s="10"/>
      <c r="G864" s="11"/>
      <c r="H864" s="9"/>
      <c r="I864" s="31"/>
      <c r="J864" s="9"/>
      <c r="K864" s="9"/>
      <c r="L864" s="21" t="s">
        <v>53</v>
      </c>
      <c r="M864" s="46"/>
      <c r="N864" s="46"/>
      <c r="O864" s="31"/>
      <c r="P864" s="16"/>
      <c r="Q864" s="16"/>
      <c r="R864" s="16" t="str">
        <f t="shared" si="2"/>
        <v/>
      </c>
    </row>
    <row r="865">
      <c r="A865" s="7"/>
      <c r="B865" s="16"/>
      <c r="C865" s="12"/>
      <c r="D865" s="12"/>
      <c r="E865" s="9"/>
      <c r="F865" s="10"/>
      <c r="G865" s="11"/>
      <c r="H865" s="9"/>
      <c r="I865" s="31"/>
      <c r="J865" s="9"/>
      <c r="K865" s="9"/>
      <c r="L865" s="21" t="s">
        <v>59</v>
      </c>
      <c r="M865" s="46"/>
      <c r="N865" s="46"/>
      <c r="O865" s="31"/>
      <c r="P865" s="16"/>
      <c r="Q865" s="16"/>
      <c r="R865" s="16" t="str">
        <f t="shared" si="2"/>
        <v/>
      </c>
    </row>
    <row r="866">
      <c r="A866" s="7"/>
      <c r="B866" s="16"/>
      <c r="C866" s="12"/>
      <c r="D866" s="12"/>
      <c r="E866" s="9"/>
      <c r="F866" s="10"/>
      <c r="G866" s="11"/>
      <c r="H866" s="9"/>
      <c r="I866" s="31"/>
      <c r="J866" s="9"/>
      <c r="K866" s="9"/>
      <c r="L866" s="21" t="s">
        <v>65</v>
      </c>
      <c r="M866" s="46"/>
      <c r="N866" s="46"/>
      <c r="O866" s="31"/>
      <c r="P866" s="16"/>
      <c r="Q866" s="16"/>
      <c r="R866" s="16" t="str">
        <f t="shared" si="2"/>
        <v/>
      </c>
    </row>
    <row r="867">
      <c r="A867" s="7"/>
      <c r="B867" s="16"/>
      <c r="C867" s="12"/>
      <c r="D867" s="12"/>
      <c r="E867" s="9"/>
      <c r="F867" s="10"/>
      <c r="G867" s="11"/>
      <c r="H867" s="9"/>
      <c r="I867" s="31"/>
      <c r="J867" s="9"/>
      <c r="K867" s="9"/>
      <c r="L867" s="21" t="s">
        <v>71</v>
      </c>
      <c r="M867" s="46"/>
      <c r="N867" s="46"/>
      <c r="O867" s="31"/>
      <c r="P867" s="16"/>
      <c r="Q867" s="16"/>
      <c r="R867" s="16" t="str">
        <f t="shared" si="2"/>
        <v/>
      </c>
    </row>
    <row r="868">
      <c r="A868" s="7" t="s">
        <v>429</v>
      </c>
      <c r="B868" s="14" t="s">
        <v>20</v>
      </c>
      <c r="C868" s="12"/>
      <c r="D868" s="17" t="s">
        <v>2041</v>
      </c>
      <c r="E868" s="9" t="s">
        <v>430</v>
      </c>
      <c r="F868" s="10" t="s">
        <v>431</v>
      </c>
      <c r="G868" s="22" t="s">
        <v>110</v>
      </c>
      <c r="H868" s="9" t="s">
        <v>432</v>
      </c>
      <c r="I868" s="29" t="s">
        <v>528</v>
      </c>
      <c r="J868" s="9"/>
      <c r="K868" s="9" t="s">
        <v>392</v>
      </c>
      <c r="L868" s="21" t="s">
        <v>25</v>
      </c>
      <c r="M868" s="46"/>
      <c r="N868" s="46"/>
      <c r="O868" s="31"/>
      <c r="P868" s="16"/>
      <c r="Q868" s="16"/>
      <c r="R868" s="16" t="str">
        <f t="shared" si="2"/>
        <v/>
      </c>
    </row>
    <row r="869">
      <c r="A869" s="7"/>
      <c r="B869" s="16"/>
      <c r="C869" s="12"/>
      <c r="D869" s="12"/>
      <c r="E869" s="9"/>
      <c r="F869" s="10"/>
      <c r="G869" s="11"/>
      <c r="H869" s="9"/>
      <c r="I869" s="31"/>
      <c r="J869" s="9"/>
      <c r="K869" s="9"/>
      <c r="L869" s="21" t="s">
        <v>31</v>
      </c>
      <c r="M869" s="46"/>
      <c r="N869" s="46"/>
      <c r="O869" s="31"/>
      <c r="P869" s="16"/>
      <c r="Q869" s="16"/>
      <c r="R869" s="16" t="str">
        <f t="shared" si="2"/>
        <v/>
      </c>
    </row>
    <row r="870">
      <c r="A870" s="7"/>
      <c r="B870" s="16"/>
      <c r="C870" s="12"/>
      <c r="D870" s="12"/>
      <c r="E870" s="9"/>
      <c r="F870" s="10"/>
      <c r="G870" s="11"/>
      <c r="H870" s="9"/>
      <c r="I870" s="31"/>
      <c r="J870" s="9"/>
      <c r="K870" s="9"/>
      <c r="L870" s="21" t="s">
        <v>36</v>
      </c>
      <c r="M870" s="46"/>
      <c r="N870" s="46"/>
      <c r="O870" s="31"/>
      <c r="P870" s="16"/>
      <c r="Q870" s="16"/>
      <c r="R870" s="16" t="str">
        <f t="shared" si="2"/>
        <v/>
      </c>
    </row>
    <row r="871">
      <c r="A871" s="7"/>
      <c r="B871" s="16"/>
      <c r="C871" s="12"/>
      <c r="D871" s="12"/>
      <c r="E871" s="9"/>
      <c r="F871" s="10"/>
      <c r="G871" s="11"/>
      <c r="H871" s="9"/>
      <c r="I871" s="31"/>
      <c r="J871" s="9"/>
      <c r="K871" s="9"/>
      <c r="L871" s="21" t="s">
        <v>41</v>
      </c>
      <c r="M871" s="46"/>
      <c r="N871" s="46"/>
      <c r="O871" s="31"/>
      <c r="P871" s="16"/>
      <c r="Q871" s="16"/>
      <c r="R871" s="16" t="str">
        <f t="shared" si="2"/>
        <v/>
      </c>
    </row>
    <row r="872">
      <c r="A872" s="7"/>
      <c r="B872" s="16"/>
      <c r="C872" s="12"/>
      <c r="D872" s="12"/>
      <c r="E872" s="9"/>
      <c r="F872" s="10"/>
      <c r="G872" s="11"/>
      <c r="H872" s="9"/>
      <c r="I872" s="31"/>
      <c r="J872" s="9"/>
      <c r="K872" s="9"/>
      <c r="L872" s="21" t="s">
        <v>47</v>
      </c>
      <c r="M872" s="46"/>
      <c r="N872" s="46"/>
      <c r="O872" s="31"/>
      <c r="P872" s="16"/>
      <c r="Q872" s="16"/>
      <c r="R872" s="16" t="str">
        <f t="shared" si="2"/>
        <v/>
      </c>
    </row>
    <row r="873">
      <c r="A873" s="7"/>
      <c r="B873" s="16"/>
      <c r="C873" s="12"/>
      <c r="D873" s="12"/>
      <c r="E873" s="9"/>
      <c r="F873" s="10"/>
      <c r="G873" s="11"/>
      <c r="H873" s="9"/>
      <c r="I873" s="31"/>
      <c r="J873" s="9"/>
      <c r="K873" s="9"/>
      <c r="L873" s="21" t="s">
        <v>53</v>
      </c>
      <c r="M873" s="46"/>
      <c r="N873" s="46"/>
      <c r="O873" s="31"/>
      <c r="P873" s="16"/>
      <c r="Q873" s="16"/>
      <c r="R873" s="16" t="str">
        <f t="shared" si="2"/>
        <v/>
      </c>
    </row>
    <row r="874">
      <c r="A874" s="7"/>
      <c r="B874" s="16"/>
      <c r="C874" s="12"/>
      <c r="D874" s="12"/>
      <c r="E874" s="9"/>
      <c r="F874" s="10"/>
      <c r="G874" s="11"/>
      <c r="H874" s="9"/>
      <c r="I874" s="31"/>
      <c r="J874" s="9"/>
      <c r="K874" s="9"/>
      <c r="L874" s="21" t="s">
        <v>59</v>
      </c>
      <c r="M874" s="46"/>
      <c r="N874" s="46"/>
      <c r="O874" s="31"/>
      <c r="P874" s="16"/>
      <c r="Q874" s="16"/>
      <c r="R874" s="16" t="str">
        <f t="shared" si="2"/>
        <v/>
      </c>
    </row>
    <row r="875">
      <c r="A875" s="7"/>
      <c r="B875" s="16"/>
      <c r="C875" s="12"/>
      <c r="D875" s="12"/>
      <c r="E875" s="9"/>
      <c r="F875" s="10"/>
      <c r="G875" s="11"/>
      <c r="H875" s="9"/>
      <c r="I875" s="31"/>
      <c r="J875" s="9"/>
      <c r="K875" s="9"/>
      <c r="L875" s="21" t="s">
        <v>65</v>
      </c>
      <c r="M875" s="46"/>
      <c r="N875" s="46"/>
      <c r="O875" s="31"/>
      <c r="P875" s="16"/>
      <c r="Q875" s="16"/>
      <c r="R875" s="16" t="str">
        <f t="shared" si="2"/>
        <v/>
      </c>
    </row>
    <row r="876">
      <c r="A876" s="7"/>
      <c r="B876" s="16"/>
      <c r="C876" s="12"/>
      <c r="D876" s="12"/>
      <c r="E876" s="9"/>
      <c r="F876" s="10"/>
      <c r="G876" s="11"/>
      <c r="H876" s="9"/>
      <c r="I876" s="31"/>
      <c r="J876" s="9"/>
      <c r="K876" s="9"/>
      <c r="L876" s="21" t="s">
        <v>71</v>
      </c>
      <c r="M876" s="46"/>
      <c r="N876" s="46"/>
      <c r="O876" s="31"/>
      <c r="P876" s="16"/>
      <c r="Q876" s="16"/>
      <c r="R876" s="16" t="str">
        <f t="shared" si="2"/>
        <v/>
      </c>
    </row>
    <row r="877">
      <c r="A877" s="7" t="s">
        <v>433</v>
      </c>
      <c r="B877" s="14" t="s">
        <v>20</v>
      </c>
      <c r="C877" s="12"/>
      <c r="D877" s="17" t="s">
        <v>2053</v>
      </c>
      <c r="E877" s="9" t="s">
        <v>434</v>
      </c>
      <c r="F877" s="10" t="s">
        <v>435</v>
      </c>
      <c r="G877" s="22" t="s">
        <v>110</v>
      </c>
      <c r="H877" s="9" t="s">
        <v>436</v>
      </c>
      <c r="I877" s="29" t="s">
        <v>2054</v>
      </c>
      <c r="J877" s="9"/>
      <c r="K877" s="9" t="s">
        <v>392</v>
      </c>
      <c r="L877" s="21" t="s">
        <v>25</v>
      </c>
      <c r="M877" s="46"/>
      <c r="N877" s="46"/>
      <c r="O877" s="31"/>
      <c r="P877" s="16"/>
      <c r="Q877" s="16"/>
      <c r="R877" s="16" t="str">
        <f t="shared" si="2"/>
        <v/>
      </c>
    </row>
    <row r="878">
      <c r="A878" s="7"/>
      <c r="B878" s="16"/>
      <c r="C878" s="12"/>
      <c r="D878" s="12"/>
      <c r="E878" s="9"/>
      <c r="F878" s="10"/>
      <c r="G878" s="11"/>
      <c r="H878" s="9"/>
      <c r="I878" s="31"/>
      <c r="J878" s="9"/>
      <c r="K878" s="9"/>
      <c r="L878" s="21" t="s">
        <v>31</v>
      </c>
      <c r="M878" s="46"/>
      <c r="N878" s="46"/>
      <c r="O878" s="31"/>
      <c r="P878" s="16"/>
      <c r="Q878" s="16"/>
      <c r="R878" s="16" t="str">
        <f t="shared" si="2"/>
        <v/>
      </c>
    </row>
    <row r="879">
      <c r="A879" s="7"/>
      <c r="B879" s="16"/>
      <c r="C879" s="12"/>
      <c r="D879" s="12"/>
      <c r="E879" s="9"/>
      <c r="F879" s="10"/>
      <c r="G879" s="11"/>
      <c r="H879" s="9"/>
      <c r="I879" s="31"/>
      <c r="J879" s="9"/>
      <c r="K879" s="9"/>
      <c r="L879" s="21" t="s">
        <v>36</v>
      </c>
      <c r="M879" s="46"/>
      <c r="N879" s="46"/>
      <c r="O879" s="31"/>
      <c r="P879" s="16"/>
      <c r="Q879" s="16"/>
      <c r="R879" s="16" t="str">
        <f t="shared" si="2"/>
        <v/>
      </c>
    </row>
    <row r="880">
      <c r="A880" s="7"/>
      <c r="B880" s="16"/>
      <c r="C880" s="12"/>
      <c r="D880" s="12"/>
      <c r="E880" s="9"/>
      <c r="F880" s="10"/>
      <c r="G880" s="11"/>
      <c r="H880" s="9"/>
      <c r="I880" s="31"/>
      <c r="J880" s="9"/>
      <c r="K880" s="9"/>
      <c r="L880" s="21" t="s">
        <v>41</v>
      </c>
      <c r="M880" s="46"/>
      <c r="N880" s="46"/>
      <c r="O880" s="31"/>
      <c r="P880" s="16"/>
      <c r="Q880" s="16"/>
      <c r="R880" s="16" t="str">
        <f t="shared" si="2"/>
        <v/>
      </c>
    </row>
    <row r="881">
      <c r="A881" s="7"/>
      <c r="B881" s="16"/>
      <c r="C881" s="12"/>
      <c r="D881" s="12"/>
      <c r="E881" s="9"/>
      <c r="F881" s="10"/>
      <c r="G881" s="11"/>
      <c r="H881" s="9"/>
      <c r="I881" s="31"/>
      <c r="J881" s="9"/>
      <c r="K881" s="9"/>
      <c r="L881" s="21" t="s">
        <v>47</v>
      </c>
      <c r="M881" s="46"/>
      <c r="N881" s="46"/>
      <c r="O881" s="31"/>
      <c r="P881" s="16"/>
      <c r="Q881" s="16"/>
      <c r="R881" s="16" t="str">
        <f t="shared" si="2"/>
        <v/>
      </c>
    </row>
    <row r="882">
      <c r="A882" s="7"/>
      <c r="B882" s="16"/>
      <c r="C882" s="12"/>
      <c r="D882" s="12"/>
      <c r="E882" s="9"/>
      <c r="F882" s="10"/>
      <c r="G882" s="11"/>
      <c r="H882" s="9"/>
      <c r="I882" s="31"/>
      <c r="J882" s="9"/>
      <c r="K882" s="9"/>
      <c r="L882" s="21" t="s">
        <v>53</v>
      </c>
      <c r="M882" s="46"/>
      <c r="N882" s="46"/>
      <c r="O882" s="31"/>
      <c r="P882" s="16"/>
      <c r="Q882" s="16"/>
      <c r="R882" s="16" t="str">
        <f t="shared" si="2"/>
        <v/>
      </c>
    </row>
    <row r="883">
      <c r="A883" s="7"/>
      <c r="B883" s="16"/>
      <c r="C883" s="12"/>
      <c r="D883" s="12"/>
      <c r="E883" s="9"/>
      <c r="F883" s="10"/>
      <c r="G883" s="11"/>
      <c r="H883" s="9"/>
      <c r="I883" s="31"/>
      <c r="J883" s="9"/>
      <c r="K883" s="9"/>
      <c r="L883" s="21" t="s">
        <v>59</v>
      </c>
      <c r="M883" s="46"/>
      <c r="N883" s="46"/>
      <c r="O883" s="31"/>
      <c r="P883" s="16"/>
      <c r="Q883" s="16"/>
      <c r="R883" s="16" t="str">
        <f t="shared" si="2"/>
        <v/>
      </c>
    </row>
    <row r="884">
      <c r="A884" s="7"/>
      <c r="B884" s="16"/>
      <c r="C884" s="12"/>
      <c r="D884" s="12"/>
      <c r="E884" s="9"/>
      <c r="F884" s="10"/>
      <c r="G884" s="11"/>
      <c r="H884" s="9"/>
      <c r="I884" s="31"/>
      <c r="J884" s="9"/>
      <c r="K884" s="9"/>
      <c r="L884" s="21" t="s">
        <v>65</v>
      </c>
      <c r="M884" s="46"/>
      <c r="N884" s="46"/>
      <c r="O884" s="31"/>
      <c r="P884" s="16"/>
      <c r="Q884" s="16"/>
      <c r="R884" s="16" t="str">
        <f t="shared" si="2"/>
        <v/>
      </c>
    </row>
    <row r="885">
      <c r="A885" s="7"/>
      <c r="B885" s="16"/>
      <c r="C885" s="12"/>
      <c r="D885" s="12"/>
      <c r="E885" s="9"/>
      <c r="F885" s="10"/>
      <c r="G885" s="11"/>
      <c r="H885" s="9"/>
      <c r="I885" s="31"/>
      <c r="J885" s="9"/>
      <c r="K885" s="9"/>
      <c r="L885" s="21" t="s">
        <v>71</v>
      </c>
      <c r="M885" s="46"/>
      <c r="N885" s="46"/>
      <c r="O885" s="31"/>
      <c r="P885" s="16"/>
      <c r="Q885" s="16"/>
      <c r="R885" s="16" t="str">
        <f t="shared" si="2"/>
        <v/>
      </c>
    </row>
    <row r="886">
      <c r="A886" s="7" t="s">
        <v>437</v>
      </c>
      <c r="B886" s="14" t="s">
        <v>1057</v>
      </c>
      <c r="C886" s="12"/>
      <c r="D886" s="49" t="s">
        <v>2055</v>
      </c>
      <c r="E886" s="9" t="s">
        <v>438</v>
      </c>
      <c r="F886" s="10" t="s">
        <v>439</v>
      </c>
      <c r="G886" s="22" t="s">
        <v>110</v>
      </c>
      <c r="H886" s="9" t="s">
        <v>440</v>
      </c>
      <c r="I886" s="29" t="s">
        <v>528</v>
      </c>
      <c r="J886" s="9"/>
      <c r="K886" s="9" t="s">
        <v>392</v>
      </c>
      <c r="L886" s="21" t="s">
        <v>25</v>
      </c>
      <c r="M886" s="46"/>
      <c r="N886" s="46"/>
      <c r="O886" s="31"/>
      <c r="P886" s="16"/>
      <c r="Q886" s="16"/>
      <c r="R886" s="16" t="str">
        <f t="shared" si="2"/>
        <v/>
      </c>
    </row>
    <row r="887">
      <c r="A887" s="7"/>
      <c r="B887" s="16"/>
      <c r="C887" s="12"/>
      <c r="D887" s="50"/>
      <c r="E887" s="9"/>
      <c r="F887" s="10"/>
      <c r="G887" s="11"/>
      <c r="H887" s="9"/>
      <c r="I887" s="31"/>
      <c r="J887" s="9"/>
      <c r="K887" s="9"/>
      <c r="L887" s="21" t="s">
        <v>31</v>
      </c>
      <c r="M887" s="46"/>
      <c r="N887" s="46"/>
      <c r="O887" s="31"/>
      <c r="P887" s="16"/>
      <c r="Q887" s="16"/>
      <c r="R887" s="16" t="str">
        <f t="shared" si="2"/>
        <v/>
      </c>
    </row>
    <row r="888">
      <c r="A888" s="7"/>
      <c r="B888" s="16"/>
      <c r="C888" s="12"/>
      <c r="D888" s="12"/>
      <c r="E888" s="9"/>
      <c r="F888" s="10"/>
      <c r="G888" s="11"/>
      <c r="H888" s="9"/>
      <c r="I888" s="31"/>
      <c r="J888" s="9"/>
      <c r="K888" s="9"/>
      <c r="L888" s="21" t="s">
        <v>36</v>
      </c>
      <c r="M888" s="46"/>
      <c r="N888" s="46"/>
      <c r="O888" s="31"/>
      <c r="P888" s="16"/>
      <c r="Q888" s="16"/>
      <c r="R888" s="16" t="str">
        <f t="shared" si="2"/>
        <v/>
      </c>
    </row>
    <row r="889">
      <c r="A889" s="7"/>
      <c r="B889" s="16"/>
      <c r="C889" s="12"/>
      <c r="D889" s="12"/>
      <c r="E889" s="9"/>
      <c r="F889" s="10"/>
      <c r="G889" s="11"/>
      <c r="H889" s="9"/>
      <c r="I889" s="31"/>
      <c r="J889" s="9"/>
      <c r="K889" s="9"/>
      <c r="L889" s="21" t="s">
        <v>41</v>
      </c>
      <c r="M889" s="46"/>
      <c r="N889" s="46"/>
      <c r="O889" s="31"/>
      <c r="P889" s="16"/>
      <c r="Q889" s="16"/>
      <c r="R889" s="16" t="str">
        <f t="shared" si="2"/>
        <v/>
      </c>
    </row>
    <row r="890">
      <c r="A890" s="7"/>
      <c r="B890" s="16"/>
      <c r="C890" s="12"/>
      <c r="D890" s="12"/>
      <c r="E890" s="9"/>
      <c r="F890" s="10"/>
      <c r="G890" s="11"/>
      <c r="H890" s="9"/>
      <c r="I890" s="31"/>
      <c r="J890" s="9"/>
      <c r="K890" s="9"/>
      <c r="L890" s="21" t="s">
        <v>47</v>
      </c>
      <c r="M890" s="46"/>
      <c r="N890" s="46"/>
      <c r="O890" s="31"/>
      <c r="P890" s="16"/>
      <c r="Q890" s="16"/>
      <c r="R890" s="16" t="str">
        <f t="shared" si="2"/>
        <v/>
      </c>
    </row>
    <row r="891">
      <c r="A891" s="7"/>
      <c r="B891" s="16"/>
      <c r="C891" s="12"/>
      <c r="D891" s="12"/>
      <c r="E891" s="9"/>
      <c r="F891" s="10"/>
      <c r="G891" s="11"/>
      <c r="H891" s="9"/>
      <c r="I891" s="31"/>
      <c r="J891" s="9"/>
      <c r="K891" s="9"/>
      <c r="L891" s="21" t="s">
        <v>53</v>
      </c>
      <c r="M891" s="46"/>
      <c r="N891" s="46"/>
      <c r="O891" s="31"/>
      <c r="P891" s="16"/>
      <c r="Q891" s="16"/>
      <c r="R891" s="16" t="str">
        <f t="shared" si="2"/>
        <v/>
      </c>
    </row>
    <row r="892">
      <c r="A892" s="7"/>
      <c r="B892" s="16"/>
      <c r="C892" s="12"/>
      <c r="D892" s="12"/>
      <c r="E892" s="9"/>
      <c r="F892" s="10"/>
      <c r="G892" s="11"/>
      <c r="H892" s="9"/>
      <c r="I892" s="31"/>
      <c r="J892" s="9"/>
      <c r="K892" s="9"/>
      <c r="L892" s="21" t="s">
        <v>59</v>
      </c>
      <c r="M892" s="46"/>
      <c r="N892" s="46"/>
      <c r="O892" s="31"/>
      <c r="P892" s="16"/>
      <c r="Q892" s="16"/>
      <c r="R892" s="16" t="str">
        <f t="shared" si="2"/>
        <v/>
      </c>
    </row>
    <row r="893">
      <c r="A893" s="7"/>
      <c r="B893" s="16"/>
      <c r="C893" s="12"/>
      <c r="D893" s="12"/>
      <c r="E893" s="9"/>
      <c r="F893" s="10"/>
      <c r="G893" s="11"/>
      <c r="H893" s="9"/>
      <c r="I893" s="31"/>
      <c r="J893" s="9"/>
      <c r="K893" s="9"/>
      <c r="L893" s="21" t="s">
        <v>65</v>
      </c>
      <c r="M893" s="46"/>
      <c r="N893" s="46"/>
      <c r="O893" s="31"/>
      <c r="P893" s="16"/>
      <c r="Q893" s="16"/>
      <c r="R893" s="16" t="str">
        <f t="shared" si="2"/>
        <v/>
      </c>
    </row>
    <row r="894">
      <c r="A894" s="7"/>
      <c r="B894" s="16"/>
      <c r="C894" s="12"/>
      <c r="D894" s="12"/>
      <c r="E894" s="9"/>
      <c r="F894" s="10"/>
      <c r="G894" s="11"/>
      <c r="H894" s="9"/>
      <c r="I894" s="31"/>
      <c r="J894" s="9"/>
      <c r="K894" s="9"/>
      <c r="L894" s="21" t="s">
        <v>71</v>
      </c>
      <c r="M894" s="46"/>
      <c r="N894" s="46"/>
      <c r="O894" s="31"/>
      <c r="P894" s="16"/>
      <c r="Q894" s="16"/>
      <c r="R894" s="16" t="str">
        <f t="shared" si="2"/>
        <v/>
      </c>
    </row>
    <row r="895">
      <c r="A895" s="7" t="s">
        <v>441</v>
      </c>
      <c r="B895" s="14" t="s">
        <v>20</v>
      </c>
      <c r="C895" s="12"/>
      <c r="D895" s="17" t="s">
        <v>2056</v>
      </c>
      <c r="E895" s="9" t="s">
        <v>442</v>
      </c>
      <c r="F895" s="10" t="s">
        <v>443</v>
      </c>
      <c r="G895" s="22" t="s">
        <v>110</v>
      </c>
      <c r="H895" s="9" t="s">
        <v>444</v>
      </c>
      <c r="I895" s="29" t="s">
        <v>2057</v>
      </c>
      <c r="J895" s="9"/>
      <c r="K895" s="9" t="s">
        <v>392</v>
      </c>
      <c r="L895" s="21" t="s">
        <v>25</v>
      </c>
      <c r="M895" s="46"/>
      <c r="N895" s="46"/>
      <c r="O895" s="31"/>
      <c r="P895" s="16"/>
      <c r="Q895" s="16"/>
      <c r="R895" s="16" t="str">
        <f t="shared" si="2"/>
        <v/>
      </c>
    </row>
    <row r="896">
      <c r="A896" s="7"/>
      <c r="B896" s="16"/>
      <c r="C896" s="12"/>
      <c r="D896" s="12"/>
      <c r="E896" s="9"/>
      <c r="F896" s="10"/>
      <c r="G896" s="11"/>
      <c r="H896" s="9"/>
      <c r="I896" s="31"/>
      <c r="J896" s="9"/>
      <c r="K896" s="9"/>
      <c r="L896" s="21" t="s">
        <v>31</v>
      </c>
      <c r="M896" s="46"/>
      <c r="N896" s="46"/>
      <c r="O896" s="31"/>
      <c r="P896" s="16"/>
      <c r="Q896" s="16"/>
      <c r="R896" s="16" t="str">
        <f t="shared" si="2"/>
        <v/>
      </c>
    </row>
    <row r="897">
      <c r="A897" s="7"/>
      <c r="B897" s="16"/>
      <c r="C897" s="12"/>
      <c r="D897" s="12"/>
      <c r="E897" s="9"/>
      <c r="F897" s="10"/>
      <c r="G897" s="11"/>
      <c r="H897" s="9"/>
      <c r="I897" s="31"/>
      <c r="J897" s="9"/>
      <c r="K897" s="9"/>
      <c r="L897" s="21" t="s">
        <v>36</v>
      </c>
      <c r="M897" s="46"/>
      <c r="N897" s="46"/>
      <c r="O897" s="31"/>
      <c r="P897" s="16"/>
      <c r="Q897" s="16"/>
      <c r="R897" s="16" t="str">
        <f t="shared" si="2"/>
        <v/>
      </c>
    </row>
    <row r="898">
      <c r="A898" s="7"/>
      <c r="B898" s="16"/>
      <c r="C898" s="12"/>
      <c r="D898" s="12"/>
      <c r="E898" s="9"/>
      <c r="F898" s="10"/>
      <c r="G898" s="11"/>
      <c r="H898" s="9"/>
      <c r="I898" s="31"/>
      <c r="J898" s="9"/>
      <c r="K898" s="9"/>
      <c r="L898" s="21" t="s">
        <v>41</v>
      </c>
      <c r="M898" s="46"/>
      <c r="N898" s="46"/>
      <c r="O898" s="31"/>
      <c r="P898" s="16"/>
      <c r="Q898" s="16"/>
      <c r="R898" s="16" t="str">
        <f t="shared" si="2"/>
        <v/>
      </c>
    </row>
    <row r="899">
      <c r="A899" s="7"/>
      <c r="B899" s="16"/>
      <c r="C899" s="12"/>
      <c r="D899" s="12"/>
      <c r="E899" s="9"/>
      <c r="F899" s="10"/>
      <c r="G899" s="11"/>
      <c r="H899" s="9"/>
      <c r="I899" s="31"/>
      <c r="J899" s="9"/>
      <c r="K899" s="9"/>
      <c r="L899" s="21" t="s">
        <v>47</v>
      </c>
      <c r="M899" s="46"/>
      <c r="N899" s="46"/>
      <c r="O899" s="31"/>
      <c r="P899" s="16"/>
      <c r="Q899" s="16"/>
      <c r="R899" s="16" t="str">
        <f t="shared" si="2"/>
        <v/>
      </c>
    </row>
    <row r="900">
      <c r="A900" s="7"/>
      <c r="B900" s="16"/>
      <c r="C900" s="12"/>
      <c r="D900" s="12"/>
      <c r="E900" s="9"/>
      <c r="F900" s="10"/>
      <c r="G900" s="11"/>
      <c r="H900" s="9"/>
      <c r="I900" s="31"/>
      <c r="J900" s="9"/>
      <c r="K900" s="9"/>
      <c r="L900" s="21" t="s">
        <v>53</v>
      </c>
      <c r="M900" s="46"/>
      <c r="N900" s="46"/>
      <c r="O900" s="31"/>
      <c r="P900" s="16"/>
      <c r="Q900" s="16"/>
      <c r="R900" s="16" t="str">
        <f t="shared" si="2"/>
        <v/>
      </c>
    </row>
    <row r="901">
      <c r="A901" s="7"/>
      <c r="B901" s="16"/>
      <c r="C901" s="12"/>
      <c r="D901" s="12"/>
      <c r="E901" s="9"/>
      <c r="F901" s="10"/>
      <c r="G901" s="11"/>
      <c r="H901" s="9"/>
      <c r="I901" s="31"/>
      <c r="J901" s="9"/>
      <c r="K901" s="9"/>
      <c r="L901" s="21" t="s">
        <v>59</v>
      </c>
      <c r="M901" s="46"/>
      <c r="N901" s="46"/>
      <c r="O901" s="31"/>
      <c r="P901" s="16"/>
      <c r="Q901" s="16"/>
      <c r="R901" s="16" t="str">
        <f t="shared" si="2"/>
        <v/>
      </c>
    </row>
    <row r="902">
      <c r="A902" s="7"/>
      <c r="B902" s="16"/>
      <c r="C902" s="12"/>
      <c r="D902" s="12"/>
      <c r="E902" s="9"/>
      <c r="F902" s="10"/>
      <c r="G902" s="11"/>
      <c r="H902" s="9"/>
      <c r="I902" s="31"/>
      <c r="J902" s="9"/>
      <c r="K902" s="9"/>
      <c r="L902" s="21" t="s">
        <v>65</v>
      </c>
      <c r="M902" s="46"/>
      <c r="N902" s="46"/>
      <c r="O902" s="31"/>
      <c r="P902" s="16"/>
      <c r="Q902" s="16"/>
      <c r="R902" s="16" t="str">
        <f t="shared" si="2"/>
        <v/>
      </c>
    </row>
    <row r="903">
      <c r="A903" s="7"/>
      <c r="B903" s="16"/>
      <c r="C903" s="12"/>
      <c r="D903" s="12"/>
      <c r="E903" s="9"/>
      <c r="F903" s="10"/>
      <c r="G903" s="11"/>
      <c r="H903" s="9"/>
      <c r="I903" s="31"/>
      <c r="J903" s="9"/>
      <c r="K903" s="9"/>
      <c r="L903" s="21" t="s">
        <v>71</v>
      </c>
      <c r="M903" s="46"/>
      <c r="N903" s="46"/>
      <c r="O903" s="31"/>
      <c r="P903" s="16"/>
      <c r="Q903" s="16"/>
      <c r="R903" s="16" t="str">
        <f t="shared" si="2"/>
        <v/>
      </c>
    </row>
    <row r="904">
      <c r="A904" s="7" t="s">
        <v>445</v>
      </c>
      <c r="B904" s="14" t="s">
        <v>20</v>
      </c>
      <c r="C904" s="12"/>
      <c r="D904" s="17" t="s">
        <v>2058</v>
      </c>
      <c r="E904" s="9" t="s">
        <v>446</v>
      </c>
      <c r="F904" s="10" t="s">
        <v>447</v>
      </c>
      <c r="G904" s="22" t="s">
        <v>97</v>
      </c>
      <c r="H904" s="9" t="s">
        <v>448</v>
      </c>
      <c r="I904" s="29" t="s">
        <v>528</v>
      </c>
      <c r="J904" s="9"/>
      <c r="K904" s="9" t="s">
        <v>392</v>
      </c>
      <c r="L904" s="21" t="s">
        <v>25</v>
      </c>
      <c r="M904" s="46"/>
      <c r="N904" s="46"/>
      <c r="O904" s="31"/>
      <c r="P904" s="16"/>
      <c r="Q904" s="16"/>
      <c r="R904" s="16" t="str">
        <f t="shared" si="2"/>
        <v/>
      </c>
    </row>
    <row r="905">
      <c r="A905" s="7"/>
      <c r="B905" s="16"/>
      <c r="C905" s="12"/>
      <c r="D905" s="12"/>
      <c r="E905" s="9"/>
      <c r="F905" s="10"/>
      <c r="G905" s="11"/>
      <c r="H905" s="9"/>
      <c r="I905" s="31"/>
      <c r="J905" s="9"/>
      <c r="K905" s="9"/>
      <c r="L905" s="21" t="s">
        <v>31</v>
      </c>
      <c r="M905" s="46"/>
      <c r="N905" s="46"/>
      <c r="O905" s="31"/>
      <c r="P905" s="16"/>
      <c r="Q905" s="16"/>
      <c r="R905" s="16" t="str">
        <f t="shared" si="2"/>
        <v/>
      </c>
    </row>
    <row r="906">
      <c r="A906" s="7"/>
      <c r="B906" s="16"/>
      <c r="C906" s="12"/>
      <c r="D906" s="12"/>
      <c r="E906" s="9"/>
      <c r="F906" s="10"/>
      <c r="G906" s="11"/>
      <c r="H906" s="9"/>
      <c r="I906" s="31"/>
      <c r="J906" s="9"/>
      <c r="K906" s="9"/>
      <c r="L906" s="21" t="s">
        <v>36</v>
      </c>
      <c r="M906" s="46"/>
      <c r="N906" s="46"/>
      <c r="O906" s="31"/>
      <c r="P906" s="16"/>
      <c r="Q906" s="16"/>
      <c r="R906" s="16" t="str">
        <f t="shared" si="2"/>
        <v/>
      </c>
    </row>
    <row r="907">
      <c r="A907" s="7"/>
      <c r="B907" s="16"/>
      <c r="C907" s="12"/>
      <c r="D907" s="12"/>
      <c r="E907" s="9"/>
      <c r="F907" s="10"/>
      <c r="G907" s="11"/>
      <c r="H907" s="9"/>
      <c r="I907" s="31"/>
      <c r="J907" s="9"/>
      <c r="K907" s="9"/>
      <c r="L907" s="21" t="s">
        <v>41</v>
      </c>
      <c r="M907" s="46"/>
      <c r="N907" s="46"/>
      <c r="O907" s="31"/>
      <c r="P907" s="16"/>
      <c r="Q907" s="16"/>
      <c r="R907" s="16" t="str">
        <f t="shared" si="2"/>
        <v/>
      </c>
    </row>
    <row r="908">
      <c r="A908" s="7"/>
      <c r="B908" s="16"/>
      <c r="C908" s="12"/>
      <c r="D908" s="12"/>
      <c r="E908" s="9"/>
      <c r="F908" s="10"/>
      <c r="G908" s="11"/>
      <c r="H908" s="9"/>
      <c r="I908" s="31"/>
      <c r="J908" s="9"/>
      <c r="K908" s="9"/>
      <c r="L908" s="21" t="s">
        <v>47</v>
      </c>
      <c r="M908" s="46"/>
      <c r="N908" s="46"/>
      <c r="O908" s="31"/>
      <c r="P908" s="16"/>
      <c r="Q908" s="16"/>
      <c r="R908" s="16" t="str">
        <f t="shared" si="2"/>
        <v/>
      </c>
    </row>
    <row r="909">
      <c r="A909" s="7"/>
      <c r="B909" s="16"/>
      <c r="C909" s="12"/>
      <c r="D909" s="12"/>
      <c r="E909" s="9"/>
      <c r="F909" s="10"/>
      <c r="G909" s="11"/>
      <c r="H909" s="9"/>
      <c r="I909" s="31"/>
      <c r="J909" s="9"/>
      <c r="K909" s="9"/>
      <c r="L909" s="21" t="s">
        <v>53</v>
      </c>
      <c r="M909" s="46"/>
      <c r="N909" s="46"/>
      <c r="O909" s="31"/>
      <c r="P909" s="16"/>
      <c r="Q909" s="16"/>
      <c r="R909" s="16" t="str">
        <f t="shared" si="2"/>
        <v/>
      </c>
    </row>
    <row r="910">
      <c r="A910" s="7"/>
      <c r="B910" s="16"/>
      <c r="C910" s="12"/>
      <c r="D910" s="12"/>
      <c r="E910" s="9"/>
      <c r="F910" s="10"/>
      <c r="G910" s="11"/>
      <c r="H910" s="9"/>
      <c r="I910" s="31"/>
      <c r="J910" s="9"/>
      <c r="K910" s="9"/>
      <c r="L910" s="21" t="s">
        <v>59</v>
      </c>
      <c r="M910" s="46"/>
      <c r="N910" s="46"/>
      <c r="O910" s="31"/>
      <c r="P910" s="16"/>
      <c r="Q910" s="16"/>
      <c r="R910" s="16" t="str">
        <f t="shared" si="2"/>
        <v/>
      </c>
    </row>
    <row r="911">
      <c r="A911" s="7"/>
      <c r="B911" s="16"/>
      <c r="C911" s="12"/>
      <c r="D911" s="12"/>
      <c r="E911" s="9"/>
      <c r="F911" s="10"/>
      <c r="G911" s="11"/>
      <c r="H911" s="9"/>
      <c r="I911" s="31"/>
      <c r="J911" s="9"/>
      <c r="K911" s="9"/>
      <c r="L911" s="21" t="s">
        <v>65</v>
      </c>
      <c r="M911" s="46"/>
      <c r="N911" s="46"/>
      <c r="O911" s="31"/>
      <c r="P911" s="16"/>
      <c r="Q911" s="16"/>
      <c r="R911" s="16" t="str">
        <f t="shared" si="2"/>
        <v/>
      </c>
    </row>
    <row r="912">
      <c r="A912" s="7"/>
      <c r="B912" s="16"/>
      <c r="C912" s="12"/>
      <c r="D912" s="12"/>
      <c r="E912" s="9"/>
      <c r="F912" s="10"/>
      <c r="G912" s="11"/>
      <c r="H912" s="9"/>
      <c r="I912" s="31"/>
      <c r="J912" s="9"/>
      <c r="K912" s="9"/>
      <c r="L912" s="21" t="s">
        <v>71</v>
      </c>
      <c r="M912" s="46"/>
      <c r="N912" s="46"/>
      <c r="O912" s="31"/>
      <c r="P912" s="16"/>
      <c r="Q912" s="16"/>
      <c r="R912" s="16" t="str">
        <f t="shared" si="2"/>
        <v/>
      </c>
    </row>
    <row r="913">
      <c r="A913" s="7" t="s">
        <v>449</v>
      </c>
      <c r="B913" s="14" t="s">
        <v>20</v>
      </c>
      <c r="C913" s="12"/>
      <c r="D913" s="17" t="s">
        <v>2059</v>
      </c>
      <c r="E913" s="9" t="s">
        <v>450</v>
      </c>
      <c r="F913" s="10" t="s">
        <v>451</v>
      </c>
      <c r="G913" s="22" t="s">
        <v>97</v>
      </c>
      <c r="H913" s="9" t="s">
        <v>452</v>
      </c>
      <c r="I913" s="29" t="s">
        <v>680</v>
      </c>
      <c r="J913" s="9"/>
      <c r="K913" s="9" t="s">
        <v>392</v>
      </c>
      <c r="L913" s="21" t="s">
        <v>25</v>
      </c>
      <c r="M913" s="46"/>
      <c r="N913" s="46"/>
      <c r="O913" s="31"/>
      <c r="P913" s="16"/>
      <c r="Q913" s="16"/>
      <c r="R913" s="16" t="str">
        <f t="shared" si="2"/>
        <v/>
      </c>
    </row>
    <row r="914">
      <c r="A914" s="7"/>
      <c r="B914" s="16"/>
      <c r="C914" s="12"/>
      <c r="D914" s="12"/>
      <c r="E914" s="9"/>
      <c r="F914" s="10"/>
      <c r="G914" s="11"/>
      <c r="H914" s="9"/>
      <c r="I914" s="31"/>
      <c r="J914" s="9"/>
      <c r="K914" s="9"/>
      <c r="L914" s="21" t="s">
        <v>31</v>
      </c>
      <c r="M914" s="46"/>
      <c r="N914" s="46"/>
      <c r="O914" s="31"/>
      <c r="P914" s="16"/>
      <c r="Q914" s="16"/>
      <c r="R914" s="16" t="str">
        <f t="shared" si="2"/>
        <v/>
      </c>
    </row>
    <row r="915">
      <c r="A915" s="7"/>
      <c r="B915" s="16"/>
      <c r="C915" s="12"/>
      <c r="D915" s="12"/>
      <c r="E915" s="9"/>
      <c r="F915" s="10"/>
      <c r="G915" s="11"/>
      <c r="H915" s="9"/>
      <c r="I915" s="31"/>
      <c r="J915" s="9"/>
      <c r="K915" s="9"/>
      <c r="L915" s="21" t="s">
        <v>36</v>
      </c>
      <c r="M915" s="46"/>
      <c r="N915" s="46"/>
      <c r="O915" s="31"/>
      <c r="P915" s="16"/>
      <c r="Q915" s="16"/>
      <c r="R915" s="16" t="str">
        <f t="shared" si="2"/>
        <v/>
      </c>
    </row>
    <row r="916">
      <c r="A916" s="7"/>
      <c r="B916" s="16"/>
      <c r="C916" s="12"/>
      <c r="D916" s="12"/>
      <c r="E916" s="9"/>
      <c r="F916" s="10"/>
      <c r="G916" s="11"/>
      <c r="H916" s="9"/>
      <c r="I916" s="31"/>
      <c r="J916" s="9"/>
      <c r="K916" s="9"/>
      <c r="L916" s="21" t="s">
        <v>41</v>
      </c>
      <c r="M916" s="46"/>
      <c r="N916" s="46"/>
      <c r="O916" s="31"/>
      <c r="P916" s="16"/>
      <c r="Q916" s="16"/>
      <c r="R916" s="16" t="str">
        <f t="shared" si="2"/>
        <v/>
      </c>
    </row>
    <row r="917">
      <c r="A917" s="7"/>
      <c r="B917" s="16"/>
      <c r="C917" s="12"/>
      <c r="D917" s="12"/>
      <c r="E917" s="9"/>
      <c r="F917" s="10"/>
      <c r="G917" s="11"/>
      <c r="H917" s="9"/>
      <c r="I917" s="31"/>
      <c r="J917" s="9"/>
      <c r="K917" s="9"/>
      <c r="L917" s="21" t="s">
        <v>47</v>
      </c>
      <c r="M917" s="46"/>
      <c r="N917" s="46"/>
      <c r="O917" s="31"/>
      <c r="P917" s="16"/>
      <c r="Q917" s="16"/>
      <c r="R917" s="16" t="str">
        <f t="shared" si="2"/>
        <v/>
      </c>
    </row>
    <row r="918">
      <c r="A918" s="7"/>
      <c r="B918" s="16"/>
      <c r="C918" s="12"/>
      <c r="D918" s="12"/>
      <c r="E918" s="9"/>
      <c r="F918" s="10"/>
      <c r="G918" s="11"/>
      <c r="H918" s="9"/>
      <c r="I918" s="31"/>
      <c r="J918" s="9"/>
      <c r="K918" s="9"/>
      <c r="L918" s="21" t="s">
        <v>53</v>
      </c>
      <c r="M918" s="46"/>
      <c r="N918" s="46"/>
      <c r="O918" s="31"/>
      <c r="P918" s="16"/>
      <c r="Q918" s="16"/>
      <c r="R918" s="16" t="str">
        <f t="shared" si="2"/>
        <v/>
      </c>
    </row>
    <row r="919">
      <c r="A919" s="7"/>
      <c r="B919" s="16"/>
      <c r="C919" s="12"/>
      <c r="D919" s="12"/>
      <c r="E919" s="9"/>
      <c r="F919" s="10"/>
      <c r="G919" s="11"/>
      <c r="H919" s="9"/>
      <c r="I919" s="31"/>
      <c r="J919" s="9"/>
      <c r="K919" s="9"/>
      <c r="L919" s="21" t="s">
        <v>59</v>
      </c>
      <c r="M919" s="46"/>
      <c r="N919" s="46"/>
      <c r="O919" s="31"/>
      <c r="P919" s="16"/>
      <c r="Q919" s="16"/>
      <c r="R919" s="16" t="str">
        <f t="shared" si="2"/>
        <v/>
      </c>
    </row>
    <row r="920">
      <c r="A920" s="7"/>
      <c r="B920" s="16"/>
      <c r="C920" s="12"/>
      <c r="D920" s="12"/>
      <c r="E920" s="9"/>
      <c r="F920" s="10"/>
      <c r="G920" s="11"/>
      <c r="H920" s="9"/>
      <c r="I920" s="31"/>
      <c r="J920" s="9"/>
      <c r="K920" s="9"/>
      <c r="L920" s="21" t="s">
        <v>65</v>
      </c>
      <c r="M920" s="46"/>
      <c r="N920" s="46"/>
      <c r="O920" s="31"/>
      <c r="P920" s="16"/>
      <c r="Q920" s="16"/>
      <c r="R920" s="16" t="str">
        <f t="shared" si="2"/>
        <v/>
      </c>
    </row>
    <row r="921">
      <c r="A921" s="7"/>
      <c r="B921" s="16"/>
      <c r="C921" s="12"/>
      <c r="D921" s="12"/>
      <c r="E921" s="9"/>
      <c r="F921" s="10"/>
      <c r="G921" s="11"/>
      <c r="H921" s="9"/>
      <c r="I921" s="31"/>
      <c r="J921" s="9"/>
      <c r="K921" s="9"/>
      <c r="L921" s="21" t="s">
        <v>71</v>
      </c>
      <c r="M921" s="46"/>
      <c r="N921" s="46"/>
      <c r="O921" s="31"/>
      <c r="P921" s="16"/>
      <c r="Q921" s="16"/>
      <c r="R921" s="16" t="str">
        <f t="shared" si="2"/>
        <v/>
      </c>
    </row>
    <row r="922">
      <c r="A922" s="7" t="s">
        <v>453</v>
      </c>
      <c r="B922" s="14" t="s">
        <v>20</v>
      </c>
      <c r="C922" s="12"/>
      <c r="D922" s="17" t="s">
        <v>2060</v>
      </c>
      <c r="E922" s="9" t="s">
        <v>454</v>
      </c>
      <c r="F922" s="10" t="s">
        <v>455</v>
      </c>
      <c r="G922" s="22" t="s">
        <v>97</v>
      </c>
      <c r="H922" s="9" t="s">
        <v>456</v>
      </c>
      <c r="I922" s="29" t="s">
        <v>715</v>
      </c>
      <c r="J922" s="9"/>
      <c r="K922" s="9" t="s">
        <v>392</v>
      </c>
      <c r="L922" s="21" t="s">
        <v>25</v>
      </c>
      <c r="M922" s="46"/>
      <c r="N922" s="46"/>
      <c r="O922" s="31"/>
      <c r="P922" s="16"/>
      <c r="Q922" s="16"/>
      <c r="R922" s="16" t="str">
        <f t="shared" si="2"/>
        <v/>
      </c>
    </row>
    <row r="923">
      <c r="A923" s="7"/>
      <c r="B923" s="16"/>
      <c r="C923" s="12"/>
      <c r="D923" s="12"/>
      <c r="E923" s="9"/>
      <c r="F923" s="10"/>
      <c r="G923" s="11"/>
      <c r="H923" s="9"/>
      <c r="I923" s="31"/>
      <c r="J923" s="9"/>
      <c r="K923" s="9"/>
      <c r="L923" s="21" t="s">
        <v>31</v>
      </c>
      <c r="M923" s="46"/>
      <c r="N923" s="46"/>
      <c r="O923" s="31"/>
      <c r="P923" s="16"/>
      <c r="Q923" s="16"/>
      <c r="R923" s="16" t="str">
        <f t="shared" si="2"/>
        <v/>
      </c>
    </row>
    <row r="924">
      <c r="A924" s="7"/>
      <c r="B924" s="16"/>
      <c r="C924" s="12"/>
      <c r="D924" s="12"/>
      <c r="E924" s="9"/>
      <c r="F924" s="10"/>
      <c r="G924" s="11"/>
      <c r="H924" s="9"/>
      <c r="I924" s="31"/>
      <c r="J924" s="9"/>
      <c r="K924" s="9"/>
      <c r="L924" s="21" t="s">
        <v>36</v>
      </c>
      <c r="M924" s="46"/>
      <c r="N924" s="46"/>
      <c r="O924" s="31"/>
      <c r="P924" s="16"/>
      <c r="Q924" s="16"/>
      <c r="R924" s="16" t="str">
        <f t="shared" si="2"/>
        <v/>
      </c>
    </row>
    <row r="925">
      <c r="A925" s="7"/>
      <c r="B925" s="16"/>
      <c r="C925" s="12"/>
      <c r="D925" s="12"/>
      <c r="E925" s="9"/>
      <c r="F925" s="10"/>
      <c r="G925" s="11"/>
      <c r="H925" s="9"/>
      <c r="I925" s="31"/>
      <c r="J925" s="9"/>
      <c r="K925" s="9"/>
      <c r="L925" s="21" t="s">
        <v>41</v>
      </c>
      <c r="M925" s="46"/>
      <c r="N925" s="46"/>
      <c r="O925" s="31"/>
      <c r="P925" s="16"/>
      <c r="Q925" s="16"/>
      <c r="R925" s="16" t="str">
        <f t="shared" si="2"/>
        <v/>
      </c>
    </row>
    <row r="926">
      <c r="A926" s="7"/>
      <c r="B926" s="16"/>
      <c r="C926" s="12"/>
      <c r="D926" s="12"/>
      <c r="E926" s="9"/>
      <c r="F926" s="10"/>
      <c r="G926" s="11"/>
      <c r="H926" s="9"/>
      <c r="I926" s="31"/>
      <c r="J926" s="9"/>
      <c r="K926" s="9"/>
      <c r="L926" s="21" t="s">
        <v>47</v>
      </c>
      <c r="M926" s="46"/>
      <c r="N926" s="46"/>
      <c r="O926" s="31"/>
      <c r="P926" s="16"/>
      <c r="Q926" s="16"/>
      <c r="R926" s="16" t="str">
        <f t="shared" si="2"/>
        <v/>
      </c>
    </row>
    <row r="927">
      <c r="A927" s="7"/>
      <c r="B927" s="16"/>
      <c r="C927" s="12"/>
      <c r="D927" s="12"/>
      <c r="E927" s="9"/>
      <c r="F927" s="10"/>
      <c r="G927" s="11"/>
      <c r="H927" s="9"/>
      <c r="I927" s="31"/>
      <c r="J927" s="9"/>
      <c r="K927" s="9"/>
      <c r="L927" s="21" t="s">
        <v>53</v>
      </c>
      <c r="M927" s="46"/>
      <c r="N927" s="46"/>
      <c r="O927" s="31"/>
      <c r="P927" s="16"/>
      <c r="Q927" s="16"/>
      <c r="R927" s="16" t="str">
        <f t="shared" si="2"/>
        <v/>
      </c>
    </row>
    <row r="928">
      <c r="A928" s="7"/>
      <c r="B928" s="16"/>
      <c r="C928" s="12"/>
      <c r="D928" s="12"/>
      <c r="E928" s="9"/>
      <c r="F928" s="10"/>
      <c r="G928" s="11"/>
      <c r="H928" s="9"/>
      <c r="I928" s="31"/>
      <c r="J928" s="9"/>
      <c r="K928" s="9"/>
      <c r="L928" s="21" t="s">
        <v>59</v>
      </c>
      <c r="M928" s="46"/>
      <c r="N928" s="46"/>
      <c r="O928" s="31"/>
      <c r="P928" s="16"/>
      <c r="Q928" s="16"/>
      <c r="R928" s="16" t="str">
        <f t="shared" si="2"/>
        <v/>
      </c>
    </row>
    <row r="929">
      <c r="A929" s="7"/>
      <c r="B929" s="16"/>
      <c r="C929" s="12"/>
      <c r="D929" s="12"/>
      <c r="E929" s="9"/>
      <c r="F929" s="10"/>
      <c r="G929" s="11"/>
      <c r="H929" s="9"/>
      <c r="I929" s="31"/>
      <c r="J929" s="9"/>
      <c r="K929" s="9"/>
      <c r="L929" s="21" t="s">
        <v>65</v>
      </c>
      <c r="M929" s="46"/>
      <c r="N929" s="46"/>
      <c r="O929" s="31"/>
      <c r="P929" s="16"/>
      <c r="Q929" s="16"/>
      <c r="R929" s="16" t="str">
        <f t="shared" si="2"/>
        <v/>
      </c>
    </row>
    <row r="930">
      <c r="A930" s="7"/>
      <c r="B930" s="16"/>
      <c r="C930" s="12"/>
      <c r="D930" s="12"/>
      <c r="E930" s="9"/>
      <c r="F930" s="10"/>
      <c r="G930" s="11"/>
      <c r="H930" s="9"/>
      <c r="I930" s="31"/>
      <c r="J930" s="9"/>
      <c r="K930" s="9"/>
      <c r="L930" s="21" t="s">
        <v>71</v>
      </c>
      <c r="M930" s="46"/>
      <c r="N930" s="46"/>
      <c r="O930" s="31"/>
      <c r="P930" s="16"/>
      <c r="Q930" s="16"/>
      <c r="R930" s="16" t="str">
        <f t="shared" si="2"/>
        <v/>
      </c>
    </row>
    <row r="931">
      <c r="A931" s="7" t="s">
        <v>457</v>
      </c>
      <c r="B931" s="14" t="s">
        <v>20</v>
      </c>
      <c r="C931" s="12"/>
      <c r="D931" s="51" t="s">
        <v>2061</v>
      </c>
      <c r="E931" s="9" t="s">
        <v>458</v>
      </c>
      <c r="F931" s="10" t="s">
        <v>459</v>
      </c>
      <c r="G931" s="22" t="s">
        <v>97</v>
      </c>
      <c r="H931" s="9" t="s">
        <v>460</v>
      </c>
      <c r="I931" s="29" t="s">
        <v>715</v>
      </c>
      <c r="J931" s="9"/>
      <c r="K931" s="9" t="s">
        <v>392</v>
      </c>
      <c r="L931" s="21" t="s">
        <v>25</v>
      </c>
      <c r="M931" s="46"/>
      <c r="N931" s="46"/>
      <c r="O931" s="31"/>
      <c r="P931" s="16"/>
      <c r="Q931" s="16"/>
      <c r="R931" s="16" t="str">
        <f t="shared" si="2"/>
        <v/>
      </c>
    </row>
    <row r="932">
      <c r="A932" s="7"/>
      <c r="B932" s="16"/>
      <c r="C932" s="12"/>
      <c r="D932" s="50"/>
      <c r="E932" s="9"/>
      <c r="F932" s="10"/>
      <c r="G932" s="11"/>
      <c r="H932" s="9"/>
      <c r="I932" s="31"/>
      <c r="J932" s="9"/>
      <c r="K932" s="9"/>
      <c r="L932" s="21" t="s">
        <v>31</v>
      </c>
      <c r="M932" s="46"/>
      <c r="N932" s="46"/>
      <c r="O932" s="31"/>
      <c r="P932" s="16"/>
      <c r="Q932" s="16"/>
      <c r="R932" s="16" t="str">
        <f t="shared" si="2"/>
        <v/>
      </c>
    </row>
    <row r="933">
      <c r="A933" s="7"/>
      <c r="B933" s="16"/>
      <c r="C933" s="12"/>
      <c r="D933" s="12"/>
      <c r="E933" s="9"/>
      <c r="F933" s="10"/>
      <c r="G933" s="11"/>
      <c r="H933" s="9"/>
      <c r="I933" s="31"/>
      <c r="J933" s="9"/>
      <c r="K933" s="9"/>
      <c r="L933" s="21" t="s">
        <v>36</v>
      </c>
      <c r="M933" s="46"/>
      <c r="N933" s="46"/>
      <c r="O933" s="31"/>
      <c r="P933" s="16"/>
      <c r="Q933" s="16"/>
      <c r="R933" s="16" t="str">
        <f t="shared" si="2"/>
        <v/>
      </c>
    </row>
    <row r="934">
      <c r="A934" s="7"/>
      <c r="B934" s="16"/>
      <c r="C934" s="12"/>
      <c r="D934" s="12"/>
      <c r="E934" s="9"/>
      <c r="F934" s="10"/>
      <c r="G934" s="11"/>
      <c r="H934" s="9"/>
      <c r="I934" s="31"/>
      <c r="J934" s="9"/>
      <c r="K934" s="9"/>
      <c r="L934" s="21" t="s">
        <v>41</v>
      </c>
      <c r="M934" s="46"/>
      <c r="N934" s="46"/>
      <c r="O934" s="31"/>
      <c r="P934" s="16"/>
      <c r="Q934" s="16"/>
      <c r="R934" s="16" t="str">
        <f t="shared" si="2"/>
        <v/>
      </c>
    </row>
    <row r="935">
      <c r="A935" s="7"/>
      <c r="B935" s="16"/>
      <c r="C935" s="12"/>
      <c r="D935" s="12"/>
      <c r="E935" s="9"/>
      <c r="F935" s="10"/>
      <c r="G935" s="11"/>
      <c r="H935" s="9"/>
      <c r="I935" s="31"/>
      <c r="J935" s="9"/>
      <c r="K935" s="9"/>
      <c r="L935" s="21" t="s">
        <v>47</v>
      </c>
      <c r="M935" s="46"/>
      <c r="N935" s="46"/>
      <c r="O935" s="31"/>
      <c r="P935" s="16"/>
      <c r="Q935" s="16"/>
      <c r="R935" s="16" t="str">
        <f t="shared" si="2"/>
        <v/>
      </c>
    </row>
    <row r="936">
      <c r="A936" s="7"/>
      <c r="B936" s="16"/>
      <c r="C936" s="12"/>
      <c r="D936" s="12"/>
      <c r="E936" s="9"/>
      <c r="F936" s="10"/>
      <c r="G936" s="11"/>
      <c r="H936" s="9"/>
      <c r="I936" s="31"/>
      <c r="J936" s="9"/>
      <c r="K936" s="9"/>
      <c r="L936" s="21" t="s">
        <v>53</v>
      </c>
      <c r="M936" s="46"/>
      <c r="N936" s="46"/>
      <c r="O936" s="31"/>
      <c r="P936" s="16"/>
      <c r="Q936" s="16"/>
      <c r="R936" s="16" t="str">
        <f t="shared" si="2"/>
        <v/>
      </c>
    </row>
    <row r="937">
      <c r="A937" s="7"/>
      <c r="B937" s="16"/>
      <c r="C937" s="12"/>
      <c r="D937" s="12"/>
      <c r="E937" s="9"/>
      <c r="F937" s="10"/>
      <c r="G937" s="11"/>
      <c r="H937" s="9"/>
      <c r="I937" s="31"/>
      <c r="J937" s="9"/>
      <c r="K937" s="9"/>
      <c r="L937" s="21" t="s">
        <v>59</v>
      </c>
      <c r="M937" s="46"/>
      <c r="N937" s="46"/>
      <c r="O937" s="31"/>
      <c r="P937" s="16"/>
      <c r="Q937" s="16"/>
      <c r="R937" s="16" t="str">
        <f t="shared" si="2"/>
        <v/>
      </c>
    </row>
    <row r="938">
      <c r="A938" s="7"/>
      <c r="B938" s="16"/>
      <c r="C938" s="12"/>
      <c r="D938" s="12"/>
      <c r="E938" s="9"/>
      <c r="F938" s="10"/>
      <c r="G938" s="11"/>
      <c r="H938" s="9"/>
      <c r="I938" s="31"/>
      <c r="J938" s="9"/>
      <c r="K938" s="9"/>
      <c r="L938" s="21" t="s">
        <v>65</v>
      </c>
      <c r="M938" s="46"/>
      <c r="N938" s="46"/>
      <c r="O938" s="31"/>
      <c r="P938" s="16"/>
      <c r="Q938" s="16"/>
      <c r="R938" s="16" t="str">
        <f t="shared" si="2"/>
        <v/>
      </c>
    </row>
    <row r="939">
      <c r="A939" s="7"/>
      <c r="B939" s="16"/>
      <c r="C939" s="12"/>
      <c r="D939" s="12"/>
      <c r="E939" s="9"/>
      <c r="F939" s="10"/>
      <c r="G939" s="11"/>
      <c r="H939" s="9"/>
      <c r="I939" s="31"/>
      <c r="J939" s="9"/>
      <c r="K939" s="9"/>
      <c r="L939" s="21" t="s">
        <v>71</v>
      </c>
      <c r="M939" s="46"/>
      <c r="N939" s="46"/>
      <c r="O939" s="31"/>
      <c r="P939" s="16"/>
      <c r="Q939" s="16"/>
      <c r="R939" s="16" t="str">
        <f t="shared" si="2"/>
        <v/>
      </c>
    </row>
    <row r="940">
      <c r="A940" s="7" t="s">
        <v>461</v>
      </c>
      <c r="B940" s="14" t="s">
        <v>20</v>
      </c>
      <c r="C940" s="12"/>
      <c r="D940" s="17" t="s">
        <v>2062</v>
      </c>
      <c r="E940" s="9" t="s">
        <v>462</v>
      </c>
      <c r="F940" s="10" t="s">
        <v>463</v>
      </c>
      <c r="G940" s="22" t="s">
        <v>97</v>
      </c>
      <c r="H940" s="9" t="s">
        <v>464</v>
      </c>
      <c r="I940" s="29" t="s">
        <v>680</v>
      </c>
      <c r="J940" s="9"/>
      <c r="K940" s="9" t="s">
        <v>392</v>
      </c>
      <c r="L940" s="21" t="s">
        <v>25</v>
      </c>
      <c r="M940" s="46"/>
      <c r="N940" s="46"/>
      <c r="O940" s="31"/>
      <c r="P940" s="16"/>
      <c r="Q940" s="16"/>
      <c r="R940" s="16" t="str">
        <f t="shared" si="2"/>
        <v/>
      </c>
    </row>
    <row r="941">
      <c r="A941" s="7"/>
      <c r="B941" s="16"/>
      <c r="C941" s="12"/>
      <c r="D941" s="12"/>
      <c r="E941" s="9"/>
      <c r="F941" s="10"/>
      <c r="G941" s="11"/>
      <c r="H941" s="9"/>
      <c r="I941" s="31"/>
      <c r="J941" s="9"/>
      <c r="K941" s="9"/>
      <c r="L941" s="21" t="s">
        <v>31</v>
      </c>
      <c r="M941" s="46"/>
      <c r="N941" s="46"/>
      <c r="O941" s="31"/>
      <c r="P941" s="16"/>
      <c r="Q941" s="16"/>
      <c r="R941" s="16" t="str">
        <f t="shared" si="2"/>
        <v/>
      </c>
    </row>
    <row r="942">
      <c r="A942" s="7"/>
      <c r="B942" s="16"/>
      <c r="C942" s="12"/>
      <c r="D942" s="12"/>
      <c r="E942" s="9"/>
      <c r="F942" s="10"/>
      <c r="G942" s="11"/>
      <c r="H942" s="9"/>
      <c r="I942" s="31"/>
      <c r="J942" s="9"/>
      <c r="K942" s="9"/>
      <c r="L942" s="21" t="s">
        <v>36</v>
      </c>
      <c r="M942" s="46"/>
      <c r="N942" s="46"/>
      <c r="O942" s="31"/>
      <c r="P942" s="16"/>
      <c r="Q942" s="16"/>
      <c r="R942" s="16" t="str">
        <f t="shared" si="2"/>
        <v/>
      </c>
    </row>
    <row r="943">
      <c r="A943" s="7"/>
      <c r="B943" s="16"/>
      <c r="C943" s="12"/>
      <c r="D943" s="12"/>
      <c r="E943" s="9"/>
      <c r="F943" s="10"/>
      <c r="G943" s="11"/>
      <c r="H943" s="9"/>
      <c r="I943" s="31"/>
      <c r="J943" s="9"/>
      <c r="K943" s="9"/>
      <c r="L943" s="21" t="s">
        <v>41</v>
      </c>
      <c r="M943" s="46"/>
      <c r="N943" s="46"/>
      <c r="O943" s="31"/>
      <c r="P943" s="16"/>
      <c r="Q943" s="16"/>
      <c r="R943" s="16" t="str">
        <f t="shared" si="2"/>
        <v/>
      </c>
    </row>
    <row r="944">
      <c r="A944" s="7"/>
      <c r="B944" s="16"/>
      <c r="C944" s="12"/>
      <c r="D944" s="12"/>
      <c r="E944" s="9"/>
      <c r="F944" s="10"/>
      <c r="G944" s="11"/>
      <c r="H944" s="9"/>
      <c r="I944" s="31"/>
      <c r="J944" s="9"/>
      <c r="K944" s="9"/>
      <c r="L944" s="21" t="s">
        <v>47</v>
      </c>
      <c r="M944" s="46"/>
      <c r="N944" s="46"/>
      <c r="O944" s="31"/>
      <c r="P944" s="16"/>
      <c r="Q944" s="16"/>
      <c r="R944" s="16" t="str">
        <f t="shared" si="2"/>
        <v/>
      </c>
    </row>
    <row r="945">
      <c r="A945" s="7"/>
      <c r="B945" s="16"/>
      <c r="C945" s="12"/>
      <c r="D945" s="12"/>
      <c r="E945" s="9"/>
      <c r="F945" s="10"/>
      <c r="G945" s="11"/>
      <c r="H945" s="9"/>
      <c r="I945" s="31"/>
      <c r="J945" s="9"/>
      <c r="K945" s="9"/>
      <c r="L945" s="21" t="s">
        <v>53</v>
      </c>
      <c r="M945" s="46"/>
      <c r="N945" s="46"/>
      <c r="O945" s="31"/>
      <c r="P945" s="16"/>
      <c r="Q945" s="16"/>
      <c r="R945" s="16" t="str">
        <f t="shared" si="2"/>
        <v/>
      </c>
    </row>
    <row r="946">
      <c r="A946" s="7"/>
      <c r="B946" s="16"/>
      <c r="C946" s="12"/>
      <c r="D946" s="12"/>
      <c r="E946" s="9"/>
      <c r="F946" s="10"/>
      <c r="G946" s="11"/>
      <c r="H946" s="9"/>
      <c r="I946" s="31"/>
      <c r="J946" s="9"/>
      <c r="K946" s="9"/>
      <c r="L946" s="21" t="s">
        <v>59</v>
      </c>
      <c r="M946" s="46"/>
      <c r="N946" s="46"/>
      <c r="O946" s="31"/>
      <c r="P946" s="16"/>
      <c r="Q946" s="16"/>
      <c r="R946" s="16" t="str">
        <f t="shared" si="2"/>
        <v/>
      </c>
    </row>
    <row r="947">
      <c r="A947" s="7"/>
      <c r="B947" s="16"/>
      <c r="C947" s="12"/>
      <c r="D947" s="12"/>
      <c r="E947" s="9"/>
      <c r="F947" s="10"/>
      <c r="G947" s="11"/>
      <c r="H947" s="9"/>
      <c r="I947" s="31"/>
      <c r="J947" s="9"/>
      <c r="K947" s="9"/>
      <c r="L947" s="21" t="s">
        <v>65</v>
      </c>
      <c r="M947" s="46"/>
      <c r="N947" s="46"/>
      <c r="O947" s="31"/>
      <c r="P947" s="16"/>
      <c r="Q947" s="16"/>
      <c r="R947" s="16" t="str">
        <f t="shared" si="2"/>
        <v/>
      </c>
    </row>
    <row r="948">
      <c r="A948" s="7"/>
      <c r="B948" s="16"/>
      <c r="C948" s="12"/>
      <c r="D948" s="12"/>
      <c r="E948" s="9"/>
      <c r="F948" s="10"/>
      <c r="G948" s="11"/>
      <c r="H948" s="9"/>
      <c r="I948" s="31"/>
      <c r="J948" s="9"/>
      <c r="K948" s="9"/>
      <c r="L948" s="21" t="s">
        <v>71</v>
      </c>
      <c r="M948" s="46"/>
      <c r="N948" s="46"/>
      <c r="O948" s="31"/>
      <c r="P948" s="16"/>
      <c r="Q948" s="16"/>
      <c r="R948" s="16" t="str">
        <f t="shared" si="2"/>
        <v/>
      </c>
    </row>
    <row r="949">
      <c r="A949" s="7" t="s">
        <v>465</v>
      </c>
      <c r="B949" s="14" t="s">
        <v>20</v>
      </c>
      <c r="C949" s="12"/>
      <c r="D949" s="52" t="s">
        <v>2063</v>
      </c>
      <c r="E949" s="9" t="s">
        <v>466</v>
      </c>
      <c r="F949" s="10" t="s">
        <v>467</v>
      </c>
      <c r="G949" s="22" t="s">
        <v>97</v>
      </c>
      <c r="H949" s="9" t="s">
        <v>468</v>
      </c>
      <c r="I949" s="29" t="s">
        <v>739</v>
      </c>
      <c r="J949" s="9"/>
      <c r="K949" s="9" t="s">
        <v>392</v>
      </c>
      <c r="L949" s="21" t="s">
        <v>25</v>
      </c>
      <c r="M949" s="46"/>
      <c r="N949" s="46"/>
      <c r="O949" s="31"/>
      <c r="P949" s="16"/>
      <c r="Q949" s="16"/>
      <c r="R949" s="16" t="str">
        <f t="shared" si="2"/>
        <v/>
      </c>
    </row>
    <row r="950">
      <c r="A950" s="7"/>
      <c r="B950" s="16"/>
      <c r="C950" s="12"/>
      <c r="D950" s="50"/>
      <c r="E950" s="9"/>
      <c r="F950" s="10"/>
      <c r="G950" s="11"/>
      <c r="H950" s="9"/>
      <c r="I950" s="31"/>
      <c r="J950" s="9"/>
      <c r="K950" s="9"/>
      <c r="L950" s="21" t="s">
        <v>31</v>
      </c>
      <c r="M950" s="46"/>
      <c r="N950" s="46"/>
      <c r="O950" s="31"/>
      <c r="P950" s="16"/>
      <c r="Q950" s="16"/>
      <c r="R950" s="16" t="str">
        <f t="shared" si="2"/>
        <v/>
      </c>
    </row>
    <row r="951">
      <c r="A951" s="7"/>
      <c r="B951" s="16"/>
      <c r="C951" s="12"/>
      <c r="D951" s="12"/>
      <c r="E951" s="9"/>
      <c r="F951" s="10"/>
      <c r="G951" s="11"/>
      <c r="H951" s="9"/>
      <c r="I951" s="31"/>
      <c r="J951" s="9"/>
      <c r="K951" s="9"/>
      <c r="L951" s="21" t="s">
        <v>36</v>
      </c>
      <c r="M951" s="46"/>
      <c r="N951" s="46"/>
      <c r="O951" s="31"/>
      <c r="P951" s="16"/>
      <c r="Q951" s="16"/>
      <c r="R951" s="16" t="str">
        <f t="shared" si="2"/>
        <v/>
      </c>
    </row>
    <row r="952">
      <c r="A952" s="7"/>
      <c r="B952" s="16"/>
      <c r="C952" s="12"/>
      <c r="D952" s="12"/>
      <c r="E952" s="9"/>
      <c r="F952" s="10"/>
      <c r="G952" s="11"/>
      <c r="H952" s="9"/>
      <c r="I952" s="31"/>
      <c r="J952" s="9"/>
      <c r="K952" s="9"/>
      <c r="L952" s="21" t="s">
        <v>41</v>
      </c>
      <c r="M952" s="46"/>
      <c r="N952" s="46"/>
      <c r="O952" s="31"/>
      <c r="P952" s="16"/>
      <c r="Q952" s="16"/>
      <c r="R952" s="16" t="str">
        <f t="shared" si="2"/>
        <v/>
      </c>
    </row>
    <row r="953">
      <c r="A953" s="7"/>
      <c r="B953" s="16"/>
      <c r="C953" s="12"/>
      <c r="D953" s="12"/>
      <c r="E953" s="9"/>
      <c r="F953" s="10"/>
      <c r="G953" s="11"/>
      <c r="H953" s="9"/>
      <c r="I953" s="31"/>
      <c r="J953" s="9"/>
      <c r="K953" s="9"/>
      <c r="L953" s="21" t="s">
        <v>47</v>
      </c>
      <c r="M953" s="46"/>
      <c r="N953" s="46"/>
      <c r="O953" s="31"/>
      <c r="P953" s="16"/>
      <c r="Q953" s="16"/>
      <c r="R953" s="16" t="str">
        <f t="shared" si="2"/>
        <v/>
      </c>
    </row>
    <row r="954">
      <c r="A954" s="7"/>
      <c r="B954" s="16"/>
      <c r="C954" s="12"/>
      <c r="D954" s="12"/>
      <c r="E954" s="9"/>
      <c r="F954" s="10"/>
      <c r="G954" s="11"/>
      <c r="H954" s="9"/>
      <c r="I954" s="31"/>
      <c r="J954" s="9"/>
      <c r="K954" s="9"/>
      <c r="L954" s="21" t="s">
        <v>53</v>
      </c>
      <c r="M954" s="46"/>
      <c r="N954" s="46"/>
      <c r="O954" s="31"/>
      <c r="P954" s="16"/>
      <c r="Q954" s="16"/>
      <c r="R954" s="16" t="str">
        <f t="shared" si="2"/>
        <v/>
      </c>
    </row>
    <row r="955">
      <c r="A955" s="7"/>
      <c r="B955" s="16"/>
      <c r="C955" s="12"/>
      <c r="D955" s="12"/>
      <c r="E955" s="9"/>
      <c r="F955" s="10"/>
      <c r="G955" s="11"/>
      <c r="H955" s="9"/>
      <c r="I955" s="31"/>
      <c r="J955" s="9"/>
      <c r="K955" s="9"/>
      <c r="L955" s="21" t="s">
        <v>59</v>
      </c>
      <c r="M955" s="46"/>
      <c r="N955" s="46"/>
      <c r="O955" s="31"/>
      <c r="P955" s="16"/>
      <c r="Q955" s="16"/>
      <c r="R955" s="16" t="str">
        <f t="shared" si="2"/>
        <v/>
      </c>
    </row>
    <row r="956">
      <c r="A956" s="7"/>
      <c r="B956" s="16"/>
      <c r="C956" s="12"/>
      <c r="D956" s="12"/>
      <c r="E956" s="9"/>
      <c r="F956" s="10"/>
      <c r="G956" s="11"/>
      <c r="H956" s="9"/>
      <c r="I956" s="31"/>
      <c r="J956" s="9"/>
      <c r="K956" s="9"/>
      <c r="L956" s="21" t="s">
        <v>65</v>
      </c>
      <c r="M956" s="46"/>
      <c r="N956" s="46"/>
      <c r="O956" s="31"/>
      <c r="P956" s="16"/>
      <c r="Q956" s="16"/>
      <c r="R956" s="16" t="str">
        <f t="shared" si="2"/>
        <v/>
      </c>
    </row>
    <row r="957">
      <c r="A957" s="7"/>
      <c r="B957" s="16"/>
      <c r="C957" s="12"/>
      <c r="D957" s="12"/>
      <c r="E957" s="9"/>
      <c r="F957" s="10"/>
      <c r="G957" s="11"/>
      <c r="H957" s="9"/>
      <c r="I957" s="31"/>
      <c r="J957" s="9"/>
      <c r="K957" s="9"/>
      <c r="L957" s="21" t="s">
        <v>71</v>
      </c>
      <c r="M957" s="46"/>
      <c r="N957" s="46"/>
      <c r="O957" s="31"/>
      <c r="P957" s="16"/>
      <c r="Q957" s="16"/>
      <c r="R957" s="16" t="str">
        <f t="shared" si="2"/>
        <v/>
      </c>
    </row>
    <row r="958">
      <c r="A958" s="7" t="s">
        <v>469</v>
      </c>
      <c r="B958" s="14" t="s">
        <v>20</v>
      </c>
      <c r="C958" s="12"/>
      <c r="D958" s="17" t="s">
        <v>2041</v>
      </c>
      <c r="E958" s="9" t="s">
        <v>470</v>
      </c>
      <c r="F958" s="10" t="s">
        <v>471</v>
      </c>
      <c r="G958" s="22" t="s">
        <v>97</v>
      </c>
      <c r="H958" s="9" t="s">
        <v>472</v>
      </c>
      <c r="I958" s="29" t="s">
        <v>680</v>
      </c>
      <c r="J958" s="9"/>
      <c r="K958" s="9" t="s">
        <v>392</v>
      </c>
      <c r="L958" s="21" t="s">
        <v>25</v>
      </c>
      <c r="M958" s="46"/>
      <c r="N958" s="46"/>
      <c r="O958" s="31"/>
      <c r="P958" s="16"/>
      <c r="Q958" s="16"/>
      <c r="R958" s="16" t="str">
        <f t="shared" si="2"/>
        <v/>
      </c>
    </row>
    <row r="959">
      <c r="A959" s="7"/>
      <c r="B959" s="16"/>
      <c r="C959" s="12"/>
      <c r="D959" s="12"/>
      <c r="E959" s="9"/>
      <c r="F959" s="10"/>
      <c r="G959" s="11"/>
      <c r="H959" s="9"/>
      <c r="I959" s="31"/>
      <c r="J959" s="9"/>
      <c r="K959" s="9"/>
      <c r="L959" s="21" t="s">
        <v>31</v>
      </c>
      <c r="M959" s="46"/>
      <c r="N959" s="46"/>
      <c r="O959" s="31"/>
      <c r="P959" s="16"/>
      <c r="Q959" s="16"/>
      <c r="R959" s="16" t="str">
        <f t="shared" si="2"/>
        <v/>
      </c>
    </row>
    <row r="960">
      <c r="A960" s="7"/>
      <c r="B960" s="16"/>
      <c r="C960" s="12"/>
      <c r="D960" s="12"/>
      <c r="E960" s="9"/>
      <c r="F960" s="10"/>
      <c r="G960" s="11"/>
      <c r="H960" s="9"/>
      <c r="I960" s="31"/>
      <c r="J960" s="9"/>
      <c r="K960" s="9"/>
      <c r="L960" s="21" t="s">
        <v>36</v>
      </c>
      <c r="M960" s="46"/>
      <c r="N960" s="46"/>
      <c r="O960" s="31"/>
      <c r="P960" s="16"/>
      <c r="Q960" s="16"/>
      <c r="R960" s="16" t="str">
        <f t="shared" si="2"/>
        <v/>
      </c>
    </row>
    <row r="961">
      <c r="A961" s="7"/>
      <c r="B961" s="16"/>
      <c r="C961" s="12"/>
      <c r="D961" s="12"/>
      <c r="E961" s="9"/>
      <c r="F961" s="10"/>
      <c r="G961" s="11"/>
      <c r="H961" s="9"/>
      <c r="I961" s="31"/>
      <c r="J961" s="9"/>
      <c r="K961" s="9"/>
      <c r="L961" s="21" t="s">
        <v>41</v>
      </c>
      <c r="M961" s="46"/>
      <c r="N961" s="46"/>
      <c r="O961" s="31"/>
      <c r="P961" s="16"/>
      <c r="Q961" s="16"/>
      <c r="R961" s="16" t="str">
        <f t="shared" si="2"/>
        <v/>
      </c>
    </row>
    <row r="962">
      <c r="A962" s="7"/>
      <c r="B962" s="16"/>
      <c r="C962" s="12"/>
      <c r="D962" s="12"/>
      <c r="E962" s="9"/>
      <c r="F962" s="10"/>
      <c r="G962" s="11"/>
      <c r="H962" s="9"/>
      <c r="I962" s="31"/>
      <c r="J962" s="9"/>
      <c r="K962" s="9"/>
      <c r="L962" s="21" t="s">
        <v>47</v>
      </c>
      <c r="M962" s="46"/>
      <c r="N962" s="46"/>
      <c r="O962" s="31"/>
      <c r="P962" s="16"/>
      <c r="Q962" s="16"/>
      <c r="R962" s="16" t="str">
        <f t="shared" si="2"/>
        <v/>
      </c>
    </row>
    <row r="963">
      <c r="A963" s="7"/>
      <c r="B963" s="16"/>
      <c r="C963" s="12"/>
      <c r="D963" s="12"/>
      <c r="E963" s="9"/>
      <c r="F963" s="10"/>
      <c r="G963" s="11"/>
      <c r="H963" s="9"/>
      <c r="I963" s="31"/>
      <c r="J963" s="9"/>
      <c r="K963" s="9"/>
      <c r="L963" s="21" t="s">
        <v>53</v>
      </c>
      <c r="M963" s="46"/>
      <c r="N963" s="46"/>
      <c r="O963" s="31"/>
      <c r="P963" s="16"/>
      <c r="Q963" s="16"/>
      <c r="R963" s="16" t="str">
        <f t="shared" si="2"/>
        <v/>
      </c>
    </row>
    <row r="964">
      <c r="A964" s="7"/>
      <c r="B964" s="16"/>
      <c r="C964" s="12"/>
      <c r="D964" s="12"/>
      <c r="E964" s="9"/>
      <c r="F964" s="10"/>
      <c r="G964" s="11"/>
      <c r="H964" s="9"/>
      <c r="I964" s="31"/>
      <c r="J964" s="9"/>
      <c r="K964" s="9"/>
      <c r="L964" s="21" t="s">
        <v>59</v>
      </c>
      <c r="M964" s="46"/>
      <c r="N964" s="46"/>
      <c r="O964" s="31"/>
      <c r="P964" s="16"/>
      <c r="Q964" s="16"/>
      <c r="R964" s="16" t="str">
        <f t="shared" si="2"/>
        <v/>
      </c>
    </row>
    <row r="965">
      <c r="A965" s="7"/>
      <c r="B965" s="16"/>
      <c r="C965" s="12"/>
      <c r="D965" s="12"/>
      <c r="E965" s="9"/>
      <c r="F965" s="10"/>
      <c r="G965" s="11"/>
      <c r="H965" s="9"/>
      <c r="I965" s="31"/>
      <c r="J965" s="9"/>
      <c r="K965" s="9"/>
      <c r="L965" s="21" t="s">
        <v>65</v>
      </c>
      <c r="M965" s="46"/>
      <c r="N965" s="46"/>
      <c r="O965" s="31"/>
      <c r="P965" s="16"/>
      <c r="Q965" s="16"/>
      <c r="R965" s="16" t="str">
        <f t="shared" si="2"/>
        <v/>
      </c>
    </row>
    <row r="966">
      <c r="A966" s="7"/>
      <c r="B966" s="16"/>
      <c r="C966" s="12"/>
      <c r="D966" s="12"/>
      <c r="E966" s="9"/>
      <c r="F966" s="10"/>
      <c r="G966" s="11"/>
      <c r="H966" s="9"/>
      <c r="I966" s="31"/>
      <c r="J966" s="9"/>
      <c r="K966" s="9"/>
      <c r="L966" s="21" t="s">
        <v>71</v>
      </c>
      <c r="M966" s="46"/>
      <c r="N966" s="46"/>
      <c r="O966" s="31"/>
      <c r="P966" s="16"/>
      <c r="Q966" s="16"/>
      <c r="R966" s="16" t="str">
        <f t="shared" si="2"/>
        <v/>
      </c>
    </row>
    <row r="967">
      <c r="A967" s="7" t="s">
        <v>473</v>
      </c>
      <c r="B967" s="14" t="s">
        <v>20</v>
      </c>
      <c r="C967" s="12"/>
      <c r="D967" s="17" t="s">
        <v>2041</v>
      </c>
      <c r="E967" s="9" t="s">
        <v>474</v>
      </c>
      <c r="F967" s="10" t="s">
        <v>475</v>
      </c>
      <c r="G967" s="22" t="s">
        <v>97</v>
      </c>
      <c r="H967" s="9" t="s">
        <v>476</v>
      </c>
      <c r="I967" s="29" t="s">
        <v>2064</v>
      </c>
      <c r="J967" s="9"/>
      <c r="K967" s="9" t="s">
        <v>392</v>
      </c>
      <c r="L967" s="21" t="s">
        <v>25</v>
      </c>
      <c r="M967" s="46"/>
      <c r="N967" s="46"/>
      <c r="O967" s="31"/>
      <c r="P967" s="16"/>
      <c r="Q967" s="16"/>
      <c r="R967" s="16" t="str">
        <f t="shared" si="2"/>
        <v/>
      </c>
    </row>
    <row r="968">
      <c r="A968" s="7"/>
      <c r="B968" s="16"/>
      <c r="C968" s="12"/>
      <c r="D968" s="12"/>
      <c r="E968" s="9"/>
      <c r="F968" s="10"/>
      <c r="G968" s="11"/>
      <c r="H968" s="9"/>
      <c r="I968" s="31"/>
      <c r="J968" s="9"/>
      <c r="K968" s="9"/>
      <c r="L968" s="21" t="s">
        <v>31</v>
      </c>
      <c r="M968" s="46"/>
      <c r="N968" s="46"/>
      <c r="O968" s="31"/>
      <c r="P968" s="16"/>
      <c r="Q968" s="16"/>
      <c r="R968" s="16" t="str">
        <f t="shared" si="2"/>
        <v/>
      </c>
    </row>
    <row r="969">
      <c r="A969" s="7"/>
      <c r="B969" s="16"/>
      <c r="C969" s="12"/>
      <c r="D969" s="12"/>
      <c r="E969" s="9"/>
      <c r="F969" s="10"/>
      <c r="G969" s="11"/>
      <c r="H969" s="9"/>
      <c r="I969" s="31"/>
      <c r="J969" s="9"/>
      <c r="K969" s="9"/>
      <c r="L969" s="21" t="s">
        <v>36</v>
      </c>
      <c r="M969" s="46"/>
      <c r="N969" s="46"/>
      <c r="O969" s="31"/>
      <c r="P969" s="16"/>
      <c r="Q969" s="16"/>
      <c r="R969" s="16" t="str">
        <f t="shared" si="2"/>
        <v/>
      </c>
    </row>
    <row r="970">
      <c r="A970" s="7"/>
      <c r="B970" s="16"/>
      <c r="C970" s="12"/>
      <c r="D970" s="12"/>
      <c r="E970" s="9"/>
      <c r="F970" s="10"/>
      <c r="G970" s="11"/>
      <c r="H970" s="9"/>
      <c r="I970" s="31"/>
      <c r="J970" s="9"/>
      <c r="K970" s="9"/>
      <c r="L970" s="21" t="s">
        <v>41</v>
      </c>
      <c r="M970" s="46"/>
      <c r="N970" s="46"/>
      <c r="O970" s="31"/>
      <c r="P970" s="16"/>
      <c r="Q970" s="16"/>
      <c r="R970" s="16" t="str">
        <f t="shared" si="2"/>
        <v/>
      </c>
    </row>
    <row r="971">
      <c r="A971" s="7"/>
      <c r="B971" s="16"/>
      <c r="C971" s="12"/>
      <c r="D971" s="12"/>
      <c r="E971" s="9"/>
      <c r="F971" s="10"/>
      <c r="G971" s="11"/>
      <c r="H971" s="9"/>
      <c r="I971" s="31"/>
      <c r="J971" s="9"/>
      <c r="K971" s="9"/>
      <c r="L971" s="21" t="s">
        <v>47</v>
      </c>
      <c r="M971" s="46"/>
      <c r="N971" s="46"/>
      <c r="O971" s="31"/>
      <c r="P971" s="16"/>
      <c r="Q971" s="16"/>
      <c r="R971" s="16" t="str">
        <f t="shared" si="2"/>
        <v/>
      </c>
    </row>
    <row r="972">
      <c r="A972" s="7"/>
      <c r="B972" s="16"/>
      <c r="C972" s="12"/>
      <c r="D972" s="12"/>
      <c r="E972" s="9"/>
      <c r="F972" s="10"/>
      <c r="G972" s="11"/>
      <c r="H972" s="9"/>
      <c r="I972" s="31"/>
      <c r="J972" s="9"/>
      <c r="K972" s="9"/>
      <c r="L972" s="21" t="s">
        <v>53</v>
      </c>
      <c r="M972" s="46"/>
      <c r="N972" s="46"/>
      <c r="O972" s="31"/>
      <c r="P972" s="16"/>
      <c r="Q972" s="16"/>
      <c r="R972" s="16" t="str">
        <f t="shared" si="2"/>
        <v/>
      </c>
    </row>
    <row r="973">
      <c r="A973" s="7"/>
      <c r="B973" s="16"/>
      <c r="C973" s="12"/>
      <c r="D973" s="12"/>
      <c r="E973" s="9"/>
      <c r="F973" s="10"/>
      <c r="G973" s="11"/>
      <c r="H973" s="9"/>
      <c r="I973" s="31"/>
      <c r="J973" s="9"/>
      <c r="K973" s="9"/>
      <c r="L973" s="21" t="s">
        <v>59</v>
      </c>
      <c r="M973" s="46"/>
      <c r="N973" s="46"/>
      <c r="O973" s="31"/>
      <c r="P973" s="16"/>
      <c r="Q973" s="16"/>
      <c r="R973" s="16" t="str">
        <f t="shared" si="2"/>
        <v/>
      </c>
    </row>
    <row r="974">
      <c r="A974" s="7"/>
      <c r="B974" s="16"/>
      <c r="C974" s="12"/>
      <c r="D974" s="12"/>
      <c r="E974" s="9"/>
      <c r="F974" s="10"/>
      <c r="G974" s="11"/>
      <c r="H974" s="9"/>
      <c r="I974" s="31"/>
      <c r="J974" s="9"/>
      <c r="K974" s="9"/>
      <c r="L974" s="21" t="s">
        <v>65</v>
      </c>
      <c r="M974" s="46"/>
      <c r="N974" s="46"/>
      <c r="O974" s="31"/>
      <c r="P974" s="16"/>
      <c r="Q974" s="16"/>
      <c r="R974" s="16" t="str">
        <f t="shared" si="2"/>
        <v/>
      </c>
    </row>
    <row r="975">
      <c r="A975" s="7"/>
      <c r="B975" s="16"/>
      <c r="C975" s="12"/>
      <c r="D975" s="12"/>
      <c r="E975" s="9"/>
      <c r="F975" s="10"/>
      <c r="G975" s="11"/>
      <c r="H975" s="9"/>
      <c r="I975" s="31"/>
      <c r="J975" s="9"/>
      <c r="K975" s="9"/>
      <c r="L975" s="21" t="s">
        <v>71</v>
      </c>
      <c r="M975" s="46"/>
      <c r="N975" s="46"/>
      <c r="O975" s="31"/>
      <c r="P975" s="16"/>
      <c r="Q975" s="16"/>
      <c r="R975" s="16" t="str">
        <f t="shared" si="2"/>
        <v/>
      </c>
    </row>
    <row r="976">
      <c r="A976" s="7" t="s">
        <v>477</v>
      </c>
      <c r="B976" s="14" t="s">
        <v>20</v>
      </c>
      <c r="C976" s="12"/>
      <c r="D976" s="17" t="s">
        <v>2065</v>
      </c>
      <c r="E976" s="9" t="s">
        <v>478</v>
      </c>
      <c r="F976" s="10" t="s">
        <v>479</v>
      </c>
      <c r="G976" s="22" t="s">
        <v>97</v>
      </c>
      <c r="H976" s="9" t="s">
        <v>480</v>
      </c>
      <c r="I976" s="29" t="s">
        <v>2064</v>
      </c>
      <c r="J976" s="9"/>
      <c r="K976" s="9" t="s">
        <v>392</v>
      </c>
      <c r="L976" s="21" t="s">
        <v>25</v>
      </c>
      <c r="M976" s="46"/>
      <c r="N976" s="46"/>
      <c r="O976" s="31"/>
      <c r="P976" s="16"/>
      <c r="Q976" s="16"/>
      <c r="R976" s="16" t="str">
        <f t="shared" si="2"/>
        <v/>
      </c>
    </row>
    <row r="977">
      <c r="A977" s="7"/>
      <c r="B977" s="16"/>
      <c r="C977" s="12"/>
      <c r="D977" s="12"/>
      <c r="E977" s="9"/>
      <c r="F977" s="10"/>
      <c r="G977" s="11"/>
      <c r="H977" s="9"/>
      <c r="I977" s="31"/>
      <c r="J977" s="9"/>
      <c r="K977" s="9"/>
      <c r="L977" s="21" t="s">
        <v>31</v>
      </c>
      <c r="M977" s="46"/>
      <c r="N977" s="46"/>
      <c r="O977" s="31"/>
      <c r="P977" s="16"/>
      <c r="Q977" s="16"/>
      <c r="R977" s="16" t="str">
        <f t="shared" si="2"/>
        <v/>
      </c>
    </row>
    <row r="978">
      <c r="A978" s="7"/>
      <c r="B978" s="16"/>
      <c r="C978" s="12"/>
      <c r="D978" s="12"/>
      <c r="E978" s="9"/>
      <c r="F978" s="10"/>
      <c r="G978" s="11"/>
      <c r="H978" s="9"/>
      <c r="I978" s="31"/>
      <c r="J978" s="9"/>
      <c r="K978" s="9"/>
      <c r="L978" s="21" t="s">
        <v>36</v>
      </c>
      <c r="M978" s="46"/>
      <c r="N978" s="46"/>
      <c r="O978" s="31"/>
      <c r="P978" s="16"/>
      <c r="Q978" s="16"/>
      <c r="R978" s="16" t="str">
        <f t="shared" si="2"/>
        <v/>
      </c>
    </row>
    <row r="979">
      <c r="A979" s="7"/>
      <c r="B979" s="16"/>
      <c r="C979" s="12"/>
      <c r="D979" s="12"/>
      <c r="E979" s="9"/>
      <c r="F979" s="10"/>
      <c r="G979" s="11"/>
      <c r="H979" s="9"/>
      <c r="I979" s="31"/>
      <c r="J979" s="9"/>
      <c r="K979" s="9"/>
      <c r="L979" s="21" t="s">
        <v>41</v>
      </c>
      <c r="M979" s="46"/>
      <c r="N979" s="46"/>
      <c r="O979" s="31"/>
      <c r="P979" s="16"/>
      <c r="Q979" s="16"/>
      <c r="R979" s="16" t="str">
        <f t="shared" si="2"/>
        <v/>
      </c>
    </row>
    <row r="980">
      <c r="A980" s="7"/>
      <c r="B980" s="16"/>
      <c r="C980" s="12"/>
      <c r="D980" s="12"/>
      <c r="E980" s="9"/>
      <c r="F980" s="10"/>
      <c r="G980" s="11"/>
      <c r="H980" s="9"/>
      <c r="I980" s="31"/>
      <c r="J980" s="9"/>
      <c r="K980" s="9"/>
      <c r="L980" s="21" t="s">
        <v>47</v>
      </c>
      <c r="M980" s="46"/>
      <c r="N980" s="46"/>
      <c r="O980" s="31"/>
      <c r="P980" s="16"/>
      <c r="Q980" s="16"/>
      <c r="R980" s="16" t="str">
        <f t="shared" si="2"/>
        <v/>
      </c>
    </row>
    <row r="981">
      <c r="A981" s="7"/>
      <c r="B981" s="16"/>
      <c r="C981" s="12"/>
      <c r="D981" s="12"/>
      <c r="E981" s="9"/>
      <c r="F981" s="10"/>
      <c r="G981" s="11"/>
      <c r="H981" s="9"/>
      <c r="I981" s="31"/>
      <c r="J981" s="9"/>
      <c r="K981" s="9"/>
      <c r="L981" s="21" t="s">
        <v>53</v>
      </c>
      <c r="M981" s="46"/>
      <c r="N981" s="46"/>
      <c r="O981" s="31"/>
      <c r="P981" s="16"/>
      <c r="Q981" s="16"/>
      <c r="R981" s="16" t="str">
        <f t="shared" si="2"/>
        <v/>
      </c>
    </row>
    <row r="982">
      <c r="A982" s="7"/>
      <c r="B982" s="16"/>
      <c r="C982" s="12"/>
      <c r="D982" s="12"/>
      <c r="E982" s="9"/>
      <c r="F982" s="10"/>
      <c r="G982" s="11"/>
      <c r="H982" s="9"/>
      <c r="I982" s="31"/>
      <c r="J982" s="9"/>
      <c r="K982" s="9"/>
      <c r="L982" s="21" t="s">
        <v>59</v>
      </c>
      <c r="M982" s="46"/>
      <c r="N982" s="46"/>
      <c r="O982" s="31"/>
      <c r="P982" s="16"/>
      <c r="Q982" s="16"/>
      <c r="R982" s="16" t="str">
        <f t="shared" si="2"/>
        <v/>
      </c>
    </row>
    <row r="983">
      <c r="A983" s="7"/>
      <c r="B983" s="16"/>
      <c r="C983" s="12"/>
      <c r="D983" s="12"/>
      <c r="E983" s="9"/>
      <c r="F983" s="10"/>
      <c r="G983" s="11"/>
      <c r="H983" s="9"/>
      <c r="I983" s="31"/>
      <c r="J983" s="9"/>
      <c r="K983" s="9"/>
      <c r="L983" s="21" t="s">
        <v>65</v>
      </c>
      <c r="M983" s="46"/>
      <c r="N983" s="46"/>
      <c r="O983" s="31"/>
      <c r="P983" s="16"/>
      <c r="Q983" s="16"/>
      <c r="R983" s="16" t="str">
        <f t="shared" si="2"/>
        <v/>
      </c>
    </row>
    <row r="984">
      <c r="A984" s="7"/>
      <c r="B984" s="16"/>
      <c r="C984" s="12"/>
      <c r="D984" s="12"/>
      <c r="E984" s="9"/>
      <c r="F984" s="10"/>
      <c r="G984" s="11"/>
      <c r="H984" s="9"/>
      <c r="I984" s="31"/>
      <c r="J984" s="9"/>
      <c r="K984" s="9"/>
      <c r="L984" s="21" t="s">
        <v>71</v>
      </c>
      <c r="M984" s="46"/>
      <c r="N984" s="46"/>
      <c r="O984" s="31"/>
      <c r="P984" s="16"/>
      <c r="Q984" s="16"/>
      <c r="R984" s="16" t="str">
        <f t="shared" si="2"/>
        <v/>
      </c>
    </row>
    <row r="985">
      <c r="A985" s="7" t="s">
        <v>481</v>
      </c>
      <c r="B985" s="14" t="s">
        <v>20</v>
      </c>
      <c r="C985" s="12"/>
      <c r="D985" s="17" t="s">
        <v>2066</v>
      </c>
      <c r="E985" s="9" t="s">
        <v>482</v>
      </c>
      <c r="F985" s="10" t="s">
        <v>483</v>
      </c>
      <c r="G985" s="22" t="s">
        <v>97</v>
      </c>
      <c r="H985" s="9" t="s">
        <v>484</v>
      </c>
      <c r="I985" s="29" t="s">
        <v>1021</v>
      </c>
      <c r="J985" s="9"/>
      <c r="K985" s="9" t="s">
        <v>392</v>
      </c>
      <c r="L985" s="21" t="s">
        <v>25</v>
      </c>
      <c r="M985" s="46"/>
      <c r="N985" s="46"/>
      <c r="O985" s="31"/>
      <c r="P985" s="16"/>
      <c r="Q985" s="16"/>
      <c r="R985" s="16" t="str">
        <f t="shared" si="2"/>
        <v/>
      </c>
    </row>
    <row r="986">
      <c r="A986" s="7"/>
      <c r="B986" s="16"/>
      <c r="C986" s="12"/>
      <c r="D986" s="12"/>
      <c r="E986" s="9"/>
      <c r="F986" s="10"/>
      <c r="G986" s="11"/>
      <c r="H986" s="9"/>
      <c r="I986" s="31"/>
      <c r="J986" s="9"/>
      <c r="K986" s="9"/>
      <c r="L986" s="21" t="s">
        <v>31</v>
      </c>
      <c r="M986" s="46"/>
      <c r="N986" s="46"/>
      <c r="O986" s="31"/>
      <c r="P986" s="16"/>
      <c r="Q986" s="16"/>
      <c r="R986" s="16" t="str">
        <f t="shared" si="2"/>
        <v/>
      </c>
    </row>
    <row r="987">
      <c r="A987" s="7"/>
      <c r="B987" s="16"/>
      <c r="C987" s="12"/>
      <c r="D987" s="12"/>
      <c r="E987" s="9"/>
      <c r="F987" s="10"/>
      <c r="G987" s="11"/>
      <c r="H987" s="9"/>
      <c r="I987" s="31"/>
      <c r="J987" s="9"/>
      <c r="K987" s="9"/>
      <c r="L987" s="21" t="s">
        <v>36</v>
      </c>
      <c r="M987" s="46"/>
      <c r="N987" s="46"/>
      <c r="O987" s="31"/>
      <c r="P987" s="16"/>
      <c r="Q987" s="16"/>
      <c r="R987" s="16" t="str">
        <f t="shared" si="2"/>
        <v/>
      </c>
    </row>
    <row r="988">
      <c r="A988" s="7"/>
      <c r="B988" s="16"/>
      <c r="C988" s="12"/>
      <c r="D988" s="12"/>
      <c r="E988" s="9"/>
      <c r="F988" s="10"/>
      <c r="G988" s="11"/>
      <c r="H988" s="9"/>
      <c r="I988" s="31"/>
      <c r="J988" s="9"/>
      <c r="K988" s="9"/>
      <c r="L988" s="21" t="s">
        <v>41</v>
      </c>
      <c r="M988" s="46"/>
      <c r="N988" s="46"/>
      <c r="O988" s="31"/>
      <c r="P988" s="16"/>
      <c r="Q988" s="16"/>
      <c r="R988" s="16" t="str">
        <f t="shared" si="2"/>
        <v/>
      </c>
    </row>
    <row r="989">
      <c r="A989" s="7"/>
      <c r="B989" s="16"/>
      <c r="C989" s="12"/>
      <c r="D989" s="12"/>
      <c r="E989" s="9"/>
      <c r="F989" s="10"/>
      <c r="G989" s="11"/>
      <c r="H989" s="9"/>
      <c r="I989" s="31"/>
      <c r="J989" s="9"/>
      <c r="K989" s="9"/>
      <c r="L989" s="21" t="s">
        <v>47</v>
      </c>
      <c r="M989" s="46"/>
      <c r="N989" s="46"/>
      <c r="O989" s="31"/>
      <c r="P989" s="16"/>
      <c r="Q989" s="16"/>
      <c r="R989" s="16" t="str">
        <f t="shared" si="2"/>
        <v/>
      </c>
    </row>
    <row r="990">
      <c r="A990" s="7"/>
      <c r="B990" s="16"/>
      <c r="C990" s="12"/>
      <c r="D990" s="12"/>
      <c r="E990" s="9"/>
      <c r="F990" s="10"/>
      <c r="G990" s="11"/>
      <c r="H990" s="9"/>
      <c r="I990" s="31"/>
      <c r="J990" s="9"/>
      <c r="K990" s="9"/>
      <c r="L990" s="21" t="s">
        <v>53</v>
      </c>
      <c r="M990" s="46"/>
      <c r="N990" s="46"/>
      <c r="O990" s="31"/>
      <c r="P990" s="16"/>
      <c r="Q990" s="16"/>
      <c r="R990" s="16" t="str">
        <f t="shared" si="2"/>
        <v/>
      </c>
    </row>
    <row r="991">
      <c r="A991" s="7"/>
      <c r="B991" s="16"/>
      <c r="C991" s="12"/>
      <c r="D991" s="12"/>
      <c r="E991" s="9"/>
      <c r="F991" s="10"/>
      <c r="G991" s="11"/>
      <c r="H991" s="9"/>
      <c r="I991" s="31"/>
      <c r="J991" s="9"/>
      <c r="K991" s="9"/>
      <c r="L991" s="21" t="s">
        <v>59</v>
      </c>
      <c r="M991" s="46"/>
      <c r="N991" s="46"/>
      <c r="O991" s="31"/>
      <c r="P991" s="16"/>
      <c r="Q991" s="16"/>
      <c r="R991" s="16" t="str">
        <f t="shared" si="2"/>
        <v/>
      </c>
    </row>
    <row r="992">
      <c r="A992" s="7"/>
      <c r="B992" s="16"/>
      <c r="C992" s="12"/>
      <c r="D992" s="12"/>
      <c r="E992" s="9"/>
      <c r="F992" s="10"/>
      <c r="G992" s="11"/>
      <c r="H992" s="9"/>
      <c r="I992" s="31"/>
      <c r="J992" s="9"/>
      <c r="K992" s="9"/>
      <c r="L992" s="21" t="s">
        <v>65</v>
      </c>
      <c r="M992" s="46"/>
      <c r="N992" s="46"/>
      <c r="O992" s="31"/>
      <c r="P992" s="16"/>
      <c r="Q992" s="16"/>
      <c r="R992" s="16" t="str">
        <f t="shared" si="2"/>
        <v/>
      </c>
    </row>
    <row r="993">
      <c r="A993" s="7"/>
      <c r="B993" s="16"/>
      <c r="C993" s="12"/>
      <c r="D993" s="12"/>
      <c r="E993" s="9"/>
      <c r="F993" s="10"/>
      <c r="G993" s="11"/>
      <c r="H993" s="9"/>
      <c r="I993" s="31"/>
      <c r="J993" s="9"/>
      <c r="K993" s="9"/>
      <c r="L993" s="21" t="s">
        <v>71</v>
      </c>
      <c r="M993" s="46"/>
      <c r="N993" s="46"/>
      <c r="O993" s="31"/>
      <c r="P993" s="16"/>
      <c r="Q993" s="16"/>
      <c r="R993" s="16" t="str">
        <f t="shared" si="2"/>
        <v/>
      </c>
    </row>
    <row r="994">
      <c r="A994" s="7" t="s">
        <v>485</v>
      </c>
      <c r="B994" s="14" t="s">
        <v>20</v>
      </c>
      <c r="C994" s="12"/>
      <c r="D994" s="17" t="s">
        <v>2067</v>
      </c>
      <c r="E994" s="9" t="s">
        <v>486</v>
      </c>
      <c r="F994" s="10" t="s">
        <v>487</v>
      </c>
      <c r="G994" s="22" t="s">
        <v>97</v>
      </c>
      <c r="H994" s="9" t="s">
        <v>488</v>
      </c>
      <c r="I994" s="29" t="s">
        <v>2068</v>
      </c>
      <c r="J994" s="9"/>
      <c r="K994" s="9" t="s">
        <v>392</v>
      </c>
      <c r="L994" s="21" t="s">
        <v>25</v>
      </c>
      <c r="M994" s="46"/>
      <c r="N994" s="46"/>
      <c r="O994" s="31"/>
      <c r="P994" s="16"/>
      <c r="Q994" s="16"/>
      <c r="R994" s="16" t="str">
        <f t="shared" si="2"/>
        <v/>
      </c>
    </row>
    <row r="995">
      <c r="A995" s="7"/>
      <c r="B995" s="16"/>
      <c r="C995" s="12"/>
      <c r="D995" s="12"/>
      <c r="E995" s="9"/>
      <c r="F995" s="10"/>
      <c r="G995" s="11"/>
      <c r="H995" s="9"/>
      <c r="I995" s="31"/>
      <c r="J995" s="9"/>
      <c r="K995" s="9"/>
      <c r="L995" s="21" t="s">
        <v>31</v>
      </c>
      <c r="M995" s="46"/>
      <c r="N995" s="46"/>
      <c r="O995" s="31"/>
      <c r="P995" s="16"/>
      <c r="Q995" s="16"/>
      <c r="R995" s="16" t="str">
        <f t="shared" si="2"/>
        <v/>
      </c>
    </row>
    <row r="996">
      <c r="A996" s="7"/>
      <c r="B996" s="16"/>
      <c r="C996" s="12"/>
      <c r="D996" s="12"/>
      <c r="E996" s="9"/>
      <c r="F996" s="10"/>
      <c r="G996" s="11"/>
      <c r="H996" s="9"/>
      <c r="I996" s="31"/>
      <c r="J996" s="9"/>
      <c r="K996" s="9"/>
      <c r="L996" s="21" t="s">
        <v>36</v>
      </c>
      <c r="M996" s="46"/>
      <c r="N996" s="46"/>
      <c r="O996" s="31"/>
      <c r="P996" s="16"/>
      <c r="Q996" s="16"/>
      <c r="R996" s="16" t="str">
        <f t="shared" si="2"/>
        <v/>
      </c>
    </row>
    <row r="997">
      <c r="A997" s="7"/>
      <c r="B997" s="16"/>
      <c r="C997" s="12"/>
      <c r="D997" s="12"/>
      <c r="E997" s="9"/>
      <c r="F997" s="10"/>
      <c r="G997" s="11"/>
      <c r="H997" s="9"/>
      <c r="I997" s="31"/>
      <c r="J997" s="9"/>
      <c r="K997" s="9"/>
      <c r="L997" s="21" t="s">
        <v>41</v>
      </c>
      <c r="M997" s="46"/>
      <c r="N997" s="46"/>
      <c r="O997" s="31"/>
      <c r="P997" s="16"/>
      <c r="Q997" s="16"/>
      <c r="R997" s="16" t="str">
        <f t="shared" si="2"/>
        <v/>
      </c>
    </row>
    <row r="998">
      <c r="A998" s="7"/>
      <c r="B998" s="16"/>
      <c r="C998" s="12"/>
      <c r="D998" s="12"/>
      <c r="E998" s="9"/>
      <c r="F998" s="10"/>
      <c r="G998" s="11"/>
      <c r="H998" s="9"/>
      <c r="I998" s="31"/>
      <c r="J998" s="9"/>
      <c r="K998" s="9"/>
      <c r="L998" s="21" t="s">
        <v>47</v>
      </c>
      <c r="M998" s="46"/>
      <c r="N998" s="46"/>
      <c r="O998" s="31"/>
      <c r="P998" s="16"/>
      <c r="Q998" s="16"/>
      <c r="R998" s="16" t="str">
        <f t="shared" si="2"/>
        <v/>
      </c>
    </row>
    <row r="999">
      <c r="A999" s="7"/>
      <c r="B999" s="16"/>
      <c r="C999" s="12"/>
      <c r="D999" s="12"/>
      <c r="E999" s="9"/>
      <c r="F999" s="10"/>
      <c r="G999" s="11"/>
      <c r="H999" s="9"/>
      <c r="I999" s="31"/>
      <c r="J999" s="9"/>
      <c r="K999" s="9"/>
      <c r="L999" s="21" t="s">
        <v>53</v>
      </c>
      <c r="M999" s="46"/>
      <c r="N999" s="46"/>
      <c r="O999" s="31"/>
      <c r="P999" s="16"/>
      <c r="Q999" s="16"/>
      <c r="R999" s="16" t="str">
        <f t="shared" si="2"/>
        <v/>
      </c>
    </row>
    <row r="1000">
      <c r="A1000" s="7"/>
      <c r="B1000" s="16"/>
      <c r="C1000" s="12"/>
      <c r="D1000" s="12"/>
      <c r="E1000" s="9"/>
      <c r="F1000" s="10"/>
      <c r="G1000" s="11"/>
      <c r="H1000" s="9"/>
      <c r="I1000" s="31"/>
      <c r="J1000" s="9"/>
      <c r="K1000" s="9"/>
      <c r="L1000" s="21" t="s">
        <v>59</v>
      </c>
      <c r="M1000" s="46"/>
      <c r="N1000" s="46"/>
      <c r="O1000" s="31"/>
      <c r="P1000" s="16"/>
      <c r="Q1000" s="16"/>
      <c r="R1000" s="16" t="str">
        <f t="shared" si="2"/>
        <v/>
      </c>
    </row>
    <row r="1001">
      <c r="A1001" s="7"/>
      <c r="B1001" s="16"/>
      <c r="C1001" s="12"/>
      <c r="D1001" s="12"/>
      <c r="E1001" s="9"/>
      <c r="F1001" s="10"/>
      <c r="G1001" s="11"/>
      <c r="H1001" s="9"/>
      <c r="I1001" s="31"/>
      <c r="J1001" s="9"/>
      <c r="K1001" s="9"/>
      <c r="L1001" s="21" t="s">
        <v>65</v>
      </c>
      <c r="M1001" s="46"/>
      <c r="N1001" s="46"/>
      <c r="O1001" s="31"/>
      <c r="P1001" s="16"/>
      <c r="Q1001" s="16"/>
      <c r="R1001" s="16" t="str">
        <f t="shared" si="2"/>
        <v/>
      </c>
    </row>
    <row r="1002">
      <c r="A1002" s="7"/>
      <c r="B1002" s="16"/>
      <c r="C1002" s="12"/>
      <c r="D1002" s="12"/>
      <c r="E1002" s="9"/>
      <c r="F1002" s="10"/>
      <c r="G1002" s="11"/>
      <c r="H1002" s="9"/>
      <c r="I1002" s="31"/>
      <c r="J1002" s="9"/>
      <c r="K1002" s="9"/>
      <c r="L1002" s="21" t="s">
        <v>71</v>
      </c>
      <c r="M1002" s="46"/>
      <c r="N1002" s="46"/>
      <c r="O1002" s="31"/>
      <c r="P1002" s="16"/>
      <c r="Q1002" s="16"/>
      <c r="R1002" s="16" t="str">
        <f t="shared" si="2"/>
        <v/>
      </c>
    </row>
    <row r="1003">
      <c r="A1003" s="7" t="s">
        <v>489</v>
      </c>
      <c r="B1003" s="14" t="s">
        <v>20</v>
      </c>
      <c r="C1003" s="12"/>
      <c r="D1003" s="17" t="s">
        <v>2069</v>
      </c>
      <c r="E1003" s="9" t="s">
        <v>490</v>
      </c>
      <c r="F1003" s="10" t="s">
        <v>491</v>
      </c>
      <c r="G1003" s="22" t="s">
        <v>86</v>
      </c>
      <c r="H1003" s="9" t="s">
        <v>492</v>
      </c>
      <c r="I1003" s="29" t="s">
        <v>680</v>
      </c>
      <c r="J1003" s="9"/>
      <c r="K1003" s="9" t="s">
        <v>392</v>
      </c>
      <c r="L1003" s="21" t="s">
        <v>25</v>
      </c>
      <c r="M1003" s="46"/>
      <c r="N1003" s="46"/>
      <c r="O1003" s="31"/>
      <c r="P1003" s="16"/>
      <c r="Q1003" s="16"/>
      <c r="R1003" s="16" t="str">
        <f t="shared" si="2"/>
        <v/>
      </c>
    </row>
    <row r="1004">
      <c r="A1004" s="7"/>
      <c r="B1004" s="16"/>
      <c r="C1004" s="12"/>
      <c r="D1004" s="12"/>
      <c r="E1004" s="9"/>
      <c r="F1004" s="10"/>
      <c r="G1004" s="11"/>
      <c r="H1004" s="9"/>
      <c r="I1004" s="31"/>
      <c r="J1004" s="9"/>
      <c r="K1004" s="9"/>
      <c r="L1004" s="21" t="s">
        <v>31</v>
      </c>
      <c r="M1004" s="46"/>
      <c r="N1004" s="46"/>
      <c r="O1004" s="31"/>
      <c r="P1004" s="16"/>
      <c r="Q1004" s="16"/>
      <c r="R1004" s="16" t="str">
        <f t="shared" si="2"/>
        <v/>
      </c>
    </row>
    <row r="1005">
      <c r="A1005" s="7"/>
      <c r="B1005" s="16"/>
      <c r="C1005" s="12"/>
      <c r="D1005" s="12"/>
      <c r="E1005" s="9"/>
      <c r="F1005" s="10"/>
      <c r="G1005" s="11"/>
      <c r="H1005" s="9"/>
      <c r="I1005" s="31"/>
      <c r="J1005" s="9"/>
      <c r="K1005" s="9"/>
      <c r="L1005" s="21" t="s">
        <v>36</v>
      </c>
      <c r="M1005" s="46"/>
      <c r="N1005" s="46"/>
      <c r="O1005" s="31"/>
      <c r="P1005" s="16"/>
      <c r="Q1005" s="16"/>
      <c r="R1005" s="16" t="str">
        <f t="shared" si="2"/>
        <v/>
      </c>
    </row>
    <row r="1006">
      <c r="A1006" s="7"/>
      <c r="B1006" s="16"/>
      <c r="C1006" s="12"/>
      <c r="D1006" s="12"/>
      <c r="E1006" s="9"/>
      <c r="F1006" s="10"/>
      <c r="G1006" s="11"/>
      <c r="H1006" s="9"/>
      <c r="I1006" s="31"/>
      <c r="J1006" s="9"/>
      <c r="K1006" s="9"/>
      <c r="L1006" s="21" t="s">
        <v>41</v>
      </c>
      <c r="M1006" s="46"/>
      <c r="N1006" s="46"/>
      <c r="O1006" s="31"/>
      <c r="P1006" s="16"/>
      <c r="Q1006" s="16"/>
      <c r="R1006" s="16" t="str">
        <f t="shared" si="2"/>
        <v/>
      </c>
    </row>
    <row r="1007">
      <c r="A1007" s="7"/>
      <c r="B1007" s="16"/>
      <c r="C1007" s="12"/>
      <c r="D1007" s="12"/>
      <c r="E1007" s="9"/>
      <c r="F1007" s="10"/>
      <c r="G1007" s="11"/>
      <c r="H1007" s="9"/>
      <c r="I1007" s="31"/>
      <c r="J1007" s="9"/>
      <c r="K1007" s="9"/>
      <c r="L1007" s="21" t="s">
        <v>47</v>
      </c>
      <c r="M1007" s="46"/>
      <c r="N1007" s="46"/>
      <c r="O1007" s="31"/>
      <c r="P1007" s="16"/>
      <c r="Q1007" s="16"/>
      <c r="R1007" s="16" t="str">
        <f t="shared" si="2"/>
        <v/>
      </c>
    </row>
    <row r="1008">
      <c r="A1008" s="7"/>
      <c r="B1008" s="16"/>
      <c r="C1008" s="12"/>
      <c r="D1008" s="12"/>
      <c r="E1008" s="9"/>
      <c r="F1008" s="10"/>
      <c r="G1008" s="11"/>
      <c r="H1008" s="9"/>
      <c r="I1008" s="31"/>
      <c r="J1008" s="9"/>
      <c r="K1008" s="9"/>
      <c r="L1008" s="21" t="s">
        <v>53</v>
      </c>
      <c r="M1008" s="46"/>
      <c r="N1008" s="46"/>
      <c r="O1008" s="31"/>
      <c r="P1008" s="16"/>
      <c r="Q1008" s="16"/>
      <c r="R1008" s="16" t="str">
        <f t="shared" si="2"/>
        <v/>
      </c>
    </row>
    <row r="1009">
      <c r="A1009" s="7"/>
      <c r="B1009" s="16"/>
      <c r="C1009" s="12"/>
      <c r="D1009" s="12"/>
      <c r="E1009" s="9"/>
      <c r="F1009" s="10"/>
      <c r="G1009" s="11"/>
      <c r="H1009" s="9"/>
      <c r="I1009" s="31"/>
      <c r="J1009" s="9"/>
      <c r="K1009" s="9"/>
      <c r="L1009" s="21" t="s">
        <v>59</v>
      </c>
      <c r="M1009" s="46"/>
      <c r="N1009" s="46"/>
      <c r="O1009" s="31"/>
      <c r="P1009" s="16"/>
      <c r="Q1009" s="16"/>
      <c r="R1009" s="16" t="str">
        <f t="shared" si="2"/>
        <v/>
      </c>
    </row>
    <row r="1010">
      <c r="A1010" s="7"/>
      <c r="B1010" s="16"/>
      <c r="C1010" s="12"/>
      <c r="D1010" s="12"/>
      <c r="E1010" s="9"/>
      <c r="F1010" s="10"/>
      <c r="G1010" s="11"/>
      <c r="H1010" s="9"/>
      <c r="I1010" s="31"/>
      <c r="J1010" s="9"/>
      <c r="K1010" s="9"/>
      <c r="L1010" s="21" t="s">
        <v>65</v>
      </c>
      <c r="M1010" s="46"/>
      <c r="N1010" s="46"/>
      <c r="O1010" s="31"/>
      <c r="P1010" s="16"/>
      <c r="Q1010" s="16"/>
      <c r="R1010" s="16" t="str">
        <f t="shared" si="2"/>
        <v/>
      </c>
    </row>
    <row r="1011">
      <c r="A1011" s="7"/>
      <c r="B1011" s="16"/>
      <c r="C1011" s="12"/>
      <c r="D1011" s="12"/>
      <c r="E1011" s="9"/>
      <c r="F1011" s="10"/>
      <c r="G1011" s="11"/>
      <c r="H1011" s="9"/>
      <c r="I1011" s="31"/>
      <c r="J1011" s="9"/>
      <c r="K1011" s="9"/>
      <c r="L1011" s="21" t="s">
        <v>71</v>
      </c>
      <c r="M1011" s="46"/>
      <c r="N1011" s="46"/>
      <c r="O1011" s="31"/>
      <c r="P1011" s="16"/>
      <c r="Q1011" s="16"/>
      <c r="R1011" s="16" t="str">
        <f t="shared" si="2"/>
        <v/>
      </c>
    </row>
    <row r="1012">
      <c r="A1012" s="7" t="s">
        <v>493</v>
      </c>
      <c r="B1012" s="16"/>
      <c r="C1012" s="12"/>
      <c r="D1012" s="17" t="s">
        <v>2050</v>
      </c>
      <c r="E1012" s="9" t="s">
        <v>494</v>
      </c>
      <c r="F1012" s="10" t="s">
        <v>495</v>
      </c>
      <c r="G1012" s="22" t="s">
        <v>86</v>
      </c>
      <c r="H1012" s="9" t="s">
        <v>496</v>
      </c>
      <c r="I1012" s="29" t="s">
        <v>898</v>
      </c>
      <c r="J1012" s="9"/>
      <c r="K1012" s="9" t="s">
        <v>392</v>
      </c>
      <c r="L1012" s="21" t="s">
        <v>25</v>
      </c>
      <c r="M1012" s="46"/>
      <c r="N1012" s="46"/>
      <c r="O1012" s="31"/>
      <c r="P1012" s="16"/>
      <c r="Q1012" s="16"/>
      <c r="R1012" s="16" t="str">
        <f t="shared" si="2"/>
        <v/>
      </c>
    </row>
    <row r="1013">
      <c r="A1013" s="7"/>
      <c r="B1013" s="16"/>
      <c r="C1013" s="12"/>
      <c r="D1013" s="12"/>
      <c r="E1013" s="9"/>
      <c r="F1013" s="10"/>
      <c r="G1013" s="11"/>
      <c r="H1013" s="9"/>
      <c r="I1013" s="31"/>
      <c r="J1013" s="9"/>
      <c r="K1013" s="9"/>
      <c r="L1013" s="21" t="s">
        <v>31</v>
      </c>
      <c r="M1013" s="46"/>
      <c r="N1013" s="46"/>
      <c r="O1013" s="31"/>
      <c r="P1013" s="16"/>
      <c r="Q1013" s="16"/>
      <c r="R1013" s="16" t="str">
        <f t="shared" si="2"/>
        <v/>
      </c>
    </row>
    <row r="1014">
      <c r="A1014" s="7"/>
      <c r="B1014" s="16"/>
      <c r="C1014" s="12"/>
      <c r="D1014" s="12"/>
      <c r="E1014" s="9"/>
      <c r="F1014" s="10"/>
      <c r="G1014" s="11"/>
      <c r="H1014" s="9"/>
      <c r="I1014" s="31"/>
      <c r="J1014" s="9"/>
      <c r="K1014" s="9"/>
      <c r="L1014" s="21" t="s">
        <v>36</v>
      </c>
      <c r="M1014" s="46"/>
      <c r="N1014" s="46"/>
      <c r="O1014" s="31"/>
      <c r="P1014" s="16"/>
      <c r="Q1014" s="16"/>
      <c r="R1014" s="16" t="str">
        <f t="shared" si="2"/>
        <v/>
      </c>
    </row>
    <row r="1015">
      <c r="A1015" s="7"/>
      <c r="B1015" s="16"/>
      <c r="C1015" s="12"/>
      <c r="D1015" s="12"/>
      <c r="E1015" s="9"/>
      <c r="F1015" s="10"/>
      <c r="G1015" s="11"/>
      <c r="H1015" s="9"/>
      <c r="I1015" s="31"/>
      <c r="J1015" s="9"/>
      <c r="K1015" s="9"/>
      <c r="L1015" s="21" t="s">
        <v>41</v>
      </c>
      <c r="M1015" s="46"/>
      <c r="N1015" s="46"/>
      <c r="O1015" s="31"/>
      <c r="P1015" s="16"/>
      <c r="Q1015" s="16"/>
      <c r="R1015" s="16" t="str">
        <f t="shared" si="2"/>
        <v/>
      </c>
    </row>
    <row r="1016">
      <c r="A1016" s="7"/>
      <c r="B1016" s="16"/>
      <c r="C1016" s="12"/>
      <c r="D1016" s="12"/>
      <c r="E1016" s="9"/>
      <c r="F1016" s="10"/>
      <c r="G1016" s="11"/>
      <c r="H1016" s="9"/>
      <c r="I1016" s="31"/>
      <c r="J1016" s="9"/>
      <c r="K1016" s="9"/>
      <c r="L1016" s="21" t="s">
        <v>47</v>
      </c>
      <c r="M1016" s="46"/>
      <c r="N1016" s="46"/>
      <c r="O1016" s="31"/>
      <c r="P1016" s="16"/>
      <c r="Q1016" s="16"/>
      <c r="R1016" s="16" t="str">
        <f t="shared" si="2"/>
        <v/>
      </c>
    </row>
    <row r="1017">
      <c r="A1017" s="7"/>
      <c r="B1017" s="16"/>
      <c r="C1017" s="12"/>
      <c r="D1017" s="12"/>
      <c r="E1017" s="9"/>
      <c r="F1017" s="10"/>
      <c r="G1017" s="11"/>
      <c r="H1017" s="9"/>
      <c r="I1017" s="31"/>
      <c r="J1017" s="9"/>
      <c r="K1017" s="9"/>
      <c r="L1017" s="21" t="s">
        <v>53</v>
      </c>
      <c r="M1017" s="46"/>
      <c r="N1017" s="46"/>
      <c r="O1017" s="31"/>
      <c r="P1017" s="16"/>
      <c r="Q1017" s="16"/>
      <c r="R1017" s="16" t="str">
        <f t="shared" si="2"/>
        <v/>
      </c>
    </row>
    <row r="1018">
      <c r="A1018" s="7"/>
      <c r="B1018" s="16"/>
      <c r="C1018" s="12"/>
      <c r="D1018" s="12"/>
      <c r="E1018" s="9"/>
      <c r="F1018" s="10"/>
      <c r="G1018" s="11"/>
      <c r="H1018" s="9"/>
      <c r="I1018" s="31"/>
      <c r="J1018" s="9"/>
      <c r="K1018" s="9"/>
      <c r="L1018" s="21" t="s">
        <v>59</v>
      </c>
      <c r="M1018" s="46"/>
      <c r="N1018" s="46"/>
      <c r="O1018" s="31"/>
      <c r="P1018" s="16"/>
      <c r="Q1018" s="16"/>
      <c r="R1018" s="16" t="str">
        <f t="shared" si="2"/>
        <v/>
      </c>
    </row>
    <row r="1019">
      <c r="A1019" s="7"/>
      <c r="B1019" s="16"/>
      <c r="C1019" s="12"/>
      <c r="D1019" s="12"/>
      <c r="E1019" s="9"/>
      <c r="F1019" s="10"/>
      <c r="G1019" s="11"/>
      <c r="H1019" s="9"/>
      <c r="I1019" s="31"/>
      <c r="J1019" s="9"/>
      <c r="K1019" s="9"/>
      <c r="L1019" s="21" t="s">
        <v>65</v>
      </c>
      <c r="M1019" s="46"/>
      <c r="N1019" s="46"/>
      <c r="O1019" s="31"/>
      <c r="P1019" s="16"/>
      <c r="Q1019" s="16"/>
      <c r="R1019" s="16" t="str">
        <f t="shared" si="2"/>
        <v/>
      </c>
    </row>
    <row r="1020">
      <c r="A1020" s="7"/>
      <c r="B1020" s="16"/>
      <c r="C1020" s="12"/>
      <c r="D1020" s="12"/>
      <c r="E1020" s="9"/>
      <c r="F1020" s="10"/>
      <c r="G1020" s="11"/>
      <c r="H1020" s="9"/>
      <c r="I1020" s="31"/>
      <c r="J1020" s="9"/>
      <c r="K1020" s="9"/>
      <c r="L1020" s="21" t="s">
        <v>71</v>
      </c>
      <c r="M1020" s="46"/>
      <c r="N1020" s="46"/>
      <c r="O1020" s="31"/>
      <c r="P1020" s="16"/>
      <c r="Q1020" s="16"/>
      <c r="R1020" s="16" t="str">
        <f t="shared" si="2"/>
        <v/>
      </c>
    </row>
    <row r="1021">
      <c r="A1021" s="7" t="s">
        <v>497</v>
      </c>
      <c r="B1021" s="14" t="s">
        <v>20</v>
      </c>
      <c r="C1021" s="12"/>
      <c r="D1021" s="17" t="s">
        <v>2069</v>
      </c>
      <c r="E1021" s="9" t="s">
        <v>498</v>
      </c>
      <c r="F1021" s="10" t="s">
        <v>499</v>
      </c>
      <c r="G1021" s="22" t="s">
        <v>86</v>
      </c>
      <c r="H1021" s="9" t="s">
        <v>500</v>
      </c>
      <c r="I1021" s="29" t="s">
        <v>565</v>
      </c>
      <c r="J1021" s="9"/>
      <c r="K1021" s="9" t="s">
        <v>392</v>
      </c>
      <c r="L1021" s="21" t="s">
        <v>25</v>
      </c>
      <c r="M1021" s="46"/>
      <c r="N1021" s="46"/>
      <c r="O1021" s="31"/>
      <c r="P1021" s="16"/>
      <c r="Q1021" s="16"/>
      <c r="R1021" s="16" t="str">
        <f t="shared" si="2"/>
        <v/>
      </c>
    </row>
    <row r="1022">
      <c r="A1022" s="7"/>
      <c r="B1022" s="16"/>
      <c r="C1022" s="12"/>
      <c r="D1022" s="12"/>
      <c r="E1022" s="9"/>
      <c r="F1022" s="10"/>
      <c r="G1022" s="11"/>
      <c r="H1022" s="9"/>
      <c r="I1022" s="31"/>
      <c r="J1022" s="9"/>
      <c r="K1022" s="9"/>
      <c r="L1022" s="21" t="s">
        <v>31</v>
      </c>
      <c r="M1022" s="46"/>
      <c r="N1022" s="46"/>
      <c r="O1022" s="31"/>
      <c r="P1022" s="16"/>
      <c r="Q1022" s="16"/>
      <c r="R1022" s="16" t="str">
        <f t="shared" si="2"/>
        <v/>
      </c>
    </row>
    <row r="1023">
      <c r="A1023" s="7"/>
      <c r="B1023" s="16"/>
      <c r="C1023" s="12"/>
      <c r="D1023" s="12"/>
      <c r="E1023" s="9"/>
      <c r="F1023" s="10"/>
      <c r="G1023" s="11"/>
      <c r="H1023" s="9"/>
      <c r="I1023" s="31"/>
      <c r="J1023" s="9"/>
      <c r="K1023" s="9"/>
      <c r="L1023" s="21" t="s">
        <v>36</v>
      </c>
      <c r="M1023" s="46"/>
      <c r="N1023" s="46"/>
      <c r="O1023" s="31"/>
      <c r="P1023" s="16"/>
      <c r="Q1023" s="16"/>
      <c r="R1023" s="16" t="str">
        <f t="shared" si="2"/>
        <v/>
      </c>
    </row>
    <row r="1024">
      <c r="A1024" s="7"/>
      <c r="B1024" s="16"/>
      <c r="C1024" s="12"/>
      <c r="D1024" s="12"/>
      <c r="E1024" s="9"/>
      <c r="F1024" s="10"/>
      <c r="G1024" s="11"/>
      <c r="H1024" s="9"/>
      <c r="I1024" s="31"/>
      <c r="J1024" s="9"/>
      <c r="K1024" s="9"/>
      <c r="L1024" s="21" t="s">
        <v>41</v>
      </c>
      <c r="M1024" s="46"/>
      <c r="N1024" s="46"/>
      <c r="O1024" s="31"/>
      <c r="P1024" s="16"/>
      <c r="Q1024" s="16"/>
      <c r="R1024" s="16" t="str">
        <f t="shared" si="2"/>
        <v/>
      </c>
    </row>
    <row r="1025">
      <c r="A1025" s="7"/>
      <c r="B1025" s="16"/>
      <c r="C1025" s="12"/>
      <c r="D1025" s="12"/>
      <c r="E1025" s="9"/>
      <c r="F1025" s="10"/>
      <c r="G1025" s="11"/>
      <c r="H1025" s="9"/>
      <c r="I1025" s="31"/>
      <c r="J1025" s="9"/>
      <c r="K1025" s="9"/>
      <c r="L1025" s="21" t="s">
        <v>47</v>
      </c>
      <c r="M1025" s="46"/>
      <c r="N1025" s="46"/>
      <c r="O1025" s="31"/>
      <c r="P1025" s="16"/>
      <c r="Q1025" s="16"/>
      <c r="R1025" s="16" t="str">
        <f t="shared" si="2"/>
        <v/>
      </c>
    </row>
    <row r="1026">
      <c r="A1026" s="7"/>
      <c r="B1026" s="16"/>
      <c r="C1026" s="12"/>
      <c r="D1026" s="12"/>
      <c r="E1026" s="9"/>
      <c r="F1026" s="10"/>
      <c r="G1026" s="11"/>
      <c r="H1026" s="9"/>
      <c r="I1026" s="31"/>
      <c r="J1026" s="9"/>
      <c r="K1026" s="9"/>
      <c r="L1026" s="21" t="s">
        <v>53</v>
      </c>
      <c r="M1026" s="46"/>
      <c r="N1026" s="46"/>
      <c r="O1026" s="31"/>
      <c r="P1026" s="16"/>
      <c r="Q1026" s="16"/>
      <c r="R1026" s="16" t="str">
        <f t="shared" si="2"/>
        <v/>
      </c>
    </row>
    <row r="1027">
      <c r="A1027" s="7"/>
      <c r="B1027" s="16"/>
      <c r="C1027" s="12"/>
      <c r="D1027" s="12"/>
      <c r="E1027" s="9"/>
      <c r="F1027" s="10"/>
      <c r="G1027" s="11"/>
      <c r="H1027" s="9"/>
      <c r="I1027" s="31"/>
      <c r="J1027" s="9"/>
      <c r="K1027" s="9"/>
      <c r="L1027" s="21" t="s">
        <v>59</v>
      </c>
      <c r="M1027" s="46"/>
      <c r="N1027" s="46"/>
      <c r="O1027" s="31"/>
      <c r="P1027" s="16"/>
      <c r="Q1027" s="16"/>
      <c r="R1027" s="16" t="str">
        <f t="shared" si="2"/>
        <v/>
      </c>
    </row>
    <row r="1028">
      <c r="A1028" s="7"/>
      <c r="B1028" s="16"/>
      <c r="C1028" s="12"/>
      <c r="D1028" s="12"/>
      <c r="E1028" s="9"/>
      <c r="F1028" s="10"/>
      <c r="G1028" s="11"/>
      <c r="H1028" s="9"/>
      <c r="I1028" s="31"/>
      <c r="J1028" s="9"/>
      <c r="K1028" s="9"/>
      <c r="L1028" s="21" t="s">
        <v>65</v>
      </c>
      <c r="M1028" s="46"/>
      <c r="N1028" s="46"/>
      <c r="O1028" s="31"/>
      <c r="P1028" s="16"/>
      <c r="Q1028" s="16"/>
      <c r="R1028" s="16" t="str">
        <f t="shared" si="2"/>
        <v/>
      </c>
    </row>
    <row r="1029">
      <c r="A1029" s="7"/>
      <c r="B1029" s="16"/>
      <c r="C1029" s="12"/>
      <c r="D1029" s="12"/>
      <c r="E1029" s="9"/>
      <c r="F1029" s="10"/>
      <c r="G1029" s="11"/>
      <c r="H1029" s="9"/>
      <c r="I1029" s="31"/>
      <c r="J1029" s="9"/>
      <c r="K1029" s="9"/>
      <c r="L1029" s="21" t="s">
        <v>71</v>
      </c>
      <c r="M1029" s="46"/>
      <c r="N1029" s="46"/>
      <c r="O1029" s="31"/>
      <c r="P1029" s="16"/>
      <c r="Q1029" s="16"/>
      <c r="R1029" s="16" t="str">
        <f t="shared" si="2"/>
        <v/>
      </c>
    </row>
    <row r="1030">
      <c r="A1030" s="7" t="s">
        <v>501</v>
      </c>
      <c r="B1030" s="14" t="s">
        <v>20</v>
      </c>
      <c r="C1030" s="12"/>
      <c r="D1030" s="17" t="s">
        <v>2070</v>
      </c>
      <c r="E1030" s="9" t="s">
        <v>84</v>
      </c>
      <c r="F1030" s="10" t="s">
        <v>502</v>
      </c>
      <c r="G1030" s="22" t="s">
        <v>86</v>
      </c>
      <c r="H1030" s="9" t="s">
        <v>503</v>
      </c>
      <c r="I1030" s="29" t="s">
        <v>680</v>
      </c>
      <c r="J1030" s="9"/>
      <c r="K1030" s="9" t="s">
        <v>392</v>
      </c>
      <c r="L1030" s="21" t="s">
        <v>25</v>
      </c>
      <c r="M1030" s="46"/>
      <c r="N1030" s="46"/>
      <c r="O1030" s="31"/>
      <c r="P1030" s="16"/>
      <c r="Q1030" s="16"/>
      <c r="R1030" s="16" t="str">
        <f t="shared" si="2"/>
        <v/>
      </c>
    </row>
    <row r="1031">
      <c r="A1031" s="7"/>
      <c r="B1031" s="16"/>
      <c r="C1031" s="12"/>
      <c r="D1031" s="12"/>
      <c r="E1031" s="9"/>
      <c r="F1031" s="10"/>
      <c r="G1031" s="11"/>
      <c r="H1031" s="9"/>
      <c r="I1031" s="31"/>
      <c r="J1031" s="9"/>
      <c r="K1031" s="9"/>
      <c r="L1031" s="21" t="s">
        <v>31</v>
      </c>
      <c r="M1031" s="46"/>
      <c r="N1031" s="46"/>
      <c r="O1031" s="31"/>
      <c r="P1031" s="16"/>
      <c r="Q1031" s="16"/>
      <c r="R1031" s="16" t="str">
        <f t="shared" si="2"/>
        <v/>
      </c>
    </row>
    <row r="1032">
      <c r="A1032" s="7"/>
      <c r="B1032" s="16"/>
      <c r="C1032" s="12"/>
      <c r="D1032" s="12"/>
      <c r="E1032" s="9"/>
      <c r="F1032" s="10"/>
      <c r="G1032" s="11"/>
      <c r="H1032" s="9"/>
      <c r="I1032" s="31"/>
      <c r="J1032" s="9"/>
      <c r="K1032" s="9"/>
      <c r="L1032" s="21" t="s">
        <v>36</v>
      </c>
      <c r="M1032" s="46"/>
      <c r="N1032" s="46"/>
      <c r="O1032" s="31"/>
      <c r="P1032" s="16"/>
      <c r="Q1032" s="16"/>
      <c r="R1032" s="16" t="str">
        <f t="shared" si="2"/>
        <v/>
      </c>
    </row>
    <row r="1033">
      <c r="A1033" s="7"/>
      <c r="B1033" s="16"/>
      <c r="C1033" s="12"/>
      <c r="D1033" s="12"/>
      <c r="E1033" s="9"/>
      <c r="F1033" s="10"/>
      <c r="G1033" s="11"/>
      <c r="H1033" s="9"/>
      <c r="I1033" s="31"/>
      <c r="J1033" s="9"/>
      <c r="K1033" s="9"/>
      <c r="L1033" s="21" t="s">
        <v>41</v>
      </c>
      <c r="M1033" s="46"/>
      <c r="N1033" s="46"/>
      <c r="O1033" s="31"/>
      <c r="P1033" s="16"/>
      <c r="Q1033" s="16"/>
      <c r="R1033" s="16" t="str">
        <f t="shared" si="2"/>
        <v/>
      </c>
    </row>
    <row r="1034">
      <c r="A1034" s="7"/>
      <c r="B1034" s="16"/>
      <c r="C1034" s="12"/>
      <c r="D1034" s="12"/>
      <c r="E1034" s="9"/>
      <c r="F1034" s="10"/>
      <c r="G1034" s="11"/>
      <c r="H1034" s="9"/>
      <c r="I1034" s="31"/>
      <c r="J1034" s="9"/>
      <c r="K1034" s="9"/>
      <c r="L1034" s="21" t="s">
        <v>47</v>
      </c>
      <c r="M1034" s="46"/>
      <c r="N1034" s="46"/>
      <c r="O1034" s="31"/>
      <c r="P1034" s="16"/>
      <c r="Q1034" s="16"/>
      <c r="R1034" s="16" t="str">
        <f t="shared" si="2"/>
        <v/>
      </c>
    </row>
    <row r="1035">
      <c r="A1035" s="7"/>
      <c r="B1035" s="16"/>
      <c r="C1035" s="12"/>
      <c r="D1035" s="12"/>
      <c r="E1035" s="9"/>
      <c r="F1035" s="10"/>
      <c r="G1035" s="11"/>
      <c r="H1035" s="9"/>
      <c r="I1035" s="31"/>
      <c r="J1035" s="9"/>
      <c r="K1035" s="9"/>
      <c r="L1035" s="21" t="s">
        <v>53</v>
      </c>
      <c r="M1035" s="46"/>
      <c r="N1035" s="46"/>
      <c r="O1035" s="31"/>
      <c r="P1035" s="16"/>
      <c r="Q1035" s="16"/>
      <c r="R1035" s="16" t="str">
        <f t="shared" si="2"/>
        <v/>
      </c>
    </row>
    <row r="1036">
      <c r="A1036" s="7"/>
      <c r="B1036" s="16"/>
      <c r="C1036" s="12"/>
      <c r="D1036" s="12"/>
      <c r="E1036" s="9"/>
      <c r="F1036" s="10"/>
      <c r="G1036" s="11"/>
      <c r="H1036" s="9"/>
      <c r="I1036" s="31"/>
      <c r="J1036" s="9"/>
      <c r="K1036" s="9"/>
      <c r="L1036" s="21" t="s">
        <v>59</v>
      </c>
      <c r="M1036" s="46"/>
      <c r="N1036" s="46"/>
      <c r="O1036" s="31"/>
      <c r="P1036" s="16"/>
      <c r="Q1036" s="16"/>
      <c r="R1036" s="16" t="str">
        <f t="shared" si="2"/>
        <v/>
      </c>
    </row>
    <row r="1037">
      <c r="A1037" s="7"/>
      <c r="B1037" s="16"/>
      <c r="C1037" s="12"/>
      <c r="D1037" s="12"/>
      <c r="E1037" s="9"/>
      <c r="F1037" s="10"/>
      <c r="G1037" s="11"/>
      <c r="H1037" s="9"/>
      <c r="I1037" s="31"/>
      <c r="J1037" s="9"/>
      <c r="K1037" s="9"/>
      <c r="L1037" s="21" t="s">
        <v>65</v>
      </c>
      <c r="M1037" s="46"/>
      <c r="N1037" s="46"/>
      <c r="O1037" s="31"/>
      <c r="P1037" s="16"/>
      <c r="Q1037" s="16"/>
      <c r="R1037" s="16" t="str">
        <f t="shared" si="2"/>
        <v/>
      </c>
    </row>
    <row r="1038">
      <c r="A1038" s="7"/>
      <c r="B1038" s="16"/>
      <c r="C1038" s="12"/>
      <c r="D1038" s="12"/>
      <c r="E1038" s="9"/>
      <c r="F1038" s="10"/>
      <c r="G1038" s="11"/>
      <c r="H1038" s="9"/>
      <c r="I1038" s="31"/>
      <c r="J1038" s="9"/>
      <c r="K1038" s="9"/>
      <c r="L1038" s="21" t="s">
        <v>71</v>
      </c>
      <c r="M1038" s="46"/>
      <c r="N1038" s="46"/>
      <c r="O1038" s="31"/>
      <c r="P1038" s="16"/>
      <c r="Q1038" s="16"/>
      <c r="R1038" s="16" t="str">
        <f t="shared" si="2"/>
        <v/>
      </c>
    </row>
    <row r="1039">
      <c r="A1039" s="7" t="s">
        <v>504</v>
      </c>
      <c r="B1039" s="14" t="s">
        <v>20</v>
      </c>
      <c r="C1039" s="12"/>
      <c r="D1039" s="17" t="s">
        <v>2071</v>
      </c>
      <c r="E1039" s="9" t="s">
        <v>505</v>
      </c>
      <c r="F1039" s="10" t="s">
        <v>506</v>
      </c>
      <c r="G1039" s="22" t="s">
        <v>74</v>
      </c>
      <c r="H1039" s="9" t="s">
        <v>507</v>
      </c>
      <c r="I1039" s="29" t="s">
        <v>680</v>
      </c>
      <c r="J1039" s="9"/>
      <c r="K1039" s="9" t="s">
        <v>392</v>
      </c>
      <c r="L1039" s="21" t="s">
        <v>25</v>
      </c>
      <c r="M1039" s="46"/>
      <c r="N1039" s="46"/>
      <c r="O1039" s="31"/>
      <c r="P1039" s="16"/>
      <c r="Q1039" s="16"/>
      <c r="R1039" s="16" t="str">
        <f t="shared" si="2"/>
        <v/>
      </c>
    </row>
    <row r="1040">
      <c r="A1040" s="7"/>
      <c r="B1040" s="16"/>
      <c r="C1040" s="12"/>
      <c r="D1040" s="12"/>
      <c r="E1040" s="9"/>
      <c r="F1040" s="10"/>
      <c r="G1040" s="11"/>
      <c r="H1040" s="9"/>
      <c r="I1040" s="31"/>
      <c r="J1040" s="9"/>
      <c r="K1040" s="9"/>
      <c r="L1040" s="21" t="s">
        <v>31</v>
      </c>
      <c r="M1040" s="46"/>
      <c r="N1040" s="46"/>
      <c r="O1040" s="31"/>
      <c r="P1040" s="16"/>
      <c r="Q1040" s="16"/>
      <c r="R1040" s="16" t="str">
        <f t="shared" si="2"/>
        <v/>
      </c>
    </row>
    <row r="1041">
      <c r="A1041" s="7"/>
      <c r="B1041" s="16"/>
      <c r="C1041" s="12"/>
      <c r="D1041" s="12"/>
      <c r="E1041" s="9"/>
      <c r="F1041" s="10"/>
      <c r="G1041" s="11"/>
      <c r="H1041" s="9"/>
      <c r="I1041" s="31"/>
      <c r="J1041" s="9"/>
      <c r="K1041" s="9"/>
      <c r="L1041" s="21" t="s">
        <v>36</v>
      </c>
      <c r="M1041" s="46"/>
      <c r="N1041" s="46"/>
      <c r="O1041" s="31"/>
      <c r="P1041" s="16"/>
      <c r="Q1041" s="16"/>
      <c r="R1041" s="16" t="str">
        <f t="shared" si="2"/>
        <v/>
      </c>
    </row>
    <row r="1042">
      <c r="A1042" s="7"/>
      <c r="B1042" s="16"/>
      <c r="C1042" s="12"/>
      <c r="D1042" s="12"/>
      <c r="E1042" s="9"/>
      <c r="F1042" s="10"/>
      <c r="G1042" s="11"/>
      <c r="H1042" s="9"/>
      <c r="I1042" s="31"/>
      <c r="J1042" s="9"/>
      <c r="K1042" s="9"/>
      <c r="L1042" s="21" t="s">
        <v>41</v>
      </c>
      <c r="M1042" s="46"/>
      <c r="N1042" s="46"/>
      <c r="O1042" s="31"/>
      <c r="P1042" s="16"/>
      <c r="Q1042" s="16"/>
      <c r="R1042" s="16" t="str">
        <f t="shared" si="2"/>
        <v/>
      </c>
    </row>
    <row r="1043">
      <c r="A1043" s="7"/>
      <c r="B1043" s="16"/>
      <c r="C1043" s="12"/>
      <c r="D1043" s="12"/>
      <c r="E1043" s="9"/>
      <c r="F1043" s="10"/>
      <c r="G1043" s="11"/>
      <c r="H1043" s="9"/>
      <c r="I1043" s="31"/>
      <c r="J1043" s="9"/>
      <c r="K1043" s="9"/>
      <c r="L1043" s="21" t="s">
        <v>47</v>
      </c>
      <c r="M1043" s="46"/>
      <c r="N1043" s="46"/>
      <c r="O1043" s="31"/>
      <c r="P1043" s="16"/>
      <c r="Q1043" s="16"/>
      <c r="R1043" s="16" t="str">
        <f t="shared" si="2"/>
        <v/>
      </c>
    </row>
    <row r="1044">
      <c r="A1044" s="7"/>
      <c r="B1044" s="16"/>
      <c r="C1044" s="12"/>
      <c r="D1044" s="12"/>
      <c r="E1044" s="9"/>
      <c r="F1044" s="10"/>
      <c r="G1044" s="11"/>
      <c r="H1044" s="9"/>
      <c r="I1044" s="31"/>
      <c r="J1044" s="9"/>
      <c r="K1044" s="9"/>
      <c r="L1044" s="21" t="s">
        <v>53</v>
      </c>
      <c r="M1044" s="46"/>
      <c r="N1044" s="46"/>
      <c r="O1044" s="31"/>
      <c r="P1044" s="16"/>
      <c r="Q1044" s="16"/>
      <c r="R1044" s="16" t="str">
        <f t="shared" si="2"/>
        <v/>
      </c>
    </row>
    <row r="1045">
      <c r="A1045" s="7"/>
      <c r="B1045" s="16"/>
      <c r="C1045" s="12"/>
      <c r="D1045" s="12"/>
      <c r="E1045" s="9"/>
      <c r="F1045" s="10"/>
      <c r="G1045" s="11"/>
      <c r="H1045" s="9"/>
      <c r="I1045" s="31"/>
      <c r="J1045" s="9"/>
      <c r="K1045" s="9"/>
      <c r="L1045" s="21" t="s">
        <v>59</v>
      </c>
      <c r="M1045" s="46"/>
      <c r="N1045" s="46"/>
      <c r="O1045" s="31"/>
      <c r="P1045" s="16"/>
      <c r="Q1045" s="16"/>
      <c r="R1045" s="16" t="str">
        <f t="shared" si="2"/>
        <v/>
      </c>
    </row>
    <row r="1046">
      <c r="A1046" s="7"/>
      <c r="B1046" s="16"/>
      <c r="C1046" s="12"/>
      <c r="D1046" s="12"/>
      <c r="E1046" s="9"/>
      <c r="F1046" s="10"/>
      <c r="G1046" s="11"/>
      <c r="H1046" s="9"/>
      <c r="I1046" s="31"/>
      <c r="J1046" s="9"/>
      <c r="K1046" s="9"/>
      <c r="L1046" s="21" t="s">
        <v>65</v>
      </c>
      <c r="M1046" s="46"/>
      <c r="N1046" s="46"/>
      <c r="O1046" s="31"/>
      <c r="P1046" s="16"/>
      <c r="Q1046" s="16"/>
      <c r="R1046" s="16" t="str">
        <f t="shared" si="2"/>
        <v/>
      </c>
    </row>
    <row r="1047">
      <c r="A1047" s="7"/>
      <c r="B1047" s="16"/>
      <c r="C1047" s="12"/>
      <c r="D1047" s="12"/>
      <c r="E1047" s="9"/>
      <c r="F1047" s="10"/>
      <c r="G1047" s="11"/>
      <c r="H1047" s="9"/>
      <c r="I1047" s="31"/>
      <c r="J1047" s="9"/>
      <c r="K1047" s="9"/>
      <c r="L1047" s="21" t="s">
        <v>71</v>
      </c>
      <c r="M1047" s="46"/>
      <c r="N1047" s="46"/>
      <c r="O1047" s="31"/>
      <c r="P1047" s="16"/>
      <c r="Q1047" s="16"/>
      <c r="R1047" s="16" t="str">
        <f t="shared" si="2"/>
        <v/>
      </c>
    </row>
    <row r="1048">
      <c r="A1048" s="7" t="s">
        <v>508</v>
      </c>
      <c r="B1048" s="14" t="s">
        <v>20</v>
      </c>
      <c r="C1048" s="12"/>
      <c r="D1048" s="17" t="s">
        <v>2072</v>
      </c>
      <c r="E1048" s="9" t="s">
        <v>509</v>
      </c>
      <c r="F1048" s="10" t="s">
        <v>510</v>
      </c>
      <c r="G1048" s="22" t="s">
        <v>74</v>
      </c>
      <c r="H1048" s="9" t="s">
        <v>511</v>
      </c>
      <c r="I1048" s="29" t="s">
        <v>2064</v>
      </c>
      <c r="J1048" s="9"/>
      <c r="K1048" s="9" t="s">
        <v>392</v>
      </c>
      <c r="L1048" s="21" t="s">
        <v>25</v>
      </c>
      <c r="M1048" s="46"/>
      <c r="N1048" s="46"/>
      <c r="O1048" s="31"/>
      <c r="P1048" s="16"/>
      <c r="Q1048" s="16"/>
      <c r="R1048" s="16" t="str">
        <f t="shared" si="2"/>
        <v/>
      </c>
    </row>
    <row r="1049">
      <c r="A1049" s="7"/>
      <c r="B1049" s="16"/>
      <c r="C1049" s="12"/>
      <c r="D1049" s="12"/>
      <c r="E1049" s="9"/>
      <c r="F1049" s="10"/>
      <c r="G1049" s="11"/>
      <c r="H1049" s="9"/>
      <c r="I1049" s="31"/>
      <c r="J1049" s="9"/>
      <c r="K1049" s="9"/>
      <c r="L1049" s="21" t="s">
        <v>31</v>
      </c>
      <c r="M1049" s="46"/>
      <c r="N1049" s="46"/>
      <c r="O1049" s="31"/>
      <c r="P1049" s="16"/>
      <c r="Q1049" s="16"/>
      <c r="R1049" s="16" t="str">
        <f t="shared" si="2"/>
        <v/>
      </c>
    </row>
    <row r="1050">
      <c r="A1050" s="7"/>
      <c r="B1050" s="16"/>
      <c r="C1050" s="12"/>
      <c r="D1050" s="12"/>
      <c r="E1050" s="9"/>
      <c r="F1050" s="10"/>
      <c r="G1050" s="11"/>
      <c r="H1050" s="9"/>
      <c r="I1050" s="31"/>
      <c r="J1050" s="9"/>
      <c r="K1050" s="9"/>
      <c r="L1050" s="21" t="s">
        <v>36</v>
      </c>
      <c r="M1050" s="46"/>
      <c r="N1050" s="46"/>
      <c r="O1050" s="31"/>
      <c r="P1050" s="16"/>
      <c r="Q1050" s="16"/>
      <c r="R1050" s="16" t="str">
        <f t="shared" si="2"/>
        <v/>
      </c>
    </row>
    <row r="1051">
      <c r="A1051" s="7"/>
      <c r="B1051" s="16"/>
      <c r="C1051" s="12"/>
      <c r="D1051" s="12"/>
      <c r="E1051" s="9"/>
      <c r="F1051" s="10"/>
      <c r="G1051" s="11"/>
      <c r="H1051" s="9"/>
      <c r="I1051" s="31"/>
      <c r="J1051" s="9"/>
      <c r="K1051" s="9"/>
      <c r="L1051" s="21" t="s">
        <v>41</v>
      </c>
      <c r="M1051" s="46"/>
      <c r="N1051" s="46"/>
      <c r="O1051" s="31"/>
      <c r="P1051" s="16"/>
      <c r="Q1051" s="16"/>
      <c r="R1051" s="16" t="str">
        <f t="shared" si="2"/>
        <v/>
      </c>
    </row>
    <row r="1052">
      <c r="A1052" s="7"/>
      <c r="B1052" s="16"/>
      <c r="C1052" s="12"/>
      <c r="D1052" s="12"/>
      <c r="E1052" s="9"/>
      <c r="F1052" s="10"/>
      <c r="G1052" s="11"/>
      <c r="H1052" s="9"/>
      <c r="I1052" s="31"/>
      <c r="J1052" s="9"/>
      <c r="K1052" s="9"/>
      <c r="L1052" s="21" t="s">
        <v>47</v>
      </c>
      <c r="M1052" s="46"/>
      <c r="N1052" s="46"/>
      <c r="O1052" s="31"/>
      <c r="P1052" s="16"/>
      <c r="Q1052" s="16"/>
      <c r="R1052" s="16" t="str">
        <f t="shared" si="2"/>
        <v/>
      </c>
    </row>
    <row r="1053">
      <c r="A1053" s="7"/>
      <c r="B1053" s="16"/>
      <c r="C1053" s="12"/>
      <c r="D1053" s="12"/>
      <c r="E1053" s="9"/>
      <c r="F1053" s="10"/>
      <c r="G1053" s="11"/>
      <c r="H1053" s="9"/>
      <c r="I1053" s="31"/>
      <c r="J1053" s="9"/>
      <c r="K1053" s="9"/>
      <c r="L1053" s="21" t="s">
        <v>53</v>
      </c>
      <c r="M1053" s="46"/>
      <c r="N1053" s="46"/>
      <c r="O1053" s="31"/>
      <c r="P1053" s="16"/>
      <c r="Q1053" s="16"/>
      <c r="R1053" s="16" t="str">
        <f t="shared" si="2"/>
        <v/>
      </c>
    </row>
    <row r="1054">
      <c r="A1054" s="7"/>
      <c r="B1054" s="16"/>
      <c r="C1054" s="12"/>
      <c r="D1054" s="12"/>
      <c r="E1054" s="9"/>
      <c r="F1054" s="10"/>
      <c r="G1054" s="11"/>
      <c r="H1054" s="9"/>
      <c r="I1054" s="31"/>
      <c r="J1054" s="9"/>
      <c r="K1054" s="9"/>
      <c r="L1054" s="21" t="s">
        <v>59</v>
      </c>
      <c r="M1054" s="46"/>
      <c r="N1054" s="46"/>
      <c r="O1054" s="31"/>
      <c r="P1054" s="16"/>
      <c r="Q1054" s="16"/>
      <c r="R1054" s="16" t="str">
        <f t="shared" si="2"/>
        <v/>
      </c>
    </row>
    <row r="1055">
      <c r="A1055" s="7"/>
      <c r="B1055" s="16"/>
      <c r="C1055" s="12"/>
      <c r="D1055" s="12"/>
      <c r="E1055" s="9"/>
      <c r="F1055" s="10"/>
      <c r="G1055" s="11"/>
      <c r="H1055" s="9"/>
      <c r="I1055" s="31"/>
      <c r="J1055" s="9"/>
      <c r="K1055" s="9"/>
      <c r="L1055" s="21" t="s">
        <v>65</v>
      </c>
      <c r="M1055" s="46"/>
      <c r="N1055" s="46"/>
      <c r="O1055" s="31"/>
      <c r="P1055" s="16"/>
      <c r="Q1055" s="16"/>
      <c r="R1055" s="16" t="str">
        <f t="shared" si="2"/>
        <v/>
      </c>
    </row>
    <row r="1056">
      <c r="A1056" s="7"/>
      <c r="B1056" s="16"/>
      <c r="C1056" s="12"/>
      <c r="D1056" s="12"/>
      <c r="E1056" s="9"/>
      <c r="F1056" s="10"/>
      <c r="G1056" s="11"/>
      <c r="H1056" s="9"/>
      <c r="I1056" s="31"/>
      <c r="J1056" s="9"/>
      <c r="K1056" s="9"/>
      <c r="L1056" s="21" t="s">
        <v>71</v>
      </c>
      <c r="M1056" s="46"/>
      <c r="N1056" s="46"/>
      <c r="O1056" s="31"/>
      <c r="P1056" s="16"/>
      <c r="Q1056" s="16"/>
      <c r="R1056" s="16" t="str">
        <f t="shared" si="2"/>
        <v/>
      </c>
    </row>
    <row r="1057">
      <c r="A1057" s="7" t="s">
        <v>512</v>
      </c>
      <c r="B1057" s="14" t="s">
        <v>20</v>
      </c>
      <c r="C1057" s="12"/>
      <c r="D1057" s="17" t="s">
        <v>2073</v>
      </c>
      <c r="E1057" s="9" t="s">
        <v>513</v>
      </c>
      <c r="F1057" s="10" t="s">
        <v>514</v>
      </c>
      <c r="G1057" s="22" t="s">
        <v>74</v>
      </c>
      <c r="H1057" s="9" t="s">
        <v>515</v>
      </c>
      <c r="I1057" s="29" t="s">
        <v>715</v>
      </c>
      <c r="J1057" s="9"/>
      <c r="K1057" s="9" t="s">
        <v>392</v>
      </c>
      <c r="L1057" s="21" t="s">
        <v>25</v>
      </c>
      <c r="M1057" s="46"/>
      <c r="N1057" s="46"/>
      <c r="O1057" s="31"/>
      <c r="P1057" s="16"/>
      <c r="Q1057" s="16"/>
      <c r="R1057" s="16" t="str">
        <f t="shared" si="2"/>
        <v/>
      </c>
    </row>
    <row r="1058">
      <c r="A1058" s="7"/>
      <c r="B1058" s="16"/>
      <c r="C1058" s="12"/>
      <c r="D1058" s="12"/>
      <c r="E1058" s="9"/>
      <c r="F1058" s="10"/>
      <c r="G1058" s="11"/>
      <c r="H1058" s="9"/>
      <c r="I1058" s="31"/>
      <c r="J1058" s="9"/>
      <c r="K1058" s="9"/>
      <c r="L1058" s="21" t="s">
        <v>31</v>
      </c>
      <c r="M1058" s="46"/>
      <c r="N1058" s="46"/>
      <c r="O1058" s="31"/>
      <c r="P1058" s="16"/>
      <c r="Q1058" s="16"/>
      <c r="R1058" s="16" t="str">
        <f t="shared" si="2"/>
        <v/>
      </c>
    </row>
    <row r="1059">
      <c r="A1059" s="7"/>
      <c r="B1059" s="16"/>
      <c r="C1059" s="12"/>
      <c r="D1059" s="12"/>
      <c r="E1059" s="9"/>
      <c r="F1059" s="10"/>
      <c r="G1059" s="11"/>
      <c r="H1059" s="9"/>
      <c r="I1059" s="31"/>
      <c r="J1059" s="9"/>
      <c r="K1059" s="9"/>
      <c r="L1059" s="21" t="s">
        <v>36</v>
      </c>
      <c r="M1059" s="46"/>
      <c r="N1059" s="46"/>
      <c r="O1059" s="31"/>
      <c r="P1059" s="16"/>
      <c r="Q1059" s="16"/>
      <c r="R1059" s="16" t="str">
        <f t="shared" si="2"/>
        <v/>
      </c>
    </row>
    <row r="1060">
      <c r="A1060" s="7"/>
      <c r="B1060" s="16"/>
      <c r="C1060" s="12"/>
      <c r="D1060" s="12"/>
      <c r="E1060" s="9"/>
      <c r="F1060" s="10"/>
      <c r="G1060" s="11"/>
      <c r="H1060" s="9"/>
      <c r="I1060" s="31"/>
      <c r="J1060" s="9"/>
      <c r="K1060" s="9"/>
      <c r="L1060" s="21" t="s">
        <v>41</v>
      </c>
      <c r="M1060" s="46"/>
      <c r="N1060" s="46"/>
      <c r="O1060" s="31"/>
      <c r="P1060" s="16"/>
      <c r="Q1060" s="16"/>
      <c r="R1060" s="16" t="str">
        <f t="shared" si="2"/>
        <v/>
      </c>
    </row>
    <row r="1061">
      <c r="A1061" s="7"/>
      <c r="B1061" s="16"/>
      <c r="C1061" s="12"/>
      <c r="D1061" s="12"/>
      <c r="E1061" s="9"/>
      <c r="F1061" s="10"/>
      <c r="G1061" s="11"/>
      <c r="H1061" s="9"/>
      <c r="I1061" s="31"/>
      <c r="J1061" s="9"/>
      <c r="K1061" s="9"/>
      <c r="L1061" s="21" t="s">
        <v>47</v>
      </c>
      <c r="M1061" s="46"/>
      <c r="N1061" s="46"/>
      <c r="O1061" s="31"/>
      <c r="P1061" s="16"/>
      <c r="Q1061" s="16"/>
      <c r="R1061" s="16" t="str">
        <f t="shared" si="2"/>
        <v/>
      </c>
    </row>
    <row r="1062">
      <c r="A1062" s="7"/>
      <c r="B1062" s="16"/>
      <c r="C1062" s="12"/>
      <c r="D1062" s="12"/>
      <c r="E1062" s="9"/>
      <c r="F1062" s="10"/>
      <c r="G1062" s="11"/>
      <c r="H1062" s="9"/>
      <c r="I1062" s="31"/>
      <c r="J1062" s="9"/>
      <c r="K1062" s="9"/>
      <c r="L1062" s="21" t="s">
        <v>53</v>
      </c>
      <c r="M1062" s="46"/>
      <c r="N1062" s="46"/>
      <c r="O1062" s="31"/>
      <c r="P1062" s="16"/>
      <c r="Q1062" s="16"/>
      <c r="R1062" s="16" t="str">
        <f t="shared" si="2"/>
        <v/>
      </c>
    </row>
    <row r="1063">
      <c r="A1063" s="7"/>
      <c r="B1063" s="16"/>
      <c r="C1063" s="12"/>
      <c r="D1063" s="12"/>
      <c r="E1063" s="9"/>
      <c r="F1063" s="10"/>
      <c r="G1063" s="11"/>
      <c r="H1063" s="9"/>
      <c r="I1063" s="31"/>
      <c r="J1063" s="9"/>
      <c r="K1063" s="9"/>
      <c r="L1063" s="21" t="s">
        <v>59</v>
      </c>
      <c r="M1063" s="46"/>
      <c r="N1063" s="46"/>
      <c r="O1063" s="31"/>
      <c r="P1063" s="16"/>
      <c r="Q1063" s="16"/>
      <c r="R1063" s="16" t="str">
        <f t="shared" si="2"/>
        <v/>
      </c>
    </row>
    <row r="1064">
      <c r="A1064" s="7"/>
      <c r="B1064" s="16"/>
      <c r="C1064" s="12"/>
      <c r="D1064" s="12"/>
      <c r="E1064" s="9"/>
      <c r="F1064" s="10"/>
      <c r="G1064" s="11"/>
      <c r="H1064" s="9"/>
      <c r="I1064" s="31"/>
      <c r="J1064" s="9"/>
      <c r="K1064" s="9"/>
      <c r="L1064" s="21" t="s">
        <v>65</v>
      </c>
      <c r="M1064" s="46"/>
      <c r="N1064" s="46"/>
      <c r="O1064" s="31"/>
      <c r="P1064" s="16"/>
      <c r="Q1064" s="16"/>
      <c r="R1064" s="16" t="str">
        <f t="shared" si="2"/>
        <v/>
      </c>
    </row>
    <row r="1065">
      <c r="A1065" s="7"/>
      <c r="B1065" s="16"/>
      <c r="C1065" s="12"/>
      <c r="D1065" s="12"/>
      <c r="E1065" s="9"/>
      <c r="F1065" s="10"/>
      <c r="G1065" s="11"/>
      <c r="H1065" s="9"/>
      <c r="I1065" s="31"/>
      <c r="J1065" s="9"/>
      <c r="K1065" s="9"/>
      <c r="L1065" s="21" t="s">
        <v>71</v>
      </c>
      <c r="M1065" s="46"/>
      <c r="N1065" s="46"/>
      <c r="O1065" s="31"/>
      <c r="P1065" s="16"/>
      <c r="Q1065" s="16"/>
      <c r="R1065" s="16" t="str">
        <f t="shared" si="2"/>
        <v/>
      </c>
    </row>
    <row r="1066">
      <c r="A1066" s="7" t="s">
        <v>516</v>
      </c>
      <c r="B1066" s="14" t="s">
        <v>20</v>
      </c>
      <c r="C1066" s="12"/>
      <c r="D1066" s="52" t="s">
        <v>2074</v>
      </c>
      <c r="E1066" s="9" t="s">
        <v>517</v>
      </c>
      <c r="F1066" s="10" t="s">
        <v>518</v>
      </c>
      <c r="G1066" s="22" t="s">
        <v>74</v>
      </c>
      <c r="H1066" s="9" t="s">
        <v>519</v>
      </c>
      <c r="I1066" s="29" t="s">
        <v>1686</v>
      </c>
      <c r="J1066" s="9"/>
      <c r="K1066" s="9" t="s">
        <v>392</v>
      </c>
      <c r="L1066" s="21" t="s">
        <v>25</v>
      </c>
      <c r="M1066" s="46"/>
      <c r="N1066" s="46"/>
      <c r="O1066" s="31"/>
      <c r="P1066" s="16"/>
      <c r="Q1066" s="16"/>
      <c r="R1066" s="16" t="str">
        <f t="shared" si="2"/>
        <v/>
      </c>
    </row>
    <row r="1067">
      <c r="A1067" s="7"/>
      <c r="B1067" s="16"/>
      <c r="C1067" s="12"/>
      <c r="D1067" s="50"/>
      <c r="E1067" s="9"/>
      <c r="F1067" s="10"/>
      <c r="G1067" s="11"/>
      <c r="H1067" s="9"/>
      <c r="I1067" s="31"/>
      <c r="J1067" s="9"/>
      <c r="K1067" s="9"/>
      <c r="L1067" s="21" t="s">
        <v>31</v>
      </c>
      <c r="M1067" s="46"/>
      <c r="N1067" s="46"/>
      <c r="O1067" s="31"/>
      <c r="P1067" s="16"/>
      <c r="Q1067" s="16"/>
      <c r="R1067" s="16" t="str">
        <f t="shared" si="2"/>
        <v/>
      </c>
    </row>
    <row r="1068">
      <c r="A1068" s="7"/>
      <c r="B1068" s="16"/>
      <c r="C1068" s="12"/>
      <c r="D1068" s="12"/>
      <c r="E1068" s="9"/>
      <c r="F1068" s="10"/>
      <c r="G1068" s="11"/>
      <c r="H1068" s="9"/>
      <c r="I1068" s="31"/>
      <c r="J1068" s="9"/>
      <c r="K1068" s="9"/>
      <c r="L1068" s="21" t="s">
        <v>36</v>
      </c>
      <c r="M1068" s="46"/>
      <c r="N1068" s="46"/>
      <c r="O1068" s="31"/>
      <c r="P1068" s="16"/>
      <c r="Q1068" s="16"/>
      <c r="R1068" s="16" t="str">
        <f t="shared" si="2"/>
        <v/>
      </c>
    </row>
    <row r="1069">
      <c r="A1069" s="7"/>
      <c r="B1069" s="16"/>
      <c r="C1069" s="12"/>
      <c r="D1069" s="12"/>
      <c r="E1069" s="9"/>
      <c r="F1069" s="10"/>
      <c r="G1069" s="11"/>
      <c r="H1069" s="9"/>
      <c r="I1069" s="31"/>
      <c r="J1069" s="9"/>
      <c r="K1069" s="9"/>
      <c r="L1069" s="21" t="s">
        <v>41</v>
      </c>
      <c r="M1069" s="46"/>
      <c r="N1069" s="46"/>
      <c r="O1069" s="31"/>
      <c r="P1069" s="16"/>
      <c r="Q1069" s="16"/>
      <c r="R1069" s="16" t="str">
        <f t="shared" si="2"/>
        <v/>
      </c>
    </row>
    <row r="1070">
      <c r="A1070" s="7"/>
      <c r="B1070" s="16"/>
      <c r="C1070" s="12"/>
      <c r="D1070" s="12"/>
      <c r="E1070" s="9"/>
      <c r="F1070" s="10"/>
      <c r="G1070" s="11"/>
      <c r="H1070" s="9"/>
      <c r="I1070" s="31"/>
      <c r="J1070" s="9"/>
      <c r="K1070" s="9"/>
      <c r="L1070" s="21" t="s">
        <v>47</v>
      </c>
      <c r="M1070" s="46"/>
      <c r="N1070" s="46"/>
      <c r="O1070" s="31"/>
      <c r="P1070" s="16"/>
      <c r="Q1070" s="16"/>
      <c r="R1070" s="16" t="str">
        <f t="shared" si="2"/>
        <v/>
      </c>
    </row>
    <row r="1071">
      <c r="A1071" s="7"/>
      <c r="B1071" s="16"/>
      <c r="C1071" s="12"/>
      <c r="D1071" s="12"/>
      <c r="E1071" s="9"/>
      <c r="F1071" s="10"/>
      <c r="G1071" s="11"/>
      <c r="H1071" s="9"/>
      <c r="I1071" s="31"/>
      <c r="J1071" s="9"/>
      <c r="K1071" s="9"/>
      <c r="L1071" s="21" t="s">
        <v>53</v>
      </c>
      <c r="M1071" s="46"/>
      <c r="N1071" s="46"/>
      <c r="O1071" s="31"/>
      <c r="P1071" s="16"/>
      <c r="Q1071" s="16"/>
      <c r="R1071" s="16" t="str">
        <f t="shared" si="2"/>
        <v/>
      </c>
    </row>
    <row r="1072">
      <c r="A1072" s="7"/>
      <c r="B1072" s="16"/>
      <c r="C1072" s="12"/>
      <c r="D1072" s="12"/>
      <c r="E1072" s="9"/>
      <c r="F1072" s="10"/>
      <c r="G1072" s="11"/>
      <c r="H1072" s="9"/>
      <c r="I1072" s="31"/>
      <c r="J1072" s="9"/>
      <c r="K1072" s="9"/>
      <c r="L1072" s="21" t="s">
        <v>59</v>
      </c>
      <c r="M1072" s="46"/>
      <c r="N1072" s="46"/>
      <c r="O1072" s="31"/>
      <c r="P1072" s="16"/>
      <c r="Q1072" s="16"/>
      <c r="R1072" s="16" t="str">
        <f t="shared" si="2"/>
        <v/>
      </c>
    </row>
    <row r="1073">
      <c r="A1073" s="7"/>
      <c r="B1073" s="16"/>
      <c r="C1073" s="12"/>
      <c r="D1073" s="12"/>
      <c r="E1073" s="9"/>
      <c r="F1073" s="10"/>
      <c r="G1073" s="11"/>
      <c r="H1073" s="9"/>
      <c r="I1073" s="31"/>
      <c r="J1073" s="9"/>
      <c r="K1073" s="9"/>
      <c r="L1073" s="21" t="s">
        <v>65</v>
      </c>
      <c r="M1073" s="46"/>
      <c r="N1073" s="46"/>
      <c r="O1073" s="31"/>
      <c r="P1073" s="16"/>
      <c r="Q1073" s="16"/>
      <c r="R1073" s="16" t="str">
        <f t="shared" si="2"/>
        <v/>
      </c>
    </row>
    <row r="1074">
      <c r="A1074" s="7"/>
      <c r="B1074" s="16"/>
      <c r="C1074" s="12"/>
      <c r="D1074" s="12"/>
      <c r="E1074" s="9"/>
      <c r="F1074" s="10"/>
      <c r="G1074" s="11"/>
      <c r="H1074" s="9"/>
      <c r="I1074" s="31"/>
      <c r="J1074" s="9"/>
      <c r="K1074" s="9"/>
      <c r="L1074" s="21" t="s">
        <v>71</v>
      </c>
      <c r="M1074" s="46"/>
      <c r="N1074" s="46"/>
      <c r="O1074" s="31"/>
      <c r="P1074" s="16"/>
      <c r="Q1074" s="16"/>
      <c r="R1074" s="16" t="str">
        <f t="shared" si="2"/>
        <v/>
      </c>
    </row>
    <row r="1075">
      <c r="A1075" s="7" t="s">
        <v>520</v>
      </c>
      <c r="B1075" s="14" t="s">
        <v>20</v>
      </c>
      <c r="C1075" s="12"/>
      <c r="D1075" s="17" t="s">
        <v>2075</v>
      </c>
      <c r="E1075" s="9" t="s">
        <v>521</v>
      </c>
      <c r="F1075" s="10" t="s">
        <v>522</v>
      </c>
      <c r="G1075" s="22" t="s">
        <v>74</v>
      </c>
      <c r="H1075" s="9" t="s">
        <v>523</v>
      </c>
      <c r="I1075" s="29" t="s">
        <v>2076</v>
      </c>
      <c r="J1075" s="9"/>
      <c r="K1075" s="9" t="s">
        <v>392</v>
      </c>
      <c r="L1075" s="21" t="s">
        <v>25</v>
      </c>
      <c r="M1075" s="46"/>
      <c r="N1075" s="46"/>
      <c r="O1075" s="31"/>
      <c r="P1075" s="16"/>
      <c r="Q1075" s="16"/>
      <c r="R1075" s="16" t="str">
        <f t="shared" si="2"/>
        <v/>
      </c>
    </row>
    <row r="1076">
      <c r="B1076" s="16"/>
      <c r="C1076" s="12"/>
      <c r="D1076" s="12"/>
      <c r="E1076" s="12"/>
      <c r="F1076" s="12"/>
      <c r="G1076" s="25"/>
      <c r="H1076" s="12"/>
      <c r="I1076" s="31"/>
      <c r="J1076" s="12"/>
      <c r="K1076" s="12"/>
      <c r="L1076" s="21" t="s">
        <v>31</v>
      </c>
      <c r="M1076" s="46"/>
      <c r="N1076" s="46"/>
      <c r="O1076" s="31"/>
      <c r="P1076" s="16"/>
      <c r="Q1076" s="16"/>
      <c r="R1076" s="16" t="str">
        <f t="shared" si="2"/>
        <v/>
      </c>
    </row>
    <row r="1077">
      <c r="B1077" s="16"/>
      <c r="C1077" s="12"/>
      <c r="D1077" s="12"/>
      <c r="E1077" s="12"/>
      <c r="F1077" s="12"/>
      <c r="G1077" s="25"/>
      <c r="H1077" s="12"/>
      <c r="I1077" s="31"/>
      <c r="J1077" s="12"/>
      <c r="K1077" s="12"/>
      <c r="L1077" s="21" t="s">
        <v>36</v>
      </c>
      <c r="M1077" s="46"/>
      <c r="N1077" s="46"/>
      <c r="O1077" s="31"/>
      <c r="P1077" s="16"/>
      <c r="Q1077" s="16"/>
      <c r="R1077" s="16" t="str">
        <f t="shared" si="2"/>
        <v/>
      </c>
    </row>
    <row r="1078">
      <c r="B1078" s="16"/>
      <c r="C1078" s="12"/>
      <c r="D1078" s="12"/>
      <c r="E1078" s="12"/>
      <c r="F1078" s="12"/>
      <c r="G1078" s="25"/>
      <c r="H1078" s="12"/>
      <c r="I1078" s="31"/>
      <c r="J1078" s="12"/>
      <c r="K1078" s="12"/>
      <c r="L1078" s="21" t="s">
        <v>41</v>
      </c>
      <c r="M1078" s="46"/>
      <c r="N1078" s="46"/>
      <c r="O1078" s="31"/>
      <c r="P1078" s="16"/>
      <c r="Q1078" s="16"/>
      <c r="R1078" s="16" t="str">
        <f t="shared" si="2"/>
        <v/>
      </c>
    </row>
    <row r="1079">
      <c r="B1079" s="16"/>
      <c r="C1079" s="12"/>
      <c r="D1079" s="12"/>
      <c r="E1079" s="12"/>
      <c r="F1079" s="12"/>
      <c r="G1079" s="25"/>
      <c r="H1079" s="12"/>
      <c r="I1079" s="31"/>
      <c r="J1079" s="12"/>
      <c r="K1079" s="12"/>
      <c r="L1079" s="21" t="s">
        <v>47</v>
      </c>
      <c r="M1079" s="46"/>
      <c r="N1079" s="46"/>
      <c r="O1079" s="31"/>
      <c r="P1079" s="16"/>
      <c r="Q1079" s="16"/>
      <c r="R1079" s="16" t="str">
        <f t="shared" si="2"/>
        <v/>
      </c>
    </row>
    <row r="1080">
      <c r="B1080" s="16"/>
      <c r="C1080" s="12"/>
      <c r="D1080" s="12"/>
      <c r="E1080" s="12"/>
      <c r="F1080" s="12"/>
      <c r="G1080" s="25"/>
      <c r="H1080" s="12"/>
      <c r="I1080" s="31"/>
      <c r="J1080" s="12"/>
      <c r="K1080" s="12"/>
      <c r="L1080" s="21" t="s">
        <v>53</v>
      </c>
      <c r="M1080" s="46"/>
      <c r="N1080" s="46"/>
      <c r="O1080" s="31"/>
      <c r="P1080" s="16"/>
      <c r="Q1080" s="16"/>
      <c r="R1080" s="16" t="str">
        <f t="shared" si="2"/>
        <v/>
      </c>
    </row>
    <row r="1081">
      <c r="B1081" s="16"/>
      <c r="C1081" s="12"/>
      <c r="D1081" s="12"/>
      <c r="E1081" s="12"/>
      <c r="F1081" s="12"/>
      <c r="G1081" s="25"/>
      <c r="H1081" s="12"/>
      <c r="I1081" s="31"/>
      <c r="J1081" s="12"/>
      <c r="K1081" s="12"/>
      <c r="L1081" s="21" t="s">
        <v>59</v>
      </c>
      <c r="M1081" s="46"/>
      <c r="N1081" s="46"/>
      <c r="O1081" s="31"/>
      <c r="P1081" s="16"/>
      <c r="Q1081" s="16"/>
      <c r="R1081" s="16" t="str">
        <f t="shared" si="2"/>
        <v/>
      </c>
    </row>
    <row r="1082">
      <c r="B1082" s="16"/>
      <c r="C1082" s="12"/>
      <c r="D1082" s="12"/>
      <c r="E1082" s="12"/>
      <c r="F1082" s="12"/>
      <c r="G1082" s="25"/>
      <c r="H1082" s="12"/>
      <c r="I1082" s="31"/>
      <c r="J1082" s="12"/>
      <c r="K1082" s="12"/>
      <c r="L1082" s="21" t="s">
        <v>65</v>
      </c>
      <c r="M1082" s="46"/>
      <c r="N1082" s="46"/>
      <c r="O1082" s="31"/>
      <c r="P1082" s="16"/>
      <c r="Q1082" s="16"/>
      <c r="R1082" s="16" t="str">
        <f t="shared" si="2"/>
        <v/>
      </c>
    </row>
    <row r="1083">
      <c r="B1083" s="16"/>
      <c r="C1083" s="12"/>
      <c r="D1083" s="12"/>
      <c r="E1083" s="12"/>
      <c r="F1083" s="12"/>
      <c r="G1083" s="25"/>
      <c r="H1083" s="12"/>
      <c r="I1083" s="31"/>
      <c r="J1083" s="12"/>
      <c r="K1083" s="12"/>
      <c r="L1083" s="21" t="s">
        <v>71</v>
      </c>
      <c r="M1083" s="46"/>
      <c r="N1083" s="46"/>
      <c r="O1083" s="31"/>
      <c r="P1083" s="16"/>
      <c r="Q1083" s="16"/>
      <c r="R1083" s="16" t="str">
        <f t="shared" si="2"/>
        <v/>
      </c>
    </row>
    <row r="1084">
      <c r="B1084" s="16"/>
      <c r="C1084" s="12"/>
      <c r="D1084" s="12"/>
      <c r="E1084" s="12"/>
      <c r="F1084" s="12"/>
      <c r="G1084" s="25"/>
      <c r="H1084" s="12"/>
      <c r="I1084" s="31"/>
      <c r="J1084" s="12"/>
      <c r="K1084" s="12"/>
      <c r="L1084" s="16"/>
      <c r="M1084" s="46"/>
      <c r="N1084" s="46"/>
      <c r="O1084" s="31"/>
      <c r="P1084" s="16"/>
      <c r="Q1084" s="16"/>
      <c r="R1084" s="16" t="str">
        <f t="shared" si="2"/>
        <v/>
      </c>
    </row>
    <row r="1085">
      <c r="B1085" s="16"/>
      <c r="C1085" s="12"/>
      <c r="D1085" s="12"/>
      <c r="E1085" s="12"/>
      <c r="F1085" s="12"/>
      <c r="G1085" s="25"/>
      <c r="H1085" s="12"/>
      <c r="I1085" s="31"/>
      <c r="J1085" s="12"/>
      <c r="K1085" s="12"/>
      <c r="L1085" s="16"/>
      <c r="M1085" s="46"/>
      <c r="N1085" s="46"/>
      <c r="O1085" s="31"/>
      <c r="P1085" s="16"/>
      <c r="Q1085" s="16"/>
      <c r="R1085" s="16" t="str">
        <f t="shared" si="2"/>
        <v/>
      </c>
    </row>
    <row r="1086">
      <c r="B1086" s="16"/>
      <c r="C1086" s="12"/>
      <c r="D1086" s="12"/>
      <c r="E1086" s="12"/>
      <c r="F1086" s="12"/>
      <c r="G1086" s="25"/>
      <c r="H1086" s="12"/>
      <c r="I1086" s="31"/>
      <c r="J1086" s="12"/>
      <c r="K1086" s="12"/>
      <c r="L1086" s="16"/>
      <c r="M1086" s="46"/>
      <c r="N1086" s="46"/>
      <c r="O1086" s="31"/>
      <c r="P1086" s="16"/>
      <c r="Q1086" s="16"/>
      <c r="R1086" s="16" t="str">
        <f t="shared" si="2"/>
        <v/>
      </c>
    </row>
    <row r="1087">
      <c r="B1087" s="16"/>
      <c r="C1087" s="12"/>
      <c r="D1087" s="12"/>
      <c r="E1087" s="12"/>
      <c r="F1087" s="12"/>
      <c r="G1087" s="25"/>
      <c r="H1087" s="12"/>
      <c r="I1087" s="31"/>
      <c r="J1087" s="12"/>
      <c r="K1087" s="12"/>
      <c r="L1087" s="16"/>
      <c r="M1087" s="46"/>
      <c r="N1087" s="46"/>
      <c r="O1087" s="31"/>
      <c r="P1087" s="16"/>
      <c r="Q1087" s="16"/>
      <c r="R1087" s="16" t="str">
        <f t="shared" si="2"/>
        <v/>
      </c>
    </row>
    <row r="1088">
      <c r="B1088" s="16"/>
      <c r="C1088" s="12"/>
      <c r="D1088" s="12"/>
      <c r="E1088" s="12"/>
      <c r="F1088" s="12"/>
      <c r="G1088" s="25"/>
      <c r="H1088" s="12"/>
      <c r="I1088" s="31"/>
      <c r="J1088" s="12"/>
      <c r="K1088" s="12"/>
      <c r="L1088" s="16"/>
      <c r="M1088" s="46"/>
      <c r="N1088" s="46"/>
      <c r="O1088" s="31"/>
      <c r="P1088" s="16"/>
      <c r="Q1088" s="16"/>
      <c r="R1088" s="16" t="str">
        <f t="shared" si="2"/>
        <v/>
      </c>
    </row>
    <row r="1089">
      <c r="B1089" s="16"/>
      <c r="C1089" s="12"/>
      <c r="D1089" s="12"/>
      <c r="E1089" s="12"/>
      <c r="F1089" s="12"/>
      <c r="G1089" s="25"/>
      <c r="H1089" s="12"/>
      <c r="I1089" s="31"/>
      <c r="J1089" s="12"/>
      <c r="K1089" s="12"/>
      <c r="L1089" s="16"/>
      <c r="M1089" s="46"/>
      <c r="N1089" s="46"/>
      <c r="O1089" s="31"/>
      <c r="P1089" s="16"/>
      <c r="Q1089" s="16"/>
      <c r="R1089" s="16" t="str">
        <f t="shared" si="2"/>
        <v/>
      </c>
    </row>
    <row r="1090">
      <c r="B1090" s="16"/>
      <c r="C1090" s="12"/>
      <c r="D1090" s="12"/>
      <c r="E1090" s="12"/>
      <c r="F1090" s="12"/>
      <c r="G1090" s="25"/>
      <c r="H1090" s="12"/>
      <c r="I1090" s="31"/>
      <c r="J1090" s="12"/>
      <c r="K1090" s="12"/>
      <c r="L1090" s="16"/>
      <c r="M1090" s="46"/>
      <c r="N1090" s="46"/>
      <c r="O1090" s="31"/>
      <c r="P1090" s="16"/>
      <c r="Q1090" s="16"/>
      <c r="R1090" s="16" t="str">
        <f t="shared" si="2"/>
        <v/>
      </c>
    </row>
    <row r="1091">
      <c r="B1091" s="16"/>
      <c r="C1091" s="12"/>
      <c r="D1091" s="12"/>
      <c r="E1091" s="12"/>
      <c r="F1091" s="12"/>
      <c r="G1091" s="25"/>
      <c r="H1091" s="12"/>
      <c r="I1091" s="31"/>
      <c r="J1091" s="12"/>
      <c r="K1091" s="12"/>
      <c r="L1091" s="16"/>
      <c r="M1091" s="46"/>
      <c r="N1091" s="46"/>
      <c r="O1091" s="31"/>
      <c r="P1091" s="16"/>
      <c r="Q1091" s="16"/>
      <c r="R1091" s="16" t="str">
        <f t="shared" si="2"/>
        <v/>
      </c>
    </row>
    <row r="1092">
      <c r="B1092" s="16"/>
      <c r="C1092" s="12"/>
      <c r="D1092" s="12"/>
      <c r="E1092" s="12"/>
      <c r="F1092" s="12"/>
      <c r="G1092" s="25"/>
      <c r="H1092" s="12"/>
      <c r="I1092" s="31"/>
      <c r="J1092" s="12"/>
      <c r="K1092" s="12"/>
      <c r="L1092" s="16"/>
      <c r="M1092" s="46"/>
      <c r="N1092" s="46"/>
      <c r="O1092" s="31"/>
      <c r="P1092" s="16"/>
      <c r="Q1092" s="16"/>
      <c r="R1092" s="16" t="str">
        <f t="shared" si="2"/>
        <v/>
      </c>
    </row>
    <row r="1093">
      <c r="B1093" s="16"/>
      <c r="C1093" s="12"/>
      <c r="D1093" s="12"/>
      <c r="E1093" s="12"/>
      <c r="F1093" s="12"/>
      <c r="G1093" s="25"/>
      <c r="H1093" s="12"/>
      <c r="I1093" s="31"/>
      <c r="J1093" s="12"/>
      <c r="K1093" s="12"/>
      <c r="L1093" s="16"/>
      <c r="M1093" s="46"/>
      <c r="N1093" s="46"/>
      <c r="O1093" s="31"/>
      <c r="P1093" s="16"/>
      <c r="Q1093" s="16"/>
      <c r="R1093" s="16" t="str">
        <f t="shared" si="2"/>
        <v/>
      </c>
    </row>
    <row r="1094">
      <c r="B1094" s="16"/>
      <c r="C1094" s="12"/>
      <c r="D1094" s="12"/>
      <c r="E1094" s="12"/>
      <c r="F1094" s="12"/>
      <c r="G1094" s="25"/>
      <c r="H1094" s="12"/>
      <c r="I1094" s="31"/>
      <c r="J1094" s="12"/>
      <c r="K1094" s="12"/>
      <c r="L1094" s="16"/>
      <c r="M1094" s="46"/>
      <c r="N1094" s="46"/>
      <c r="O1094" s="31"/>
      <c r="P1094" s="16"/>
      <c r="Q1094" s="16"/>
      <c r="R1094" s="16" t="str">
        <f t="shared" si="2"/>
        <v/>
      </c>
    </row>
    <row r="1095">
      <c r="B1095" s="16"/>
      <c r="C1095" s="12"/>
      <c r="D1095" s="12"/>
      <c r="E1095" s="12"/>
      <c r="F1095" s="12"/>
      <c r="G1095" s="25"/>
      <c r="H1095" s="12"/>
      <c r="I1095" s="31"/>
      <c r="J1095" s="12"/>
      <c r="K1095" s="12"/>
      <c r="L1095" s="16"/>
      <c r="M1095" s="46"/>
      <c r="N1095" s="46"/>
      <c r="O1095" s="31"/>
      <c r="P1095" s="16"/>
      <c r="Q1095" s="16"/>
      <c r="R1095" s="16" t="str">
        <f t="shared" si="2"/>
        <v/>
      </c>
    </row>
    <row r="1096">
      <c r="B1096" s="16"/>
      <c r="C1096" s="12"/>
      <c r="D1096" s="12"/>
      <c r="E1096" s="12"/>
      <c r="F1096" s="12"/>
      <c r="G1096" s="25"/>
      <c r="H1096" s="12"/>
      <c r="I1096" s="31"/>
      <c r="J1096" s="12"/>
      <c r="K1096" s="12"/>
      <c r="L1096" s="16"/>
      <c r="M1096" s="46"/>
      <c r="N1096" s="46"/>
      <c r="O1096" s="31"/>
      <c r="P1096" s="16"/>
      <c r="Q1096" s="16"/>
      <c r="R1096" s="16" t="str">
        <f t="shared" si="2"/>
        <v/>
      </c>
    </row>
    <row r="1097">
      <c r="B1097" s="16"/>
      <c r="C1097" s="12"/>
      <c r="D1097" s="12"/>
      <c r="E1097" s="12"/>
      <c r="F1097" s="12"/>
      <c r="G1097" s="25"/>
      <c r="H1097" s="12"/>
      <c r="I1097" s="31"/>
      <c r="J1097" s="12"/>
      <c r="K1097" s="12"/>
      <c r="L1097" s="16"/>
      <c r="M1097" s="46"/>
      <c r="N1097" s="46"/>
      <c r="O1097" s="31"/>
      <c r="P1097" s="16"/>
      <c r="Q1097" s="16"/>
      <c r="R1097" s="16" t="str">
        <f t="shared" si="2"/>
        <v/>
      </c>
    </row>
    <row r="1098">
      <c r="B1098" s="16"/>
      <c r="C1098" s="12"/>
      <c r="D1098" s="12"/>
      <c r="E1098" s="12"/>
      <c r="F1098" s="12"/>
      <c r="G1098" s="25"/>
      <c r="H1098" s="12"/>
      <c r="I1098" s="31"/>
      <c r="J1098" s="12"/>
      <c r="K1098" s="12"/>
      <c r="L1098" s="16"/>
      <c r="M1098" s="46"/>
      <c r="N1098" s="46"/>
      <c r="O1098" s="31"/>
      <c r="P1098" s="16"/>
      <c r="Q1098" s="16"/>
      <c r="R1098" s="16" t="str">
        <f t="shared" si="2"/>
        <v/>
      </c>
    </row>
    <row r="1099">
      <c r="B1099" s="16"/>
      <c r="C1099" s="12"/>
      <c r="D1099" s="12"/>
      <c r="E1099" s="12"/>
      <c r="F1099" s="12"/>
      <c r="G1099" s="25"/>
      <c r="H1099" s="12"/>
      <c r="I1099" s="31"/>
      <c r="J1099" s="12"/>
      <c r="K1099" s="12"/>
      <c r="L1099" s="16"/>
      <c r="M1099" s="46"/>
      <c r="N1099" s="46"/>
      <c r="O1099" s="31"/>
      <c r="P1099" s="16"/>
      <c r="Q1099" s="16"/>
      <c r="R1099" s="16" t="str">
        <f t="shared" si="2"/>
        <v/>
      </c>
    </row>
    <row r="1100">
      <c r="B1100" s="16"/>
      <c r="C1100" s="12"/>
      <c r="D1100" s="12"/>
      <c r="E1100" s="12"/>
      <c r="F1100" s="12"/>
      <c r="G1100" s="25"/>
      <c r="H1100" s="12"/>
      <c r="I1100" s="31"/>
      <c r="J1100" s="12"/>
      <c r="K1100" s="12"/>
      <c r="L1100" s="16"/>
      <c r="M1100" s="46"/>
      <c r="N1100" s="46"/>
      <c r="O1100" s="31"/>
      <c r="P1100" s="16"/>
      <c r="Q1100" s="16"/>
      <c r="R1100" s="16" t="str">
        <f t="shared" si="2"/>
        <v/>
      </c>
    </row>
    <row r="1101">
      <c r="B1101" s="16"/>
      <c r="C1101" s="12"/>
      <c r="D1101" s="12"/>
      <c r="E1101" s="12"/>
      <c r="F1101" s="12"/>
      <c r="G1101" s="25"/>
      <c r="H1101" s="12"/>
      <c r="I1101" s="31"/>
      <c r="J1101" s="12"/>
      <c r="K1101" s="12"/>
      <c r="L1101" s="16"/>
      <c r="M1101" s="46"/>
      <c r="N1101" s="46"/>
      <c r="O1101" s="31"/>
      <c r="P1101" s="16"/>
      <c r="Q1101" s="16"/>
      <c r="R1101" s="16" t="str">
        <f t="shared" si="2"/>
        <v/>
      </c>
    </row>
    <row r="1102">
      <c r="B1102" s="16"/>
      <c r="C1102" s="12"/>
      <c r="D1102" s="12"/>
      <c r="E1102" s="12"/>
      <c r="F1102" s="12"/>
      <c r="G1102" s="25"/>
      <c r="H1102" s="12"/>
      <c r="I1102" s="31"/>
      <c r="J1102" s="12"/>
      <c r="K1102" s="12"/>
      <c r="L1102" s="16"/>
      <c r="M1102" s="46"/>
      <c r="N1102" s="46"/>
      <c r="O1102" s="31"/>
      <c r="P1102" s="16"/>
      <c r="Q1102" s="16"/>
      <c r="R1102" s="16" t="str">
        <f t="shared" si="2"/>
        <v/>
      </c>
    </row>
    <row r="1103">
      <c r="B1103" s="16"/>
      <c r="C1103" s="12"/>
      <c r="D1103" s="12"/>
      <c r="E1103" s="12"/>
      <c r="F1103" s="12"/>
      <c r="G1103" s="25"/>
      <c r="H1103" s="12"/>
      <c r="I1103" s="31"/>
      <c r="J1103" s="12"/>
      <c r="K1103" s="12"/>
      <c r="L1103" s="16"/>
      <c r="M1103" s="46"/>
      <c r="N1103" s="46"/>
      <c r="O1103" s="31"/>
      <c r="P1103" s="16"/>
      <c r="Q1103" s="16"/>
      <c r="R1103" s="16" t="str">
        <f t="shared" si="2"/>
        <v/>
      </c>
    </row>
    <row r="1104">
      <c r="B1104" s="16"/>
      <c r="C1104" s="12"/>
      <c r="D1104" s="12"/>
      <c r="E1104" s="12"/>
      <c r="F1104" s="12"/>
      <c r="G1104" s="25"/>
      <c r="H1104" s="12"/>
      <c r="I1104" s="31"/>
      <c r="J1104" s="12"/>
      <c r="K1104" s="12"/>
      <c r="L1104" s="16"/>
      <c r="M1104" s="46"/>
      <c r="N1104" s="46"/>
      <c r="O1104" s="31"/>
      <c r="P1104" s="16"/>
      <c r="Q1104" s="16"/>
      <c r="R1104" s="16" t="str">
        <f t="shared" si="2"/>
        <v/>
      </c>
    </row>
    <row r="1105">
      <c r="B1105" s="16"/>
      <c r="C1105" s="12"/>
      <c r="D1105" s="12"/>
      <c r="E1105" s="12"/>
      <c r="F1105" s="12"/>
      <c r="G1105" s="25"/>
      <c r="H1105" s="12"/>
      <c r="I1105" s="31"/>
      <c r="J1105" s="12"/>
      <c r="K1105" s="12"/>
      <c r="L1105" s="16"/>
      <c r="M1105" s="46"/>
      <c r="N1105" s="46"/>
      <c r="O1105" s="31"/>
      <c r="P1105" s="16"/>
      <c r="Q1105" s="16"/>
      <c r="R1105" s="16" t="str">
        <f t="shared" si="2"/>
        <v/>
      </c>
    </row>
    <row r="1106">
      <c r="B1106" s="16"/>
      <c r="C1106" s="12"/>
      <c r="D1106" s="12"/>
      <c r="E1106" s="12"/>
      <c r="F1106" s="12"/>
      <c r="G1106" s="25"/>
      <c r="H1106" s="12"/>
      <c r="I1106" s="31"/>
      <c r="J1106" s="12"/>
      <c r="K1106" s="12"/>
      <c r="L1106" s="16"/>
      <c r="M1106" s="46"/>
      <c r="N1106" s="46"/>
      <c r="O1106" s="31"/>
      <c r="P1106" s="16"/>
      <c r="Q1106" s="16"/>
      <c r="R1106" s="16" t="str">
        <f t="shared" si="2"/>
        <v/>
      </c>
    </row>
    <row r="1107">
      <c r="B1107" s="16"/>
      <c r="C1107" s="12"/>
      <c r="D1107" s="12"/>
      <c r="E1107" s="12"/>
      <c r="F1107" s="12"/>
      <c r="G1107" s="25"/>
      <c r="H1107" s="12"/>
      <c r="I1107" s="31"/>
      <c r="J1107" s="12"/>
      <c r="K1107" s="12"/>
      <c r="L1107" s="16"/>
      <c r="M1107" s="46"/>
      <c r="N1107" s="46"/>
      <c r="O1107" s="31"/>
      <c r="P1107" s="16"/>
      <c r="Q1107" s="16"/>
      <c r="R1107" s="16" t="str">
        <f t="shared" si="2"/>
        <v/>
      </c>
    </row>
    <row r="1108">
      <c r="B1108" s="16"/>
      <c r="C1108" s="12"/>
      <c r="D1108" s="12"/>
      <c r="E1108" s="12"/>
      <c r="F1108" s="12"/>
      <c r="G1108" s="25"/>
      <c r="H1108" s="12"/>
      <c r="I1108" s="31"/>
      <c r="J1108" s="12"/>
      <c r="K1108" s="12"/>
      <c r="L1108" s="16"/>
      <c r="M1108" s="46"/>
      <c r="N1108" s="46"/>
      <c r="O1108" s="31"/>
      <c r="P1108" s="16"/>
      <c r="Q1108" s="16"/>
      <c r="R1108" s="16" t="str">
        <f t="shared" si="2"/>
        <v/>
      </c>
    </row>
    <row r="1109">
      <c r="B1109" s="16"/>
      <c r="C1109" s="12"/>
      <c r="D1109" s="12"/>
      <c r="E1109" s="12"/>
      <c r="F1109" s="12"/>
      <c r="G1109" s="25"/>
      <c r="H1109" s="12"/>
      <c r="I1109" s="31"/>
      <c r="J1109" s="12"/>
      <c r="K1109" s="12"/>
      <c r="L1109" s="16"/>
      <c r="M1109" s="46"/>
      <c r="N1109" s="46"/>
      <c r="O1109" s="31"/>
      <c r="P1109" s="16"/>
      <c r="Q1109" s="16"/>
      <c r="R1109" s="16" t="str">
        <f t="shared" si="2"/>
        <v/>
      </c>
    </row>
    <row r="1110">
      <c r="B1110" s="16"/>
      <c r="C1110" s="12"/>
      <c r="D1110" s="12"/>
      <c r="E1110" s="12"/>
      <c r="F1110" s="12"/>
      <c r="G1110" s="25"/>
      <c r="H1110" s="12"/>
      <c r="I1110" s="31"/>
      <c r="J1110" s="12"/>
      <c r="K1110" s="12"/>
      <c r="L1110" s="16"/>
      <c r="M1110" s="46"/>
      <c r="N1110" s="46"/>
      <c r="O1110" s="31"/>
      <c r="P1110" s="16"/>
      <c r="Q1110" s="16"/>
      <c r="R1110" s="16" t="str">
        <f t="shared" si="2"/>
        <v/>
      </c>
    </row>
    <row r="1111">
      <c r="B1111" s="16"/>
      <c r="C1111" s="12"/>
      <c r="D1111" s="12"/>
      <c r="E1111" s="12"/>
      <c r="F1111" s="12"/>
      <c r="G1111" s="25"/>
      <c r="H1111" s="12"/>
      <c r="I1111" s="31"/>
      <c r="J1111" s="12"/>
      <c r="K1111" s="12"/>
      <c r="L1111" s="16"/>
      <c r="M1111" s="46"/>
      <c r="N1111" s="46"/>
      <c r="O1111" s="31"/>
      <c r="P1111" s="16"/>
      <c r="Q1111" s="16"/>
      <c r="R1111" s="16" t="str">
        <f t="shared" si="2"/>
        <v/>
      </c>
    </row>
    <row r="1112">
      <c r="B1112" s="16"/>
      <c r="C1112" s="12"/>
      <c r="D1112" s="12"/>
      <c r="E1112" s="12"/>
      <c r="F1112" s="12"/>
      <c r="G1112" s="25"/>
      <c r="H1112" s="12"/>
      <c r="I1112" s="31"/>
      <c r="J1112" s="12"/>
      <c r="K1112" s="12"/>
      <c r="L1112" s="16"/>
      <c r="M1112" s="46"/>
      <c r="N1112" s="46"/>
      <c r="O1112" s="31"/>
      <c r="P1112" s="16"/>
      <c r="Q1112" s="16"/>
      <c r="R1112" s="16" t="str">
        <f t="shared" si="2"/>
        <v/>
      </c>
    </row>
    <row r="1113">
      <c r="B1113" s="16"/>
      <c r="C1113" s="12"/>
      <c r="D1113" s="12"/>
      <c r="E1113" s="12"/>
      <c r="F1113" s="12"/>
      <c r="G1113" s="25"/>
      <c r="H1113" s="12"/>
      <c r="I1113" s="31"/>
      <c r="J1113" s="12"/>
      <c r="K1113" s="12"/>
      <c r="L1113" s="16"/>
      <c r="M1113" s="46"/>
      <c r="N1113" s="46"/>
      <c r="O1113" s="31"/>
      <c r="P1113" s="16"/>
      <c r="Q1113" s="16"/>
      <c r="R1113" s="16" t="str">
        <f t="shared" si="2"/>
        <v/>
      </c>
    </row>
    <row r="1114">
      <c r="B1114" s="16"/>
      <c r="C1114" s="12"/>
      <c r="D1114" s="12"/>
      <c r="E1114" s="12"/>
      <c r="F1114" s="12"/>
      <c r="G1114" s="25"/>
      <c r="H1114" s="12"/>
      <c r="I1114" s="31"/>
      <c r="J1114" s="12"/>
      <c r="K1114" s="12"/>
      <c r="L1114" s="16"/>
      <c r="M1114" s="46"/>
      <c r="N1114" s="46"/>
      <c r="O1114" s="31"/>
      <c r="P1114" s="16"/>
      <c r="Q1114" s="16"/>
      <c r="R1114" s="16" t="str">
        <f t="shared" si="2"/>
        <v/>
      </c>
    </row>
    <row r="1115">
      <c r="B1115" s="16"/>
      <c r="C1115" s="12"/>
      <c r="D1115" s="12"/>
      <c r="E1115" s="12"/>
      <c r="F1115" s="12"/>
      <c r="G1115" s="25"/>
      <c r="H1115" s="12"/>
      <c r="I1115" s="31"/>
      <c r="J1115" s="12"/>
      <c r="K1115" s="12"/>
      <c r="L1115" s="16"/>
      <c r="M1115" s="46"/>
      <c r="N1115" s="46"/>
      <c r="O1115" s="31"/>
      <c r="P1115" s="16"/>
      <c r="Q1115" s="16"/>
      <c r="R1115" s="16" t="str">
        <f t="shared" si="2"/>
        <v/>
      </c>
    </row>
    <row r="1116">
      <c r="B1116" s="16"/>
      <c r="C1116" s="12"/>
      <c r="D1116" s="12"/>
      <c r="E1116" s="12"/>
      <c r="F1116" s="12"/>
      <c r="G1116" s="25"/>
      <c r="H1116" s="12"/>
      <c r="I1116" s="31"/>
      <c r="J1116" s="12"/>
      <c r="K1116" s="12"/>
      <c r="L1116" s="16"/>
      <c r="M1116" s="46"/>
      <c r="N1116" s="46"/>
      <c r="O1116" s="31"/>
      <c r="P1116" s="16"/>
      <c r="Q1116" s="16"/>
      <c r="R1116" s="16" t="str">
        <f t="shared" si="2"/>
        <v/>
      </c>
    </row>
    <row r="1117">
      <c r="B1117" s="16"/>
      <c r="C1117" s="12"/>
      <c r="D1117" s="12"/>
      <c r="E1117" s="12"/>
      <c r="F1117" s="12"/>
      <c r="G1117" s="25"/>
      <c r="H1117" s="12"/>
      <c r="I1117" s="31"/>
      <c r="J1117" s="12"/>
      <c r="K1117" s="12"/>
      <c r="L1117" s="16"/>
      <c r="M1117" s="46"/>
      <c r="N1117" s="46"/>
      <c r="O1117" s="31"/>
      <c r="P1117" s="16"/>
      <c r="Q1117" s="16"/>
      <c r="R1117" s="16" t="str">
        <f t="shared" si="2"/>
        <v/>
      </c>
    </row>
    <row r="1118">
      <c r="B1118" s="16"/>
      <c r="C1118" s="12"/>
      <c r="D1118" s="12"/>
      <c r="E1118" s="12"/>
      <c r="F1118" s="12"/>
      <c r="G1118" s="25"/>
      <c r="H1118" s="12"/>
      <c r="I1118" s="31"/>
      <c r="J1118" s="12"/>
      <c r="K1118" s="12"/>
      <c r="L1118" s="16"/>
      <c r="M1118" s="46"/>
      <c r="N1118" s="46"/>
      <c r="O1118" s="31"/>
      <c r="P1118" s="16"/>
      <c r="Q1118" s="16"/>
      <c r="R1118" s="16" t="str">
        <f t="shared" si="2"/>
        <v/>
      </c>
    </row>
    <row r="1119">
      <c r="B1119" s="16"/>
      <c r="C1119" s="12"/>
      <c r="D1119" s="12"/>
      <c r="E1119" s="12"/>
      <c r="F1119" s="12"/>
      <c r="G1119" s="25"/>
      <c r="H1119" s="12"/>
      <c r="I1119" s="31"/>
      <c r="J1119" s="12"/>
      <c r="K1119" s="12"/>
      <c r="L1119" s="16"/>
      <c r="M1119" s="46"/>
      <c r="N1119" s="46"/>
      <c r="O1119" s="31"/>
      <c r="P1119" s="16"/>
      <c r="Q1119" s="16"/>
      <c r="R1119" s="16" t="str">
        <f t="shared" si="2"/>
        <v/>
      </c>
    </row>
    <row r="1120">
      <c r="B1120" s="16"/>
      <c r="C1120" s="12"/>
      <c r="D1120" s="12"/>
      <c r="E1120" s="12"/>
      <c r="F1120" s="12"/>
      <c r="G1120" s="25"/>
      <c r="H1120" s="12"/>
      <c r="I1120" s="31"/>
      <c r="J1120" s="12"/>
      <c r="K1120" s="12"/>
      <c r="L1120" s="16"/>
      <c r="M1120" s="46"/>
      <c r="N1120" s="46"/>
      <c r="O1120" s="31"/>
      <c r="P1120" s="16"/>
      <c r="Q1120" s="16"/>
      <c r="R1120" s="16" t="str">
        <f t="shared" si="2"/>
        <v/>
      </c>
    </row>
    <row r="1121">
      <c r="B1121" s="16"/>
      <c r="C1121" s="12"/>
      <c r="D1121" s="12"/>
      <c r="E1121" s="12"/>
      <c r="F1121" s="12"/>
      <c r="G1121" s="25"/>
      <c r="H1121" s="12"/>
      <c r="I1121" s="31"/>
      <c r="J1121" s="12"/>
      <c r="K1121" s="12"/>
      <c r="L1121" s="16"/>
      <c r="M1121" s="46"/>
      <c r="N1121" s="46"/>
      <c r="O1121" s="31"/>
      <c r="P1121" s="16"/>
      <c r="Q1121" s="16"/>
      <c r="R1121" s="16" t="str">
        <f t="shared" si="2"/>
        <v/>
      </c>
    </row>
    <row r="1122">
      <c r="B1122" s="16"/>
      <c r="C1122" s="12"/>
      <c r="D1122" s="12"/>
      <c r="E1122" s="12"/>
      <c r="F1122" s="12"/>
      <c r="G1122" s="25"/>
      <c r="H1122" s="12"/>
      <c r="I1122" s="31"/>
      <c r="J1122" s="12"/>
      <c r="K1122" s="12"/>
      <c r="L1122" s="16"/>
      <c r="M1122" s="46"/>
      <c r="N1122" s="46"/>
      <c r="O1122" s="31"/>
      <c r="P1122" s="16"/>
      <c r="Q1122" s="16"/>
      <c r="R1122" s="16" t="str">
        <f t="shared" si="2"/>
        <v/>
      </c>
    </row>
    <row r="1123">
      <c r="B1123" s="16"/>
      <c r="C1123" s="12"/>
      <c r="D1123" s="12"/>
      <c r="E1123" s="12"/>
      <c r="F1123" s="12"/>
      <c r="G1123" s="25"/>
      <c r="H1123" s="12"/>
      <c r="I1123" s="31"/>
      <c r="J1123" s="12"/>
      <c r="K1123" s="12"/>
      <c r="L1123" s="16"/>
      <c r="M1123" s="46"/>
      <c r="N1123" s="46"/>
      <c r="O1123" s="31"/>
      <c r="P1123" s="16"/>
      <c r="Q1123" s="16"/>
      <c r="R1123" s="16" t="str">
        <f t="shared" si="2"/>
        <v/>
      </c>
    </row>
    <row r="1124">
      <c r="B1124" s="16"/>
      <c r="C1124" s="12"/>
      <c r="D1124" s="12"/>
      <c r="E1124" s="12"/>
      <c r="F1124" s="12"/>
      <c r="G1124" s="25"/>
      <c r="H1124" s="12"/>
      <c r="I1124" s="31"/>
      <c r="J1124" s="12"/>
      <c r="K1124" s="12"/>
      <c r="L1124" s="16"/>
      <c r="M1124" s="46"/>
      <c r="N1124" s="46"/>
      <c r="O1124" s="31"/>
      <c r="P1124" s="16"/>
      <c r="Q1124" s="16"/>
      <c r="R1124" s="16" t="str">
        <f t="shared" si="2"/>
        <v/>
      </c>
    </row>
    <row r="1125">
      <c r="B1125" s="16"/>
      <c r="C1125" s="12"/>
      <c r="D1125" s="12"/>
      <c r="E1125" s="12"/>
      <c r="F1125" s="12"/>
      <c r="G1125" s="25"/>
      <c r="H1125" s="12"/>
      <c r="I1125" s="31"/>
      <c r="J1125" s="12"/>
      <c r="K1125" s="12"/>
      <c r="L1125" s="16"/>
      <c r="M1125" s="46"/>
      <c r="N1125" s="46"/>
      <c r="O1125" s="31"/>
      <c r="P1125" s="16"/>
      <c r="Q1125" s="16"/>
      <c r="R1125" s="16" t="str">
        <f t="shared" si="2"/>
        <v/>
      </c>
    </row>
    <row r="1126">
      <c r="B1126" s="16"/>
      <c r="C1126" s="12"/>
      <c r="D1126" s="12"/>
      <c r="E1126" s="12"/>
      <c r="F1126" s="12"/>
      <c r="G1126" s="25"/>
      <c r="H1126" s="12"/>
      <c r="I1126" s="31"/>
      <c r="J1126" s="12"/>
      <c r="K1126" s="12"/>
      <c r="L1126" s="16"/>
      <c r="M1126" s="46"/>
      <c r="N1126" s="46"/>
      <c r="O1126" s="31"/>
      <c r="P1126" s="16"/>
      <c r="Q1126" s="16"/>
      <c r="R1126" s="16" t="str">
        <f t="shared" si="2"/>
        <v/>
      </c>
    </row>
    <row r="1127">
      <c r="B1127" s="16"/>
      <c r="C1127" s="12"/>
      <c r="D1127" s="12"/>
      <c r="E1127" s="12"/>
      <c r="F1127" s="12"/>
      <c r="G1127" s="25"/>
      <c r="H1127" s="12"/>
      <c r="I1127" s="31"/>
      <c r="J1127" s="12"/>
      <c r="K1127" s="12"/>
      <c r="L1127" s="16"/>
      <c r="M1127" s="46"/>
      <c r="N1127" s="46"/>
      <c r="O1127" s="31"/>
      <c r="P1127" s="16"/>
      <c r="Q1127" s="16"/>
      <c r="R1127" s="16" t="str">
        <f t="shared" si="2"/>
        <v/>
      </c>
    </row>
    <row r="1128">
      <c r="B1128" s="16"/>
      <c r="C1128" s="12"/>
      <c r="D1128" s="12"/>
      <c r="E1128" s="12"/>
      <c r="F1128" s="12"/>
      <c r="G1128" s="25"/>
      <c r="H1128" s="12"/>
      <c r="I1128" s="31"/>
      <c r="J1128" s="12"/>
      <c r="K1128" s="12"/>
      <c r="L1128" s="16"/>
      <c r="M1128" s="46"/>
      <c r="N1128" s="46"/>
      <c r="O1128" s="31"/>
      <c r="P1128" s="16"/>
      <c r="Q1128" s="16"/>
      <c r="R1128" s="16" t="str">
        <f t="shared" si="2"/>
        <v/>
      </c>
    </row>
    <row r="1129">
      <c r="B1129" s="16"/>
      <c r="C1129" s="12"/>
      <c r="D1129" s="12"/>
      <c r="E1129" s="12"/>
      <c r="F1129" s="12"/>
      <c r="G1129" s="25"/>
      <c r="H1129" s="12"/>
      <c r="I1129" s="31"/>
      <c r="J1129" s="12"/>
      <c r="K1129" s="12"/>
      <c r="L1129" s="16"/>
      <c r="M1129" s="46"/>
      <c r="N1129" s="46"/>
      <c r="O1129" s="31"/>
      <c r="P1129" s="16"/>
      <c r="Q1129" s="16"/>
      <c r="R1129" s="16" t="str">
        <f t="shared" si="2"/>
        <v/>
      </c>
    </row>
    <row r="1130">
      <c r="B1130" s="16"/>
      <c r="C1130" s="12"/>
      <c r="D1130" s="12"/>
      <c r="E1130" s="12"/>
      <c r="F1130" s="12"/>
      <c r="G1130" s="25"/>
      <c r="H1130" s="12"/>
      <c r="I1130" s="31"/>
      <c r="J1130" s="12"/>
      <c r="K1130" s="12"/>
      <c r="L1130" s="16"/>
      <c r="M1130" s="46"/>
      <c r="N1130" s="46"/>
      <c r="O1130" s="31"/>
      <c r="P1130" s="16"/>
      <c r="Q1130" s="16"/>
      <c r="R1130" s="16" t="str">
        <f t="shared" si="2"/>
        <v/>
      </c>
    </row>
    <row r="1131">
      <c r="B1131" s="16"/>
      <c r="C1131" s="12"/>
      <c r="D1131" s="12"/>
      <c r="E1131" s="12"/>
      <c r="F1131" s="12"/>
      <c r="G1131" s="25"/>
      <c r="H1131" s="12"/>
      <c r="I1131" s="31"/>
      <c r="J1131" s="12"/>
      <c r="K1131" s="12"/>
      <c r="L1131" s="16"/>
      <c r="M1131" s="46"/>
      <c r="N1131" s="46"/>
      <c r="O1131" s="31"/>
      <c r="P1131" s="16"/>
      <c r="Q1131" s="16"/>
      <c r="R1131" s="16" t="str">
        <f t="shared" si="2"/>
        <v/>
      </c>
    </row>
    <row r="1132">
      <c r="B1132" s="16"/>
      <c r="C1132" s="12"/>
      <c r="D1132" s="12"/>
      <c r="E1132" s="12"/>
      <c r="F1132" s="12"/>
      <c r="G1132" s="25"/>
      <c r="H1132" s="12"/>
      <c r="I1132" s="31"/>
      <c r="J1132" s="12"/>
      <c r="K1132" s="12"/>
      <c r="L1132" s="16"/>
      <c r="M1132" s="46"/>
      <c r="N1132" s="46"/>
      <c r="O1132" s="31"/>
      <c r="P1132" s="16"/>
      <c r="Q1132" s="16"/>
      <c r="R1132" s="16" t="str">
        <f t="shared" si="2"/>
        <v/>
      </c>
    </row>
    <row r="1133">
      <c r="B1133" s="16"/>
      <c r="C1133" s="12"/>
      <c r="D1133" s="12"/>
      <c r="E1133" s="12"/>
      <c r="F1133" s="12"/>
      <c r="G1133" s="25"/>
      <c r="H1133" s="12"/>
      <c r="I1133" s="31"/>
      <c r="J1133" s="12"/>
      <c r="K1133" s="12"/>
      <c r="L1133" s="16"/>
      <c r="M1133" s="46"/>
      <c r="N1133" s="46"/>
      <c r="O1133" s="31"/>
      <c r="P1133" s="16"/>
      <c r="Q1133" s="16"/>
      <c r="R1133" s="16" t="str">
        <f t="shared" si="2"/>
        <v/>
      </c>
    </row>
    <row r="1134">
      <c r="B1134" s="16"/>
      <c r="C1134" s="12"/>
      <c r="D1134" s="12"/>
      <c r="E1134" s="12"/>
      <c r="F1134" s="12"/>
      <c r="G1134" s="25"/>
      <c r="H1134" s="12"/>
      <c r="I1134" s="31"/>
      <c r="J1134" s="12"/>
      <c r="K1134" s="12"/>
      <c r="L1134" s="16"/>
      <c r="M1134" s="46"/>
      <c r="N1134" s="46"/>
      <c r="O1134" s="31"/>
      <c r="P1134" s="16"/>
      <c r="Q1134" s="16"/>
      <c r="R1134" s="16" t="str">
        <f t="shared" si="2"/>
        <v/>
      </c>
    </row>
    <row r="1135">
      <c r="B1135" s="16"/>
      <c r="C1135" s="12"/>
      <c r="D1135" s="12"/>
      <c r="E1135" s="12"/>
      <c r="F1135" s="12"/>
      <c r="G1135" s="25"/>
      <c r="H1135" s="12"/>
      <c r="I1135" s="31"/>
      <c r="J1135" s="12"/>
      <c r="K1135" s="12"/>
      <c r="L1135" s="16"/>
      <c r="M1135" s="46"/>
      <c r="N1135" s="46"/>
      <c r="O1135" s="31"/>
      <c r="P1135" s="16"/>
      <c r="Q1135" s="16"/>
      <c r="R1135" s="16" t="str">
        <f t="shared" si="2"/>
        <v/>
      </c>
    </row>
    <row r="1136">
      <c r="B1136" s="16"/>
      <c r="C1136" s="12"/>
      <c r="D1136" s="12"/>
      <c r="E1136" s="12"/>
      <c r="F1136" s="12"/>
      <c r="G1136" s="25"/>
      <c r="H1136" s="12"/>
      <c r="I1136" s="31"/>
      <c r="J1136" s="12"/>
      <c r="K1136" s="12"/>
      <c r="L1136" s="16"/>
      <c r="M1136" s="46"/>
      <c r="N1136" s="46"/>
      <c r="O1136" s="31"/>
      <c r="P1136" s="16"/>
      <c r="Q1136" s="16"/>
      <c r="R1136" s="16" t="str">
        <f t="shared" si="2"/>
        <v/>
      </c>
    </row>
    <row r="1137">
      <c r="B1137" s="16"/>
      <c r="C1137" s="12"/>
      <c r="D1137" s="12"/>
      <c r="E1137" s="12"/>
      <c r="F1137" s="12"/>
      <c r="G1137" s="25"/>
      <c r="H1137" s="12"/>
      <c r="I1137" s="31"/>
      <c r="J1137" s="12"/>
      <c r="K1137" s="12"/>
      <c r="L1137" s="16"/>
      <c r="M1137" s="46"/>
      <c r="N1137" s="46"/>
      <c r="O1137" s="31"/>
      <c r="P1137" s="16"/>
      <c r="Q1137" s="16"/>
      <c r="R1137" s="16" t="str">
        <f t="shared" si="2"/>
        <v/>
      </c>
    </row>
    <row r="1138">
      <c r="B1138" s="16"/>
      <c r="C1138" s="12"/>
      <c r="D1138" s="12"/>
      <c r="E1138" s="12"/>
      <c r="F1138" s="12"/>
      <c r="G1138" s="25"/>
      <c r="H1138" s="12"/>
      <c r="I1138" s="31"/>
      <c r="J1138" s="12"/>
      <c r="K1138" s="12"/>
      <c r="L1138" s="16"/>
      <c r="M1138" s="46"/>
      <c r="N1138" s="46"/>
      <c r="O1138" s="31"/>
      <c r="P1138" s="16"/>
      <c r="Q1138" s="16"/>
      <c r="R1138" s="16" t="str">
        <f t="shared" si="2"/>
        <v/>
      </c>
    </row>
    <row r="1139">
      <c r="B1139" s="16"/>
      <c r="C1139" s="12"/>
      <c r="D1139" s="12"/>
      <c r="E1139" s="12"/>
      <c r="F1139" s="12"/>
      <c r="G1139" s="25"/>
      <c r="H1139" s="12"/>
      <c r="I1139" s="31"/>
      <c r="J1139" s="12"/>
      <c r="K1139" s="12"/>
      <c r="L1139" s="16"/>
      <c r="M1139" s="46"/>
      <c r="N1139" s="46"/>
      <c r="O1139" s="31"/>
      <c r="P1139" s="16"/>
      <c r="Q1139" s="16"/>
      <c r="R1139" s="16" t="str">
        <f t="shared" si="2"/>
        <v/>
      </c>
    </row>
    <row r="1140">
      <c r="B1140" s="16"/>
      <c r="C1140" s="12"/>
      <c r="D1140" s="12"/>
      <c r="E1140" s="12"/>
      <c r="F1140" s="12"/>
      <c r="G1140" s="25"/>
      <c r="H1140" s="12"/>
      <c r="I1140" s="31"/>
      <c r="J1140" s="12"/>
      <c r="K1140" s="12"/>
      <c r="L1140" s="16"/>
      <c r="M1140" s="46"/>
      <c r="N1140" s="46"/>
      <c r="O1140" s="31"/>
      <c r="P1140" s="16"/>
      <c r="Q1140" s="16"/>
      <c r="R1140" s="16" t="str">
        <f t="shared" si="2"/>
        <v/>
      </c>
    </row>
    <row r="1141">
      <c r="B1141" s="16"/>
      <c r="C1141" s="12"/>
      <c r="D1141" s="12"/>
      <c r="E1141" s="12"/>
      <c r="F1141" s="12"/>
      <c r="G1141" s="25"/>
      <c r="H1141" s="12"/>
      <c r="I1141" s="31"/>
      <c r="J1141" s="12"/>
      <c r="K1141" s="12"/>
      <c r="L1141" s="16"/>
      <c r="M1141" s="46"/>
      <c r="N1141" s="46"/>
      <c r="O1141" s="31"/>
      <c r="P1141" s="16"/>
      <c r="Q1141" s="16"/>
      <c r="R1141" s="16" t="str">
        <f t="shared" si="2"/>
        <v/>
      </c>
    </row>
    <row r="1142">
      <c r="B1142" s="16"/>
      <c r="C1142" s="12"/>
      <c r="D1142" s="12"/>
      <c r="E1142" s="12"/>
      <c r="F1142" s="12"/>
      <c r="G1142" s="25"/>
      <c r="H1142" s="12"/>
      <c r="I1142" s="31"/>
      <c r="J1142" s="12"/>
      <c r="K1142" s="12"/>
      <c r="L1142" s="16"/>
      <c r="M1142" s="46"/>
      <c r="N1142" s="46"/>
      <c r="O1142" s="31"/>
      <c r="P1142" s="16"/>
      <c r="Q1142" s="16"/>
      <c r="R1142" s="16" t="str">
        <f t="shared" si="2"/>
        <v/>
      </c>
    </row>
    <row r="1143">
      <c r="B1143" s="16"/>
      <c r="C1143" s="12"/>
      <c r="D1143" s="12"/>
      <c r="E1143" s="12"/>
      <c r="F1143" s="12"/>
      <c r="G1143" s="25"/>
      <c r="H1143" s="12"/>
      <c r="I1143" s="31"/>
      <c r="J1143" s="12"/>
      <c r="K1143" s="12"/>
      <c r="L1143" s="16"/>
      <c r="M1143" s="46"/>
      <c r="N1143" s="46"/>
      <c r="O1143" s="31"/>
      <c r="P1143" s="16"/>
      <c r="Q1143" s="16"/>
      <c r="R1143" s="16" t="str">
        <f t="shared" si="2"/>
        <v/>
      </c>
    </row>
    <row r="1144">
      <c r="B1144" s="16"/>
      <c r="C1144" s="12"/>
      <c r="D1144" s="12"/>
      <c r="E1144" s="12"/>
      <c r="F1144" s="12"/>
      <c r="G1144" s="25"/>
      <c r="H1144" s="12"/>
      <c r="I1144" s="31"/>
      <c r="J1144" s="12"/>
      <c r="K1144" s="12"/>
      <c r="L1144" s="16"/>
      <c r="M1144" s="46"/>
      <c r="N1144" s="46"/>
      <c r="O1144" s="31"/>
      <c r="P1144" s="16"/>
      <c r="Q1144" s="16"/>
      <c r="R1144" s="16" t="str">
        <f t="shared" si="2"/>
        <v/>
      </c>
    </row>
    <row r="1145">
      <c r="B1145" s="16"/>
      <c r="C1145" s="12"/>
      <c r="D1145" s="12"/>
      <c r="E1145" s="12"/>
      <c r="F1145" s="12"/>
      <c r="G1145" s="25"/>
      <c r="H1145" s="12"/>
      <c r="I1145" s="31"/>
      <c r="J1145" s="12"/>
      <c r="K1145" s="12"/>
      <c r="L1145" s="16"/>
      <c r="M1145" s="46"/>
      <c r="N1145" s="46"/>
      <c r="O1145" s="31"/>
      <c r="P1145" s="16"/>
      <c r="Q1145" s="16"/>
      <c r="R1145" s="16" t="str">
        <f t="shared" si="2"/>
        <v/>
      </c>
    </row>
    <row r="1146">
      <c r="B1146" s="16"/>
      <c r="C1146" s="12"/>
      <c r="D1146" s="12"/>
      <c r="E1146" s="12"/>
      <c r="F1146" s="12"/>
      <c r="G1146" s="25"/>
      <c r="H1146" s="12"/>
      <c r="I1146" s="31"/>
      <c r="J1146" s="12"/>
      <c r="K1146" s="12"/>
      <c r="L1146" s="16"/>
      <c r="M1146" s="46"/>
      <c r="N1146" s="46"/>
      <c r="O1146" s="31"/>
      <c r="P1146" s="16"/>
      <c r="Q1146" s="16"/>
      <c r="R1146" s="16" t="str">
        <f t="shared" si="2"/>
        <v/>
      </c>
    </row>
    <row r="1147">
      <c r="B1147" s="16"/>
      <c r="C1147" s="12"/>
      <c r="D1147" s="12"/>
      <c r="E1147" s="12"/>
      <c r="F1147" s="12"/>
      <c r="G1147" s="25"/>
      <c r="H1147" s="12"/>
      <c r="I1147" s="31"/>
      <c r="J1147" s="12"/>
      <c r="K1147" s="12"/>
      <c r="L1147" s="16"/>
      <c r="M1147" s="46"/>
      <c r="N1147" s="46"/>
      <c r="O1147" s="31"/>
      <c r="P1147" s="16"/>
      <c r="Q1147" s="16"/>
      <c r="R1147" s="16" t="str">
        <f t="shared" si="2"/>
        <v/>
      </c>
    </row>
    <row r="1148">
      <c r="B1148" s="16"/>
      <c r="C1148" s="12"/>
      <c r="D1148" s="12"/>
      <c r="E1148" s="12"/>
      <c r="F1148" s="12"/>
      <c r="G1148" s="25"/>
      <c r="H1148" s="12"/>
      <c r="I1148" s="31"/>
      <c r="J1148" s="12"/>
      <c r="K1148" s="12"/>
      <c r="L1148" s="16"/>
      <c r="M1148" s="46"/>
      <c r="N1148" s="46"/>
      <c r="O1148" s="31"/>
      <c r="P1148" s="16"/>
      <c r="Q1148" s="16"/>
      <c r="R1148" s="16" t="str">
        <f t="shared" si="2"/>
        <v/>
      </c>
    </row>
    <row r="1149">
      <c r="B1149" s="16"/>
      <c r="C1149" s="12"/>
      <c r="D1149" s="12"/>
      <c r="E1149" s="12"/>
      <c r="F1149" s="12"/>
      <c r="G1149" s="25"/>
      <c r="H1149" s="12"/>
      <c r="I1149" s="31"/>
      <c r="J1149" s="12"/>
      <c r="K1149" s="12"/>
      <c r="L1149" s="16"/>
      <c r="M1149" s="46"/>
      <c r="N1149" s="46"/>
      <c r="O1149" s="31"/>
      <c r="P1149" s="16"/>
      <c r="Q1149" s="16"/>
      <c r="R1149" s="16" t="str">
        <f t="shared" si="2"/>
        <v/>
      </c>
    </row>
    <row r="1150">
      <c r="B1150" s="16"/>
      <c r="C1150" s="12"/>
      <c r="D1150" s="12"/>
      <c r="E1150" s="12"/>
      <c r="F1150" s="12"/>
      <c r="G1150" s="25"/>
      <c r="H1150" s="12"/>
      <c r="I1150" s="31"/>
      <c r="J1150" s="12"/>
      <c r="K1150" s="12"/>
      <c r="L1150" s="16"/>
      <c r="M1150" s="46"/>
      <c r="N1150" s="46"/>
      <c r="O1150" s="31"/>
      <c r="P1150" s="16"/>
      <c r="Q1150" s="16"/>
      <c r="R1150" s="16" t="str">
        <f t="shared" si="2"/>
        <v/>
      </c>
    </row>
    <row r="1151">
      <c r="B1151" s="16"/>
      <c r="C1151" s="12"/>
      <c r="D1151" s="12"/>
      <c r="E1151" s="12"/>
      <c r="F1151" s="12"/>
      <c r="G1151" s="25"/>
      <c r="H1151" s="12"/>
      <c r="I1151" s="31"/>
      <c r="J1151" s="12"/>
      <c r="K1151" s="12"/>
      <c r="L1151" s="16"/>
      <c r="M1151" s="46"/>
      <c r="N1151" s="46"/>
      <c r="O1151" s="31"/>
      <c r="P1151" s="16"/>
      <c r="Q1151" s="16"/>
      <c r="R1151" s="16" t="str">
        <f t="shared" si="2"/>
        <v/>
      </c>
    </row>
    <row r="1152">
      <c r="B1152" s="16"/>
      <c r="C1152" s="12"/>
      <c r="D1152" s="12"/>
      <c r="E1152" s="12"/>
      <c r="F1152" s="12"/>
      <c r="G1152" s="25"/>
      <c r="H1152" s="12"/>
      <c r="I1152" s="31"/>
      <c r="J1152" s="12"/>
      <c r="K1152" s="12"/>
      <c r="L1152" s="16"/>
      <c r="M1152" s="46"/>
      <c r="N1152" s="46"/>
      <c r="O1152" s="31"/>
      <c r="P1152" s="16"/>
      <c r="Q1152" s="16"/>
      <c r="R1152" s="16" t="str">
        <f t="shared" si="2"/>
        <v/>
      </c>
    </row>
    <row r="1153">
      <c r="B1153" s="16"/>
      <c r="C1153" s="12"/>
      <c r="D1153" s="12"/>
      <c r="E1153" s="12"/>
      <c r="F1153" s="12"/>
      <c r="G1153" s="25"/>
      <c r="H1153" s="12"/>
      <c r="I1153" s="31"/>
      <c r="J1153" s="12"/>
      <c r="K1153" s="12"/>
      <c r="L1153" s="16"/>
      <c r="M1153" s="46"/>
      <c r="N1153" s="46"/>
      <c r="O1153" s="31"/>
      <c r="P1153" s="16"/>
      <c r="Q1153" s="16"/>
      <c r="R1153" s="16" t="str">
        <f t="shared" si="2"/>
        <v/>
      </c>
    </row>
    <row r="1154">
      <c r="B1154" s="16"/>
      <c r="C1154" s="12"/>
      <c r="D1154" s="12"/>
      <c r="E1154" s="12"/>
      <c r="F1154" s="12"/>
      <c r="G1154" s="25"/>
      <c r="H1154" s="12"/>
      <c r="I1154" s="31"/>
      <c r="J1154" s="12"/>
      <c r="K1154" s="12"/>
      <c r="L1154" s="16"/>
      <c r="M1154" s="46"/>
      <c r="N1154" s="46"/>
      <c r="O1154" s="31"/>
      <c r="P1154" s="16"/>
      <c r="Q1154" s="16"/>
      <c r="R1154" s="16" t="str">
        <f t="shared" si="2"/>
        <v/>
      </c>
    </row>
    <row r="1155">
      <c r="B1155" s="16"/>
      <c r="C1155" s="12"/>
      <c r="D1155" s="12"/>
      <c r="E1155" s="12"/>
      <c r="F1155" s="12"/>
      <c r="G1155" s="25"/>
      <c r="H1155" s="12"/>
      <c r="I1155" s="31"/>
      <c r="J1155" s="12"/>
      <c r="K1155" s="12"/>
      <c r="L1155" s="16"/>
      <c r="M1155" s="46"/>
      <c r="N1155" s="46"/>
      <c r="O1155" s="31"/>
      <c r="P1155" s="16"/>
      <c r="Q1155" s="16"/>
      <c r="R1155" s="16" t="str">
        <f t="shared" si="2"/>
        <v/>
      </c>
    </row>
    <row r="1156">
      <c r="B1156" s="16"/>
      <c r="C1156" s="12"/>
      <c r="D1156" s="12"/>
      <c r="E1156" s="12"/>
      <c r="F1156" s="12"/>
      <c r="G1156" s="25"/>
      <c r="H1156" s="12"/>
      <c r="I1156" s="31"/>
      <c r="J1156" s="12"/>
      <c r="K1156" s="12"/>
      <c r="L1156" s="16"/>
      <c r="M1156" s="46"/>
      <c r="N1156" s="46"/>
      <c r="O1156" s="31"/>
      <c r="P1156" s="16"/>
      <c r="Q1156" s="16"/>
      <c r="R1156" s="16" t="str">
        <f t="shared" si="2"/>
        <v/>
      </c>
    </row>
    <row r="1157">
      <c r="B1157" s="16"/>
      <c r="C1157" s="12"/>
      <c r="D1157" s="12"/>
      <c r="E1157" s="12"/>
      <c r="F1157" s="12"/>
      <c r="G1157" s="25"/>
      <c r="H1157" s="12"/>
      <c r="I1157" s="31"/>
      <c r="J1157" s="12"/>
      <c r="K1157" s="12"/>
      <c r="L1157" s="16"/>
      <c r="M1157" s="46"/>
      <c r="N1157" s="46"/>
      <c r="O1157" s="31"/>
      <c r="P1157" s="16"/>
      <c r="Q1157" s="16"/>
      <c r="R1157" s="16" t="str">
        <f t="shared" si="2"/>
        <v/>
      </c>
    </row>
    <row r="1158">
      <c r="B1158" s="16"/>
      <c r="C1158" s="12"/>
      <c r="D1158" s="12"/>
      <c r="E1158" s="12"/>
      <c r="F1158" s="12"/>
      <c r="G1158" s="25"/>
      <c r="H1158" s="12"/>
      <c r="I1158" s="31"/>
      <c r="J1158" s="12"/>
      <c r="K1158" s="12"/>
      <c r="L1158" s="16"/>
      <c r="M1158" s="46"/>
      <c r="N1158" s="46"/>
      <c r="O1158" s="31"/>
      <c r="P1158" s="16"/>
      <c r="Q1158" s="16"/>
      <c r="R1158" s="16" t="str">
        <f t="shared" si="2"/>
        <v/>
      </c>
    </row>
    <row r="1159">
      <c r="B1159" s="16"/>
      <c r="C1159" s="12"/>
      <c r="D1159" s="12"/>
      <c r="E1159" s="12"/>
      <c r="F1159" s="12"/>
      <c r="G1159" s="25"/>
      <c r="H1159" s="12"/>
      <c r="I1159" s="31"/>
      <c r="J1159" s="12"/>
      <c r="K1159" s="12"/>
      <c r="L1159" s="16"/>
      <c r="M1159" s="46"/>
      <c r="N1159" s="46"/>
      <c r="O1159" s="31"/>
      <c r="P1159" s="16"/>
      <c r="Q1159" s="16"/>
      <c r="R1159" s="16" t="str">
        <f t="shared" si="2"/>
        <v/>
      </c>
    </row>
    <row r="1160">
      <c r="B1160" s="16"/>
      <c r="C1160" s="12"/>
      <c r="D1160" s="12"/>
      <c r="E1160" s="12"/>
      <c r="F1160" s="12"/>
      <c r="G1160" s="25"/>
      <c r="H1160" s="12"/>
      <c r="I1160" s="31"/>
      <c r="J1160" s="12"/>
      <c r="K1160" s="12"/>
      <c r="L1160" s="16"/>
      <c r="M1160" s="46"/>
      <c r="N1160" s="46"/>
      <c r="O1160" s="31"/>
      <c r="P1160" s="16"/>
      <c r="Q1160" s="16"/>
      <c r="R1160" s="16" t="str">
        <f t="shared" si="2"/>
        <v/>
      </c>
    </row>
    <row r="1161">
      <c r="B1161" s="16"/>
      <c r="C1161" s="12"/>
      <c r="D1161" s="12"/>
      <c r="E1161" s="12"/>
      <c r="F1161" s="12"/>
      <c r="G1161" s="25"/>
      <c r="H1161" s="12"/>
      <c r="I1161" s="31"/>
      <c r="J1161" s="12"/>
      <c r="K1161" s="12"/>
      <c r="L1161" s="16"/>
      <c r="M1161" s="46"/>
      <c r="N1161" s="46"/>
      <c r="O1161" s="31"/>
      <c r="P1161" s="16"/>
      <c r="Q1161" s="16"/>
      <c r="R1161" s="16" t="str">
        <f t="shared" si="2"/>
        <v/>
      </c>
    </row>
    <row r="1162">
      <c r="B1162" s="16"/>
      <c r="C1162" s="12"/>
      <c r="D1162" s="12"/>
      <c r="E1162" s="12"/>
      <c r="F1162" s="12"/>
      <c r="G1162" s="25"/>
      <c r="H1162" s="12"/>
      <c r="I1162" s="31"/>
      <c r="J1162" s="12"/>
      <c r="K1162" s="12"/>
      <c r="L1162" s="16"/>
      <c r="M1162" s="46"/>
      <c r="N1162" s="46"/>
      <c r="O1162" s="31"/>
      <c r="P1162" s="16"/>
      <c r="Q1162" s="16"/>
      <c r="R1162" s="16" t="str">
        <f t="shared" si="2"/>
        <v/>
      </c>
    </row>
    <row r="1163">
      <c r="B1163" s="16"/>
      <c r="C1163" s="12"/>
      <c r="D1163" s="12"/>
      <c r="E1163" s="12"/>
      <c r="F1163" s="12"/>
      <c r="G1163" s="25"/>
      <c r="H1163" s="12"/>
      <c r="I1163" s="31"/>
      <c r="J1163" s="12"/>
      <c r="K1163" s="12"/>
      <c r="L1163" s="16"/>
      <c r="M1163" s="46"/>
      <c r="N1163" s="46"/>
      <c r="O1163" s="31"/>
      <c r="P1163" s="16"/>
      <c r="Q1163" s="16"/>
      <c r="R1163" s="16" t="str">
        <f t="shared" si="2"/>
        <v/>
      </c>
    </row>
    <row r="1164">
      <c r="B1164" s="16"/>
      <c r="C1164" s="12"/>
      <c r="D1164" s="12"/>
      <c r="E1164" s="12"/>
      <c r="F1164" s="12"/>
      <c r="G1164" s="25"/>
      <c r="H1164" s="12"/>
      <c r="I1164" s="31"/>
      <c r="J1164" s="12"/>
      <c r="K1164" s="12"/>
      <c r="L1164" s="16"/>
      <c r="M1164" s="46"/>
      <c r="N1164" s="46"/>
      <c r="O1164" s="31"/>
      <c r="P1164" s="16"/>
      <c r="Q1164" s="16"/>
      <c r="R1164" s="16" t="str">
        <f t="shared" si="2"/>
        <v/>
      </c>
    </row>
    <row r="1165">
      <c r="B1165" s="16"/>
      <c r="C1165" s="12"/>
      <c r="D1165" s="12"/>
      <c r="E1165" s="12"/>
      <c r="F1165" s="12"/>
      <c r="G1165" s="25"/>
      <c r="H1165" s="12"/>
      <c r="I1165" s="31"/>
      <c r="J1165" s="12"/>
      <c r="K1165" s="12"/>
      <c r="L1165" s="16"/>
      <c r="M1165" s="46"/>
      <c r="N1165" s="46"/>
      <c r="O1165" s="31"/>
      <c r="P1165" s="16"/>
      <c r="Q1165" s="16"/>
      <c r="R1165" s="16" t="str">
        <f t="shared" si="2"/>
        <v/>
      </c>
    </row>
    <row r="1166">
      <c r="B1166" s="16"/>
      <c r="C1166" s="12"/>
      <c r="D1166" s="12"/>
      <c r="E1166" s="12"/>
      <c r="F1166" s="12"/>
      <c r="G1166" s="25"/>
      <c r="H1166" s="12"/>
      <c r="I1166" s="31"/>
      <c r="J1166" s="12"/>
      <c r="K1166" s="12"/>
      <c r="L1166" s="16"/>
      <c r="M1166" s="46"/>
      <c r="N1166" s="46"/>
      <c r="O1166" s="31"/>
      <c r="P1166" s="16"/>
      <c r="Q1166" s="16"/>
      <c r="R1166" s="16" t="str">
        <f t="shared" si="2"/>
        <v/>
      </c>
    </row>
    <row r="1167">
      <c r="B1167" s="16"/>
      <c r="C1167" s="12"/>
      <c r="D1167" s="12"/>
      <c r="E1167" s="12"/>
      <c r="F1167" s="12"/>
      <c r="G1167" s="25"/>
      <c r="H1167" s="12"/>
      <c r="I1167" s="31"/>
      <c r="J1167" s="12"/>
      <c r="K1167" s="12"/>
      <c r="L1167" s="16"/>
      <c r="M1167" s="46"/>
      <c r="N1167" s="46"/>
      <c r="O1167" s="31"/>
      <c r="P1167" s="16"/>
      <c r="Q1167" s="16"/>
      <c r="R1167" s="16" t="str">
        <f t="shared" si="2"/>
        <v/>
      </c>
    </row>
    <row r="1168">
      <c r="B1168" s="16"/>
      <c r="C1168" s="12"/>
      <c r="D1168" s="12"/>
      <c r="E1168" s="12"/>
      <c r="F1168" s="12"/>
      <c r="G1168" s="25"/>
      <c r="H1168" s="12"/>
      <c r="I1168" s="31"/>
      <c r="J1168" s="12"/>
      <c r="K1168" s="12"/>
      <c r="L1168" s="16"/>
      <c r="M1168" s="46"/>
      <c r="N1168" s="46"/>
      <c r="O1168" s="31"/>
      <c r="P1168" s="16"/>
      <c r="Q1168" s="16"/>
      <c r="R1168" s="16" t="str">
        <f t="shared" si="2"/>
        <v/>
      </c>
    </row>
    <row r="1169">
      <c r="B1169" s="16"/>
      <c r="C1169" s="12"/>
      <c r="D1169" s="12"/>
      <c r="E1169" s="12"/>
      <c r="F1169" s="12"/>
      <c r="G1169" s="25"/>
      <c r="H1169" s="12"/>
      <c r="I1169" s="31"/>
      <c r="J1169" s="12"/>
      <c r="K1169" s="12"/>
      <c r="L1169" s="16"/>
      <c r="M1169" s="46"/>
      <c r="N1169" s="46"/>
      <c r="O1169" s="31"/>
      <c r="P1169" s="16"/>
      <c r="Q1169" s="16"/>
      <c r="R1169" s="16" t="str">
        <f t="shared" si="2"/>
        <v/>
      </c>
    </row>
    <row r="1170">
      <c r="B1170" s="16"/>
      <c r="C1170" s="12"/>
      <c r="D1170" s="12"/>
      <c r="E1170" s="12"/>
      <c r="F1170" s="12"/>
      <c r="G1170" s="25"/>
      <c r="H1170" s="12"/>
      <c r="I1170" s="31"/>
      <c r="J1170" s="12"/>
      <c r="K1170" s="12"/>
      <c r="L1170" s="16"/>
      <c r="M1170" s="46"/>
      <c r="N1170" s="46"/>
      <c r="O1170" s="31"/>
      <c r="P1170" s="16"/>
      <c r="Q1170" s="16"/>
      <c r="R1170" s="16" t="str">
        <f t="shared" si="2"/>
        <v/>
      </c>
    </row>
    <row r="1171">
      <c r="B1171" s="16"/>
      <c r="C1171" s="12"/>
      <c r="D1171" s="12"/>
      <c r="E1171" s="12"/>
      <c r="F1171" s="12"/>
      <c r="G1171" s="25"/>
      <c r="H1171" s="12"/>
      <c r="I1171" s="31"/>
      <c r="J1171" s="12"/>
      <c r="K1171" s="12"/>
      <c r="L1171" s="16"/>
      <c r="M1171" s="46"/>
      <c r="N1171" s="46"/>
      <c r="O1171" s="31"/>
      <c r="P1171" s="16"/>
      <c r="Q1171" s="16"/>
      <c r="R1171" s="16" t="str">
        <f t="shared" si="2"/>
        <v/>
      </c>
    </row>
    <row r="1172">
      <c r="B1172" s="16"/>
      <c r="C1172" s="12"/>
      <c r="D1172" s="12"/>
      <c r="E1172" s="12"/>
      <c r="F1172" s="12"/>
      <c r="G1172" s="25"/>
      <c r="H1172" s="12"/>
      <c r="I1172" s="31"/>
      <c r="J1172" s="12"/>
      <c r="K1172" s="12"/>
      <c r="L1172" s="16"/>
      <c r="M1172" s="46"/>
      <c r="N1172" s="46"/>
      <c r="O1172" s="31"/>
      <c r="P1172" s="16"/>
      <c r="Q1172" s="16"/>
      <c r="R1172" s="16" t="str">
        <f t="shared" si="2"/>
        <v/>
      </c>
    </row>
    <row r="1173">
      <c r="B1173" s="16"/>
      <c r="C1173" s="12"/>
      <c r="D1173" s="12"/>
      <c r="E1173" s="12"/>
      <c r="F1173" s="12"/>
      <c r="G1173" s="25"/>
      <c r="H1173" s="12"/>
      <c r="I1173" s="31"/>
      <c r="J1173" s="12"/>
      <c r="K1173" s="12"/>
      <c r="L1173" s="16"/>
      <c r="M1173" s="46"/>
      <c r="N1173" s="46"/>
      <c r="O1173" s="31"/>
      <c r="P1173" s="16"/>
      <c r="Q1173" s="16"/>
      <c r="R1173" s="16" t="str">
        <f t="shared" si="2"/>
        <v/>
      </c>
    </row>
    <row r="1174">
      <c r="B1174" s="16"/>
      <c r="C1174" s="12"/>
      <c r="D1174" s="12"/>
      <c r="E1174" s="12"/>
      <c r="F1174" s="12"/>
      <c r="G1174" s="25"/>
      <c r="H1174" s="12"/>
      <c r="I1174" s="31"/>
      <c r="J1174" s="12"/>
      <c r="K1174" s="12"/>
      <c r="L1174" s="16"/>
      <c r="M1174" s="46"/>
      <c r="N1174" s="46"/>
      <c r="O1174" s="31"/>
      <c r="P1174" s="16"/>
      <c r="Q1174" s="16"/>
      <c r="R1174" s="16" t="str">
        <f t="shared" si="2"/>
        <v/>
      </c>
    </row>
    <row r="1175">
      <c r="B1175" s="16"/>
      <c r="C1175" s="12"/>
      <c r="D1175" s="12"/>
      <c r="E1175" s="12"/>
      <c r="F1175" s="12"/>
      <c r="G1175" s="25"/>
      <c r="H1175" s="12"/>
      <c r="I1175" s="31"/>
      <c r="J1175" s="12"/>
      <c r="K1175" s="12"/>
      <c r="L1175" s="16"/>
      <c r="M1175" s="46"/>
      <c r="N1175" s="46"/>
      <c r="O1175" s="31"/>
      <c r="P1175" s="16"/>
      <c r="Q1175" s="16"/>
      <c r="R1175" s="16" t="str">
        <f t="shared" si="2"/>
        <v/>
      </c>
    </row>
    <row r="1176">
      <c r="B1176" s="16"/>
      <c r="C1176" s="12"/>
      <c r="D1176" s="12"/>
      <c r="E1176" s="12"/>
      <c r="F1176" s="12"/>
      <c r="G1176" s="25"/>
      <c r="H1176" s="12"/>
      <c r="I1176" s="31"/>
      <c r="J1176" s="12"/>
      <c r="K1176" s="12"/>
      <c r="L1176" s="16"/>
      <c r="M1176" s="46"/>
      <c r="N1176" s="46"/>
      <c r="O1176" s="31"/>
      <c r="P1176" s="16"/>
      <c r="Q1176" s="16"/>
      <c r="R1176" s="16" t="str">
        <f t="shared" si="2"/>
        <v/>
      </c>
    </row>
    <row r="1177">
      <c r="B1177" s="16"/>
      <c r="C1177" s="12"/>
      <c r="D1177" s="12"/>
      <c r="E1177" s="12"/>
      <c r="F1177" s="12"/>
      <c r="G1177" s="25"/>
      <c r="H1177" s="12"/>
      <c r="I1177" s="31"/>
      <c r="J1177" s="12"/>
      <c r="K1177" s="12"/>
      <c r="L1177" s="16"/>
      <c r="M1177" s="46"/>
      <c r="N1177" s="46"/>
      <c r="O1177" s="31"/>
      <c r="P1177" s="16"/>
      <c r="Q1177" s="16"/>
      <c r="R1177" s="16" t="str">
        <f t="shared" si="2"/>
        <v/>
      </c>
    </row>
    <row r="1178">
      <c r="B1178" s="16"/>
      <c r="C1178" s="12"/>
      <c r="D1178" s="12"/>
      <c r="E1178" s="12"/>
      <c r="F1178" s="12"/>
      <c r="G1178" s="25"/>
      <c r="H1178" s="12"/>
      <c r="I1178" s="31"/>
      <c r="J1178" s="12"/>
      <c r="K1178" s="12"/>
      <c r="L1178" s="16"/>
      <c r="M1178" s="46"/>
      <c r="N1178" s="46"/>
      <c r="O1178" s="31"/>
      <c r="P1178" s="16"/>
      <c r="Q1178" s="16"/>
      <c r="R1178" s="16" t="str">
        <f t="shared" si="2"/>
        <v/>
      </c>
    </row>
    <row r="1179">
      <c r="B1179" s="16"/>
      <c r="C1179" s="12"/>
      <c r="D1179" s="12"/>
      <c r="E1179" s="12"/>
      <c r="F1179" s="12"/>
      <c r="G1179" s="25"/>
      <c r="H1179" s="12"/>
      <c r="I1179" s="31"/>
      <c r="J1179" s="12"/>
      <c r="K1179" s="12"/>
      <c r="L1179" s="16"/>
      <c r="M1179" s="46"/>
      <c r="N1179" s="46"/>
      <c r="O1179" s="31"/>
      <c r="P1179" s="16"/>
      <c r="Q1179" s="16"/>
      <c r="R1179" s="16" t="str">
        <f t="shared" si="2"/>
        <v/>
      </c>
    </row>
    <row r="1180">
      <c r="B1180" s="16"/>
      <c r="C1180" s="12"/>
      <c r="D1180" s="12"/>
      <c r="E1180" s="12"/>
      <c r="F1180" s="12"/>
      <c r="G1180" s="25"/>
      <c r="H1180" s="12"/>
      <c r="I1180" s="31"/>
      <c r="J1180" s="12"/>
      <c r="K1180" s="12"/>
      <c r="L1180" s="16"/>
      <c r="M1180" s="46"/>
      <c r="N1180" s="46"/>
      <c r="O1180" s="31"/>
      <c r="P1180" s="16"/>
      <c r="Q1180" s="16"/>
      <c r="R1180" s="16" t="str">
        <f t="shared" si="2"/>
        <v/>
      </c>
    </row>
    <row r="1181">
      <c r="B1181" s="16"/>
      <c r="C1181" s="12"/>
      <c r="D1181" s="12"/>
      <c r="E1181" s="12"/>
      <c r="F1181" s="12"/>
      <c r="G1181" s="25"/>
      <c r="H1181" s="12"/>
      <c r="I1181" s="31"/>
      <c r="J1181" s="12"/>
      <c r="K1181" s="12"/>
      <c r="L1181" s="16"/>
      <c r="M1181" s="46"/>
      <c r="N1181" s="46"/>
      <c r="O1181" s="31"/>
      <c r="P1181" s="16"/>
      <c r="Q1181" s="16"/>
      <c r="R1181" s="16" t="str">
        <f t="shared" si="2"/>
        <v/>
      </c>
    </row>
    <row r="1182">
      <c r="B1182" s="16"/>
      <c r="C1182" s="12"/>
      <c r="D1182" s="12"/>
      <c r="E1182" s="12"/>
      <c r="F1182" s="12"/>
      <c r="G1182" s="25"/>
      <c r="H1182" s="12"/>
      <c r="I1182" s="31"/>
      <c r="J1182" s="12"/>
      <c r="K1182" s="12"/>
      <c r="L1182" s="16"/>
      <c r="M1182" s="46"/>
      <c r="N1182" s="46"/>
      <c r="O1182" s="31"/>
      <c r="P1182" s="16"/>
      <c r="Q1182" s="16"/>
      <c r="R1182" s="16" t="str">
        <f t="shared" si="2"/>
        <v/>
      </c>
    </row>
    <row r="1183">
      <c r="B1183" s="16"/>
      <c r="C1183" s="12"/>
      <c r="D1183" s="12"/>
      <c r="E1183" s="12"/>
      <c r="F1183" s="12"/>
      <c r="G1183" s="25"/>
      <c r="H1183" s="12"/>
      <c r="I1183" s="31"/>
      <c r="J1183" s="12"/>
      <c r="K1183" s="12"/>
      <c r="L1183" s="16"/>
      <c r="M1183" s="46"/>
      <c r="N1183" s="46"/>
      <c r="O1183" s="31"/>
      <c r="P1183" s="16"/>
      <c r="Q1183" s="16"/>
      <c r="R1183" s="16" t="str">
        <f t="shared" si="2"/>
        <v/>
      </c>
    </row>
    <row r="1184">
      <c r="B1184" s="16"/>
      <c r="C1184" s="12"/>
      <c r="D1184" s="12"/>
      <c r="E1184" s="12"/>
      <c r="F1184" s="12"/>
      <c r="G1184" s="25"/>
      <c r="H1184" s="12"/>
      <c r="I1184" s="31"/>
      <c r="J1184" s="12"/>
      <c r="K1184" s="12"/>
      <c r="L1184" s="16"/>
      <c r="M1184" s="46"/>
      <c r="N1184" s="46"/>
      <c r="O1184" s="31"/>
      <c r="P1184" s="16"/>
      <c r="Q1184" s="16"/>
      <c r="R1184" s="16" t="str">
        <f t="shared" si="2"/>
        <v/>
      </c>
    </row>
    <row r="1185">
      <c r="B1185" s="16"/>
      <c r="C1185" s="12"/>
      <c r="D1185" s="12"/>
      <c r="E1185" s="12"/>
      <c r="F1185" s="12"/>
      <c r="G1185" s="25"/>
      <c r="H1185" s="12"/>
      <c r="I1185" s="31"/>
      <c r="J1185" s="12"/>
      <c r="K1185" s="12"/>
      <c r="L1185" s="16"/>
      <c r="M1185" s="46"/>
      <c r="N1185" s="46"/>
      <c r="O1185" s="31"/>
      <c r="P1185" s="16"/>
      <c r="Q1185" s="16"/>
      <c r="R1185" s="16" t="str">
        <f t="shared" si="2"/>
        <v/>
      </c>
    </row>
    <row r="1186">
      <c r="B1186" s="16"/>
      <c r="C1186" s="12"/>
      <c r="D1186" s="12"/>
      <c r="E1186" s="12"/>
      <c r="F1186" s="12"/>
      <c r="G1186" s="25"/>
      <c r="H1186" s="12"/>
      <c r="I1186" s="31"/>
      <c r="J1186" s="12"/>
      <c r="K1186" s="12"/>
      <c r="L1186" s="16"/>
      <c r="M1186" s="46"/>
      <c r="N1186" s="46"/>
      <c r="O1186" s="31"/>
      <c r="P1186" s="16"/>
      <c r="Q1186" s="16"/>
      <c r="R1186" s="16" t="str">
        <f t="shared" si="2"/>
        <v/>
      </c>
    </row>
    <row r="1187">
      <c r="B1187" s="16"/>
      <c r="C1187" s="12"/>
      <c r="D1187" s="12"/>
      <c r="E1187" s="12"/>
      <c r="F1187" s="12"/>
      <c r="G1187" s="25"/>
      <c r="H1187" s="12"/>
      <c r="I1187" s="31"/>
      <c r="J1187" s="12"/>
      <c r="K1187" s="12"/>
      <c r="L1187" s="16"/>
      <c r="M1187" s="46"/>
      <c r="N1187" s="46"/>
      <c r="O1187" s="31"/>
      <c r="P1187" s="16"/>
      <c r="Q1187" s="16"/>
      <c r="R1187" s="16" t="str">
        <f t="shared" si="2"/>
        <v/>
      </c>
    </row>
    <row r="1188">
      <c r="B1188" s="16"/>
      <c r="C1188" s="12"/>
      <c r="D1188" s="12"/>
      <c r="E1188" s="12"/>
      <c r="F1188" s="12"/>
      <c r="G1188" s="25"/>
      <c r="H1188" s="12"/>
      <c r="I1188" s="31"/>
      <c r="J1188" s="12"/>
      <c r="K1188" s="12"/>
      <c r="L1188" s="16"/>
      <c r="M1188" s="46"/>
      <c r="N1188" s="46"/>
      <c r="O1188" s="31"/>
      <c r="P1188" s="16"/>
      <c r="Q1188" s="16"/>
      <c r="R1188" s="16" t="str">
        <f t="shared" si="2"/>
        <v/>
      </c>
    </row>
    <row r="1189">
      <c r="B1189" s="16"/>
      <c r="C1189" s="12"/>
      <c r="D1189" s="12"/>
      <c r="E1189" s="12"/>
      <c r="F1189" s="12"/>
      <c r="G1189" s="25"/>
      <c r="H1189" s="12"/>
      <c r="I1189" s="31"/>
      <c r="J1189" s="12"/>
      <c r="K1189" s="12"/>
      <c r="L1189" s="16"/>
      <c r="M1189" s="46"/>
      <c r="N1189" s="46"/>
      <c r="O1189" s="31"/>
      <c r="P1189" s="16"/>
      <c r="Q1189" s="16"/>
      <c r="R1189" s="16" t="str">
        <f t="shared" si="2"/>
        <v/>
      </c>
    </row>
    <row r="1190">
      <c r="B1190" s="16"/>
      <c r="C1190" s="12"/>
      <c r="D1190" s="12"/>
      <c r="E1190" s="12"/>
      <c r="F1190" s="12"/>
      <c r="G1190" s="25"/>
      <c r="H1190" s="12"/>
      <c r="I1190" s="31"/>
      <c r="J1190" s="12"/>
      <c r="K1190" s="12"/>
      <c r="L1190" s="16"/>
      <c r="M1190" s="46"/>
      <c r="N1190" s="46"/>
      <c r="O1190" s="31"/>
      <c r="P1190" s="16"/>
      <c r="Q1190" s="16"/>
      <c r="R1190" s="16" t="str">
        <f t="shared" si="2"/>
        <v/>
      </c>
    </row>
    <row r="1191">
      <c r="B1191" s="16"/>
      <c r="C1191" s="12"/>
      <c r="D1191" s="12"/>
      <c r="E1191" s="12"/>
      <c r="F1191" s="12"/>
      <c r="G1191" s="25"/>
      <c r="H1191" s="12"/>
      <c r="I1191" s="31"/>
      <c r="J1191" s="12"/>
      <c r="K1191" s="12"/>
      <c r="L1191" s="16"/>
      <c r="M1191" s="46"/>
      <c r="N1191" s="46"/>
      <c r="O1191" s="31"/>
      <c r="P1191" s="16"/>
      <c r="Q1191" s="16"/>
      <c r="R1191" s="16" t="str">
        <f t="shared" si="2"/>
        <v/>
      </c>
    </row>
    <row r="1192">
      <c r="B1192" s="16"/>
      <c r="C1192" s="12"/>
      <c r="D1192" s="12"/>
      <c r="E1192" s="12"/>
      <c r="F1192" s="12"/>
      <c r="G1192" s="25"/>
      <c r="H1192" s="12"/>
      <c r="I1192" s="31"/>
      <c r="J1192" s="12"/>
      <c r="K1192" s="12"/>
      <c r="L1192" s="16"/>
      <c r="M1192" s="46"/>
      <c r="N1192" s="46"/>
      <c r="O1192" s="31"/>
      <c r="P1192" s="16"/>
      <c r="Q1192" s="16"/>
      <c r="R1192" s="16" t="str">
        <f t="shared" si="2"/>
        <v/>
      </c>
    </row>
    <row r="1193">
      <c r="B1193" s="16"/>
      <c r="C1193" s="12"/>
      <c r="D1193" s="12"/>
      <c r="E1193" s="12"/>
      <c r="F1193" s="12"/>
      <c r="G1193" s="25"/>
      <c r="H1193" s="12"/>
      <c r="I1193" s="31"/>
      <c r="J1193" s="12"/>
      <c r="K1193" s="12"/>
      <c r="L1193" s="16"/>
      <c r="M1193" s="46"/>
      <c r="N1193" s="46"/>
      <c r="O1193" s="31"/>
      <c r="P1193" s="16"/>
      <c r="Q1193" s="16"/>
      <c r="R1193" s="16" t="str">
        <f t="shared" si="2"/>
        <v/>
      </c>
    </row>
    <row r="1194">
      <c r="B1194" s="16"/>
      <c r="C1194" s="12"/>
      <c r="D1194" s="12"/>
      <c r="E1194" s="12"/>
      <c r="F1194" s="12"/>
      <c r="G1194" s="25"/>
      <c r="H1194" s="12"/>
      <c r="I1194" s="31"/>
      <c r="J1194" s="12"/>
      <c r="K1194" s="12"/>
      <c r="L1194" s="16"/>
      <c r="M1194" s="46"/>
      <c r="N1194" s="46"/>
      <c r="O1194" s="31"/>
      <c r="P1194" s="16"/>
      <c r="Q1194" s="16"/>
      <c r="R1194" s="16" t="str">
        <f t="shared" si="2"/>
        <v/>
      </c>
    </row>
    <row r="1195">
      <c r="B1195" s="16"/>
      <c r="C1195" s="12"/>
      <c r="D1195" s="12"/>
      <c r="E1195" s="12"/>
      <c r="F1195" s="12"/>
      <c r="G1195" s="25"/>
      <c r="H1195" s="12"/>
      <c r="I1195" s="31"/>
      <c r="J1195" s="12"/>
      <c r="K1195" s="12"/>
      <c r="L1195" s="16"/>
      <c r="M1195" s="46"/>
      <c r="N1195" s="46"/>
      <c r="O1195" s="31"/>
      <c r="P1195" s="16"/>
      <c r="Q1195" s="16"/>
      <c r="R1195" s="16" t="str">
        <f t="shared" si="2"/>
        <v/>
      </c>
    </row>
    <row r="1196">
      <c r="B1196" s="16"/>
      <c r="C1196" s="12"/>
      <c r="D1196" s="12"/>
      <c r="E1196" s="12"/>
      <c r="F1196" s="12"/>
      <c r="G1196" s="25"/>
      <c r="H1196" s="12"/>
      <c r="I1196" s="31"/>
      <c r="J1196" s="12"/>
      <c r="K1196" s="12"/>
      <c r="L1196" s="16"/>
      <c r="M1196" s="46"/>
      <c r="N1196" s="46"/>
      <c r="O1196" s="31"/>
      <c r="P1196" s="16"/>
      <c r="Q1196" s="16"/>
      <c r="R1196" s="16" t="str">
        <f t="shared" si="2"/>
        <v/>
      </c>
    </row>
    <row r="1197">
      <c r="B1197" s="16"/>
      <c r="C1197" s="12"/>
      <c r="D1197" s="12"/>
      <c r="E1197" s="12"/>
      <c r="F1197" s="12"/>
      <c r="G1197" s="25"/>
      <c r="H1197" s="12"/>
      <c r="I1197" s="31"/>
      <c r="J1197" s="12"/>
      <c r="K1197" s="12"/>
      <c r="L1197" s="16"/>
      <c r="M1197" s="46"/>
      <c r="N1197" s="46"/>
      <c r="O1197" s="31"/>
      <c r="P1197" s="16"/>
      <c r="Q1197" s="16"/>
      <c r="R1197" s="16" t="str">
        <f t="shared" si="2"/>
        <v/>
      </c>
    </row>
    <row r="1198">
      <c r="B1198" s="16"/>
      <c r="C1198" s="12"/>
      <c r="D1198" s="12"/>
      <c r="E1198" s="12"/>
      <c r="F1198" s="12"/>
      <c r="G1198" s="25"/>
      <c r="H1198" s="12"/>
      <c r="I1198" s="31"/>
      <c r="J1198" s="12"/>
      <c r="K1198" s="12"/>
      <c r="L1198" s="16"/>
      <c r="M1198" s="46"/>
      <c r="N1198" s="46"/>
      <c r="O1198" s="31"/>
      <c r="P1198" s="16"/>
      <c r="Q1198" s="16"/>
      <c r="R1198" s="16" t="str">
        <f t="shared" si="2"/>
        <v/>
      </c>
    </row>
    <row r="1199">
      <c r="B1199" s="16"/>
      <c r="C1199" s="12"/>
      <c r="D1199" s="12"/>
      <c r="E1199" s="12"/>
      <c r="F1199" s="12"/>
      <c r="G1199" s="25"/>
      <c r="H1199" s="12"/>
      <c r="I1199" s="31"/>
      <c r="J1199" s="12"/>
      <c r="K1199" s="12"/>
      <c r="L1199" s="16"/>
      <c r="M1199" s="46"/>
      <c r="N1199" s="46"/>
      <c r="O1199" s="31"/>
      <c r="P1199" s="16"/>
      <c r="Q1199" s="16"/>
      <c r="R1199" s="16" t="str">
        <f t="shared" si="2"/>
        <v/>
      </c>
    </row>
    <row r="1200">
      <c r="B1200" s="16"/>
      <c r="C1200" s="12"/>
      <c r="D1200" s="12"/>
      <c r="E1200" s="12"/>
      <c r="F1200" s="12"/>
      <c r="G1200" s="25"/>
      <c r="H1200" s="12"/>
      <c r="I1200" s="31"/>
      <c r="J1200" s="12"/>
      <c r="K1200" s="12"/>
      <c r="L1200" s="16"/>
      <c r="M1200" s="46"/>
      <c r="N1200" s="46"/>
      <c r="O1200" s="31"/>
      <c r="P1200" s="16"/>
      <c r="Q1200" s="16"/>
      <c r="R1200" s="16" t="str">
        <f t="shared" si="2"/>
        <v/>
      </c>
    </row>
    <row r="1201">
      <c r="B1201" s="16"/>
      <c r="C1201" s="12"/>
      <c r="D1201" s="12"/>
      <c r="E1201" s="12"/>
      <c r="F1201" s="12"/>
      <c r="G1201" s="25"/>
      <c r="H1201" s="12"/>
      <c r="I1201" s="31"/>
      <c r="J1201" s="12"/>
      <c r="K1201" s="12"/>
      <c r="L1201" s="16"/>
      <c r="M1201" s="46"/>
      <c r="N1201" s="46"/>
      <c r="O1201" s="31"/>
      <c r="P1201" s="16"/>
      <c r="Q1201" s="16"/>
      <c r="R1201" s="16" t="str">
        <f t="shared" si="2"/>
        <v/>
      </c>
    </row>
    <row r="1202">
      <c r="B1202" s="16"/>
      <c r="C1202" s="12"/>
      <c r="D1202" s="12"/>
      <c r="E1202" s="12"/>
      <c r="F1202" s="12"/>
      <c r="G1202" s="25"/>
      <c r="H1202" s="12"/>
      <c r="I1202" s="31"/>
      <c r="J1202" s="12"/>
      <c r="K1202" s="12"/>
      <c r="L1202" s="16"/>
      <c r="M1202" s="46"/>
      <c r="N1202" s="46"/>
      <c r="O1202" s="31"/>
      <c r="P1202" s="16"/>
      <c r="Q1202" s="16"/>
      <c r="R1202" s="16" t="str">
        <f t="shared" si="2"/>
        <v/>
      </c>
    </row>
    <row r="1203">
      <c r="B1203" s="16"/>
      <c r="C1203" s="12"/>
      <c r="D1203" s="12"/>
      <c r="E1203" s="12"/>
      <c r="F1203" s="12"/>
      <c r="G1203" s="25"/>
      <c r="H1203" s="12"/>
      <c r="I1203" s="31"/>
      <c r="J1203" s="12"/>
      <c r="K1203" s="12"/>
      <c r="L1203" s="16"/>
      <c r="M1203" s="46"/>
      <c r="N1203" s="46"/>
      <c r="O1203" s="31"/>
      <c r="P1203" s="16"/>
      <c r="Q1203" s="16"/>
      <c r="R1203" s="16" t="str">
        <f t="shared" si="2"/>
        <v/>
      </c>
    </row>
    <row r="1204">
      <c r="B1204" s="16"/>
      <c r="C1204" s="12"/>
      <c r="D1204" s="12"/>
      <c r="E1204" s="12"/>
      <c r="F1204" s="12"/>
      <c r="G1204" s="25"/>
      <c r="H1204" s="12"/>
      <c r="I1204" s="31"/>
      <c r="J1204" s="12"/>
      <c r="K1204" s="12"/>
      <c r="L1204" s="16"/>
      <c r="M1204" s="46"/>
      <c r="N1204" s="46"/>
      <c r="O1204" s="31"/>
      <c r="P1204" s="16"/>
      <c r="Q1204" s="16"/>
      <c r="R1204" s="16" t="str">
        <f t="shared" si="2"/>
        <v/>
      </c>
    </row>
    <row r="1205">
      <c r="B1205" s="16"/>
      <c r="C1205" s="12"/>
      <c r="D1205" s="12"/>
      <c r="E1205" s="12"/>
      <c r="F1205" s="12"/>
      <c r="G1205" s="25"/>
      <c r="H1205" s="12"/>
      <c r="I1205" s="31"/>
      <c r="J1205" s="12"/>
      <c r="K1205" s="12"/>
      <c r="L1205" s="16"/>
      <c r="M1205" s="46"/>
      <c r="N1205" s="46"/>
      <c r="O1205" s="31"/>
      <c r="P1205" s="16"/>
      <c r="Q1205" s="16"/>
      <c r="R1205" s="16" t="str">
        <f t="shared" si="2"/>
        <v/>
      </c>
    </row>
    <row r="1206">
      <c r="B1206" s="16"/>
      <c r="C1206" s="12"/>
      <c r="D1206" s="12"/>
      <c r="E1206" s="12"/>
      <c r="F1206" s="12"/>
      <c r="G1206" s="25"/>
      <c r="H1206" s="12"/>
      <c r="I1206" s="31"/>
      <c r="J1206" s="12"/>
      <c r="K1206" s="12"/>
      <c r="L1206" s="16"/>
      <c r="M1206" s="46"/>
      <c r="N1206" s="46"/>
      <c r="O1206" s="31"/>
      <c r="P1206" s="16"/>
      <c r="Q1206" s="16"/>
      <c r="R1206" s="16" t="str">
        <f t="shared" si="2"/>
        <v/>
      </c>
    </row>
    <row r="1207">
      <c r="B1207" s="16"/>
      <c r="C1207" s="12"/>
      <c r="D1207" s="12"/>
      <c r="E1207" s="12"/>
      <c r="F1207" s="12"/>
      <c r="G1207" s="25"/>
      <c r="H1207" s="12"/>
      <c r="I1207" s="31"/>
      <c r="J1207" s="12"/>
      <c r="K1207" s="12"/>
      <c r="L1207" s="16"/>
      <c r="M1207" s="46"/>
      <c r="N1207" s="46"/>
      <c r="O1207" s="31"/>
      <c r="P1207" s="16"/>
      <c r="Q1207" s="16"/>
      <c r="R1207" s="16" t="str">
        <f t="shared" si="2"/>
        <v/>
      </c>
    </row>
    <row r="1208">
      <c r="B1208" s="16"/>
      <c r="C1208" s="12"/>
      <c r="D1208" s="12"/>
      <c r="E1208" s="12"/>
      <c r="F1208" s="12"/>
      <c r="G1208" s="25"/>
      <c r="H1208" s="12"/>
      <c r="I1208" s="31"/>
      <c r="J1208" s="12"/>
      <c r="K1208" s="12"/>
      <c r="L1208" s="16"/>
      <c r="M1208" s="46"/>
      <c r="N1208" s="46"/>
      <c r="O1208" s="31"/>
      <c r="P1208" s="16"/>
      <c r="Q1208" s="16"/>
      <c r="R1208" s="16" t="str">
        <f t="shared" si="2"/>
        <v/>
      </c>
    </row>
    <row r="1209">
      <c r="B1209" s="16"/>
      <c r="C1209" s="12"/>
      <c r="D1209" s="12"/>
      <c r="E1209" s="12"/>
      <c r="F1209" s="12"/>
      <c r="G1209" s="25"/>
      <c r="H1209" s="12"/>
      <c r="I1209" s="31"/>
      <c r="J1209" s="12"/>
      <c r="K1209" s="12"/>
      <c r="L1209" s="16"/>
      <c r="M1209" s="46"/>
      <c r="N1209" s="46"/>
      <c r="O1209" s="31"/>
      <c r="P1209" s="16"/>
      <c r="Q1209" s="16"/>
      <c r="R1209" s="16" t="str">
        <f t="shared" si="2"/>
        <v/>
      </c>
    </row>
    <row r="1210">
      <c r="B1210" s="16"/>
      <c r="C1210" s="12"/>
      <c r="D1210" s="12"/>
      <c r="E1210" s="12"/>
      <c r="F1210" s="12"/>
      <c r="G1210" s="25"/>
      <c r="H1210" s="12"/>
      <c r="I1210" s="31"/>
      <c r="J1210" s="12"/>
      <c r="K1210" s="12"/>
      <c r="L1210" s="16"/>
      <c r="M1210" s="46"/>
      <c r="N1210" s="46"/>
      <c r="O1210" s="31"/>
      <c r="P1210" s="16"/>
      <c r="Q1210" s="16"/>
      <c r="R1210" s="16" t="str">
        <f t="shared" si="2"/>
        <v/>
      </c>
    </row>
    <row r="1211">
      <c r="B1211" s="16"/>
      <c r="C1211" s="12"/>
      <c r="D1211" s="12"/>
      <c r="E1211" s="12"/>
      <c r="F1211" s="12"/>
      <c r="G1211" s="25"/>
      <c r="H1211" s="12"/>
      <c r="I1211" s="31"/>
      <c r="J1211" s="12"/>
      <c r="K1211" s="12"/>
      <c r="L1211" s="16"/>
      <c r="M1211" s="46"/>
      <c r="N1211" s="46"/>
      <c r="O1211" s="31"/>
      <c r="P1211" s="16"/>
      <c r="Q1211" s="16"/>
      <c r="R1211" s="16" t="str">
        <f t="shared" si="2"/>
        <v/>
      </c>
    </row>
    <row r="1212">
      <c r="B1212" s="16"/>
      <c r="C1212" s="12"/>
      <c r="D1212" s="12"/>
      <c r="E1212" s="12"/>
      <c r="F1212" s="12"/>
      <c r="G1212" s="25"/>
      <c r="H1212" s="12"/>
      <c r="I1212" s="31"/>
      <c r="J1212" s="12"/>
      <c r="K1212" s="12"/>
      <c r="L1212" s="16"/>
      <c r="M1212" s="46"/>
      <c r="N1212" s="46"/>
      <c r="O1212" s="31"/>
      <c r="P1212" s="16"/>
      <c r="Q1212" s="16"/>
      <c r="R1212" s="16" t="str">
        <f t="shared" si="2"/>
        <v/>
      </c>
    </row>
    <row r="1213">
      <c r="B1213" s="16"/>
      <c r="C1213" s="12"/>
      <c r="D1213" s="12"/>
      <c r="E1213" s="12"/>
      <c r="F1213" s="12"/>
      <c r="G1213" s="25"/>
      <c r="H1213" s="12"/>
      <c r="I1213" s="31"/>
      <c r="J1213" s="12"/>
      <c r="K1213" s="12"/>
      <c r="L1213" s="16"/>
      <c r="M1213" s="46"/>
      <c r="N1213" s="46"/>
      <c r="O1213" s="31"/>
      <c r="P1213" s="16"/>
      <c r="Q1213" s="16"/>
      <c r="R1213" s="16" t="str">
        <f t="shared" si="2"/>
        <v/>
      </c>
    </row>
    <row r="1214">
      <c r="B1214" s="16"/>
      <c r="C1214" s="12"/>
      <c r="D1214" s="12"/>
      <c r="E1214" s="12"/>
      <c r="F1214" s="12"/>
      <c r="G1214" s="25"/>
      <c r="H1214" s="12"/>
      <c r="I1214" s="31"/>
      <c r="J1214" s="12"/>
      <c r="K1214" s="12"/>
      <c r="L1214" s="16"/>
      <c r="M1214" s="46"/>
      <c r="N1214" s="46"/>
      <c r="O1214" s="31"/>
      <c r="P1214" s="16"/>
      <c r="Q1214" s="16"/>
      <c r="R1214" s="16" t="str">
        <f t="shared" si="2"/>
        <v/>
      </c>
    </row>
    <row r="1215">
      <c r="B1215" s="16"/>
      <c r="C1215" s="12"/>
      <c r="D1215" s="12"/>
      <c r="E1215" s="12"/>
      <c r="F1215" s="12"/>
      <c r="G1215" s="25"/>
      <c r="H1215" s="12"/>
      <c r="I1215" s="31"/>
      <c r="J1215" s="12"/>
      <c r="K1215" s="12"/>
      <c r="L1215" s="16"/>
      <c r="M1215" s="46"/>
      <c r="N1215" s="46"/>
      <c r="O1215" s="31"/>
      <c r="P1215" s="16"/>
      <c r="Q1215" s="16"/>
      <c r="R1215" s="16" t="str">
        <f t="shared" si="2"/>
        <v/>
      </c>
    </row>
    <row r="1216">
      <c r="B1216" s="16"/>
      <c r="C1216" s="12"/>
      <c r="D1216" s="12"/>
      <c r="E1216" s="12"/>
      <c r="F1216" s="12"/>
      <c r="G1216" s="25"/>
      <c r="H1216" s="12"/>
      <c r="I1216" s="31"/>
      <c r="J1216" s="12"/>
      <c r="K1216" s="12"/>
      <c r="L1216" s="16"/>
      <c r="M1216" s="46"/>
      <c r="N1216" s="46"/>
      <c r="O1216" s="31"/>
      <c r="P1216" s="16"/>
      <c r="Q1216" s="16"/>
      <c r="R1216" s="16" t="str">
        <f t="shared" si="2"/>
        <v/>
      </c>
    </row>
    <row r="1217">
      <c r="B1217" s="16"/>
      <c r="C1217" s="12"/>
      <c r="D1217" s="12"/>
      <c r="E1217" s="12"/>
      <c r="F1217" s="12"/>
      <c r="G1217" s="25"/>
      <c r="H1217" s="12"/>
      <c r="I1217" s="31"/>
      <c r="J1217" s="12"/>
      <c r="K1217" s="12"/>
      <c r="L1217" s="16"/>
      <c r="M1217" s="46"/>
      <c r="N1217" s="46"/>
      <c r="O1217" s="31"/>
      <c r="P1217" s="16"/>
      <c r="Q1217" s="16"/>
      <c r="R1217" s="16" t="str">
        <f t="shared" si="2"/>
        <v/>
      </c>
    </row>
    <row r="1218">
      <c r="B1218" s="16"/>
      <c r="C1218" s="12"/>
      <c r="D1218" s="12"/>
      <c r="E1218" s="12"/>
      <c r="F1218" s="12"/>
      <c r="G1218" s="25"/>
      <c r="H1218" s="12"/>
      <c r="I1218" s="31"/>
      <c r="J1218" s="12"/>
      <c r="K1218" s="12"/>
      <c r="L1218" s="16"/>
      <c r="M1218" s="46"/>
      <c r="N1218" s="46"/>
      <c r="O1218" s="31"/>
      <c r="P1218" s="16"/>
      <c r="Q1218" s="16"/>
      <c r="R1218" s="16" t="str">
        <f t="shared" si="2"/>
        <v/>
      </c>
    </row>
    <row r="1219">
      <c r="B1219" s="16"/>
      <c r="C1219" s="12"/>
      <c r="D1219" s="12"/>
      <c r="E1219" s="12"/>
      <c r="F1219" s="12"/>
      <c r="G1219" s="25"/>
      <c r="H1219" s="12"/>
      <c r="I1219" s="31"/>
      <c r="J1219" s="12"/>
      <c r="K1219" s="12"/>
      <c r="L1219" s="16"/>
      <c r="M1219" s="46"/>
      <c r="N1219" s="46"/>
      <c r="O1219" s="31"/>
      <c r="P1219" s="16"/>
      <c r="Q1219" s="16"/>
      <c r="R1219" s="16" t="str">
        <f t="shared" si="2"/>
        <v/>
      </c>
    </row>
    <row r="1220">
      <c r="B1220" s="16"/>
      <c r="C1220" s="12"/>
      <c r="D1220" s="12"/>
      <c r="E1220" s="12"/>
      <c r="F1220" s="12"/>
      <c r="G1220" s="25"/>
      <c r="H1220" s="12"/>
      <c r="I1220" s="31"/>
      <c r="J1220" s="12"/>
      <c r="K1220" s="12"/>
      <c r="L1220" s="16"/>
      <c r="M1220" s="46"/>
      <c r="N1220" s="46"/>
      <c r="O1220" s="31"/>
      <c r="P1220" s="16"/>
      <c r="Q1220" s="16"/>
      <c r="R1220" s="16" t="str">
        <f t="shared" si="2"/>
        <v/>
      </c>
    </row>
    <row r="1221">
      <c r="B1221" s="16"/>
      <c r="C1221" s="12"/>
      <c r="D1221" s="12"/>
      <c r="E1221" s="12"/>
      <c r="F1221" s="12"/>
      <c r="G1221" s="25"/>
      <c r="H1221" s="12"/>
      <c r="I1221" s="31"/>
      <c r="J1221" s="12"/>
      <c r="K1221" s="12"/>
      <c r="L1221" s="16"/>
      <c r="M1221" s="46"/>
      <c r="N1221" s="46"/>
      <c r="O1221" s="31"/>
      <c r="P1221" s="16"/>
      <c r="Q1221" s="16"/>
      <c r="R1221" s="16" t="str">
        <f t="shared" si="2"/>
        <v/>
      </c>
    </row>
    <row r="1222">
      <c r="B1222" s="16"/>
      <c r="C1222" s="12"/>
      <c r="D1222" s="12"/>
      <c r="E1222" s="12"/>
      <c r="F1222" s="12"/>
      <c r="G1222" s="25"/>
      <c r="H1222" s="12"/>
      <c r="I1222" s="31"/>
      <c r="J1222" s="12"/>
      <c r="K1222" s="12"/>
      <c r="L1222" s="16"/>
      <c r="M1222" s="46"/>
      <c r="N1222" s="46"/>
      <c r="O1222" s="31"/>
      <c r="P1222" s="16"/>
      <c r="Q1222" s="16"/>
      <c r="R1222" s="16" t="str">
        <f t="shared" si="2"/>
        <v/>
      </c>
    </row>
    <row r="1223">
      <c r="B1223" s="16"/>
      <c r="C1223" s="12"/>
      <c r="D1223" s="12"/>
      <c r="E1223" s="12"/>
      <c r="F1223" s="12"/>
      <c r="G1223" s="25"/>
      <c r="H1223" s="12"/>
      <c r="I1223" s="31"/>
      <c r="J1223" s="12"/>
      <c r="K1223" s="12"/>
      <c r="L1223" s="16"/>
      <c r="M1223" s="46"/>
      <c r="N1223" s="46"/>
      <c r="O1223" s="31"/>
      <c r="P1223" s="16"/>
      <c r="Q1223" s="16"/>
      <c r="R1223" s="16" t="str">
        <f t="shared" si="2"/>
        <v/>
      </c>
    </row>
    <row r="1224">
      <c r="B1224" s="16"/>
      <c r="C1224" s="12"/>
      <c r="D1224" s="12"/>
      <c r="E1224" s="12"/>
      <c r="F1224" s="12"/>
      <c r="G1224" s="25"/>
      <c r="H1224" s="12"/>
      <c r="I1224" s="31"/>
      <c r="J1224" s="12"/>
      <c r="K1224" s="12"/>
      <c r="L1224" s="16"/>
      <c r="M1224" s="46"/>
      <c r="N1224" s="46"/>
      <c r="O1224" s="31"/>
      <c r="P1224" s="16"/>
      <c r="Q1224" s="16"/>
      <c r="R1224" s="16" t="str">
        <f t="shared" si="2"/>
        <v/>
      </c>
    </row>
    <row r="1225">
      <c r="B1225" s="16"/>
      <c r="C1225" s="12"/>
      <c r="D1225" s="12"/>
      <c r="E1225" s="12"/>
      <c r="F1225" s="12"/>
      <c r="G1225" s="25"/>
      <c r="H1225" s="12"/>
      <c r="I1225" s="31"/>
      <c r="J1225" s="12"/>
      <c r="K1225" s="12"/>
      <c r="L1225" s="16"/>
      <c r="M1225" s="46"/>
      <c r="N1225" s="46"/>
      <c r="O1225" s="31"/>
      <c r="P1225" s="16"/>
      <c r="Q1225" s="16"/>
      <c r="R1225" s="16" t="str">
        <f t="shared" si="2"/>
        <v/>
      </c>
    </row>
    <row r="1226">
      <c r="B1226" s="16"/>
      <c r="C1226" s="12"/>
      <c r="D1226" s="12"/>
      <c r="E1226" s="12"/>
      <c r="F1226" s="12"/>
      <c r="G1226" s="25"/>
      <c r="H1226" s="12"/>
      <c r="I1226" s="31"/>
      <c r="J1226" s="12"/>
      <c r="K1226" s="12"/>
      <c r="L1226" s="16"/>
      <c r="M1226" s="46"/>
      <c r="N1226" s="46"/>
      <c r="O1226" s="31"/>
      <c r="P1226" s="16"/>
      <c r="Q1226" s="16"/>
      <c r="R1226" s="16" t="str">
        <f t="shared" si="2"/>
        <v/>
      </c>
    </row>
    <row r="1227">
      <c r="B1227" s="16"/>
      <c r="C1227" s="12"/>
      <c r="D1227" s="12"/>
      <c r="E1227" s="12"/>
      <c r="F1227" s="12"/>
      <c r="G1227" s="25"/>
      <c r="H1227" s="12"/>
      <c r="I1227" s="31"/>
      <c r="J1227" s="12"/>
      <c r="K1227" s="12"/>
      <c r="L1227" s="16"/>
      <c r="M1227" s="46"/>
      <c r="N1227" s="46"/>
      <c r="O1227" s="31"/>
      <c r="P1227" s="16"/>
      <c r="Q1227" s="16"/>
      <c r="R1227" s="16" t="str">
        <f t="shared" si="2"/>
        <v/>
      </c>
    </row>
    <row r="1228">
      <c r="B1228" s="16"/>
      <c r="C1228" s="12"/>
      <c r="D1228" s="12"/>
      <c r="E1228" s="12"/>
      <c r="F1228" s="12"/>
      <c r="G1228" s="25"/>
      <c r="H1228" s="12"/>
      <c r="I1228" s="31"/>
      <c r="J1228" s="12"/>
      <c r="K1228" s="12"/>
      <c r="L1228" s="16"/>
      <c r="M1228" s="46"/>
      <c r="N1228" s="46"/>
      <c r="O1228" s="31"/>
      <c r="P1228" s="16"/>
      <c r="Q1228" s="16"/>
      <c r="R1228" s="16" t="str">
        <f t="shared" si="2"/>
        <v/>
      </c>
    </row>
    <row r="1229">
      <c r="B1229" s="16"/>
      <c r="C1229" s="12"/>
      <c r="D1229" s="12"/>
      <c r="E1229" s="12"/>
      <c r="F1229" s="12"/>
      <c r="G1229" s="25"/>
      <c r="H1229" s="12"/>
      <c r="I1229" s="31"/>
      <c r="J1229" s="12"/>
      <c r="K1229" s="12"/>
      <c r="L1229" s="16"/>
      <c r="M1229" s="46"/>
      <c r="N1229" s="46"/>
      <c r="O1229" s="31"/>
      <c r="P1229" s="16"/>
      <c r="Q1229" s="16"/>
      <c r="R1229" s="16" t="str">
        <f t="shared" si="2"/>
        <v/>
      </c>
    </row>
    <row r="1230">
      <c r="B1230" s="16"/>
      <c r="C1230" s="12"/>
      <c r="D1230" s="12"/>
      <c r="E1230" s="12"/>
      <c r="F1230" s="12"/>
      <c r="G1230" s="25"/>
      <c r="H1230" s="12"/>
      <c r="I1230" s="31"/>
      <c r="J1230" s="12"/>
      <c r="K1230" s="12"/>
      <c r="L1230" s="16"/>
      <c r="M1230" s="46"/>
      <c r="N1230" s="46"/>
      <c r="O1230" s="31"/>
      <c r="P1230" s="16"/>
      <c r="Q1230" s="16"/>
      <c r="R1230" s="16" t="str">
        <f t="shared" si="2"/>
        <v/>
      </c>
    </row>
    <row r="1231">
      <c r="B1231" s="16"/>
      <c r="C1231" s="12"/>
      <c r="D1231" s="12"/>
      <c r="E1231" s="12"/>
      <c r="F1231" s="12"/>
      <c r="G1231" s="25"/>
      <c r="H1231" s="12"/>
      <c r="I1231" s="31"/>
      <c r="J1231" s="12"/>
      <c r="K1231" s="12"/>
      <c r="L1231" s="16"/>
      <c r="M1231" s="46"/>
      <c r="N1231" s="46"/>
      <c r="O1231" s="31"/>
      <c r="P1231" s="16"/>
      <c r="Q1231" s="16"/>
      <c r="R1231" s="16" t="str">
        <f t="shared" si="2"/>
        <v/>
      </c>
    </row>
    <row r="1232">
      <c r="B1232" s="16"/>
      <c r="C1232" s="12"/>
      <c r="D1232" s="12"/>
      <c r="E1232" s="12"/>
      <c r="F1232" s="12"/>
      <c r="G1232" s="25"/>
      <c r="H1232" s="12"/>
      <c r="I1232" s="31"/>
      <c r="J1232" s="12"/>
      <c r="K1232" s="12"/>
      <c r="L1232" s="16"/>
      <c r="M1232" s="46"/>
      <c r="N1232" s="46"/>
      <c r="O1232" s="31"/>
      <c r="P1232" s="16"/>
      <c r="Q1232" s="16"/>
      <c r="R1232" s="16" t="str">
        <f t="shared" si="2"/>
        <v/>
      </c>
    </row>
    <row r="1233">
      <c r="B1233" s="16"/>
      <c r="C1233" s="12"/>
      <c r="D1233" s="12"/>
      <c r="E1233" s="12"/>
      <c r="F1233" s="12"/>
      <c r="G1233" s="25"/>
      <c r="H1233" s="12"/>
      <c r="I1233" s="31"/>
      <c r="J1233" s="12"/>
      <c r="K1233" s="12"/>
      <c r="L1233" s="16"/>
      <c r="M1233" s="46"/>
      <c r="N1233" s="46"/>
      <c r="O1233" s="31"/>
      <c r="P1233" s="16"/>
      <c r="Q1233" s="16"/>
      <c r="R1233" s="16" t="str">
        <f t="shared" si="2"/>
        <v/>
      </c>
    </row>
    <row r="1234">
      <c r="B1234" s="16"/>
      <c r="C1234" s="12"/>
      <c r="D1234" s="12"/>
      <c r="E1234" s="12"/>
      <c r="F1234" s="12"/>
      <c r="G1234" s="25"/>
      <c r="H1234" s="12"/>
      <c r="I1234" s="31"/>
      <c r="J1234" s="12"/>
      <c r="K1234" s="12"/>
      <c r="L1234" s="16"/>
      <c r="M1234" s="46"/>
      <c r="N1234" s="46"/>
      <c r="O1234" s="31"/>
      <c r="P1234" s="16"/>
      <c r="Q1234" s="16"/>
      <c r="R1234" s="16" t="str">
        <f t="shared" si="2"/>
        <v/>
      </c>
    </row>
    <row r="1235">
      <c r="B1235" s="16"/>
      <c r="C1235" s="12"/>
      <c r="D1235" s="12"/>
      <c r="E1235" s="12"/>
      <c r="F1235" s="12"/>
      <c r="G1235" s="25"/>
      <c r="H1235" s="12"/>
      <c r="I1235" s="31"/>
      <c r="J1235" s="12"/>
      <c r="K1235" s="12"/>
      <c r="L1235" s="16"/>
      <c r="M1235" s="46"/>
      <c r="N1235" s="46"/>
      <c r="O1235" s="31"/>
      <c r="P1235" s="16"/>
      <c r="Q1235" s="16"/>
      <c r="R1235" s="16" t="str">
        <f t="shared" si="2"/>
        <v/>
      </c>
    </row>
    <row r="1236">
      <c r="B1236" s="16"/>
      <c r="C1236" s="12"/>
      <c r="D1236" s="12"/>
      <c r="E1236" s="12"/>
      <c r="F1236" s="12"/>
      <c r="G1236" s="25"/>
      <c r="H1236" s="12"/>
      <c r="I1236" s="31"/>
      <c r="J1236" s="12"/>
      <c r="K1236" s="12"/>
      <c r="L1236" s="16"/>
      <c r="M1236" s="46"/>
      <c r="N1236" s="46"/>
      <c r="O1236" s="31"/>
      <c r="P1236" s="16"/>
      <c r="Q1236" s="16"/>
      <c r="R1236" s="16" t="str">
        <f t="shared" si="2"/>
        <v/>
      </c>
    </row>
    <row r="1237">
      <c r="B1237" s="16"/>
      <c r="C1237" s="12"/>
      <c r="D1237" s="12"/>
      <c r="E1237" s="12"/>
      <c r="F1237" s="12"/>
      <c r="G1237" s="25"/>
      <c r="H1237" s="12"/>
      <c r="I1237" s="31"/>
      <c r="J1237" s="12"/>
      <c r="K1237" s="12"/>
      <c r="L1237" s="16"/>
      <c r="M1237" s="46"/>
      <c r="N1237" s="46"/>
      <c r="O1237" s="31"/>
      <c r="P1237" s="16"/>
      <c r="Q1237" s="16"/>
      <c r="R1237" s="16" t="str">
        <f t="shared" si="2"/>
        <v/>
      </c>
    </row>
    <row r="1238">
      <c r="B1238" s="16"/>
      <c r="C1238" s="12"/>
      <c r="D1238" s="12"/>
      <c r="E1238" s="12"/>
      <c r="F1238" s="12"/>
      <c r="G1238" s="25"/>
      <c r="H1238" s="12"/>
      <c r="I1238" s="31"/>
      <c r="J1238" s="12"/>
      <c r="K1238" s="12"/>
      <c r="L1238" s="16"/>
      <c r="M1238" s="46"/>
      <c r="N1238" s="46"/>
      <c r="O1238" s="31"/>
      <c r="P1238" s="16"/>
      <c r="Q1238" s="16"/>
      <c r="R1238" s="16" t="str">
        <f t="shared" si="2"/>
        <v/>
      </c>
    </row>
    <row r="1239">
      <c r="B1239" s="16"/>
      <c r="C1239" s="12"/>
      <c r="D1239" s="12"/>
      <c r="E1239" s="12"/>
      <c r="F1239" s="12"/>
      <c r="G1239" s="25"/>
      <c r="H1239" s="12"/>
      <c r="I1239" s="31"/>
      <c r="J1239" s="12"/>
      <c r="K1239" s="12"/>
      <c r="L1239" s="16"/>
      <c r="M1239" s="46"/>
      <c r="N1239" s="46"/>
      <c r="O1239" s="31"/>
      <c r="P1239" s="16"/>
      <c r="Q1239" s="16"/>
      <c r="R1239" s="16" t="str">
        <f t="shared" si="2"/>
        <v/>
      </c>
    </row>
    <row r="1240">
      <c r="B1240" s="16"/>
      <c r="C1240" s="12"/>
      <c r="D1240" s="12"/>
      <c r="E1240" s="12"/>
      <c r="F1240" s="12"/>
      <c r="G1240" s="25"/>
      <c r="H1240" s="12"/>
      <c r="I1240" s="31"/>
      <c r="J1240" s="12"/>
      <c r="K1240" s="12"/>
      <c r="L1240" s="16"/>
      <c r="M1240" s="46"/>
      <c r="N1240" s="46"/>
      <c r="O1240" s="31"/>
      <c r="P1240" s="16"/>
      <c r="Q1240" s="16"/>
      <c r="R1240" s="16" t="str">
        <f t="shared" si="2"/>
        <v/>
      </c>
    </row>
    <row r="1241">
      <c r="B1241" s="16"/>
      <c r="C1241" s="12"/>
      <c r="D1241" s="12"/>
      <c r="E1241" s="12"/>
      <c r="F1241" s="12"/>
      <c r="G1241" s="25"/>
      <c r="H1241" s="12"/>
      <c r="I1241" s="31"/>
      <c r="J1241" s="12"/>
      <c r="K1241" s="12"/>
      <c r="L1241" s="16"/>
      <c r="M1241" s="46"/>
      <c r="N1241" s="46"/>
      <c r="O1241" s="31"/>
      <c r="P1241" s="16"/>
      <c r="Q1241" s="16"/>
      <c r="R1241" s="16" t="str">
        <f t="shared" si="2"/>
        <v/>
      </c>
    </row>
    <row r="1242">
      <c r="B1242" s="16"/>
      <c r="C1242" s="12"/>
      <c r="D1242" s="12"/>
      <c r="E1242" s="12"/>
      <c r="F1242" s="12"/>
      <c r="G1242" s="25"/>
      <c r="H1242" s="12"/>
      <c r="I1242" s="31"/>
      <c r="J1242" s="12"/>
      <c r="K1242" s="12"/>
      <c r="L1242" s="16"/>
      <c r="M1242" s="46"/>
      <c r="N1242" s="46"/>
      <c r="O1242" s="31"/>
      <c r="P1242" s="16"/>
      <c r="Q1242" s="16"/>
      <c r="R1242" s="16" t="str">
        <f t="shared" si="2"/>
        <v/>
      </c>
    </row>
    <row r="1243">
      <c r="B1243" s="16"/>
      <c r="C1243" s="12"/>
      <c r="D1243" s="12"/>
      <c r="E1243" s="12"/>
      <c r="F1243" s="12"/>
      <c r="G1243" s="25"/>
      <c r="H1243" s="12"/>
      <c r="I1243" s="31"/>
      <c r="J1243" s="12"/>
      <c r="K1243" s="12"/>
      <c r="L1243" s="16"/>
      <c r="M1243" s="46"/>
      <c r="N1243" s="46"/>
      <c r="O1243" s="31"/>
      <c r="P1243" s="16"/>
      <c r="Q1243" s="16"/>
      <c r="R1243" s="16" t="str">
        <f t="shared" si="2"/>
        <v/>
      </c>
    </row>
    <row r="1244">
      <c r="B1244" s="16"/>
      <c r="C1244" s="12"/>
      <c r="D1244" s="12"/>
      <c r="E1244" s="12"/>
      <c r="F1244" s="12"/>
      <c r="G1244" s="25"/>
      <c r="H1244" s="12"/>
      <c r="I1244" s="31"/>
      <c r="J1244" s="12"/>
      <c r="K1244" s="12"/>
      <c r="L1244" s="16"/>
      <c r="M1244" s="46"/>
      <c r="N1244" s="46"/>
      <c r="O1244" s="31"/>
      <c r="P1244" s="16"/>
      <c r="Q1244" s="16"/>
      <c r="R1244" s="16" t="str">
        <f t="shared" si="2"/>
        <v/>
      </c>
    </row>
    <row r="1245">
      <c r="B1245" s="16"/>
      <c r="C1245" s="12"/>
      <c r="D1245" s="12"/>
      <c r="E1245" s="12"/>
      <c r="F1245" s="12"/>
      <c r="G1245" s="25"/>
      <c r="H1245" s="12"/>
      <c r="I1245" s="31"/>
      <c r="J1245" s="12"/>
      <c r="K1245" s="12"/>
      <c r="L1245" s="16"/>
      <c r="M1245" s="46"/>
      <c r="N1245" s="46"/>
      <c r="O1245" s="31"/>
      <c r="P1245" s="16"/>
      <c r="Q1245" s="16"/>
      <c r="R1245" s="16" t="str">
        <f t="shared" si="2"/>
        <v/>
      </c>
    </row>
    <row r="1246">
      <c r="B1246" s="16"/>
      <c r="C1246" s="12"/>
      <c r="D1246" s="12"/>
      <c r="E1246" s="12"/>
      <c r="F1246" s="12"/>
      <c r="G1246" s="25"/>
      <c r="H1246" s="12"/>
      <c r="I1246" s="31"/>
      <c r="J1246" s="12"/>
      <c r="K1246" s="12"/>
      <c r="L1246" s="16"/>
      <c r="M1246" s="46"/>
      <c r="N1246" s="46"/>
      <c r="O1246" s="31"/>
      <c r="P1246" s="16"/>
      <c r="Q1246" s="16"/>
      <c r="R1246" s="16" t="str">
        <f t="shared" si="2"/>
        <v/>
      </c>
    </row>
    <row r="1247">
      <c r="B1247" s="16"/>
      <c r="C1247" s="12"/>
      <c r="D1247" s="12"/>
      <c r="E1247" s="12"/>
      <c r="F1247" s="12"/>
      <c r="G1247" s="25"/>
      <c r="H1247" s="12"/>
      <c r="I1247" s="31"/>
      <c r="J1247" s="12"/>
      <c r="K1247" s="12"/>
      <c r="L1247" s="16"/>
      <c r="M1247" s="46"/>
      <c r="N1247" s="46"/>
      <c r="O1247" s="31"/>
      <c r="P1247" s="16"/>
      <c r="Q1247" s="16"/>
      <c r="R1247" s="16" t="str">
        <f t="shared" si="2"/>
        <v/>
      </c>
    </row>
    <row r="1248">
      <c r="B1248" s="16"/>
      <c r="C1248" s="12"/>
      <c r="D1248" s="12"/>
      <c r="E1248" s="12"/>
      <c r="F1248" s="12"/>
      <c r="G1248" s="25"/>
      <c r="H1248" s="12"/>
      <c r="I1248" s="31"/>
      <c r="J1248" s="12"/>
      <c r="K1248" s="12"/>
      <c r="L1248" s="16"/>
      <c r="M1248" s="46"/>
      <c r="N1248" s="46"/>
      <c r="O1248" s="31"/>
      <c r="P1248" s="16"/>
      <c r="Q1248" s="16"/>
      <c r="R1248" s="16" t="str">
        <f t="shared" si="2"/>
        <v/>
      </c>
    </row>
    <row r="1249">
      <c r="B1249" s="16"/>
      <c r="C1249" s="12"/>
      <c r="D1249" s="12"/>
      <c r="E1249" s="12"/>
      <c r="F1249" s="12"/>
      <c r="G1249" s="25"/>
      <c r="H1249" s="12"/>
      <c r="I1249" s="31"/>
      <c r="J1249" s="12"/>
      <c r="K1249" s="12"/>
      <c r="L1249" s="16"/>
      <c r="M1249" s="46"/>
      <c r="N1249" s="46"/>
      <c r="O1249" s="31"/>
      <c r="P1249" s="16"/>
      <c r="Q1249" s="16"/>
      <c r="R1249" s="16" t="str">
        <f t="shared" si="2"/>
        <v/>
      </c>
    </row>
    <row r="1250">
      <c r="B1250" s="16"/>
      <c r="C1250" s="12"/>
      <c r="D1250" s="12"/>
      <c r="E1250" s="12"/>
      <c r="F1250" s="12"/>
      <c r="G1250" s="25"/>
      <c r="H1250" s="12"/>
      <c r="I1250" s="31"/>
      <c r="J1250" s="12"/>
      <c r="K1250" s="12"/>
      <c r="L1250" s="16"/>
      <c r="M1250" s="46"/>
      <c r="N1250" s="46"/>
      <c r="O1250" s="31"/>
      <c r="P1250" s="16"/>
      <c r="Q1250" s="16"/>
      <c r="R1250" s="16" t="str">
        <f t="shared" si="2"/>
        <v/>
      </c>
    </row>
    <row r="1251">
      <c r="B1251" s="16"/>
      <c r="C1251" s="12"/>
      <c r="D1251" s="12"/>
      <c r="E1251" s="12"/>
      <c r="F1251" s="12"/>
      <c r="G1251" s="25"/>
      <c r="H1251" s="12"/>
      <c r="I1251" s="31"/>
      <c r="J1251" s="12"/>
      <c r="K1251" s="12"/>
      <c r="L1251" s="16"/>
      <c r="M1251" s="46"/>
      <c r="N1251" s="46"/>
      <c r="O1251" s="31"/>
      <c r="P1251" s="16"/>
      <c r="Q1251" s="16"/>
      <c r="R1251" s="16" t="str">
        <f t="shared" si="2"/>
        <v/>
      </c>
    </row>
    <row r="1252">
      <c r="B1252" s="16"/>
      <c r="C1252" s="12"/>
      <c r="D1252" s="12"/>
      <c r="E1252" s="12"/>
      <c r="F1252" s="12"/>
      <c r="G1252" s="25"/>
      <c r="H1252" s="12"/>
      <c r="I1252" s="31"/>
      <c r="J1252" s="12"/>
      <c r="K1252" s="12"/>
      <c r="L1252" s="16"/>
      <c r="M1252" s="46"/>
      <c r="N1252" s="46"/>
      <c r="O1252" s="31"/>
      <c r="P1252" s="16"/>
      <c r="Q1252" s="16"/>
      <c r="R1252" s="16" t="str">
        <f t="shared" si="2"/>
        <v/>
      </c>
    </row>
    <row r="1253">
      <c r="B1253" s="16"/>
      <c r="C1253" s="12"/>
      <c r="D1253" s="12"/>
      <c r="E1253" s="12"/>
      <c r="F1253" s="12"/>
      <c r="G1253" s="25"/>
      <c r="H1253" s="12"/>
      <c r="I1253" s="31"/>
      <c r="J1253" s="12"/>
      <c r="K1253" s="12"/>
      <c r="L1253" s="16"/>
      <c r="M1253" s="46"/>
      <c r="N1253" s="46"/>
      <c r="O1253" s="31"/>
      <c r="P1253" s="16"/>
      <c r="Q1253" s="16"/>
      <c r="R1253" s="16" t="str">
        <f t="shared" si="2"/>
        <v/>
      </c>
    </row>
    <row r="1254">
      <c r="B1254" s="16"/>
      <c r="C1254" s="12"/>
      <c r="D1254" s="12"/>
      <c r="E1254" s="12"/>
      <c r="F1254" s="12"/>
      <c r="G1254" s="25"/>
      <c r="H1254" s="12"/>
      <c r="I1254" s="31"/>
      <c r="J1254" s="12"/>
      <c r="K1254" s="12"/>
      <c r="L1254" s="16"/>
      <c r="M1254" s="46"/>
      <c r="N1254" s="46"/>
      <c r="O1254" s="31"/>
      <c r="P1254" s="16"/>
      <c r="Q1254" s="16"/>
      <c r="R1254" s="16" t="str">
        <f t="shared" si="2"/>
        <v/>
      </c>
    </row>
    <row r="1255">
      <c r="B1255" s="16"/>
      <c r="C1255" s="12"/>
      <c r="D1255" s="12"/>
      <c r="E1255" s="12"/>
      <c r="F1255" s="12"/>
      <c r="G1255" s="25"/>
      <c r="H1255" s="12"/>
      <c r="I1255" s="31"/>
      <c r="J1255" s="12"/>
      <c r="K1255" s="12"/>
      <c r="L1255" s="16"/>
      <c r="M1255" s="46"/>
      <c r="N1255" s="46"/>
      <c r="O1255" s="31"/>
      <c r="P1255" s="16"/>
      <c r="Q1255" s="16"/>
      <c r="R1255" s="16" t="str">
        <f t="shared" si="2"/>
        <v/>
      </c>
    </row>
    <row r="1256">
      <c r="B1256" s="16"/>
      <c r="C1256" s="12"/>
      <c r="D1256" s="12"/>
      <c r="E1256" s="12"/>
      <c r="F1256" s="12"/>
      <c r="G1256" s="25"/>
      <c r="H1256" s="12"/>
      <c r="I1256" s="31"/>
      <c r="J1256" s="12"/>
      <c r="K1256" s="12"/>
      <c r="L1256" s="16"/>
      <c r="M1256" s="46"/>
      <c r="N1256" s="46"/>
      <c r="O1256" s="31"/>
      <c r="P1256" s="16"/>
      <c r="Q1256" s="16"/>
      <c r="R1256" s="16" t="str">
        <f t="shared" si="2"/>
        <v/>
      </c>
    </row>
    <row r="1257">
      <c r="B1257" s="16"/>
      <c r="C1257" s="12"/>
      <c r="D1257" s="12"/>
      <c r="E1257" s="12"/>
      <c r="F1257" s="12"/>
      <c r="G1257" s="25"/>
      <c r="H1257" s="12"/>
      <c r="I1257" s="31"/>
      <c r="J1257" s="12"/>
      <c r="K1257" s="12"/>
      <c r="L1257" s="16"/>
      <c r="M1257" s="46"/>
      <c r="N1257" s="46"/>
      <c r="O1257" s="31"/>
      <c r="P1257" s="16"/>
      <c r="Q1257" s="16"/>
      <c r="R1257" s="16" t="str">
        <f t="shared" si="2"/>
        <v/>
      </c>
    </row>
    <row r="1258">
      <c r="B1258" s="16"/>
      <c r="C1258" s="12"/>
      <c r="D1258" s="12"/>
      <c r="E1258" s="12"/>
      <c r="F1258" s="12"/>
      <c r="G1258" s="25"/>
      <c r="H1258" s="12"/>
      <c r="I1258" s="31"/>
      <c r="J1258" s="12"/>
      <c r="K1258" s="12"/>
      <c r="L1258" s="16"/>
      <c r="M1258" s="46"/>
      <c r="N1258" s="46"/>
      <c r="O1258" s="31"/>
      <c r="P1258" s="16"/>
      <c r="Q1258" s="16"/>
      <c r="R1258" s="16" t="str">
        <f t="shared" si="2"/>
        <v/>
      </c>
    </row>
    <row r="1259">
      <c r="B1259" s="16"/>
      <c r="C1259" s="12"/>
      <c r="D1259" s="12"/>
      <c r="E1259" s="12"/>
      <c r="F1259" s="12"/>
      <c r="G1259" s="25"/>
      <c r="H1259" s="12"/>
      <c r="I1259" s="31"/>
      <c r="J1259" s="12"/>
      <c r="K1259" s="12"/>
      <c r="L1259" s="16"/>
      <c r="M1259" s="46"/>
      <c r="N1259" s="46"/>
      <c r="O1259" s="31"/>
      <c r="P1259" s="16"/>
      <c r="Q1259" s="16"/>
      <c r="R1259" s="16" t="str">
        <f t="shared" si="2"/>
        <v/>
      </c>
    </row>
    <row r="1260">
      <c r="B1260" s="16"/>
      <c r="C1260" s="12"/>
      <c r="D1260" s="12"/>
      <c r="E1260" s="12"/>
      <c r="F1260" s="12"/>
      <c r="G1260" s="25"/>
      <c r="H1260" s="12"/>
      <c r="I1260" s="31"/>
      <c r="J1260" s="12"/>
      <c r="K1260" s="12"/>
      <c r="L1260" s="16"/>
      <c r="M1260" s="46"/>
      <c r="N1260" s="46"/>
      <c r="O1260" s="31"/>
      <c r="P1260" s="16"/>
      <c r="Q1260" s="16"/>
      <c r="R1260" s="16" t="str">
        <f t="shared" si="2"/>
        <v/>
      </c>
    </row>
    <row r="1261">
      <c r="B1261" s="16"/>
      <c r="C1261" s="12"/>
      <c r="D1261" s="12"/>
      <c r="E1261" s="12"/>
      <c r="F1261" s="12"/>
      <c r="G1261" s="25"/>
      <c r="H1261" s="12"/>
      <c r="I1261" s="31"/>
      <c r="J1261" s="12"/>
      <c r="K1261" s="12"/>
      <c r="L1261" s="16"/>
      <c r="M1261" s="46"/>
      <c r="N1261" s="46"/>
      <c r="O1261" s="31"/>
      <c r="P1261" s="16"/>
      <c r="Q1261" s="16"/>
      <c r="R1261" s="16" t="str">
        <f t="shared" si="2"/>
        <v/>
      </c>
    </row>
    <row r="1262">
      <c r="B1262" s="16"/>
      <c r="C1262" s="12"/>
      <c r="D1262" s="12"/>
      <c r="E1262" s="12"/>
      <c r="F1262" s="12"/>
      <c r="G1262" s="25"/>
      <c r="H1262" s="12"/>
      <c r="I1262" s="31"/>
      <c r="J1262" s="12"/>
      <c r="K1262" s="12"/>
      <c r="L1262" s="16"/>
      <c r="M1262" s="46"/>
      <c r="N1262" s="46"/>
      <c r="O1262" s="31"/>
      <c r="P1262" s="16"/>
      <c r="Q1262" s="16"/>
      <c r="R1262" s="16" t="str">
        <f t="shared" si="2"/>
        <v/>
      </c>
    </row>
    <row r="1263">
      <c r="B1263" s="16"/>
      <c r="C1263" s="12"/>
      <c r="D1263" s="12"/>
      <c r="E1263" s="12"/>
      <c r="F1263" s="12"/>
      <c r="G1263" s="25"/>
      <c r="H1263" s="12"/>
      <c r="I1263" s="31"/>
      <c r="J1263" s="12"/>
      <c r="K1263" s="12"/>
      <c r="L1263" s="16"/>
      <c r="M1263" s="46"/>
      <c r="N1263" s="46"/>
      <c r="O1263" s="31"/>
      <c r="P1263" s="16"/>
      <c r="Q1263" s="16"/>
      <c r="R1263" s="16" t="str">
        <f t="shared" si="2"/>
        <v/>
      </c>
    </row>
    <row r="1264">
      <c r="B1264" s="16"/>
      <c r="C1264" s="12"/>
      <c r="D1264" s="12"/>
      <c r="E1264" s="12"/>
      <c r="F1264" s="12"/>
      <c r="G1264" s="25"/>
      <c r="H1264" s="12"/>
      <c r="I1264" s="31"/>
      <c r="J1264" s="12"/>
      <c r="K1264" s="12"/>
      <c r="L1264" s="16"/>
      <c r="M1264" s="46"/>
      <c r="N1264" s="46"/>
      <c r="O1264" s="31"/>
      <c r="P1264" s="16"/>
      <c r="Q1264" s="16"/>
      <c r="R1264" s="16" t="str">
        <f t="shared" si="2"/>
        <v/>
      </c>
    </row>
    <row r="1265">
      <c r="B1265" s="16"/>
      <c r="C1265" s="12"/>
      <c r="D1265" s="12"/>
      <c r="E1265" s="12"/>
      <c r="F1265" s="12"/>
      <c r="G1265" s="25"/>
      <c r="H1265" s="12"/>
      <c r="I1265" s="31"/>
      <c r="J1265" s="12"/>
      <c r="K1265" s="12"/>
      <c r="L1265" s="16"/>
      <c r="M1265" s="46"/>
      <c r="N1265" s="46"/>
      <c r="O1265" s="31"/>
      <c r="P1265" s="16"/>
      <c r="Q1265" s="16"/>
      <c r="R1265" s="16" t="str">
        <f t="shared" si="2"/>
        <v/>
      </c>
    </row>
    <row r="1266">
      <c r="B1266" s="16"/>
      <c r="C1266" s="12"/>
      <c r="D1266" s="12"/>
      <c r="E1266" s="12"/>
      <c r="F1266" s="12"/>
      <c r="G1266" s="25"/>
      <c r="H1266" s="12"/>
      <c r="I1266" s="31"/>
      <c r="J1266" s="12"/>
      <c r="K1266" s="12"/>
      <c r="L1266" s="16"/>
      <c r="M1266" s="46"/>
      <c r="N1266" s="46"/>
      <c r="O1266" s="31"/>
      <c r="P1266" s="16"/>
      <c r="Q1266" s="16"/>
      <c r="R1266" s="16" t="str">
        <f t="shared" si="2"/>
        <v/>
      </c>
    </row>
    <row r="1267">
      <c r="B1267" s="16"/>
      <c r="C1267" s="12"/>
      <c r="D1267" s="12"/>
      <c r="E1267" s="12"/>
      <c r="F1267" s="12"/>
      <c r="G1267" s="25"/>
      <c r="H1267" s="12"/>
      <c r="I1267" s="31"/>
      <c r="J1267" s="12"/>
      <c r="K1267" s="12"/>
      <c r="L1267" s="16"/>
      <c r="M1267" s="46"/>
      <c r="N1267" s="46"/>
      <c r="O1267" s="31"/>
      <c r="P1267" s="16"/>
      <c r="Q1267" s="16"/>
      <c r="R1267" s="16" t="str">
        <f t="shared" si="2"/>
        <v/>
      </c>
    </row>
    <row r="1268">
      <c r="B1268" s="16"/>
      <c r="C1268" s="12"/>
      <c r="D1268" s="12"/>
      <c r="E1268" s="12"/>
      <c r="F1268" s="12"/>
      <c r="G1268" s="25"/>
      <c r="H1268" s="12"/>
      <c r="I1268" s="31"/>
      <c r="J1268" s="12"/>
      <c r="K1268" s="12"/>
      <c r="L1268" s="16"/>
      <c r="M1268" s="46"/>
      <c r="N1268" s="46"/>
      <c r="O1268" s="31"/>
      <c r="P1268" s="16"/>
      <c r="Q1268" s="16"/>
      <c r="R1268" s="16" t="str">
        <f t="shared" si="2"/>
        <v/>
      </c>
    </row>
    <row r="1269">
      <c r="B1269" s="16"/>
      <c r="C1269" s="12"/>
      <c r="D1269" s="12"/>
      <c r="E1269" s="12"/>
      <c r="F1269" s="12"/>
      <c r="G1269" s="25"/>
      <c r="H1269" s="12"/>
      <c r="I1269" s="31"/>
      <c r="J1269" s="12"/>
      <c r="K1269" s="12"/>
      <c r="L1269" s="16"/>
      <c r="M1269" s="46"/>
      <c r="N1269" s="46"/>
      <c r="O1269" s="31"/>
      <c r="P1269" s="16"/>
      <c r="Q1269" s="16"/>
      <c r="R1269" s="16" t="str">
        <f t="shared" si="2"/>
        <v/>
      </c>
    </row>
    <row r="1270">
      <c r="B1270" s="16"/>
      <c r="C1270" s="12"/>
      <c r="D1270" s="12"/>
      <c r="E1270" s="12"/>
      <c r="F1270" s="12"/>
      <c r="G1270" s="25"/>
      <c r="H1270" s="12"/>
      <c r="I1270" s="31"/>
      <c r="J1270" s="12"/>
      <c r="K1270" s="12"/>
      <c r="L1270" s="16"/>
      <c r="M1270" s="46"/>
      <c r="N1270" s="46"/>
      <c r="O1270" s="31"/>
      <c r="P1270" s="16"/>
      <c r="Q1270" s="16"/>
      <c r="R1270" s="16" t="str">
        <f t="shared" si="2"/>
        <v/>
      </c>
    </row>
    <row r="1271">
      <c r="B1271" s="16"/>
      <c r="C1271" s="12"/>
      <c r="D1271" s="12"/>
      <c r="E1271" s="12"/>
      <c r="F1271" s="12"/>
      <c r="G1271" s="25"/>
      <c r="H1271" s="12"/>
      <c r="I1271" s="31"/>
      <c r="J1271" s="12"/>
      <c r="K1271" s="12"/>
      <c r="L1271" s="16"/>
      <c r="M1271" s="46"/>
      <c r="N1271" s="46"/>
      <c r="O1271" s="31"/>
      <c r="P1271" s="16"/>
      <c r="Q1271" s="16"/>
      <c r="R1271" s="16" t="str">
        <f t="shared" si="2"/>
        <v/>
      </c>
    </row>
    <row r="1272">
      <c r="B1272" s="16"/>
      <c r="C1272" s="12"/>
      <c r="D1272" s="12"/>
      <c r="E1272" s="12"/>
      <c r="F1272" s="12"/>
      <c r="G1272" s="25"/>
      <c r="H1272" s="12"/>
      <c r="I1272" s="31"/>
      <c r="J1272" s="12"/>
      <c r="K1272" s="12"/>
      <c r="L1272" s="16"/>
      <c r="M1272" s="46"/>
      <c r="N1272" s="46"/>
      <c r="O1272" s="31"/>
      <c r="P1272" s="16"/>
      <c r="Q1272" s="16"/>
      <c r="R1272" s="16" t="str">
        <f t="shared" si="2"/>
        <v/>
      </c>
    </row>
    <row r="1273">
      <c r="B1273" s="16"/>
      <c r="C1273" s="12"/>
      <c r="D1273" s="12"/>
      <c r="E1273" s="12"/>
      <c r="F1273" s="12"/>
      <c r="G1273" s="25"/>
      <c r="H1273" s="12"/>
      <c r="I1273" s="31"/>
      <c r="J1273" s="12"/>
      <c r="K1273" s="12"/>
      <c r="L1273" s="16"/>
      <c r="M1273" s="46"/>
      <c r="N1273" s="46"/>
      <c r="O1273" s="31"/>
      <c r="P1273" s="16"/>
      <c r="Q1273" s="16"/>
      <c r="R1273" s="16" t="str">
        <f t="shared" si="2"/>
        <v/>
      </c>
    </row>
    <row r="1274">
      <c r="B1274" s="16"/>
      <c r="C1274" s="12"/>
      <c r="D1274" s="12"/>
      <c r="E1274" s="12"/>
      <c r="F1274" s="12"/>
      <c r="G1274" s="25"/>
      <c r="H1274" s="12"/>
      <c r="I1274" s="31"/>
      <c r="J1274" s="12"/>
      <c r="K1274" s="12"/>
      <c r="L1274" s="16"/>
      <c r="M1274" s="46"/>
      <c r="N1274" s="46"/>
      <c r="O1274" s="31"/>
      <c r="P1274" s="16"/>
      <c r="Q1274" s="16"/>
      <c r="R1274" s="16" t="str">
        <f t="shared" si="2"/>
        <v/>
      </c>
    </row>
    <row r="1275">
      <c r="B1275" s="16"/>
      <c r="C1275" s="12"/>
      <c r="D1275" s="12"/>
      <c r="E1275" s="12"/>
      <c r="F1275" s="12"/>
      <c r="G1275" s="25"/>
      <c r="H1275" s="12"/>
      <c r="I1275" s="31"/>
      <c r="J1275" s="12"/>
      <c r="K1275" s="12"/>
      <c r="L1275" s="16"/>
      <c r="M1275" s="46"/>
      <c r="N1275" s="46"/>
      <c r="O1275" s="31"/>
      <c r="P1275" s="16"/>
      <c r="Q1275" s="16"/>
      <c r="R1275" s="16" t="str">
        <f t="shared" si="2"/>
        <v/>
      </c>
    </row>
    <row r="1276">
      <c r="B1276" s="16"/>
      <c r="C1276" s="12"/>
      <c r="D1276" s="12"/>
      <c r="E1276" s="12"/>
      <c r="F1276" s="12"/>
      <c r="G1276" s="25"/>
      <c r="H1276" s="12"/>
      <c r="I1276" s="31"/>
      <c r="J1276" s="12"/>
      <c r="K1276" s="12"/>
      <c r="L1276" s="16"/>
      <c r="M1276" s="46"/>
      <c r="N1276" s="46"/>
      <c r="O1276" s="31"/>
      <c r="P1276" s="16"/>
      <c r="Q1276" s="16"/>
      <c r="R1276" s="16" t="str">
        <f t="shared" si="2"/>
        <v/>
      </c>
    </row>
    <row r="1277">
      <c r="B1277" s="16"/>
      <c r="C1277" s="12"/>
      <c r="D1277" s="12"/>
      <c r="E1277" s="12"/>
      <c r="F1277" s="12"/>
      <c r="G1277" s="25"/>
      <c r="H1277" s="12"/>
      <c r="I1277" s="31"/>
      <c r="J1277" s="12"/>
      <c r="K1277" s="12"/>
      <c r="L1277" s="16"/>
      <c r="M1277" s="46"/>
      <c r="N1277" s="46"/>
      <c r="O1277" s="31"/>
      <c r="P1277" s="16"/>
      <c r="Q1277" s="16"/>
      <c r="R1277" s="16" t="str">
        <f t="shared" si="2"/>
        <v/>
      </c>
    </row>
    <row r="1278">
      <c r="B1278" s="16"/>
      <c r="C1278" s="12"/>
      <c r="D1278" s="12"/>
      <c r="E1278" s="12"/>
      <c r="F1278" s="12"/>
      <c r="G1278" s="25"/>
      <c r="H1278" s="12"/>
      <c r="I1278" s="31"/>
      <c r="J1278" s="12"/>
      <c r="K1278" s="12"/>
      <c r="L1278" s="16"/>
      <c r="M1278" s="46"/>
      <c r="N1278" s="46"/>
      <c r="O1278" s="31"/>
      <c r="P1278" s="16"/>
      <c r="Q1278" s="16"/>
      <c r="R1278" s="16" t="str">
        <f t="shared" si="2"/>
        <v/>
      </c>
    </row>
    <row r="1279">
      <c r="B1279" s="16"/>
      <c r="C1279" s="12"/>
      <c r="D1279" s="12"/>
      <c r="E1279" s="12"/>
      <c r="F1279" s="12"/>
      <c r="G1279" s="25"/>
      <c r="H1279" s="12"/>
      <c r="I1279" s="31"/>
      <c r="J1279" s="12"/>
      <c r="K1279" s="12"/>
      <c r="L1279" s="16"/>
      <c r="M1279" s="46"/>
      <c r="N1279" s="46"/>
      <c r="O1279" s="31"/>
      <c r="P1279" s="16"/>
      <c r="Q1279" s="16"/>
      <c r="R1279" s="16" t="str">
        <f t="shared" si="2"/>
        <v/>
      </c>
    </row>
    <row r="1280">
      <c r="B1280" s="16"/>
      <c r="C1280" s="12"/>
      <c r="D1280" s="12"/>
      <c r="E1280" s="12"/>
      <c r="F1280" s="12"/>
      <c r="G1280" s="25"/>
      <c r="H1280" s="12"/>
      <c r="I1280" s="31"/>
      <c r="J1280" s="12"/>
      <c r="K1280" s="12"/>
      <c r="L1280" s="16"/>
      <c r="M1280" s="46"/>
      <c r="N1280" s="46"/>
      <c r="O1280" s="31"/>
      <c r="P1280" s="16"/>
      <c r="Q1280" s="16"/>
      <c r="R1280" s="16" t="str">
        <f t="shared" si="2"/>
        <v/>
      </c>
    </row>
    <row r="1281">
      <c r="B1281" s="16"/>
      <c r="C1281" s="12"/>
      <c r="D1281" s="12"/>
      <c r="E1281" s="12"/>
      <c r="F1281" s="12"/>
      <c r="G1281" s="25"/>
      <c r="H1281" s="12"/>
      <c r="I1281" s="31"/>
      <c r="J1281" s="12"/>
      <c r="K1281" s="12"/>
      <c r="L1281" s="16"/>
      <c r="M1281" s="46"/>
      <c r="N1281" s="46"/>
      <c r="O1281" s="31"/>
      <c r="P1281" s="16"/>
      <c r="Q1281" s="16"/>
      <c r="R1281" s="16" t="str">
        <f t="shared" si="2"/>
        <v/>
      </c>
    </row>
    <row r="1282">
      <c r="B1282" s="16"/>
      <c r="C1282" s="12"/>
      <c r="D1282" s="12"/>
      <c r="E1282" s="12"/>
      <c r="F1282" s="12"/>
      <c r="G1282" s="25"/>
      <c r="H1282" s="12"/>
      <c r="I1282" s="31"/>
      <c r="J1282" s="12"/>
      <c r="K1282" s="12"/>
      <c r="L1282" s="16"/>
      <c r="M1282" s="46"/>
      <c r="N1282" s="46"/>
      <c r="O1282" s="31"/>
      <c r="P1282" s="16"/>
      <c r="Q1282" s="16"/>
      <c r="R1282" s="16" t="str">
        <f t="shared" si="2"/>
        <v/>
      </c>
    </row>
    <row r="1283">
      <c r="B1283" s="16"/>
      <c r="C1283" s="12"/>
      <c r="D1283" s="12"/>
      <c r="E1283" s="12"/>
      <c r="F1283" s="12"/>
      <c r="G1283" s="25"/>
      <c r="H1283" s="12"/>
      <c r="I1283" s="31"/>
      <c r="J1283" s="12"/>
      <c r="K1283" s="12"/>
      <c r="L1283" s="16"/>
      <c r="M1283" s="46"/>
      <c r="N1283" s="46"/>
      <c r="O1283" s="31"/>
      <c r="P1283" s="16"/>
      <c r="Q1283" s="16"/>
      <c r="R1283" s="16" t="str">
        <f t="shared" si="2"/>
        <v/>
      </c>
    </row>
    <row r="1284">
      <c r="B1284" s="16"/>
      <c r="C1284" s="12"/>
      <c r="D1284" s="12"/>
      <c r="E1284" s="12"/>
      <c r="F1284" s="12"/>
      <c r="G1284" s="25"/>
      <c r="H1284" s="12"/>
      <c r="I1284" s="31"/>
      <c r="J1284" s="12"/>
      <c r="K1284" s="12"/>
      <c r="L1284" s="16"/>
      <c r="M1284" s="46"/>
      <c r="N1284" s="46"/>
      <c r="O1284" s="31"/>
      <c r="P1284" s="16"/>
      <c r="Q1284" s="16"/>
      <c r="R1284" s="16" t="str">
        <f t="shared" si="2"/>
        <v/>
      </c>
    </row>
    <row r="1285">
      <c r="B1285" s="16"/>
      <c r="C1285" s="12"/>
      <c r="D1285" s="12"/>
      <c r="E1285" s="12"/>
      <c r="F1285" s="12"/>
      <c r="G1285" s="25"/>
      <c r="H1285" s="12"/>
      <c r="I1285" s="31"/>
      <c r="J1285" s="12"/>
      <c r="K1285" s="12"/>
      <c r="L1285" s="16"/>
      <c r="M1285" s="46"/>
      <c r="N1285" s="46"/>
      <c r="O1285" s="31"/>
      <c r="P1285" s="16"/>
      <c r="Q1285" s="16"/>
      <c r="R1285" s="16" t="str">
        <f t="shared" si="2"/>
        <v/>
      </c>
    </row>
    <row r="1286">
      <c r="B1286" s="16"/>
      <c r="C1286" s="12"/>
      <c r="D1286" s="12"/>
      <c r="E1286" s="12"/>
      <c r="F1286" s="12"/>
      <c r="G1286" s="25"/>
      <c r="H1286" s="12"/>
      <c r="I1286" s="31"/>
      <c r="J1286" s="12"/>
      <c r="K1286" s="12"/>
      <c r="L1286" s="16"/>
      <c r="M1286" s="46"/>
      <c r="N1286" s="46"/>
      <c r="O1286" s="31"/>
      <c r="P1286" s="16"/>
      <c r="Q1286" s="16"/>
      <c r="R1286" s="16" t="str">
        <f t="shared" si="2"/>
        <v/>
      </c>
    </row>
    <row r="1287">
      <c r="B1287" s="16"/>
      <c r="C1287" s="12"/>
      <c r="D1287" s="12"/>
      <c r="E1287" s="12"/>
      <c r="F1287" s="12"/>
      <c r="G1287" s="25"/>
      <c r="H1287" s="12"/>
      <c r="I1287" s="31"/>
      <c r="J1287" s="12"/>
      <c r="K1287" s="12"/>
      <c r="L1287" s="16"/>
      <c r="M1287" s="46"/>
      <c r="N1287" s="46"/>
      <c r="O1287" s="31"/>
      <c r="P1287" s="16"/>
      <c r="Q1287" s="16"/>
      <c r="R1287" s="16" t="str">
        <f t="shared" si="2"/>
        <v/>
      </c>
    </row>
    <row r="1288">
      <c r="B1288" s="16"/>
      <c r="C1288" s="12"/>
      <c r="D1288" s="12"/>
      <c r="E1288" s="12"/>
      <c r="F1288" s="12"/>
      <c r="G1288" s="25"/>
      <c r="H1288" s="12"/>
      <c r="I1288" s="31"/>
      <c r="J1288" s="12"/>
      <c r="K1288" s="12"/>
      <c r="L1288" s="16"/>
      <c r="M1288" s="46"/>
      <c r="N1288" s="46"/>
      <c r="O1288" s="31"/>
      <c r="P1288" s="16"/>
      <c r="Q1288" s="16"/>
      <c r="R1288" s="16" t="str">
        <f t="shared" si="2"/>
        <v/>
      </c>
    </row>
    <row r="1289">
      <c r="B1289" s="16"/>
      <c r="C1289" s="12"/>
      <c r="D1289" s="12"/>
      <c r="E1289" s="12"/>
      <c r="F1289" s="12"/>
      <c r="G1289" s="25"/>
      <c r="H1289" s="12"/>
      <c r="I1289" s="31"/>
      <c r="J1289" s="12"/>
      <c r="K1289" s="12"/>
      <c r="L1289" s="16"/>
      <c r="M1289" s="46"/>
      <c r="N1289" s="46"/>
      <c r="O1289" s="31"/>
      <c r="P1289" s="16"/>
      <c r="Q1289" s="16"/>
      <c r="R1289" s="16" t="str">
        <f t="shared" si="2"/>
        <v/>
      </c>
    </row>
    <row r="1290">
      <c r="B1290" s="16"/>
      <c r="C1290" s="12"/>
      <c r="D1290" s="12"/>
      <c r="E1290" s="12"/>
      <c r="F1290" s="12"/>
      <c r="G1290" s="25"/>
      <c r="H1290" s="12"/>
      <c r="I1290" s="31"/>
      <c r="J1290" s="12"/>
      <c r="K1290" s="12"/>
      <c r="L1290" s="16"/>
      <c r="M1290" s="46"/>
      <c r="N1290" s="46"/>
      <c r="O1290" s="31"/>
      <c r="P1290" s="16"/>
      <c r="Q1290" s="16"/>
      <c r="R1290" s="16" t="str">
        <f t="shared" si="2"/>
        <v/>
      </c>
    </row>
    <row r="1291">
      <c r="B1291" s="16"/>
      <c r="C1291" s="12"/>
      <c r="D1291" s="12"/>
      <c r="E1291" s="12"/>
      <c r="F1291" s="12"/>
      <c r="G1291" s="25"/>
      <c r="H1291" s="12"/>
      <c r="I1291" s="31"/>
      <c r="J1291" s="12"/>
      <c r="K1291" s="12"/>
      <c r="L1291" s="16"/>
      <c r="M1291" s="46"/>
      <c r="N1291" s="46"/>
      <c r="O1291" s="31"/>
      <c r="P1291" s="16"/>
      <c r="Q1291" s="16"/>
      <c r="R1291" s="16" t="str">
        <f t="shared" si="2"/>
        <v/>
      </c>
    </row>
    <row r="1292">
      <c r="B1292" s="16"/>
      <c r="C1292" s="12"/>
      <c r="D1292" s="12"/>
      <c r="E1292" s="12"/>
      <c r="F1292" s="12"/>
      <c r="G1292" s="25"/>
      <c r="H1292" s="12"/>
      <c r="I1292" s="31"/>
      <c r="J1292" s="12"/>
      <c r="K1292" s="12"/>
      <c r="L1292" s="16"/>
      <c r="M1292" s="46"/>
      <c r="N1292" s="46"/>
      <c r="O1292" s="31"/>
      <c r="P1292" s="16"/>
      <c r="Q1292" s="16"/>
      <c r="R1292" s="16" t="str">
        <f t="shared" si="2"/>
        <v/>
      </c>
    </row>
    <row r="1293">
      <c r="B1293" s="16"/>
      <c r="C1293" s="12"/>
      <c r="D1293" s="12"/>
      <c r="E1293" s="12"/>
      <c r="F1293" s="12"/>
      <c r="G1293" s="25"/>
      <c r="H1293" s="12"/>
      <c r="I1293" s="31"/>
      <c r="J1293" s="12"/>
      <c r="K1293" s="12"/>
      <c r="L1293" s="16"/>
      <c r="M1293" s="46"/>
      <c r="N1293" s="46"/>
      <c r="O1293" s="31"/>
      <c r="P1293" s="16"/>
      <c r="Q1293" s="16"/>
      <c r="R1293" s="16" t="str">
        <f t="shared" si="2"/>
        <v/>
      </c>
    </row>
    <row r="1294">
      <c r="B1294" s="16"/>
      <c r="C1294" s="12"/>
      <c r="D1294" s="12"/>
      <c r="E1294" s="12"/>
      <c r="F1294" s="12"/>
      <c r="G1294" s="25"/>
      <c r="H1294" s="12"/>
      <c r="I1294" s="31"/>
      <c r="J1294" s="12"/>
      <c r="K1294" s="12"/>
      <c r="L1294" s="16"/>
      <c r="M1294" s="46"/>
      <c r="N1294" s="46"/>
      <c r="O1294" s="31"/>
      <c r="P1294" s="16"/>
      <c r="Q1294" s="16"/>
      <c r="R1294" s="16" t="str">
        <f t="shared" si="2"/>
        <v/>
      </c>
    </row>
    <row r="1295">
      <c r="B1295" s="16"/>
      <c r="C1295" s="12"/>
      <c r="D1295" s="12"/>
      <c r="E1295" s="12"/>
      <c r="F1295" s="12"/>
      <c r="G1295" s="25"/>
      <c r="H1295" s="12"/>
      <c r="I1295" s="31"/>
      <c r="J1295" s="12"/>
      <c r="K1295" s="12"/>
      <c r="L1295" s="16"/>
      <c r="M1295" s="46"/>
      <c r="N1295" s="46"/>
      <c r="O1295" s="31"/>
      <c r="P1295" s="16"/>
      <c r="Q1295" s="16"/>
      <c r="R1295" s="16" t="str">
        <f t="shared" si="2"/>
        <v/>
      </c>
    </row>
    <row r="1296">
      <c r="B1296" s="16"/>
      <c r="C1296" s="12"/>
      <c r="D1296" s="12"/>
      <c r="E1296" s="12"/>
      <c r="F1296" s="12"/>
      <c r="G1296" s="25"/>
      <c r="H1296" s="12"/>
      <c r="I1296" s="31"/>
      <c r="J1296" s="12"/>
      <c r="K1296" s="12"/>
      <c r="L1296" s="16"/>
      <c r="M1296" s="46"/>
      <c r="N1296" s="46"/>
      <c r="O1296" s="31"/>
      <c r="P1296" s="16"/>
      <c r="Q1296" s="16"/>
      <c r="R1296" s="16" t="str">
        <f t="shared" si="2"/>
        <v/>
      </c>
    </row>
    <row r="1297">
      <c r="B1297" s="16"/>
      <c r="C1297" s="12"/>
      <c r="D1297" s="12"/>
      <c r="E1297" s="12"/>
      <c r="F1297" s="12"/>
      <c r="G1297" s="25"/>
      <c r="H1297" s="12"/>
      <c r="I1297" s="31"/>
      <c r="J1297" s="12"/>
      <c r="K1297" s="12"/>
      <c r="L1297" s="16"/>
      <c r="M1297" s="46"/>
      <c r="N1297" s="46"/>
      <c r="O1297" s="31"/>
      <c r="P1297" s="16"/>
      <c r="Q1297" s="16"/>
      <c r="R1297" s="16" t="str">
        <f t="shared" si="2"/>
        <v/>
      </c>
    </row>
    <row r="1298">
      <c r="B1298" s="16"/>
      <c r="C1298" s="12"/>
      <c r="D1298" s="12"/>
      <c r="E1298" s="12"/>
      <c r="F1298" s="12"/>
      <c r="G1298" s="25"/>
      <c r="H1298" s="12"/>
      <c r="I1298" s="31"/>
      <c r="J1298" s="12"/>
      <c r="K1298" s="12"/>
      <c r="L1298" s="16"/>
      <c r="M1298" s="46"/>
      <c r="N1298" s="46"/>
      <c r="O1298" s="31"/>
      <c r="P1298" s="16"/>
      <c r="Q1298" s="16"/>
      <c r="R1298" s="16" t="str">
        <f t="shared" si="2"/>
        <v/>
      </c>
    </row>
    <row r="1299">
      <c r="B1299" s="16"/>
      <c r="C1299" s="12"/>
      <c r="D1299" s="12"/>
      <c r="E1299" s="12"/>
      <c r="F1299" s="12"/>
      <c r="G1299" s="25"/>
      <c r="H1299" s="12"/>
      <c r="I1299" s="31"/>
      <c r="J1299" s="12"/>
      <c r="K1299" s="12"/>
      <c r="L1299" s="16"/>
      <c r="M1299" s="46"/>
      <c r="N1299" s="46"/>
      <c r="O1299" s="31"/>
      <c r="P1299" s="16"/>
      <c r="Q1299" s="16"/>
      <c r="R1299" s="16" t="str">
        <f t="shared" si="2"/>
        <v/>
      </c>
    </row>
    <row r="1300">
      <c r="B1300" s="16"/>
      <c r="C1300" s="12"/>
      <c r="D1300" s="12"/>
      <c r="E1300" s="12"/>
      <c r="F1300" s="12"/>
      <c r="G1300" s="25"/>
      <c r="H1300" s="12"/>
      <c r="I1300" s="31"/>
      <c r="J1300" s="12"/>
      <c r="K1300" s="12"/>
      <c r="L1300" s="16"/>
      <c r="M1300" s="46"/>
      <c r="N1300" s="46"/>
      <c r="O1300" s="31"/>
      <c r="P1300" s="16"/>
      <c r="Q1300" s="16"/>
      <c r="R1300" s="16" t="str">
        <f t="shared" si="2"/>
        <v/>
      </c>
    </row>
    <row r="1301">
      <c r="B1301" s="16"/>
      <c r="C1301" s="12"/>
      <c r="D1301" s="12"/>
      <c r="E1301" s="12"/>
      <c r="F1301" s="12"/>
      <c r="G1301" s="25"/>
      <c r="H1301" s="12"/>
      <c r="I1301" s="31"/>
      <c r="J1301" s="12"/>
      <c r="K1301" s="12"/>
      <c r="L1301" s="16"/>
      <c r="M1301" s="46"/>
      <c r="N1301" s="46"/>
      <c r="O1301" s="31"/>
      <c r="P1301" s="16"/>
      <c r="Q1301" s="16"/>
      <c r="R1301" s="16" t="str">
        <f t="shared" si="2"/>
        <v/>
      </c>
    </row>
    <row r="1302">
      <c r="B1302" s="16"/>
      <c r="C1302" s="12"/>
      <c r="D1302" s="12"/>
      <c r="E1302" s="12"/>
      <c r="F1302" s="12"/>
      <c r="G1302" s="25"/>
      <c r="H1302" s="12"/>
      <c r="I1302" s="31"/>
      <c r="J1302" s="12"/>
      <c r="K1302" s="12"/>
      <c r="L1302" s="16"/>
      <c r="M1302" s="46"/>
      <c r="N1302" s="46"/>
      <c r="O1302" s="31"/>
      <c r="P1302" s="16"/>
      <c r="Q1302" s="16"/>
      <c r="R1302" s="16" t="str">
        <f t="shared" si="2"/>
        <v/>
      </c>
    </row>
    <row r="1303">
      <c r="B1303" s="16"/>
      <c r="C1303" s="12"/>
      <c r="D1303" s="12"/>
      <c r="E1303" s="12"/>
      <c r="F1303" s="12"/>
      <c r="G1303" s="25"/>
      <c r="H1303" s="12"/>
      <c r="I1303" s="31"/>
      <c r="J1303" s="12"/>
      <c r="K1303" s="12"/>
      <c r="L1303" s="16"/>
      <c r="M1303" s="46"/>
      <c r="N1303" s="46"/>
      <c r="O1303" s="31"/>
      <c r="P1303" s="16"/>
      <c r="Q1303" s="16"/>
      <c r="R1303" s="16" t="str">
        <f t="shared" si="2"/>
        <v/>
      </c>
    </row>
    <row r="1304">
      <c r="B1304" s="16"/>
      <c r="C1304" s="12"/>
      <c r="D1304" s="12"/>
      <c r="E1304" s="12"/>
      <c r="F1304" s="12"/>
      <c r="G1304" s="25"/>
      <c r="H1304" s="12"/>
      <c r="I1304" s="31"/>
      <c r="J1304" s="12"/>
      <c r="K1304" s="12"/>
      <c r="L1304" s="16"/>
      <c r="M1304" s="46"/>
      <c r="N1304" s="46"/>
      <c r="O1304" s="31"/>
      <c r="P1304" s="16"/>
      <c r="Q1304" s="16"/>
      <c r="R1304" s="16" t="str">
        <f t="shared" si="2"/>
        <v/>
      </c>
    </row>
    <row r="1305">
      <c r="B1305" s="16"/>
      <c r="C1305" s="12"/>
      <c r="D1305" s="12"/>
      <c r="E1305" s="12"/>
      <c r="F1305" s="12"/>
      <c r="G1305" s="25"/>
      <c r="H1305" s="12"/>
      <c r="I1305" s="31"/>
      <c r="J1305" s="12"/>
      <c r="K1305" s="12"/>
      <c r="L1305" s="16"/>
      <c r="M1305" s="46"/>
      <c r="N1305" s="46"/>
      <c r="O1305" s="31"/>
      <c r="P1305" s="16"/>
      <c r="Q1305" s="16"/>
      <c r="R1305" s="16" t="str">
        <f t="shared" si="2"/>
        <v/>
      </c>
    </row>
    <row r="1306">
      <c r="B1306" s="16"/>
      <c r="C1306" s="12"/>
      <c r="D1306" s="12"/>
      <c r="E1306" s="12"/>
      <c r="F1306" s="12"/>
      <c r="G1306" s="25"/>
      <c r="H1306" s="12"/>
      <c r="I1306" s="31"/>
      <c r="J1306" s="12"/>
      <c r="K1306" s="12"/>
      <c r="L1306" s="16"/>
      <c r="M1306" s="46"/>
      <c r="N1306" s="46"/>
      <c r="O1306" s="31"/>
      <c r="P1306" s="16"/>
      <c r="Q1306" s="16"/>
      <c r="R1306" s="16" t="str">
        <f t="shared" si="2"/>
        <v/>
      </c>
    </row>
    <row r="1307">
      <c r="B1307" s="16"/>
      <c r="C1307" s="12"/>
      <c r="D1307" s="12"/>
      <c r="E1307" s="12"/>
      <c r="F1307" s="12"/>
      <c r="G1307" s="25"/>
      <c r="H1307" s="12"/>
      <c r="I1307" s="31"/>
      <c r="J1307" s="12"/>
      <c r="K1307" s="12"/>
      <c r="L1307" s="16"/>
      <c r="M1307" s="46"/>
      <c r="N1307" s="46"/>
      <c r="O1307" s="31"/>
      <c r="P1307" s="16"/>
      <c r="Q1307" s="16"/>
      <c r="R1307" s="16" t="str">
        <f t="shared" si="2"/>
        <v/>
      </c>
    </row>
    <row r="1308">
      <c r="B1308" s="16"/>
      <c r="C1308" s="12"/>
      <c r="D1308" s="12"/>
      <c r="E1308" s="12"/>
      <c r="F1308" s="12"/>
      <c r="G1308" s="25"/>
      <c r="H1308" s="12"/>
      <c r="I1308" s="31"/>
      <c r="J1308" s="12"/>
      <c r="K1308" s="12"/>
      <c r="L1308" s="16"/>
      <c r="M1308" s="46"/>
      <c r="N1308" s="46"/>
      <c r="O1308" s="31"/>
      <c r="P1308" s="16"/>
      <c r="Q1308" s="16"/>
      <c r="R1308" s="16" t="str">
        <f t="shared" si="2"/>
        <v/>
      </c>
    </row>
    <row r="1309">
      <c r="B1309" s="16"/>
      <c r="C1309" s="12"/>
      <c r="D1309" s="12"/>
      <c r="E1309" s="12"/>
      <c r="F1309" s="12"/>
      <c r="G1309" s="25"/>
      <c r="H1309" s="12"/>
      <c r="I1309" s="31"/>
      <c r="J1309" s="12"/>
      <c r="K1309" s="12"/>
      <c r="L1309" s="16"/>
      <c r="M1309" s="46"/>
      <c r="N1309" s="46"/>
      <c r="O1309" s="31"/>
      <c r="P1309" s="16"/>
      <c r="Q1309" s="16"/>
      <c r="R1309" s="16" t="str">
        <f t="shared" si="2"/>
        <v/>
      </c>
    </row>
    <row r="1310">
      <c r="B1310" s="16"/>
      <c r="C1310" s="12"/>
      <c r="D1310" s="12"/>
      <c r="E1310" s="12"/>
      <c r="F1310" s="12"/>
      <c r="G1310" s="25"/>
      <c r="H1310" s="12"/>
      <c r="I1310" s="31"/>
      <c r="J1310" s="12"/>
      <c r="K1310" s="12"/>
      <c r="L1310" s="16"/>
      <c r="M1310" s="46"/>
      <c r="N1310" s="46"/>
      <c r="O1310" s="31"/>
      <c r="P1310" s="16"/>
      <c r="Q1310" s="16"/>
      <c r="R1310" s="16" t="str">
        <f t="shared" si="2"/>
        <v/>
      </c>
    </row>
    <row r="1311">
      <c r="B1311" s="16"/>
      <c r="C1311" s="12"/>
      <c r="D1311" s="12"/>
      <c r="E1311" s="12"/>
      <c r="F1311" s="12"/>
      <c r="G1311" s="25"/>
      <c r="H1311" s="12"/>
      <c r="I1311" s="31"/>
      <c r="J1311" s="12"/>
      <c r="K1311" s="12"/>
      <c r="L1311" s="16"/>
      <c r="M1311" s="46"/>
      <c r="N1311" s="46"/>
      <c r="O1311" s="31"/>
      <c r="P1311" s="16"/>
      <c r="Q1311" s="16"/>
      <c r="R1311" s="16" t="str">
        <f t="shared" si="2"/>
        <v/>
      </c>
    </row>
    <row r="1312">
      <c r="B1312" s="16"/>
      <c r="C1312" s="12"/>
      <c r="D1312" s="12"/>
      <c r="E1312" s="12"/>
      <c r="F1312" s="12"/>
      <c r="G1312" s="25"/>
      <c r="H1312" s="12"/>
      <c r="I1312" s="31"/>
      <c r="J1312" s="12"/>
      <c r="K1312" s="12"/>
      <c r="L1312" s="16"/>
      <c r="M1312" s="46"/>
      <c r="N1312" s="46"/>
      <c r="O1312" s="31"/>
      <c r="P1312" s="16"/>
      <c r="Q1312" s="16"/>
      <c r="R1312" s="16" t="str">
        <f t="shared" si="2"/>
        <v/>
      </c>
    </row>
    <row r="1313">
      <c r="B1313" s="16"/>
      <c r="C1313" s="12"/>
      <c r="D1313" s="12"/>
      <c r="E1313" s="12"/>
      <c r="F1313" s="12"/>
      <c r="G1313" s="25"/>
      <c r="H1313" s="12"/>
      <c r="I1313" s="31"/>
      <c r="J1313" s="12"/>
      <c r="K1313" s="12"/>
      <c r="L1313" s="16"/>
      <c r="M1313" s="46"/>
      <c r="N1313" s="46"/>
      <c r="O1313" s="31"/>
      <c r="P1313" s="16"/>
      <c r="Q1313" s="16"/>
      <c r="R1313" s="16" t="str">
        <f t="shared" si="2"/>
        <v/>
      </c>
    </row>
    <row r="1314">
      <c r="B1314" s="16"/>
      <c r="C1314" s="12"/>
      <c r="D1314" s="12"/>
      <c r="E1314" s="12"/>
      <c r="F1314" s="12"/>
      <c r="G1314" s="25"/>
      <c r="H1314" s="12"/>
      <c r="I1314" s="31"/>
      <c r="J1314" s="12"/>
      <c r="K1314" s="12"/>
      <c r="L1314" s="16"/>
      <c r="M1314" s="46"/>
      <c r="N1314" s="46"/>
      <c r="O1314" s="31"/>
      <c r="P1314" s="16"/>
      <c r="Q1314" s="16"/>
      <c r="R1314" s="16" t="str">
        <f t="shared" si="2"/>
        <v/>
      </c>
    </row>
    <row r="1315">
      <c r="B1315" s="16"/>
      <c r="C1315" s="12"/>
      <c r="D1315" s="12"/>
      <c r="E1315" s="12"/>
      <c r="F1315" s="12"/>
      <c r="G1315" s="25"/>
      <c r="H1315" s="12"/>
      <c r="I1315" s="31"/>
      <c r="J1315" s="12"/>
      <c r="K1315" s="12"/>
      <c r="L1315" s="16"/>
      <c r="M1315" s="46"/>
      <c r="N1315" s="46"/>
      <c r="O1315" s="31"/>
      <c r="P1315" s="16"/>
      <c r="Q1315" s="16"/>
      <c r="R1315" s="16" t="str">
        <f t="shared" si="2"/>
        <v/>
      </c>
    </row>
    <row r="1316">
      <c r="B1316" s="16"/>
      <c r="C1316" s="12"/>
      <c r="D1316" s="12"/>
      <c r="E1316" s="12"/>
      <c r="F1316" s="12"/>
      <c r="G1316" s="25"/>
      <c r="H1316" s="12"/>
      <c r="I1316" s="31"/>
      <c r="J1316" s="12"/>
      <c r="K1316" s="12"/>
      <c r="L1316" s="16"/>
      <c r="M1316" s="46"/>
      <c r="N1316" s="46"/>
      <c r="O1316" s="31"/>
      <c r="P1316" s="16"/>
      <c r="Q1316" s="16"/>
      <c r="R1316" s="16" t="str">
        <f t="shared" si="2"/>
        <v/>
      </c>
    </row>
    <row r="1317">
      <c r="B1317" s="16"/>
      <c r="C1317" s="12"/>
      <c r="D1317" s="12"/>
      <c r="E1317" s="12"/>
      <c r="F1317" s="12"/>
      <c r="G1317" s="25"/>
      <c r="H1317" s="12"/>
      <c r="I1317" s="31"/>
      <c r="J1317" s="12"/>
      <c r="K1317" s="12"/>
      <c r="L1317" s="16"/>
      <c r="M1317" s="46"/>
      <c r="N1317" s="46"/>
      <c r="O1317" s="31"/>
      <c r="P1317" s="16"/>
      <c r="Q1317" s="16"/>
      <c r="R1317" s="16" t="str">
        <f t="shared" si="2"/>
        <v/>
      </c>
    </row>
    <row r="1318">
      <c r="B1318" s="16"/>
      <c r="C1318" s="12"/>
      <c r="D1318" s="12"/>
      <c r="E1318" s="12"/>
      <c r="F1318" s="12"/>
      <c r="G1318" s="25"/>
      <c r="H1318" s="12"/>
      <c r="I1318" s="31"/>
      <c r="J1318" s="12"/>
      <c r="K1318" s="12"/>
      <c r="L1318" s="16"/>
      <c r="M1318" s="46"/>
      <c r="N1318" s="46"/>
      <c r="O1318" s="31"/>
      <c r="P1318" s="16"/>
      <c r="Q1318" s="16"/>
      <c r="R1318" s="16" t="str">
        <f t="shared" si="2"/>
        <v/>
      </c>
    </row>
    <row r="1319">
      <c r="B1319" s="16"/>
      <c r="C1319" s="12"/>
      <c r="D1319" s="12"/>
      <c r="E1319" s="12"/>
      <c r="F1319" s="12"/>
      <c r="G1319" s="25"/>
      <c r="H1319" s="12"/>
      <c r="I1319" s="31"/>
      <c r="J1319" s="12"/>
      <c r="K1319" s="12"/>
      <c r="L1319" s="16"/>
      <c r="M1319" s="46"/>
      <c r="N1319" s="46"/>
      <c r="O1319" s="31"/>
      <c r="P1319" s="16"/>
      <c r="Q1319" s="16"/>
      <c r="R1319" s="16" t="str">
        <f t="shared" si="2"/>
        <v/>
      </c>
    </row>
    <row r="1320">
      <c r="B1320" s="16"/>
      <c r="C1320" s="12"/>
      <c r="D1320" s="12"/>
      <c r="E1320" s="12"/>
      <c r="F1320" s="12"/>
      <c r="G1320" s="25"/>
      <c r="H1320" s="12"/>
      <c r="I1320" s="31"/>
      <c r="J1320" s="12"/>
      <c r="K1320" s="12"/>
      <c r="L1320" s="16"/>
      <c r="M1320" s="46"/>
      <c r="N1320" s="46"/>
      <c r="O1320" s="31"/>
      <c r="P1320" s="16"/>
      <c r="Q1320" s="16"/>
      <c r="R1320" s="16" t="str">
        <f t="shared" si="2"/>
        <v/>
      </c>
    </row>
    <row r="1321">
      <c r="B1321" s="16"/>
      <c r="C1321" s="12"/>
      <c r="D1321" s="12"/>
      <c r="E1321" s="12"/>
      <c r="F1321" s="12"/>
      <c r="G1321" s="25"/>
      <c r="H1321" s="12"/>
      <c r="I1321" s="31"/>
      <c r="J1321" s="12"/>
      <c r="K1321" s="12"/>
      <c r="L1321" s="16"/>
      <c r="M1321" s="46"/>
      <c r="N1321" s="46"/>
      <c r="O1321" s="31"/>
      <c r="P1321" s="16"/>
      <c r="Q1321" s="16"/>
      <c r="R1321" s="16" t="str">
        <f t="shared" si="2"/>
        <v/>
      </c>
    </row>
    <row r="1322">
      <c r="B1322" s="16"/>
      <c r="C1322" s="12"/>
      <c r="D1322" s="12"/>
      <c r="E1322" s="12"/>
      <c r="F1322" s="12"/>
      <c r="G1322" s="25"/>
      <c r="H1322" s="12"/>
      <c r="I1322" s="31"/>
      <c r="J1322" s="12"/>
      <c r="K1322" s="12"/>
      <c r="L1322" s="16"/>
      <c r="M1322" s="46"/>
      <c r="N1322" s="46"/>
      <c r="O1322" s="31"/>
      <c r="P1322" s="16"/>
      <c r="Q1322" s="16"/>
      <c r="R1322" s="16" t="str">
        <f t="shared" si="2"/>
        <v/>
      </c>
    </row>
    <row r="1323">
      <c r="B1323" s="16"/>
      <c r="C1323" s="12"/>
      <c r="D1323" s="12"/>
      <c r="E1323" s="12"/>
      <c r="F1323" s="12"/>
      <c r="G1323" s="25"/>
      <c r="H1323" s="12"/>
      <c r="I1323" s="31"/>
      <c r="J1323" s="12"/>
      <c r="K1323" s="12"/>
      <c r="L1323" s="16"/>
      <c r="M1323" s="46"/>
      <c r="N1323" s="46"/>
      <c r="O1323" s="31"/>
      <c r="P1323" s="16"/>
      <c r="Q1323" s="16"/>
      <c r="R1323" s="16" t="str">
        <f t="shared" si="2"/>
        <v/>
      </c>
    </row>
    <row r="1324">
      <c r="B1324" s="16"/>
      <c r="C1324" s="12"/>
      <c r="D1324" s="12"/>
      <c r="E1324" s="12"/>
      <c r="F1324" s="12"/>
      <c r="G1324" s="25"/>
      <c r="H1324" s="12"/>
      <c r="I1324" s="31"/>
      <c r="J1324" s="12"/>
      <c r="K1324" s="12"/>
      <c r="L1324" s="16"/>
      <c r="M1324" s="46"/>
      <c r="N1324" s="46"/>
      <c r="O1324" s="31"/>
      <c r="P1324" s="16"/>
      <c r="Q1324" s="16"/>
      <c r="R1324" s="16" t="str">
        <f t="shared" si="2"/>
        <v/>
      </c>
    </row>
    <row r="1325">
      <c r="B1325" s="16"/>
      <c r="C1325" s="12"/>
      <c r="D1325" s="12"/>
      <c r="E1325" s="12"/>
      <c r="F1325" s="12"/>
      <c r="G1325" s="25"/>
      <c r="H1325" s="12"/>
      <c r="I1325" s="31"/>
      <c r="J1325" s="12"/>
      <c r="K1325" s="12"/>
      <c r="L1325" s="16"/>
      <c r="M1325" s="46"/>
      <c r="N1325" s="46"/>
      <c r="O1325" s="31"/>
      <c r="P1325" s="16"/>
      <c r="Q1325" s="16"/>
      <c r="R1325" s="16" t="str">
        <f t="shared" si="2"/>
        <v/>
      </c>
    </row>
    <row r="1326">
      <c r="B1326" s="16"/>
      <c r="C1326" s="12"/>
      <c r="D1326" s="12"/>
      <c r="E1326" s="12"/>
      <c r="F1326" s="12"/>
      <c r="G1326" s="25"/>
      <c r="H1326" s="12"/>
      <c r="I1326" s="31"/>
      <c r="J1326" s="12"/>
      <c r="K1326" s="12"/>
      <c r="L1326" s="16"/>
      <c r="M1326" s="46"/>
      <c r="N1326" s="46"/>
      <c r="O1326" s="31"/>
      <c r="P1326" s="16"/>
      <c r="Q1326" s="16"/>
      <c r="R1326" s="16" t="str">
        <f t="shared" si="2"/>
        <v/>
      </c>
    </row>
    <row r="1327">
      <c r="B1327" s="16"/>
      <c r="C1327" s="12"/>
      <c r="D1327" s="12"/>
      <c r="E1327" s="12"/>
      <c r="F1327" s="12"/>
      <c r="G1327" s="25"/>
      <c r="H1327" s="12"/>
      <c r="I1327" s="31"/>
      <c r="J1327" s="12"/>
      <c r="K1327" s="12"/>
      <c r="L1327" s="16"/>
      <c r="M1327" s="46"/>
      <c r="N1327" s="46"/>
      <c r="O1327" s="31"/>
      <c r="P1327" s="16"/>
      <c r="Q1327" s="16"/>
      <c r="R1327" s="16" t="str">
        <f t="shared" si="2"/>
        <v/>
      </c>
    </row>
    <row r="1328">
      <c r="B1328" s="16"/>
      <c r="C1328" s="12"/>
      <c r="D1328" s="12"/>
      <c r="E1328" s="12"/>
      <c r="F1328" s="12"/>
      <c r="G1328" s="25"/>
      <c r="H1328" s="12"/>
      <c r="I1328" s="31"/>
      <c r="J1328" s="12"/>
      <c r="K1328" s="12"/>
      <c r="L1328" s="16"/>
      <c r="M1328" s="46"/>
      <c r="N1328" s="46"/>
      <c r="O1328" s="31"/>
      <c r="P1328" s="16"/>
      <c r="Q1328" s="16"/>
      <c r="R1328" s="16" t="str">
        <f t="shared" si="2"/>
        <v/>
      </c>
    </row>
    <row r="1329">
      <c r="B1329" s="16"/>
      <c r="C1329" s="12"/>
      <c r="D1329" s="12"/>
      <c r="E1329" s="12"/>
      <c r="F1329" s="12"/>
      <c r="G1329" s="25"/>
      <c r="H1329" s="12"/>
      <c r="I1329" s="31"/>
      <c r="J1329" s="12"/>
      <c r="K1329" s="12"/>
      <c r="L1329" s="16"/>
      <c r="M1329" s="46"/>
      <c r="N1329" s="46"/>
      <c r="O1329" s="31"/>
      <c r="P1329" s="16"/>
      <c r="Q1329" s="16"/>
      <c r="R1329" s="16" t="str">
        <f t="shared" si="2"/>
        <v/>
      </c>
    </row>
    <row r="1330">
      <c r="B1330" s="16"/>
      <c r="C1330" s="12"/>
      <c r="D1330" s="12"/>
      <c r="E1330" s="12"/>
      <c r="F1330" s="12"/>
      <c r="G1330" s="25"/>
      <c r="H1330" s="12"/>
      <c r="I1330" s="31"/>
      <c r="J1330" s="12"/>
      <c r="K1330" s="12"/>
      <c r="L1330" s="16"/>
      <c r="M1330" s="46"/>
      <c r="N1330" s="46"/>
      <c r="O1330" s="31"/>
      <c r="P1330" s="16"/>
      <c r="Q1330" s="16"/>
      <c r="R1330" s="16" t="str">
        <f t="shared" si="2"/>
        <v/>
      </c>
    </row>
    <row r="1331">
      <c r="B1331" s="16"/>
      <c r="C1331" s="12"/>
      <c r="D1331" s="12"/>
      <c r="E1331" s="12"/>
      <c r="F1331" s="12"/>
      <c r="G1331" s="25"/>
      <c r="H1331" s="12"/>
      <c r="I1331" s="31"/>
      <c r="J1331" s="12"/>
      <c r="K1331" s="12"/>
      <c r="L1331" s="16"/>
      <c r="M1331" s="46"/>
      <c r="N1331" s="46"/>
      <c r="O1331" s="31"/>
      <c r="P1331" s="16"/>
      <c r="Q1331" s="16"/>
      <c r="R1331" s="16" t="str">
        <f t="shared" si="2"/>
        <v/>
      </c>
    </row>
    <row r="1332">
      <c r="B1332" s="16"/>
      <c r="C1332" s="12"/>
      <c r="D1332" s="12"/>
      <c r="E1332" s="12"/>
      <c r="F1332" s="12"/>
      <c r="G1332" s="25"/>
      <c r="H1332" s="12"/>
      <c r="I1332" s="31"/>
      <c r="J1332" s="12"/>
      <c r="K1332" s="12"/>
      <c r="L1332" s="16"/>
      <c r="M1332" s="46"/>
      <c r="N1332" s="46"/>
      <c r="O1332" s="31"/>
      <c r="P1332" s="16"/>
      <c r="Q1332" s="16"/>
      <c r="R1332" s="16" t="str">
        <f t="shared" si="2"/>
        <v/>
      </c>
    </row>
    <row r="1333">
      <c r="B1333" s="16"/>
      <c r="C1333" s="12"/>
      <c r="D1333" s="12"/>
      <c r="E1333" s="12"/>
      <c r="F1333" s="12"/>
      <c r="G1333" s="25"/>
      <c r="H1333" s="12"/>
      <c r="I1333" s="31"/>
      <c r="J1333" s="12"/>
      <c r="K1333" s="12"/>
      <c r="L1333" s="16"/>
      <c r="M1333" s="46"/>
      <c r="N1333" s="46"/>
      <c r="O1333" s="31"/>
      <c r="P1333" s="16"/>
      <c r="Q1333" s="16"/>
      <c r="R1333" s="16" t="str">
        <f t="shared" si="2"/>
        <v/>
      </c>
    </row>
    <row r="1334">
      <c r="B1334" s="16"/>
      <c r="C1334" s="12"/>
      <c r="D1334" s="12"/>
      <c r="E1334" s="12"/>
      <c r="F1334" s="12"/>
      <c r="G1334" s="25"/>
      <c r="H1334" s="12"/>
      <c r="I1334" s="31"/>
      <c r="J1334" s="12"/>
      <c r="K1334" s="12"/>
      <c r="L1334" s="16"/>
      <c r="M1334" s="46"/>
      <c r="N1334" s="46"/>
      <c r="O1334" s="31"/>
      <c r="P1334" s="16"/>
      <c r="Q1334" s="16"/>
      <c r="R1334" s="16" t="str">
        <f t="shared" si="2"/>
        <v/>
      </c>
    </row>
    <row r="1335">
      <c r="B1335" s="16"/>
      <c r="C1335" s="12"/>
      <c r="D1335" s="12"/>
      <c r="E1335" s="12"/>
      <c r="F1335" s="12"/>
      <c r="G1335" s="25"/>
      <c r="H1335" s="12"/>
      <c r="I1335" s="31"/>
      <c r="J1335" s="12"/>
      <c r="K1335" s="12"/>
      <c r="L1335" s="16"/>
      <c r="M1335" s="46"/>
      <c r="N1335" s="46"/>
      <c r="O1335" s="31"/>
      <c r="P1335" s="16"/>
      <c r="Q1335" s="16"/>
      <c r="R1335" s="16" t="str">
        <f t="shared" si="2"/>
        <v/>
      </c>
    </row>
    <row r="1336">
      <c r="B1336" s="16"/>
      <c r="C1336" s="12"/>
      <c r="D1336" s="12"/>
      <c r="E1336" s="12"/>
      <c r="F1336" s="12"/>
      <c r="G1336" s="25"/>
      <c r="H1336" s="12"/>
      <c r="I1336" s="31"/>
      <c r="J1336" s="12"/>
      <c r="K1336" s="12"/>
      <c r="L1336" s="16"/>
      <c r="M1336" s="46"/>
      <c r="N1336" s="46"/>
      <c r="O1336" s="31"/>
      <c r="P1336" s="16"/>
      <c r="Q1336" s="16"/>
      <c r="R1336" s="16" t="str">
        <f t="shared" si="2"/>
        <v/>
      </c>
    </row>
    <row r="1337">
      <c r="B1337" s="16"/>
      <c r="C1337" s="12"/>
      <c r="D1337" s="12"/>
      <c r="E1337" s="12"/>
      <c r="F1337" s="12"/>
      <c r="G1337" s="25"/>
      <c r="H1337" s="12"/>
      <c r="I1337" s="31"/>
      <c r="J1337" s="12"/>
      <c r="K1337" s="12"/>
      <c r="L1337" s="16"/>
      <c r="M1337" s="46"/>
      <c r="N1337" s="46"/>
      <c r="O1337" s="31"/>
      <c r="P1337" s="16"/>
      <c r="Q1337" s="16"/>
      <c r="R1337" s="16" t="str">
        <f t="shared" si="2"/>
        <v/>
      </c>
    </row>
    <row r="1338">
      <c r="B1338" s="16"/>
      <c r="C1338" s="12"/>
      <c r="D1338" s="12"/>
      <c r="E1338" s="12"/>
      <c r="F1338" s="12"/>
      <c r="G1338" s="25"/>
      <c r="H1338" s="12"/>
      <c r="I1338" s="31"/>
      <c r="J1338" s="12"/>
      <c r="K1338" s="12"/>
      <c r="L1338" s="16"/>
      <c r="M1338" s="46"/>
      <c r="N1338" s="46"/>
      <c r="O1338" s="31"/>
      <c r="P1338" s="16"/>
      <c r="Q1338" s="16"/>
      <c r="R1338" s="16" t="str">
        <f t="shared" si="2"/>
        <v/>
      </c>
    </row>
    <row r="1339">
      <c r="B1339" s="16"/>
      <c r="C1339" s="12"/>
      <c r="D1339" s="12"/>
      <c r="E1339" s="12"/>
      <c r="F1339" s="12"/>
      <c r="G1339" s="25"/>
      <c r="H1339" s="12"/>
      <c r="I1339" s="31"/>
      <c r="J1339" s="12"/>
      <c r="K1339" s="12"/>
      <c r="L1339" s="16"/>
      <c r="M1339" s="46"/>
      <c r="N1339" s="46"/>
      <c r="O1339" s="31"/>
      <c r="P1339" s="16"/>
      <c r="Q1339" s="16"/>
      <c r="R1339" s="16" t="str">
        <f t="shared" si="2"/>
        <v/>
      </c>
    </row>
    <row r="1340">
      <c r="B1340" s="16"/>
      <c r="C1340" s="12"/>
      <c r="D1340" s="12"/>
      <c r="E1340" s="12"/>
      <c r="F1340" s="12"/>
      <c r="G1340" s="25"/>
      <c r="H1340" s="12"/>
      <c r="I1340" s="31"/>
      <c r="J1340" s="12"/>
      <c r="K1340" s="12"/>
      <c r="L1340" s="16"/>
      <c r="M1340" s="46"/>
      <c r="N1340" s="46"/>
      <c r="O1340" s="31"/>
      <c r="P1340" s="16"/>
      <c r="Q1340" s="16"/>
      <c r="R1340" s="16" t="str">
        <f t="shared" si="2"/>
        <v/>
      </c>
    </row>
    <row r="1341">
      <c r="B1341" s="16"/>
      <c r="C1341" s="12"/>
      <c r="D1341" s="12"/>
      <c r="E1341" s="12"/>
      <c r="F1341" s="12"/>
      <c r="G1341" s="25"/>
      <c r="H1341" s="12"/>
      <c r="I1341" s="31"/>
      <c r="J1341" s="12"/>
      <c r="K1341" s="12"/>
      <c r="L1341" s="16"/>
      <c r="M1341" s="46"/>
      <c r="N1341" s="46"/>
      <c r="O1341" s="31"/>
      <c r="P1341" s="16"/>
      <c r="Q1341" s="16"/>
      <c r="R1341" s="16" t="str">
        <f t="shared" si="2"/>
        <v/>
      </c>
    </row>
    <row r="1342">
      <c r="B1342" s="16"/>
      <c r="C1342" s="12"/>
      <c r="D1342" s="12"/>
      <c r="E1342" s="12"/>
      <c r="F1342" s="12"/>
      <c r="G1342" s="25"/>
      <c r="H1342" s="12"/>
      <c r="I1342" s="31"/>
      <c r="J1342" s="12"/>
      <c r="K1342" s="12"/>
      <c r="L1342" s="16"/>
      <c r="M1342" s="46"/>
      <c r="N1342" s="46"/>
      <c r="O1342" s="31"/>
      <c r="P1342" s="16"/>
      <c r="Q1342" s="16"/>
      <c r="R1342" s="16" t="str">
        <f t="shared" si="2"/>
        <v/>
      </c>
    </row>
    <row r="1343">
      <c r="B1343" s="16"/>
      <c r="C1343" s="12"/>
      <c r="D1343" s="12"/>
      <c r="E1343" s="12"/>
      <c r="F1343" s="12"/>
      <c r="G1343" s="25"/>
      <c r="H1343" s="12"/>
      <c r="I1343" s="31"/>
      <c r="J1343" s="12"/>
      <c r="K1343" s="12"/>
      <c r="L1343" s="16"/>
      <c r="M1343" s="46"/>
      <c r="N1343" s="46"/>
      <c r="O1343" s="31"/>
      <c r="P1343" s="16"/>
      <c r="Q1343" s="16"/>
      <c r="R1343" s="16" t="str">
        <f t="shared" si="2"/>
        <v/>
      </c>
    </row>
    <row r="1344">
      <c r="B1344" s="16"/>
      <c r="C1344" s="12"/>
      <c r="D1344" s="12"/>
      <c r="E1344" s="12"/>
      <c r="F1344" s="12"/>
      <c r="G1344" s="25"/>
      <c r="H1344" s="12"/>
      <c r="I1344" s="31"/>
      <c r="J1344" s="12"/>
      <c r="K1344" s="12"/>
      <c r="L1344" s="16"/>
      <c r="M1344" s="46"/>
      <c r="N1344" s="46"/>
      <c r="O1344" s="31"/>
      <c r="P1344" s="16"/>
      <c r="Q1344" s="16"/>
      <c r="R1344" s="16" t="str">
        <f t="shared" si="2"/>
        <v/>
      </c>
    </row>
    <row r="1345">
      <c r="B1345" s="16"/>
      <c r="C1345" s="12"/>
      <c r="D1345" s="12"/>
      <c r="E1345" s="12"/>
      <c r="F1345" s="12"/>
      <c r="G1345" s="25"/>
      <c r="H1345" s="12"/>
      <c r="I1345" s="31"/>
      <c r="J1345" s="12"/>
      <c r="K1345" s="12"/>
      <c r="L1345" s="16"/>
      <c r="M1345" s="46"/>
      <c r="N1345" s="46"/>
      <c r="O1345" s="31"/>
      <c r="P1345" s="16"/>
      <c r="Q1345" s="16"/>
      <c r="R1345" s="16" t="str">
        <f t="shared" si="2"/>
        <v/>
      </c>
    </row>
    <row r="1346">
      <c r="B1346" s="16"/>
      <c r="C1346" s="12"/>
      <c r="D1346" s="12"/>
      <c r="E1346" s="12"/>
      <c r="F1346" s="12"/>
      <c r="G1346" s="25"/>
      <c r="H1346" s="12"/>
      <c r="I1346" s="31"/>
      <c r="J1346" s="12"/>
      <c r="K1346" s="12"/>
      <c r="L1346" s="16"/>
      <c r="M1346" s="46"/>
      <c r="N1346" s="46"/>
      <c r="O1346" s="31"/>
      <c r="P1346" s="16"/>
      <c r="Q1346" s="16"/>
      <c r="R1346" s="16" t="str">
        <f t="shared" si="2"/>
        <v/>
      </c>
    </row>
    <row r="1347">
      <c r="B1347" s="16"/>
      <c r="C1347" s="12"/>
      <c r="D1347" s="12"/>
      <c r="E1347" s="12"/>
      <c r="F1347" s="12"/>
      <c r="G1347" s="25"/>
      <c r="H1347" s="12"/>
      <c r="I1347" s="31"/>
      <c r="J1347" s="12"/>
      <c r="K1347" s="12"/>
      <c r="L1347" s="16"/>
      <c r="M1347" s="46"/>
      <c r="N1347" s="46"/>
      <c r="O1347" s="31"/>
      <c r="P1347" s="16"/>
      <c r="Q1347" s="16"/>
      <c r="R1347" s="16" t="str">
        <f t="shared" si="2"/>
        <v/>
      </c>
    </row>
    <row r="1348">
      <c r="B1348" s="16"/>
      <c r="C1348" s="12"/>
      <c r="D1348" s="12"/>
      <c r="E1348" s="12"/>
      <c r="F1348" s="12"/>
      <c r="G1348" s="25"/>
      <c r="H1348" s="12"/>
      <c r="I1348" s="31"/>
      <c r="J1348" s="12"/>
      <c r="K1348" s="12"/>
      <c r="L1348" s="16"/>
      <c r="M1348" s="46"/>
      <c r="N1348" s="46"/>
      <c r="O1348" s="31"/>
      <c r="P1348" s="16"/>
      <c r="Q1348" s="16"/>
      <c r="R1348" s="16" t="str">
        <f t="shared" si="2"/>
        <v/>
      </c>
    </row>
    <row r="1349">
      <c r="B1349" s="16"/>
      <c r="C1349" s="12"/>
      <c r="D1349" s="12"/>
      <c r="E1349" s="12"/>
      <c r="F1349" s="12"/>
      <c r="G1349" s="25"/>
      <c r="H1349" s="12"/>
      <c r="I1349" s="31"/>
      <c r="J1349" s="12"/>
      <c r="K1349" s="12"/>
      <c r="L1349" s="16"/>
      <c r="M1349" s="46"/>
      <c r="N1349" s="46"/>
      <c r="O1349" s="31"/>
      <c r="P1349" s="16"/>
      <c r="Q1349" s="16"/>
      <c r="R1349" s="16" t="str">
        <f t="shared" si="2"/>
        <v/>
      </c>
    </row>
    <row r="1350">
      <c r="B1350" s="16"/>
      <c r="C1350" s="12"/>
      <c r="D1350" s="12"/>
      <c r="E1350" s="12"/>
      <c r="F1350" s="12"/>
      <c r="G1350" s="25"/>
      <c r="H1350" s="12"/>
      <c r="I1350" s="31"/>
      <c r="J1350" s="12"/>
      <c r="K1350" s="12"/>
      <c r="L1350" s="16"/>
      <c r="M1350" s="46"/>
      <c r="N1350" s="46"/>
      <c r="O1350" s="31"/>
      <c r="P1350" s="16"/>
      <c r="Q1350" s="16"/>
      <c r="R1350" s="16" t="str">
        <f t="shared" si="2"/>
        <v/>
      </c>
    </row>
    <row r="1351">
      <c r="B1351" s="16"/>
      <c r="C1351" s="12"/>
      <c r="D1351" s="12"/>
      <c r="E1351" s="12"/>
      <c r="F1351" s="12"/>
      <c r="G1351" s="25"/>
      <c r="H1351" s="12"/>
      <c r="I1351" s="31"/>
      <c r="J1351" s="12"/>
      <c r="K1351" s="12"/>
      <c r="L1351" s="16"/>
      <c r="M1351" s="46"/>
      <c r="N1351" s="46"/>
      <c r="O1351" s="31"/>
      <c r="P1351" s="16"/>
      <c r="Q1351" s="16"/>
      <c r="R1351" s="16" t="str">
        <f t="shared" si="2"/>
        <v/>
      </c>
    </row>
    <row r="1352">
      <c r="B1352" s="16"/>
      <c r="C1352" s="12"/>
      <c r="D1352" s="12"/>
      <c r="E1352" s="12"/>
      <c r="F1352" s="12"/>
      <c r="G1352" s="25"/>
      <c r="H1352" s="12"/>
      <c r="I1352" s="31"/>
      <c r="J1352" s="12"/>
      <c r="K1352" s="12"/>
      <c r="L1352" s="16"/>
      <c r="M1352" s="46"/>
      <c r="N1352" s="46"/>
      <c r="O1352" s="31"/>
      <c r="P1352" s="16"/>
      <c r="Q1352" s="16"/>
      <c r="R1352" s="16" t="str">
        <f t="shared" si="2"/>
        <v/>
      </c>
    </row>
    <row r="1353">
      <c r="B1353" s="16"/>
      <c r="C1353" s="12"/>
      <c r="D1353" s="12"/>
      <c r="E1353" s="12"/>
      <c r="F1353" s="12"/>
      <c r="G1353" s="25"/>
      <c r="H1353" s="12"/>
      <c r="I1353" s="31"/>
      <c r="J1353" s="12"/>
      <c r="K1353" s="12"/>
      <c r="L1353" s="16"/>
      <c r="M1353" s="46"/>
      <c r="N1353" s="46"/>
      <c r="O1353" s="31"/>
      <c r="P1353" s="16"/>
      <c r="Q1353" s="16"/>
      <c r="R1353" s="16" t="str">
        <f t="shared" si="2"/>
        <v/>
      </c>
    </row>
    <row r="1354">
      <c r="B1354" s="16"/>
      <c r="C1354" s="12"/>
      <c r="D1354" s="12"/>
      <c r="E1354" s="12"/>
      <c r="F1354" s="12"/>
      <c r="G1354" s="25"/>
      <c r="H1354" s="12"/>
      <c r="I1354" s="31"/>
      <c r="J1354" s="12"/>
      <c r="K1354" s="12"/>
      <c r="L1354" s="16"/>
      <c r="M1354" s="46"/>
      <c r="N1354" s="46"/>
      <c r="O1354" s="31"/>
      <c r="P1354" s="16"/>
      <c r="Q1354" s="16"/>
      <c r="R1354" s="16" t="str">
        <f t="shared" si="2"/>
        <v/>
      </c>
    </row>
    <row r="1355">
      <c r="B1355" s="16"/>
      <c r="C1355" s="12"/>
      <c r="D1355" s="12"/>
      <c r="E1355" s="12"/>
      <c r="F1355" s="12"/>
      <c r="G1355" s="25"/>
      <c r="H1355" s="12"/>
      <c r="I1355" s="31"/>
      <c r="J1355" s="12"/>
      <c r="K1355" s="12"/>
      <c r="L1355" s="16"/>
      <c r="M1355" s="46"/>
      <c r="N1355" s="46"/>
      <c r="O1355" s="31"/>
      <c r="P1355" s="16"/>
      <c r="Q1355" s="16"/>
      <c r="R1355" s="16" t="str">
        <f t="shared" si="2"/>
        <v/>
      </c>
    </row>
    <row r="1356">
      <c r="B1356" s="16"/>
      <c r="C1356" s="12"/>
      <c r="D1356" s="12"/>
      <c r="E1356" s="12"/>
      <c r="F1356" s="12"/>
      <c r="G1356" s="25"/>
      <c r="H1356" s="12"/>
      <c r="I1356" s="31"/>
      <c r="J1356" s="12"/>
      <c r="K1356" s="12"/>
      <c r="L1356" s="16"/>
      <c r="M1356" s="46"/>
      <c r="N1356" s="46"/>
      <c r="O1356" s="31"/>
      <c r="P1356" s="16"/>
      <c r="Q1356" s="16"/>
      <c r="R1356" s="16" t="str">
        <f t="shared" si="2"/>
        <v/>
      </c>
    </row>
    <row r="1357">
      <c r="B1357" s="16"/>
      <c r="C1357" s="12"/>
      <c r="D1357" s="12"/>
      <c r="E1357" s="12"/>
      <c r="F1357" s="12"/>
      <c r="G1357" s="25"/>
      <c r="H1357" s="12"/>
      <c r="I1357" s="31"/>
      <c r="J1357" s="12"/>
      <c r="K1357" s="12"/>
      <c r="L1357" s="16"/>
      <c r="M1357" s="46"/>
      <c r="N1357" s="46"/>
      <c r="O1357" s="31"/>
      <c r="P1357" s="16"/>
      <c r="Q1357" s="16"/>
      <c r="R1357" s="16" t="str">
        <f t="shared" si="2"/>
        <v/>
      </c>
    </row>
    <row r="1358">
      <c r="B1358" s="16"/>
      <c r="C1358" s="12"/>
      <c r="D1358" s="12"/>
      <c r="E1358" s="12"/>
      <c r="F1358" s="12"/>
      <c r="G1358" s="25"/>
      <c r="H1358" s="12"/>
      <c r="I1358" s="31"/>
      <c r="J1358" s="12"/>
      <c r="K1358" s="12"/>
      <c r="L1358" s="16"/>
      <c r="M1358" s="46"/>
      <c r="N1358" s="46"/>
      <c r="O1358" s="31"/>
      <c r="P1358" s="16"/>
      <c r="Q1358" s="16"/>
      <c r="R1358" s="16" t="str">
        <f t="shared" si="2"/>
        <v/>
      </c>
    </row>
    <row r="1359">
      <c r="B1359" s="16"/>
      <c r="C1359" s="12"/>
      <c r="D1359" s="12"/>
      <c r="E1359" s="12"/>
      <c r="F1359" s="12"/>
      <c r="G1359" s="25"/>
      <c r="H1359" s="12"/>
      <c r="I1359" s="31"/>
      <c r="J1359" s="12"/>
      <c r="K1359" s="12"/>
      <c r="L1359" s="16"/>
      <c r="M1359" s="46"/>
      <c r="N1359" s="46"/>
      <c r="O1359" s="31"/>
      <c r="P1359" s="16"/>
      <c r="Q1359" s="16"/>
      <c r="R1359" s="16" t="str">
        <f t="shared" si="2"/>
        <v/>
      </c>
    </row>
    <row r="1360">
      <c r="B1360" s="16"/>
      <c r="C1360" s="12"/>
      <c r="D1360" s="12"/>
      <c r="E1360" s="12"/>
      <c r="F1360" s="12"/>
      <c r="G1360" s="25"/>
      <c r="H1360" s="12"/>
      <c r="I1360" s="31"/>
      <c r="J1360" s="12"/>
      <c r="K1360" s="12"/>
      <c r="L1360" s="16"/>
      <c r="M1360" s="46"/>
      <c r="N1360" s="46"/>
      <c r="O1360" s="31"/>
      <c r="P1360" s="16"/>
      <c r="Q1360" s="16"/>
      <c r="R1360" s="16" t="str">
        <f t="shared" si="2"/>
        <v/>
      </c>
    </row>
    <row r="1361">
      <c r="B1361" s="16"/>
      <c r="C1361" s="12"/>
      <c r="D1361" s="12"/>
      <c r="E1361" s="12"/>
      <c r="F1361" s="12"/>
      <c r="G1361" s="25"/>
      <c r="H1361" s="12"/>
      <c r="I1361" s="31"/>
      <c r="J1361" s="12"/>
      <c r="K1361" s="12"/>
      <c r="L1361" s="16"/>
      <c r="M1361" s="46"/>
      <c r="N1361" s="46"/>
      <c r="O1361" s="31"/>
      <c r="P1361" s="16"/>
      <c r="Q1361" s="16"/>
      <c r="R1361" s="16" t="str">
        <f t="shared" si="2"/>
        <v/>
      </c>
    </row>
    <row r="1362">
      <c r="B1362" s="16"/>
      <c r="C1362" s="12"/>
      <c r="D1362" s="12"/>
      <c r="E1362" s="12"/>
      <c r="F1362" s="12"/>
      <c r="G1362" s="25"/>
      <c r="H1362" s="12"/>
      <c r="I1362" s="31"/>
      <c r="J1362" s="12"/>
      <c r="K1362" s="12"/>
      <c r="L1362" s="16"/>
      <c r="M1362" s="46"/>
      <c r="N1362" s="46"/>
      <c r="O1362" s="31"/>
      <c r="P1362" s="16"/>
      <c r="Q1362" s="16"/>
      <c r="R1362" s="16" t="str">
        <f t="shared" si="2"/>
        <v/>
      </c>
    </row>
    <row r="1363">
      <c r="B1363" s="16"/>
      <c r="C1363" s="12"/>
      <c r="D1363" s="12"/>
      <c r="E1363" s="12"/>
      <c r="F1363" s="12"/>
      <c r="G1363" s="25"/>
      <c r="H1363" s="12"/>
      <c r="I1363" s="31"/>
      <c r="J1363" s="12"/>
      <c r="K1363" s="12"/>
      <c r="L1363" s="16"/>
      <c r="M1363" s="46"/>
      <c r="N1363" s="46"/>
      <c r="O1363" s="31"/>
      <c r="P1363" s="16"/>
      <c r="Q1363" s="16"/>
      <c r="R1363" s="16" t="str">
        <f t="shared" si="2"/>
        <v/>
      </c>
    </row>
    <row r="1364">
      <c r="B1364" s="16"/>
      <c r="C1364" s="12"/>
      <c r="D1364" s="12"/>
      <c r="E1364" s="12"/>
      <c r="F1364" s="12"/>
      <c r="G1364" s="25"/>
      <c r="H1364" s="12"/>
      <c r="I1364" s="31"/>
      <c r="J1364" s="12"/>
      <c r="K1364" s="12"/>
      <c r="L1364" s="16"/>
      <c r="M1364" s="46"/>
      <c r="N1364" s="46"/>
      <c r="O1364" s="31"/>
      <c r="P1364" s="16"/>
      <c r="Q1364" s="16"/>
      <c r="R1364" s="16" t="str">
        <f t="shared" si="2"/>
        <v/>
      </c>
    </row>
    <row r="1365">
      <c r="B1365" s="16"/>
      <c r="C1365" s="12"/>
      <c r="D1365" s="12"/>
      <c r="E1365" s="12"/>
      <c r="F1365" s="12"/>
      <c r="G1365" s="25"/>
      <c r="H1365" s="12"/>
      <c r="I1365" s="31"/>
      <c r="J1365" s="12"/>
      <c r="K1365" s="12"/>
      <c r="L1365" s="16"/>
      <c r="M1365" s="46"/>
      <c r="N1365" s="46"/>
      <c r="O1365" s="31"/>
      <c r="P1365" s="16"/>
      <c r="Q1365" s="16"/>
      <c r="R1365" s="16" t="str">
        <f t="shared" si="2"/>
        <v/>
      </c>
    </row>
    <row r="1366">
      <c r="B1366" s="16"/>
      <c r="C1366" s="12"/>
      <c r="D1366" s="12"/>
      <c r="E1366" s="12"/>
      <c r="F1366" s="12"/>
      <c r="G1366" s="25"/>
      <c r="H1366" s="12"/>
      <c r="I1366" s="31"/>
      <c r="J1366" s="12"/>
      <c r="K1366" s="12"/>
      <c r="L1366" s="16"/>
      <c r="M1366" s="46"/>
      <c r="N1366" s="46"/>
      <c r="O1366" s="31"/>
      <c r="P1366" s="16"/>
      <c r="Q1366" s="16"/>
      <c r="R1366" s="16" t="str">
        <f t="shared" si="2"/>
        <v/>
      </c>
    </row>
    <row r="1367">
      <c r="B1367" s="16"/>
      <c r="C1367" s="12"/>
      <c r="D1367" s="12"/>
      <c r="E1367" s="12"/>
      <c r="F1367" s="12"/>
      <c r="G1367" s="25"/>
      <c r="H1367" s="12"/>
      <c r="I1367" s="31"/>
      <c r="J1367" s="12"/>
      <c r="K1367" s="12"/>
      <c r="L1367" s="16"/>
      <c r="M1367" s="46"/>
      <c r="N1367" s="46"/>
      <c r="O1367" s="31"/>
      <c r="P1367" s="16"/>
      <c r="Q1367" s="16"/>
      <c r="R1367" s="16" t="str">
        <f t="shared" si="2"/>
        <v/>
      </c>
    </row>
    <row r="1368">
      <c r="B1368" s="16"/>
      <c r="C1368" s="12"/>
      <c r="D1368" s="12"/>
      <c r="E1368" s="12"/>
      <c r="F1368" s="12"/>
      <c r="G1368" s="25"/>
      <c r="H1368" s="12"/>
      <c r="I1368" s="31"/>
      <c r="J1368" s="12"/>
      <c r="K1368" s="12"/>
      <c r="L1368" s="16"/>
      <c r="M1368" s="46"/>
      <c r="N1368" s="46"/>
      <c r="O1368" s="31"/>
      <c r="P1368" s="16"/>
      <c r="Q1368" s="16"/>
      <c r="R1368" s="16" t="str">
        <f t="shared" si="2"/>
        <v/>
      </c>
    </row>
    <row r="1369">
      <c r="B1369" s="16"/>
      <c r="C1369" s="12"/>
      <c r="D1369" s="12"/>
      <c r="E1369" s="12"/>
      <c r="F1369" s="12"/>
      <c r="G1369" s="25"/>
      <c r="H1369" s="12"/>
      <c r="I1369" s="31"/>
      <c r="J1369" s="12"/>
      <c r="K1369" s="12"/>
      <c r="L1369" s="16"/>
      <c r="M1369" s="46"/>
      <c r="N1369" s="46"/>
      <c r="O1369" s="31"/>
      <c r="P1369" s="16"/>
      <c r="Q1369" s="16"/>
      <c r="R1369" s="16" t="str">
        <f t="shared" si="2"/>
        <v/>
      </c>
    </row>
    <row r="1370">
      <c r="B1370" s="16"/>
      <c r="C1370" s="12"/>
      <c r="D1370" s="12"/>
      <c r="E1370" s="12"/>
      <c r="F1370" s="12"/>
      <c r="G1370" s="25"/>
      <c r="H1370" s="12"/>
      <c r="I1370" s="31"/>
      <c r="J1370" s="12"/>
      <c r="K1370" s="12"/>
      <c r="L1370" s="16"/>
      <c r="M1370" s="46"/>
      <c r="N1370" s="46"/>
      <c r="O1370" s="31"/>
      <c r="P1370" s="16"/>
      <c r="Q1370" s="16"/>
      <c r="R1370" s="16" t="str">
        <f t="shared" si="2"/>
        <v/>
      </c>
    </row>
    <row r="1371">
      <c r="B1371" s="16"/>
      <c r="C1371" s="12"/>
      <c r="D1371" s="12"/>
      <c r="E1371" s="12"/>
      <c r="F1371" s="12"/>
      <c r="G1371" s="25"/>
      <c r="H1371" s="12"/>
      <c r="I1371" s="31"/>
      <c r="J1371" s="12"/>
      <c r="K1371" s="12"/>
      <c r="L1371" s="16"/>
      <c r="M1371" s="46"/>
      <c r="N1371" s="46"/>
      <c r="O1371" s="31"/>
      <c r="P1371" s="16"/>
      <c r="Q1371" s="16"/>
      <c r="R1371" s="16" t="str">
        <f t="shared" si="2"/>
        <v/>
      </c>
    </row>
    <row r="1372">
      <c r="B1372" s="16"/>
      <c r="C1372" s="12"/>
      <c r="D1372" s="12"/>
      <c r="E1372" s="12"/>
      <c r="F1372" s="12"/>
      <c r="G1372" s="25"/>
      <c r="H1372" s="12"/>
      <c r="I1372" s="31"/>
      <c r="J1372" s="12"/>
      <c r="K1372" s="12"/>
      <c r="L1372" s="16"/>
      <c r="M1372" s="46"/>
      <c r="N1372" s="46"/>
      <c r="O1372" s="31"/>
      <c r="P1372" s="16"/>
      <c r="Q1372" s="16"/>
      <c r="R1372" s="16" t="str">
        <f t="shared" si="2"/>
        <v/>
      </c>
    </row>
    <row r="1373">
      <c r="B1373" s="16"/>
      <c r="C1373" s="12"/>
      <c r="D1373" s="12"/>
      <c r="E1373" s="12"/>
      <c r="F1373" s="12"/>
      <c r="G1373" s="25"/>
      <c r="H1373" s="12"/>
      <c r="I1373" s="31"/>
      <c r="J1373" s="12"/>
      <c r="K1373" s="12"/>
      <c r="L1373" s="16"/>
      <c r="M1373" s="46"/>
      <c r="N1373" s="46"/>
      <c r="O1373" s="31"/>
      <c r="P1373" s="16"/>
      <c r="Q1373" s="16"/>
      <c r="R1373" s="16" t="str">
        <f t="shared" si="2"/>
        <v/>
      </c>
    </row>
    <row r="1374">
      <c r="B1374" s="16"/>
      <c r="C1374" s="12"/>
      <c r="D1374" s="12"/>
      <c r="E1374" s="12"/>
      <c r="F1374" s="12"/>
      <c r="G1374" s="25"/>
      <c r="H1374" s="12"/>
      <c r="I1374" s="31"/>
      <c r="J1374" s="12"/>
      <c r="K1374" s="12"/>
      <c r="L1374" s="16"/>
      <c r="M1374" s="46"/>
      <c r="N1374" s="46"/>
      <c r="O1374" s="31"/>
      <c r="P1374" s="16"/>
      <c r="Q1374" s="16"/>
      <c r="R1374" s="16" t="str">
        <f t="shared" si="2"/>
        <v/>
      </c>
    </row>
    <row r="1375">
      <c r="B1375" s="16"/>
      <c r="C1375" s="12"/>
      <c r="D1375" s="12"/>
      <c r="E1375" s="12"/>
      <c r="F1375" s="12"/>
      <c r="G1375" s="25"/>
      <c r="H1375" s="12"/>
      <c r="I1375" s="31"/>
      <c r="J1375" s="12"/>
      <c r="K1375" s="12"/>
      <c r="L1375" s="16"/>
      <c r="M1375" s="46"/>
      <c r="N1375" s="46"/>
      <c r="O1375" s="31"/>
      <c r="P1375" s="16"/>
      <c r="Q1375" s="16"/>
      <c r="R1375" s="16" t="str">
        <f t="shared" si="2"/>
        <v/>
      </c>
    </row>
    <row r="1376">
      <c r="B1376" s="16"/>
      <c r="C1376" s="12"/>
      <c r="D1376" s="12"/>
      <c r="E1376" s="12"/>
      <c r="F1376" s="12"/>
      <c r="G1376" s="25"/>
      <c r="H1376" s="12"/>
      <c r="I1376" s="31"/>
      <c r="J1376" s="12"/>
      <c r="K1376" s="12"/>
      <c r="L1376" s="16"/>
      <c r="M1376" s="46"/>
      <c r="N1376" s="46"/>
      <c r="O1376" s="31"/>
      <c r="P1376" s="16"/>
      <c r="Q1376" s="16"/>
      <c r="R1376" s="16" t="str">
        <f t="shared" si="2"/>
        <v/>
      </c>
    </row>
    <row r="1377">
      <c r="B1377" s="16"/>
      <c r="C1377" s="12"/>
      <c r="D1377" s="12"/>
      <c r="E1377" s="12"/>
      <c r="F1377" s="12"/>
      <c r="G1377" s="25"/>
      <c r="H1377" s="12"/>
      <c r="I1377" s="31"/>
      <c r="J1377" s="12"/>
      <c r="K1377" s="12"/>
      <c r="L1377" s="16"/>
      <c r="M1377" s="46"/>
      <c r="N1377" s="46"/>
      <c r="O1377" s="31"/>
      <c r="P1377" s="16"/>
      <c r="Q1377" s="16"/>
      <c r="R1377" s="16" t="str">
        <f t="shared" si="2"/>
        <v/>
      </c>
    </row>
    <row r="1378">
      <c r="B1378" s="16"/>
      <c r="C1378" s="12"/>
      <c r="D1378" s="12"/>
      <c r="E1378" s="12"/>
      <c r="F1378" s="12"/>
      <c r="G1378" s="25"/>
      <c r="H1378" s="12"/>
      <c r="I1378" s="31"/>
      <c r="J1378" s="12"/>
      <c r="K1378" s="12"/>
      <c r="L1378" s="16"/>
      <c r="M1378" s="46"/>
      <c r="N1378" s="46"/>
      <c r="O1378" s="31"/>
      <c r="P1378" s="16"/>
      <c r="Q1378" s="16"/>
      <c r="R1378" s="16" t="str">
        <f t="shared" si="2"/>
        <v/>
      </c>
    </row>
    <row r="1379">
      <c r="B1379" s="16"/>
      <c r="C1379" s="12"/>
      <c r="D1379" s="12"/>
      <c r="E1379" s="12"/>
      <c r="F1379" s="12"/>
      <c r="G1379" s="25"/>
      <c r="H1379" s="12"/>
      <c r="I1379" s="31"/>
      <c r="J1379" s="12"/>
      <c r="K1379" s="12"/>
      <c r="L1379" s="16"/>
      <c r="M1379" s="46"/>
      <c r="N1379" s="46"/>
      <c r="O1379" s="31"/>
      <c r="P1379" s="16"/>
      <c r="Q1379" s="16"/>
      <c r="R1379" s="16" t="str">
        <f t="shared" si="2"/>
        <v/>
      </c>
    </row>
    <row r="1380">
      <c r="B1380" s="16"/>
      <c r="C1380" s="12"/>
      <c r="D1380" s="12"/>
      <c r="E1380" s="12"/>
      <c r="F1380" s="12"/>
      <c r="G1380" s="25"/>
      <c r="H1380" s="12"/>
      <c r="I1380" s="31"/>
      <c r="J1380" s="12"/>
      <c r="K1380" s="12"/>
      <c r="L1380" s="16"/>
      <c r="M1380" s="46"/>
      <c r="N1380" s="46"/>
      <c r="O1380" s="31"/>
      <c r="P1380" s="16"/>
      <c r="Q1380" s="16"/>
      <c r="R1380" s="16" t="str">
        <f t="shared" si="2"/>
        <v/>
      </c>
    </row>
    <row r="1381">
      <c r="B1381" s="16"/>
      <c r="C1381" s="12"/>
      <c r="D1381" s="12"/>
      <c r="E1381" s="12"/>
      <c r="F1381" s="12"/>
      <c r="G1381" s="25"/>
      <c r="H1381" s="12"/>
      <c r="I1381" s="31"/>
      <c r="J1381" s="12"/>
      <c r="K1381" s="12"/>
      <c r="L1381" s="16"/>
      <c r="M1381" s="46"/>
      <c r="N1381" s="46"/>
      <c r="O1381" s="31"/>
      <c r="P1381" s="16"/>
      <c r="Q1381" s="16"/>
      <c r="R1381" s="16" t="str">
        <f t="shared" si="2"/>
        <v/>
      </c>
    </row>
    <row r="1382">
      <c r="B1382" s="16"/>
      <c r="C1382" s="12"/>
      <c r="D1382" s="12"/>
      <c r="E1382" s="12"/>
      <c r="F1382" s="12"/>
      <c r="G1382" s="25"/>
      <c r="H1382" s="12"/>
      <c r="I1382" s="31"/>
      <c r="J1382" s="12"/>
      <c r="K1382" s="12"/>
      <c r="L1382" s="16"/>
      <c r="M1382" s="46"/>
      <c r="N1382" s="46"/>
      <c r="O1382" s="31"/>
      <c r="P1382" s="16"/>
      <c r="Q1382" s="16"/>
      <c r="R1382" s="16" t="str">
        <f t="shared" si="2"/>
        <v/>
      </c>
    </row>
    <row r="1383">
      <c r="B1383" s="16"/>
      <c r="C1383" s="12"/>
      <c r="D1383" s="12"/>
      <c r="E1383" s="12"/>
      <c r="F1383" s="12"/>
      <c r="G1383" s="25"/>
      <c r="H1383" s="12"/>
      <c r="I1383" s="31"/>
      <c r="J1383" s="12"/>
      <c r="K1383" s="12"/>
      <c r="L1383" s="16"/>
      <c r="M1383" s="46"/>
      <c r="N1383" s="46"/>
      <c r="O1383" s="31"/>
      <c r="P1383" s="16"/>
      <c r="Q1383" s="16"/>
      <c r="R1383" s="16" t="str">
        <f t="shared" si="2"/>
        <v/>
      </c>
    </row>
    <row r="1384">
      <c r="B1384" s="16"/>
      <c r="C1384" s="12"/>
      <c r="D1384" s="12"/>
      <c r="E1384" s="12"/>
      <c r="F1384" s="12"/>
      <c r="G1384" s="25"/>
      <c r="H1384" s="12"/>
      <c r="I1384" s="31"/>
      <c r="J1384" s="12"/>
      <c r="K1384" s="12"/>
      <c r="L1384" s="16"/>
      <c r="M1384" s="46"/>
      <c r="N1384" s="46"/>
      <c r="O1384" s="31"/>
      <c r="P1384" s="16"/>
      <c r="Q1384" s="16"/>
      <c r="R1384" s="16" t="str">
        <f t="shared" si="2"/>
        <v/>
      </c>
    </row>
    <row r="1385">
      <c r="B1385" s="16"/>
      <c r="C1385" s="12"/>
      <c r="D1385" s="12"/>
      <c r="E1385" s="12"/>
      <c r="F1385" s="12"/>
      <c r="G1385" s="25"/>
      <c r="H1385" s="12"/>
      <c r="I1385" s="31"/>
      <c r="J1385" s="12"/>
      <c r="K1385" s="12"/>
      <c r="L1385" s="16"/>
      <c r="M1385" s="46"/>
      <c r="N1385" s="46"/>
      <c r="O1385" s="31"/>
      <c r="P1385" s="16"/>
      <c r="Q1385" s="16"/>
      <c r="R1385" s="16" t="str">
        <f t="shared" si="2"/>
        <v/>
      </c>
    </row>
    <row r="1386">
      <c r="B1386" s="16"/>
      <c r="C1386" s="12"/>
      <c r="D1386" s="12"/>
      <c r="E1386" s="12"/>
      <c r="F1386" s="12"/>
      <c r="G1386" s="25"/>
      <c r="H1386" s="12"/>
      <c r="I1386" s="31"/>
      <c r="J1386" s="12"/>
      <c r="K1386" s="12"/>
      <c r="L1386" s="16"/>
      <c r="M1386" s="46"/>
      <c r="N1386" s="46"/>
      <c r="O1386" s="31"/>
      <c r="P1386" s="16"/>
      <c r="Q1386" s="16"/>
      <c r="R1386" s="16" t="str">
        <f t="shared" si="2"/>
        <v/>
      </c>
    </row>
    <row r="1387">
      <c r="B1387" s="16"/>
      <c r="C1387" s="12"/>
      <c r="D1387" s="12"/>
      <c r="E1387" s="12"/>
      <c r="F1387" s="12"/>
      <c r="G1387" s="25"/>
      <c r="H1387" s="12"/>
      <c r="I1387" s="31"/>
      <c r="J1387" s="12"/>
      <c r="K1387" s="12"/>
      <c r="L1387" s="16"/>
      <c r="M1387" s="46"/>
      <c r="N1387" s="46"/>
      <c r="O1387" s="31"/>
      <c r="P1387" s="16"/>
      <c r="Q1387" s="16"/>
      <c r="R1387" s="16" t="str">
        <f t="shared" si="2"/>
        <v/>
      </c>
    </row>
    <row r="1388">
      <c r="B1388" s="16"/>
      <c r="C1388" s="12"/>
      <c r="D1388" s="12"/>
      <c r="E1388" s="12"/>
      <c r="F1388" s="12"/>
      <c r="G1388" s="25"/>
      <c r="H1388" s="12"/>
      <c r="I1388" s="31"/>
      <c r="J1388" s="12"/>
      <c r="K1388" s="12"/>
      <c r="L1388" s="16"/>
      <c r="M1388" s="46"/>
      <c r="N1388" s="46"/>
      <c r="O1388" s="31"/>
      <c r="P1388" s="16"/>
      <c r="Q1388" s="16"/>
      <c r="R1388" s="16" t="str">
        <f t="shared" si="2"/>
        <v/>
      </c>
    </row>
    <row r="1389">
      <c r="B1389" s="16"/>
      <c r="C1389" s="12"/>
      <c r="D1389" s="12"/>
      <c r="E1389" s="12"/>
      <c r="F1389" s="12"/>
      <c r="G1389" s="25"/>
      <c r="H1389" s="12"/>
      <c r="I1389" s="31"/>
      <c r="J1389" s="12"/>
      <c r="K1389" s="12"/>
      <c r="L1389" s="16"/>
      <c r="M1389" s="46"/>
      <c r="N1389" s="46"/>
      <c r="O1389" s="31"/>
      <c r="P1389" s="16"/>
      <c r="Q1389" s="16"/>
      <c r="R1389" s="16" t="str">
        <f t="shared" si="2"/>
        <v/>
      </c>
    </row>
    <row r="1390">
      <c r="B1390" s="16"/>
      <c r="C1390" s="12"/>
      <c r="D1390" s="12"/>
      <c r="E1390" s="12"/>
      <c r="F1390" s="12"/>
      <c r="G1390" s="25"/>
      <c r="H1390" s="12"/>
      <c r="I1390" s="31"/>
      <c r="J1390" s="12"/>
      <c r="K1390" s="12"/>
      <c r="L1390" s="16"/>
      <c r="M1390" s="46"/>
      <c r="N1390" s="46"/>
      <c r="O1390" s="31"/>
      <c r="P1390" s="16"/>
      <c r="Q1390" s="16"/>
      <c r="R1390" s="16" t="str">
        <f t="shared" si="2"/>
        <v/>
      </c>
    </row>
    <row r="1391">
      <c r="B1391" s="16"/>
      <c r="C1391" s="12"/>
      <c r="D1391" s="12"/>
      <c r="E1391" s="12"/>
      <c r="F1391" s="12"/>
      <c r="G1391" s="25"/>
      <c r="H1391" s="12"/>
      <c r="I1391" s="31"/>
      <c r="J1391" s="12"/>
      <c r="K1391" s="12"/>
      <c r="L1391" s="16"/>
      <c r="M1391" s="46"/>
      <c r="N1391" s="46"/>
      <c r="O1391" s="31"/>
      <c r="P1391" s="16"/>
      <c r="Q1391" s="16"/>
      <c r="R1391" s="16" t="str">
        <f t="shared" si="2"/>
        <v/>
      </c>
    </row>
    <row r="1392">
      <c r="B1392" s="16"/>
      <c r="C1392" s="12"/>
      <c r="D1392" s="12"/>
      <c r="E1392" s="12"/>
      <c r="F1392" s="12"/>
      <c r="G1392" s="25"/>
      <c r="H1392" s="12"/>
      <c r="I1392" s="31"/>
      <c r="J1392" s="12"/>
      <c r="K1392" s="12"/>
      <c r="L1392" s="16"/>
      <c r="M1392" s="46"/>
      <c r="N1392" s="46"/>
      <c r="O1392" s="31"/>
      <c r="P1392" s="16"/>
      <c r="Q1392" s="16"/>
      <c r="R1392" s="16" t="str">
        <f t="shared" si="2"/>
        <v/>
      </c>
    </row>
    <row r="1393">
      <c r="B1393" s="16"/>
      <c r="C1393" s="12"/>
      <c r="D1393" s="12"/>
      <c r="E1393" s="12"/>
      <c r="F1393" s="12"/>
      <c r="G1393" s="25"/>
      <c r="H1393" s="12"/>
      <c r="I1393" s="31"/>
      <c r="J1393" s="12"/>
      <c r="K1393" s="12"/>
      <c r="L1393" s="16"/>
      <c r="M1393" s="46"/>
      <c r="N1393" s="46"/>
      <c r="O1393" s="31"/>
      <c r="P1393" s="16"/>
      <c r="Q1393" s="16"/>
      <c r="R1393" s="16" t="str">
        <f t="shared" si="2"/>
        <v/>
      </c>
    </row>
    <row r="1394">
      <c r="B1394" s="16"/>
      <c r="C1394" s="12"/>
      <c r="D1394" s="12"/>
      <c r="E1394" s="12"/>
      <c r="F1394" s="12"/>
      <c r="G1394" s="25"/>
      <c r="H1394" s="12"/>
      <c r="I1394" s="31"/>
      <c r="J1394" s="12"/>
      <c r="K1394" s="12"/>
      <c r="L1394" s="16"/>
      <c r="M1394" s="46"/>
      <c r="N1394" s="46"/>
      <c r="O1394" s="31"/>
      <c r="P1394" s="16"/>
      <c r="Q1394" s="16"/>
      <c r="R1394" s="16" t="str">
        <f t="shared" si="2"/>
        <v/>
      </c>
    </row>
    <row r="1395">
      <c r="B1395" s="16"/>
      <c r="C1395" s="12"/>
      <c r="D1395" s="12"/>
      <c r="E1395" s="12"/>
      <c r="F1395" s="12"/>
      <c r="G1395" s="25"/>
      <c r="H1395" s="12"/>
      <c r="I1395" s="31"/>
      <c r="J1395" s="12"/>
      <c r="K1395" s="12"/>
      <c r="L1395" s="16"/>
      <c r="M1395" s="46"/>
      <c r="N1395" s="46"/>
      <c r="O1395" s="31"/>
      <c r="P1395" s="16"/>
      <c r="Q1395" s="16"/>
      <c r="R1395" s="16" t="str">
        <f t="shared" si="2"/>
        <v/>
      </c>
    </row>
    <row r="1396">
      <c r="B1396" s="16"/>
      <c r="C1396" s="12"/>
      <c r="D1396" s="12"/>
      <c r="E1396" s="12"/>
      <c r="F1396" s="12"/>
      <c r="G1396" s="25"/>
      <c r="H1396" s="12"/>
      <c r="I1396" s="31"/>
      <c r="J1396" s="12"/>
      <c r="K1396" s="12"/>
      <c r="L1396" s="16"/>
      <c r="M1396" s="46"/>
      <c r="N1396" s="46"/>
      <c r="O1396" s="31"/>
      <c r="P1396" s="16"/>
      <c r="Q1396" s="16"/>
      <c r="R1396" s="16" t="str">
        <f t="shared" si="2"/>
        <v/>
      </c>
    </row>
    <row r="1397">
      <c r="B1397" s="16"/>
      <c r="C1397" s="12"/>
      <c r="D1397" s="12"/>
      <c r="E1397" s="12"/>
      <c r="F1397" s="12"/>
      <c r="G1397" s="25"/>
      <c r="H1397" s="12"/>
      <c r="I1397" s="31"/>
      <c r="J1397" s="12"/>
      <c r="K1397" s="12"/>
      <c r="L1397" s="16"/>
      <c r="M1397" s="46"/>
      <c r="N1397" s="46"/>
      <c r="O1397" s="31"/>
      <c r="P1397" s="16"/>
      <c r="Q1397" s="16"/>
      <c r="R1397" s="16" t="str">
        <f t="shared" si="2"/>
        <v/>
      </c>
    </row>
    <row r="1398">
      <c r="B1398" s="16"/>
      <c r="C1398" s="12"/>
      <c r="D1398" s="12"/>
      <c r="E1398" s="12"/>
      <c r="F1398" s="12"/>
      <c r="G1398" s="25"/>
      <c r="H1398" s="12"/>
      <c r="I1398" s="31"/>
      <c r="J1398" s="12"/>
      <c r="K1398" s="12"/>
      <c r="L1398" s="16"/>
      <c r="M1398" s="46"/>
      <c r="N1398" s="46"/>
      <c r="O1398" s="31"/>
      <c r="P1398" s="16"/>
      <c r="Q1398" s="16"/>
      <c r="R1398" s="16" t="str">
        <f t="shared" si="2"/>
        <v/>
      </c>
    </row>
    <row r="1399">
      <c r="B1399" s="16"/>
      <c r="C1399" s="12"/>
      <c r="D1399" s="12"/>
      <c r="E1399" s="12"/>
      <c r="F1399" s="12"/>
      <c r="G1399" s="25"/>
      <c r="H1399" s="12"/>
      <c r="I1399" s="31"/>
      <c r="J1399" s="12"/>
      <c r="K1399" s="12"/>
      <c r="L1399" s="16"/>
      <c r="M1399" s="46"/>
      <c r="N1399" s="46"/>
      <c r="O1399" s="31"/>
      <c r="P1399" s="16"/>
      <c r="Q1399" s="16"/>
      <c r="R1399" s="16" t="str">
        <f t="shared" si="2"/>
        <v/>
      </c>
    </row>
    <row r="1400">
      <c r="B1400" s="16"/>
      <c r="C1400" s="12"/>
      <c r="D1400" s="12"/>
      <c r="E1400" s="12"/>
      <c r="F1400" s="12"/>
      <c r="G1400" s="25"/>
      <c r="H1400" s="12"/>
      <c r="I1400" s="31"/>
      <c r="J1400" s="12"/>
      <c r="K1400" s="12"/>
      <c r="L1400" s="16"/>
      <c r="M1400" s="46"/>
      <c r="N1400" s="46"/>
      <c r="O1400" s="31"/>
      <c r="P1400" s="16"/>
      <c r="Q1400" s="16"/>
      <c r="R1400" s="16" t="str">
        <f t="shared" si="2"/>
        <v/>
      </c>
    </row>
    <row r="1401">
      <c r="B1401" s="16"/>
      <c r="C1401" s="12"/>
      <c r="D1401" s="12"/>
      <c r="E1401" s="12"/>
      <c r="F1401" s="12"/>
      <c r="G1401" s="25"/>
      <c r="H1401" s="12"/>
      <c r="I1401" s="31"/>
      <c r="J1401" s="12"/>
      <c r="K1401" s="12"/>
      <c r="L1401" s="16"/>
      <c r="M1401" s="46"/>
      <c r="N1401" s="46"/>
      <c r="O1401" s="31"/>
      <c r="P1401" s="16"/>
      <c r="Q1401" s="16"/>
      <c r="R1401" s="16" t="str">
        <f t="shared" si="2"/>
        <v/>
      </c>
    </row>
    <row r="1402">
      <c r="B1402" s="16"/>
      <c r="C1402" s="12"/>
      <c r="D1402" s="12"/>
      <c r="E1402" s="12"/>
      <c r="F1402" s="12"/>
      <c r="G1402" s="25"/>
      <c r="H1402" s="12"/>
      <c r="I1402" s="31"/>
      <c r="J1402" s="12"/>
      <c r="K1402" s="12"/>
      <c r="L1402" s="16"/>
      <c r="M1402" s="46"/>
      <c r="N1402" s="46"/>
      <c r="O1402" s="31"/>
      <c r="P1402" s="16"/>
      <c r="Q1402" s="16"/>
      <c r="R1402" s="16" t="str">
        <f t="shared" si="2"/>
        <v/>
      </c>
    </row>
    <row r="1403">
      <c r="B1403" s="16"/>
      <c r="C1403" s="12"/>
      <c r="D1403" s="12"/>
      <c r="E1403" s="12"/>
      <c r="F1403" s="12"/>
      <c r="G1403" s="25"/>
      <c r="H1403" s="12"/>
      <c r="I1403" s="31"/>
      <c r="J1403" s="12"/>
      <c r="K1403" s="12"/>
      <c r="L1403" s="16"/>
      <c r="M1403" s="46"/>
      <c r="N1403" s="46"/>
      <c r="O1403" s="31"/>
      <c r="P1403" s="16"/>
      <c r="Q1403" s="16"/>
      <c r="R1403" s="16" t="str">
        <f t="shared" si="2"/>
        <v/>
      </c>
    </row>
    <row r="1404">
      <c r="B1404" s="16"/>
      <c r="C1404" s="12"/>
      <c r="D1404" s="12"/>
      <c r="E1404" s="12"/>
      <c r="F1404" s="12"/>
      <c r="G1404" s="25"/>
      <c r="H1404" s="12"/>
      <c r="I1404" s="31"/>
      <c r="J1404" s="12"/>
      <c r="K1404" s="12"/>
      <c r="L1404" s="16"/>
      <c r="M1404" s="46"/>
      <c r="N1404" s="46"/>
      <c r="O1404" s="31"/>
      <c r="P1404" s="16"/>
      <c r="Q1404" s="16"/>
      <c r="R1404" s="16" t="str">
        <f t="shared" si="2"/>
        <v/>
      </c>
    </row>
    <row r="1405">
      <c r="B1405" s="16"/>
      <c r="C1405" s="12"/>
      <c r="D1405" s="12"/>
      <c r="E1405" s="12"/>
      <c r="F1405" s="12"/>
      <c r="G1405" s="25"/>
      <c r="H1405" s="12"/>
      <c r="I1405" s="31"/>
      <c r="J1405" s="12"/>
      <c r="K1405" s="12"/>
      <c r="L1405" s="16"/>
      <c r="M1405" s="46"/>
      <c r="N1405" s="46"/>
      <c r="O1405" s="31"/>
      <c r="P1405" s="16"/>
      <c r="Q1405" s="16"/>
      <c r="R1405" s="16" t="str">
        <f t="shared" si="2"/>
        <v/>
      </c>
    </row>
    <row r="1406">
      <c r="B1406" s="16"/>
      <c r="C1406" s="12"/>
      <c r="D1406" s="12"/>
      <c r="E1406" s="12"/>
      <c r="F1406" s="12"/>
      <c r="G1406" s="25"/>
      <c r="H1406" s="12"/>
      <c r="I1406" s="31"/>
      <c r="J1406" s="12"/>
      <c r="K1406" s="12"/>
      <c r="L1406" s="16"/>
      <c r="M1406" s="46"/>
      <c r="N1406" s="46"/>
      <c r="O1406" s="31"/>
      <c r="P1406" s="16"/>
      <c r="Q1406" s="16"/>
      <c r="R1406" s="16" t="str">
        <f t="shared" si="2"/>
        <v/>
      </c>
    </row>
    <row r="1407">
      <c r="B1407" s="16"/>
      <c r="C1407" s="12"/>
      <c r="D1407" s="12"/>
      <c r="E1407" s="12"/>
      <c r="F1407" s="12"/>
      <c r="G1407" s="25"/>
      <c r="H1407" s="12"/>
      <c r="I1407" s="31"/>
      <c r="J1407" s="12"/>
      <c r="K1407" s="12"/>
      <c r="L1407" s="16"/>
      <c r="M1407" s="46"/>
      <c r="N1407" s="46"/>
      <c r="O1407" s="31"/>
      <c r="P1407" s="16"/>
      <c r="Q1407" s="16"/>
      <c r="R1407" s="16" t="str">
        <f t="shared" si="2"/>
        <v/>
      </c>
    </row>
    <row r="1408">
      <c r="B1408" s="16"/>
      <c r="C1408" s="12"/>
      <c r="D1408" s="12"/>
      <c r="E1408" s="12"/>
      <c r="F1408" s="12"/>
      <c r="G1408" s="25"/>
      <c r="H1408" s="12"/>
      <c r="I1408" s="31"/>
      <c r="J1408" s="12"/>
      <c r="K1408" s="12"/>
      <c r="L1408" s="16"/>
      <c r="M1408" s="46"/>
      <c r="N1408" s="46"/>
      <c r="O1408" s="31"/>
      <c r="P1408" s="16"/>
      <c r="Q1408" s="16"/>
      <c r="R1408" s="16" t="str">
        <f t="shared" si="2"/>
        <v/>
      </c>
    </row>
    <row r="1409">
      <c r="B1409" s="16"/>
      <c r="C1409" s="12"/>
      <c r="D1409" s="12"/>
      <c r="E1409" s="12"/>
      <c r="F1409" s="12"/>
      <c r="G1409" s="25"/>
      <c r="H1409" s="12"/>
      <c r="I1409" s="31"/>
      <c r="J1409" s="12"/>
      <c r="K1409" s="12"/>
      <c r="L1409" s="16"/>
      <c r="M1409" s="46"/>
      <c r="N1409" s="46"/>
      <c r="O1409" s="31"/>
      <c r="P1409" s="16"/>
      <c r="Q1409" s="16"/>
      <c r="R1409" s="16" t="str">
        <f t="shared" si="2"/>
        <v/>
      </c>
    </row>
    <row r="1410">
      <c r="B1410" s="16"/>
      <c r="C1410" s="12"/>
      <c r="D1410" s="12"/>
      <c r="E1410" s="12"/>
      <c r="F1410" s="12"/>
      <c r="G1410" s="25"/>
      <c r="H1410" s="12"/>
      <c r="I1410" s="31"/>
      <c r="J1410" s="12"/>
      <c r="K1410" s="12"/>
      <c r="L1410" s="16"/>
      <c r="M1410" s="46"/>
      <c r="N1410" s="46"/>
      <c r="O1410" s="31"/>
      <c r="P1410" s="16"/>
      <c r="Q1410" s="16"/>
      <c r="R1410" s="16" t="str">
        <f t="shared" si="2"/>
        <v/>
      </c>
    </row>
    <row r="1411">
      <c r="B1411" s="16"/>
      <c r="C1411" s="12"/>
      <c r="D1411" s="12"/>
      <c r="E1411" s="12"/>
      <c r="F1411" s="12"/>
      <c r="G1411" s="25"/>
      <c r="H1411" s="12"/>
      <c r="I1411" s="31"/>
      <c r="J1411" s="12"/>
      <c r="K1411" s="12"/>
      <c r="L1411" s="16"/>
      <c r="M1411" s="46"/>
      <c r="N1411" s="46"/>
      <c r="O1411" s="31"/>
      <c r="P1411" s="16"/>
      <c r="Q1411" s="16"/>
      <c r="R1411" s="16" t="str">
        <f t="shared" si="2"/>
        <v/>
      </c>
    </row>
    <row r="1412">
      <c r="B1412" s="16"/>
      <c r="C1412" s="12"/>
      <c r="D1412" s="12"/>
      <c r="E1412" s="12"/>
      <c r="F1412" s="12"/>
      <c r="G1412" s="25"/>
      <c r="H1412" s="12"/>
      <c r="I1412" s="31"/>
      <c r="J1412" s="12"/>
      <c r="K1412" s="12"/>
      <c r="L1412" s="16"/>
      <c r="M1412" s="46"/>
      <c r="N1412" s="46"/>
      <c r="O1412" s="31"/>
      <c r="P1412" s="16"/>
      <c r="Q1412" s="16"/>
      <c r="R1412" s="16" t="str">
        <f t="shared" si="2"/>
        <v/>
      </c>
    </row>
    <row r="1413">
      <c r="B1413" s="16"/>
      <c r="C1413" s="12"/>
      <c r="D1413" s="12"/>
      <c r="E1413" s="12"/>
      <c r="F1413" s="12"/>
      <c r="G1413" s="25"/>
      <c r="H1413" s="12"/>
      <c r="I1413" s="31"/>
      <c r="J1413" s="12"/>
      <c r="K1413" s="12"/>
      <c r="L1413" s="16"/>
      <c r="M1413" s="46"/>
      <c r="N1413" s="46"/>
      <c r="O1413" s="31"/>
      <c r="P1413" s="16"/>
      <c r="Q1413" s="16"/>
      <c r="R1413" s="16" t="str">
        <f t="shared" si="2"/>
        <v/>
      </c>
    </row>
    <row r="1414">
      <c r="B1414" s="16"/>
      <c r="C1414" s="12"/>
      <c r="D1414" s="12"/>
      <c r="E1414" s="12"/>
      <c r="F1414" s="12"/>
      <c r="G1414" s="25"/>
      <c r="H1414" s="12"/>
      <c r="I1414" s="31"/>
      <c r="J1414" s="12"/>
      <c r="K1414" s="12"/>
      <c r="L1414" s="16"/>
      <c r="M1414" s="46"/>
      <c r="N1414" s="46"/>
      <c r="O1414" s="31"/>
      <c r="P1414" s="16"/>
      <c r="Q1414" s="16"/>
      <c r="R1414" s="16" t="str">
        <f t="shared" si="2"/>
        <v/>
      </c>
    </row>
    <row r="1415">
      <c r="B1415" s="16"/>
      <c r="C1415" s="12"/>
      <c r="D1415" s="12"/>
      <c r="E1415" s="12"/>
      <c r="F1415" s="12"/>
      <c r="G1415" s="25"/>
      <c r="H1415" s="12"/>
      <c r="I1415" s="31"/>
      <c r="J1415" s="12"/>
      <c r="K1415" s="12"/>
      <c r="L1415" s="16"/>
      <c r="M1415" s="46"/>
      <c r="N1415" s="46"/>
      <c r="O1415" s="31"/>
      <c r="P1415" s="16"/>
      <c r="Q1415" s="16"/>
      <c r="R1415" s="16" t="str">
        <f t="shared" si="2"/>
        <v/>
      </c>
    </row>
    <row r="1416">
      <c r="B1416" s="16"/>
      <c r="C1416" s="12"/>
      <c r="D1416" s="12"/>
      <c r="E1416" s="12"/>
      <c r="F1416" s="12"/>
      <c r="G1416" s="25"/>
      <c r="H1416" s="12"/>
      <c r="I1416" s="31"/>
      <c r="J1416" s="12"/>
      <c r="K1416" s="12"/>
      <c r="L1416" s="16"/>
      <c r="M1416" s="46"/>
      <c r="N1416" s="46"/>
      <c r="O1416" s="31"/>
      <c r="P1416" s="16"/>
      <c r="Q1416" s="16"/>
      <c r="R1416" s="16" t="str">
        <f t="shared" si="2"/>
        <v/>
      </c>
    </row>
    <row r="1417">
      <c r="B1417" s="16"/>
      <c r="C1417" s="12"/>
      <c r="D1417" s="12"/>
      <c r="E1417" s="12"/>
      <c r="F1417" s="12"/>
      <c r="G1417" s="25"/>
      <c r="H1417" s="12"/>
      <c r="I1417" s="31"/>
      <c r="J1417" s="12"/>
      <c r="K1417" s="12"/>
      <c r="L1417" s="16"/>
      <c r="M1417" s="46"/>
      <c r="N1417" s="46"/>
      <c r="O1417" s="31"/>
      <c r="P1417" s="16"/>
      <c r="Q1417" s="16"/>
      <c r="R1417" s="16" t="str">
        <f t="shared" si="2"/>
        <v/>
      </c>
    </row>
    <row r="1418">
      <c r="B1418" s="16"/>
      <c r="C1418" s="12"/>
      <c r="D1418" s="12"/>
      <c r="E1418" s="12"/>
      <c r="F1418" s="12"/>
      <c r="G1418" s="25"/>
      <c r="H1418" s="12"/>
      <c r="I1418" s="31"/>
      <c r="J1418" s="12"/>
      <c r="K1418" s="12"/>
      <c r="L1418" s="16"/>
      <c r="M1418" s="46"/>
      <c r="N1418" s="46"/>
      <c r="O1418" s="31"/>
      <c r="P1418" s="16"/>
      <c r="Q1418" s="16"/>
      <c r="R1418" s="16" t="str">
        <f t="shared" si="2"/>
        <v/>
      </c>
    </row>
    <row r="1419">
      <c r="B1419" s="16"/>
      <c r="C1419" s="12"/>
      <c r="D1419" s="12"/>
      <c r="E1419" s="12"/>
      <c r="F1419" s="12"/>
      <c r="G1419" s="25"/>
      <c r="H1419" s="12"/>
      <c r="I1419" s="31"/>
      <c r="J1419" s="12"/>
      <c r="K1419" s="12"/>
      <c r="L1419" s="16"/>
      <c r="M1419" s="46"/>
      <c r="N1419" s="46"/>
      <c r="O1419" s="31"/>
      <c r="P1419" s="16"/>
      <c r="Q1419" s="16"/>
      <c r="R1419" s="16" t="str">
        <f t="shared" si="2"/>
        <v/>
      </c>
    </row>
    <row r="1420">
      <c r="B1420" s="16"/>
      <c r="C1420" s="12"/>
      <c r="D1420" s="12"/>
      <c r="E1420" s="12"/>
      <c r="F1420" s="12"/>
      <c r="G1420" s="25"/>
      <c r="H1420" s="12"/>
      <c r="I1420" s="31"/>
      <c r="J1420" s="12"/>
      <c r="K1420" s="12"/>
      <c r="L1420" s="16"/>
      <c r="M1420" s="46"/>
      <c r="N1420" s="46"/>
      <c r="O1420" s="31"/>
      <c r="P1420" s="16"/>
      <c r="Q1420" s="16"/>
      <c r="R1420" s="16" t="str">
        <f t="shared" si="2"/>
        <v/>
      </c>
    </row>
    <row r="1421">
      <c r="B1421" s="16"/>
      <c r="C1421" s="12"/>
      <c r="D1421" s="12"/>
      <c r="E1421" s="12"/>
      <c r="F1421" s="12"/>
      <c r="G1421" s="25"/>
      <c r="H1421" s="12"/>
      <c r="I1421" s="31"/>
      <c r="J1421" s="12"/>
      <c r="K1421" s="12"/>
      <c r="L1421" s="16"/>
      <c r="M1421" s="46"/>
      <c r="N1421" s="46"/>
      <c r="O1421" s="31"/>
      <c r="P1421" s="16"/>
      <c r="Q1421" s="16"/>
      <c r="R1421" s="16" t="str">
        <f t="shared" si="2"/>
        <v/>
      </c>
    </row>
    <row r="1422">
      <c r="B1422" s="16"/>
      <c r="C1422" s="12"/>
      <c r="D1422" s="12"/>
      <c r="E1422" s="12"/>
      <c r="F1422" s="12"/>
      <c r="G1422" s="25"/>
      <c r="H1422" s="12"/>
      <c r="I1422" s="31"/>
      <c r="J1422" s="12"/>
      <c r="K1422" s="12"/>
      <c r="L1422" s="16"/>
      <c r="M1422" s="46"/>
      <c r="N1422" s="46"/>
      <c r="O1422" s="31"/>
      <c r="P1422" s="16"/>
      <c r="Q1422" s="16"/>
      <c r="R1422" s="16" t="str">
        <f t="shared" si="2"/>
        <v/>
      </c>
    </row>
    <row r="1423">
      <c r="B1423" s="16"/>
      <c r="C1423" s="12"/>
      <c r="D1423" s="12"/>
      <c r="E1423" s="12"/>
      <c r="F1423" s="12"/>
      <c r="G1423" s="25"/>
      <c r="H1423" s="12"/>
      <c r="I1423" s="31"/>
      <c r="J1423" s="12"/>
      <c r="K1423" s="12"/>
      <c r="L1423" s="16"/>
      <c r="M1423" s="46"/>
      <c r="N1423" s="46"/>
      <c r="O1423" s="31"/>
      <c r="P1423" s="16"/>
      <c r="Q1423" s="16"/>
      <c r="R1423" s="16" t="str">
        <f t="shared" si="2"/>
        <v/>
      </c>
    </row>
    <row r="1424">
      <c r="B1424" s="16"/>
      <c r="C1424" s="12"/>
      <c r="D1424" s="12"/>
      <c r="E1424" s="12"/>
      <c r="F1424" s="12"/>
      <c r="G1424" s="25"/>
      <c r="H1424" s="12"/>
      <c r="I1424" s="31"/>
      <c r="J1424" s="12"/>
      <c r="K1424" s="12"/>
      <c r="L1424" s="16"/>
      <c r="M1424" s="46"/>
      <c r="N1424" s="46"/>
      <c r="O1424" s="31"/>
      <c r="P1424" s="16"/>
      <c r="Q1424" s="16"/>
      <c r="R1424" s="16" t="str">
        <f t="shared" si="2"/>
        <v/>
      </c>
    </row>
    <row r="1425">
      <c r="B1425" s="16"/>
      <c r="C1425" s="12"/>
      <c r="D1425" s="12"/>
      <c r="E1425" s="12"/>
      <c r="F1425" s="12"/>
      <c r="G1425" s="25"/>
      <c r="H1425" s="12"/>
      <c r="I1425" s="31"/>
      <c r="J1425" s="12"/>
      <c r="K1425" s="12"/>
      <c r="L1425" s="16"/>
      <c r="M1425" s="46"/>
      <c r="N1425" s="46"/>
      <c r="O1425" s="31"/>
      <c r="P1425" s="16"/>
      <c r="Q1425" s="16"/>
      <c r="R1425" s="16" t="str">
        <f t="shared" si="2"/>
        <v/>
      </c>
    </row>
    <row r="1426">
      <c r="B1426" s="16"/>
      <c r="C1426" s="12"/>
      <c r="D1426" s="12"/>
      <c r="E1426" s="12"/>
      <c r="F1426" s="12"/>
      <c r="G1426" s="25"/>
      <c r="H1426" s="12"/>
      <c r="I1426" s="31"/>
      <c r="J1426" s="12"/>
      <c r="K1426" s="12"/>
      <c r="L1426" s="16"/>
      <c r="M1426" s="46"/>
      <c r="N1426" s="46"/>
      <c r="O1426" s="31"/>
      <c r="P1426" s="16"/>
      <c r="Q1426" s="16"/>
      <c r="R1426" s="16" t="str">
        <f t="shared" si="2"/>
        <v/>
      </c>
    </row>
    <row r="1427">
      <c r="B1427" s="16"/>
      <c r="C1427" s="12"/>
      <c r="D1427" s="12"/>
      <c r="E1427" s="12"/>
      <c r="F1427" s="12"/>
      <c r="G1427" s="25"/>
      <c r="H1427" s="12"/>
      <c r="I1427" s="31"/>
      <c r="J1427" s="12"/>
      <c r="K1427" s="12"/>
      <c r="L1427" s="16"/>
      <c r="M1427" s="46"/>
      <c r="N1427" s="46"/>
      <c r="O1427" s="31"/>
      <c r="P1427" s="16"/>
      <c r="Q1427" s="16"/>
      <c r="R1427" s="16" t="str">
        <f t="shared" si="2"/>
        <v/>
      </c>
    </row>
    <row r="1428">
      <c r="B1428" s="16"/>
      <c r="C1428" s="12"/>
      <c r="D1428" s="12"/>
      <c r="E1428" s="12"/>
      <c r="F1428" s="12"/>
      <c r="G1428" s="25"/>
      <c r="H1428" s="12"/>
      <c r="I1428" s="31"/>
      <c r="J1428" s="12"/>
      <c r="K1428" s="12"/>
      <c r="L1428" s="16"/>
      <c r="M1428" s="46"/>
      <c r="N1428" s="46"/>
      <c r="O1428" s="31"/>
      <c r="P1428" s="16"/>
      <c r="Q1428" s="16"/>
      <c r="R1428" s="16" t="str">
        <f t="shared" si="2"/>
        <v/>
      </c>
    </row>
    <row r="1429">
      <c r="B1429" s="16"/>
      <c r="C1429" s="12"/>
      <c r="D1429" s="12"/>
      <c r="E1429" s="12"/>
      <c r="F1429" s="12"/>
      <c r="G1429" s="25"/>
      <c r="H1429" s="12"/>
      <c r="I1429" s="31"/>
      <c r="J1429" s="12"/>
      <c r="K1429" s="12"/>
      <c r="L1429" s="16"/>
      <c r="M1429" s="46"/>
      <c r="N1429" s="46"/>
      <c r="O1429" s="31"/>
      <c r="P1429" s="16"/>
      <c r="Q1429" s="16"/>
      <c r="R1429" s="16" t="str">
        <f t="shared" si="2"/>
        <v/>
      </c>
    </row>
    <row r="1430">
      <c r="B1430" s="16"/>
      <c r="C1430" s="12"/>
      <c r="D1430" s="12"/>
      <c r="E1430" s="12"/>
      <c r="F1430" s="12"/>
      <c r="G1430" s="25"/>
      <c r="H1430" s="12"/>
      <c r="I1430" s="31"/>
      <c r="J1430" s="12"/>
      <c r="K1430" s="12"/>
      <c r="L1430" s="16"/>
      <c r="M1430" s="46"/>
      <c r="N1430" s="46"/>
      <c r="O1430" s="31"/>
      <c r="P1430" s="16"/>
      <c r="Q1430" s="16"/>
      <c r="R1430" s="16" t="str">
        <f t="shared" si="2"/>
        <v/>
      </c>
    </row>
    <row r="1431">
      <c r="B1431" s="16"/>
      <c r="C1431" s="12"/>
      <c r="D1431" s="12"/>
      <c r="E1431" s="12"/>
      <c r="F1431" s="12"/>
      <c r="G1431" s="25"/>
      <c r="H1431" s="12"/>
      <c r="I1431" s="31"/>
      <c r="J1431" s="12"/>
      <c r="K1431" s="12"/>
      <c r="L1431" s="16"/>
      <c r="M1431" s="46"/>
      <c r="N1431" s="46"/>
      <c r="O1431" s="31"/>
      <c r="P1431" s="16"/>
      <c r="Q1431" s="16"/>
      <c r="R1431" s="16" t="str">
        <f t="shared" si="2"/>
        <v/>
      </c>
    </row>
    <row r="1432">
      <c r="B1432" s="16"/>
      <c r="C1432" s="12"/>
      <c r="D1432" s="12"/>
      <c r="E1432" s="12"/>
      <c r="F1432" s="12"/>
      <c r="G1432" s="25"/>
      <c r="H1432" s="12"/>
      <c r="I1432" s="31"/>
      <c r="J1432" s="12"/>
      <c r="K1432" s="12"/>
      <c r="L1432" s="16"/>
      <c r="M1432" s="46"/>
      <c r="N1432" s="46"/>
      <c r="O1432" s="31"/>
      <c r="P1432" s="16"/>
      <c r="Q1432" s="16"/>
      <c r="R1432" s="16" t="str">
        <f t="shared" si="2"/>
        <v/>
      </c>
    </row>
    <row r="1433">
      <c r="B1433" s="16"/>
      <c r="C1433" s="12"/>
      <c r="D1433" s="12"/>
      <c r="E1433" s="12"/>
      <c r="F1433" s="12"/>
      <c r="G1433" s="25"/>
      <c r="H1433" s="12"/>
      <c r="I1433" s="31"/>
      <c r="J1433" s="12"/>
      <c r="K1433" s="12"/>
      <c r="L1433" s="16"/>
      <c r="M1433" s="46"/>
      <c r="N1433" s="46"/>
      <c r="O1433" s="31"/>
      <c r="P1433" s="16"/>
      <c r="Q1433" s="16"/>
      <c r="R1433" s="16" t="str">
        <f t="shared" si="2"/>
        <v/>
      </c>
    </row>
    <row r="1434">
      <c r="B1434" s="16"/>
      <c r="C1434" s="12"/>
      <c r="D1434" s="12"/>
      <c r="E1434" s="12"/>
      <c r="F1434" s="12"/>
      <c r="G1434" s="25"/>
      <c r="H1434" s="12"/>
      <c r="I1434" s="31"/>
      <c r="J1434" s="12"/>
      <c r="K1434" s="12"/>
      <c r="L1434" s="16"/>
      <c r="M1434" s="46"/>
      <c r="N1434" s="46"/>
      <c r="O1434" s="31"/>
      <c r="P1434" s="16"/>
      <c r="Q1434" s="16"/>
      <c r="R1434" s="16" t="str">
        <f t="shared" si="2"/>
        <v/>
      </c>
    </row>
    <row r="1435">
      <c r="B1435" s="16"/>
      <c r="C1435" s="12"/>
      <c r="D1435" s="12"/>
      <c r="E1435" s="12"/>
      <c r="F1435" s="12"/>
      <c r="G1435" s="25"/>
      <c r="H1435" s="12"/>
      <c r="I1435" s="31"/>
      <c r="J1435" s="12"/>
      <c r="K1435" s="12"/>
      <c r="L1435" s="16"/>
      <c r="M1435" s="46"/>
      <c r="N1435" s="46"/>
      <c r="O1435" s="31"/>
      <c r="P1435" s="16"/>
      <c r="Q1435" s="16"/>
      <c r="R1435" s="16" t="str">
        <f t="shared" si="2"/>
        <v/>
      </c>
    </row>
    <row r="1436">
      <c r="B1436" s="16"/>
      <c r="C1436" s="12"/>
      <c r="D1436" s="12"/>
      <c r="E1436" s="12"/>
      <c r="F1436" s="12"/>
      <c r="G1436" s="25"/>
      <c r="H1436" s="12"/>
      <c r="I1436" s="31"/>
      <c r="J1436" s="12"/>
      <c r="K1436" s="12"/>
      <c r="L1436" s="16"/>
      <c r="M1436" s="46"/>
      <c r="N1436" s="46"/>
      <c r="O1436" s="31"/>
      <c r="P1436" s="16"/>
      <c r="Q1436" s="16"/>
      <c r="R1436" s="16" t="str">
        <f t="shared" si="2"/>
        <v/>
      </c>
    </row>
    <row r="1437">
      <c r="B1437" s="16"/>
      <c r="C1437" s="12"/>
      <c r="D1437" s="12"/>
      <c r="E1437" s="12"/>
      <c r="F1437" s="12"/>
      <c r="G1437" s="25"/>
      <c r="H1437" s="12"/>
      <c r="I1437" s="31"/>
      <c r="J1437" s="12"/>
      <c r="K1437" s="12"/>
      <c r="L1437" s="16"/>
      <c r="M1437" s="46"/>
      <c r="N1437" s="46"/>
      <c r="O1437" s="31"/>
      <c r="P1437" s="16"/>
      <c r="Q1437" s="16"/>
      <c r="R1437" s="16" t="str">
        <f t="shared" si="2"/>
        <v/>
      </c>
    </row>
    <row r="1438">
      <c r="B1438" s="16"/>
      <c r="C1438" s="12"/>
      <c r="D1438" s="12"/>
      <c r="E1438" s="12"/>
      <c r="F1438" s="12"/>
      <c r="G1438" s="25"/>
      <c r="H1438" s="12"/>
      <c r="I1438" s="31"/>
      <c r="J1438" s="12"/>
      <c r="K1438" s="12"/>
      <c r="L1438" s="16"/>
      <c r="M1438" s="46"/>
      <c r="N1438" s="46"/>
      <c r="O1438" s="31"/>
      <c r="P1438" s="16"/>
      <c r="Q1438" s="16"/>
      <c r="R1438" s="16" t="str">
        <f t="shared" si="2"/>
        <v/>
      </c>
    </row>
    <row r="1439">
      <c r="B1439" s="16"/>
      <c r="C1439" s="12"/>
      <c r="D1439" s="12"/>
      <c r="E1439" s="12"/>
      <c r="F1439" s="12"/>
      <c r="G1439" s="25"/>
      <c r="H1439" s="12"/>
      <c r="I1439" s="31"/>
      <c r="J1439" s="12"/>
      <c r="K1439" s="12"/>
      <c r="L1439" s="16"/>
      <c r="M1439" s="46"/>
      <c r="N1439" s="46"/>
      <c r="O1439" s="31"/>
      <c r="P1439" s="16"/>
      <c r="Q1439" s="16"/>
      <c r="R1439" s="16" t="str">
        <f t="shared" si="2"/>
        <v/>
      </c>
    </row>
    <row r="1440">
      <c r="B1440" s="16"/>
      <c r="C1440" s="12"/>
      <c r="D1440" s="12"/>
      <c r="E1440" s="12"/>
      <c r="F1440" s="12"/>
      <c r="G1440" s="25"/>
      <c r="H1440" s="12"/>
      <c r="I1440" s="31"/>
      <c r="J1440" s="12"/>
      <c r="K1440" s="12"/>
      <c r="L1440" s="16"/>
      <c r="M1440" s="46"/>
      <c r="N1440" s="46"/>
      <c r="O1440" s="31"/>
      <c r="P1440" s="16"/>
      <c r="Q1440" s="16"/>
      <c r="R1440" s="16" t="str">
        <f t="shared" si="2"/>
        <v/>
      </c>
    </row>
    <row r="1441">
      <c r="B1441" s="16"/>
      <c r="C1441" s="12"/>
      <c r="D1441" s="12"/>
      <c r="E1441" s="12"/>
      <c r="F1441" s="12"/>
      <c r="G1441" s="25"/>
      <c r="H1441" s="12"/>
      <c r="I1441" s="31"/>
      <c r="J1441" s="12"/>
      <c r="K1441" s="12"/>
      <c r="L1441" s="16"/>
      <c r="M1441" s="46"/>
      <c r="N1441" s="46"/>
      <c r="O1441" s="31"/>
      <c r="P1441" s="16"/>
      <c r="Q1441" s="16"/>
      <c r="R1441" s="16" t="str">
        <f t="shared" si="2"/>
        <v/>
      </c>
    </row>
    <row r="1442">
      <c r="B1442" s="16"/>
      <c r="C1442" s="12"/>
      <c r="D1442" s="12"/>
      <c r="E1442" s="12"/>
      <c r="F1442" s="12"/>
      <c r="G1442" s="25"/>
      <c r="H1442" s="12"/>
      <c r="I1442" s="31"/>
      <c r="J1442" s="12"/>
      <c r="K1442" s="12"/>
      <c r="L1442" s="16"/>
      <c r="M1442" s="46"/>
      <c r="N1442" s="46"/>
      <c r="O1442" s="31"/>
      <c r="P1442" s="16"/>
      <c r="Q1442" s="16"/>
      <c r="R1442" s="16" t="str">
        <f t="shared" si="2"/>
        <v/>
      </c>
    </row>
    <row r="1443">
      <c r="B1443" s="16"/>
      <c r="C1443" s="12"/>
      <c r="D1443" s="12"/>
      <c r="E1443" s="12"/>
      <c r="F1443" s="12"/>
      <c r="G1443" s="25"/>
      <c r="H1443" s="12"/>
      <c r="I1443" s="31"/>
      <c r="J1443" s="12"/>
      <c r="K1443" s="12"/>
      <c r="L1443" s="16"/>
      <c r="M1443" s="46"/>
      <c r="N1443" s="46"/>
      <c r="O1443" s="31"/>
      <c r="P1443" s="16"/>
      <c r="Q1443" s="16"/>
      <c r="R1443" s="16" t="str">
        <f t="shared" si="2"/>
        <v/>
      </c>
    </row>
    <row r="1444">
      <c r="B1444" s="16"/>
      <c r="C1444" s="12"/>
      <c r="D1444" s="12"/>
      <c r="E1444" s="12"/>
      <c r="F1444" s="12"/>
      <c r="G1444" s="25"/>
      <c r="H1444" s="12"/>
      <c r="I1444" s="31"/>
      <c r="J1444" s="12"/>
      <c r="K1444" s="12"/>
      <c r="L1444" s="16"/>
      <c r="M1444" s="46"/>
      <c r="N1444" s="46"/>
      <c r="O1444" s="31"/>
      <c r="P1444" s="16"/>
      <c r="Q1444" s="16"/>
      <c r="R1444" s="16" t="str">
        <f t="shared" si="2"/>
        <v/>
      </c>
    </row>
    <row r="1445">
      <c r="B1445" s="16"/>
      <c r="C1445" s="12"/>
      <c r="D1445" s="12"/>
      <c r="E1445" s="12"/>
      <c r="F1445" s="12"/>
      <c r="G1445" s="25"/>
      <c r="H1445" s="12"/>
      <c r="I1445" s="31"/>
      <c r="J1445" s="12"/>
      <c r="K1445" s="12"/>
      <c r="L1445" s="16"/>
      <c r="M1445" s="46"/>
      <c r="N1445" s="46"/>
      <c r="O1445" s="31"/>
      <c r="P1445" s="16"/>
      <c r="Q1445" s="16"/>
      <c r="R1445" s="16" t="str">
        <f t="shared" si="2"/>
        <v/>
      </c>
    </row>
    <row r="1446">
      <c r="B1446" s="16"/>
      <c r="C1446" s="12"/>
      <c r="D1446" s="12"/>
      <c r="E1446" s="12"/>
      <c r="F1446" s="12"/>
      <c r="G1446" s="25"/>
      <c r="H1446" s="12"/>
      <c r="I1446" s="31"/>
      <c r="J1446" s="12"/>
      <c r="K1446" s="12"/>
      <c r="L1446" s="16"/>
      <c r="M1446" s="46"/>
      <c r="N1446" s="46"/>
      <c r="O1446" s="31"/>
      <c r="P1446" s="16"/>
      <c r="Q1446" s="16"/>
      <c r="R1446" s="16" t="str">
        <f t="shared" si="2"/>
        <v/>
      </c>
    </row>
    <row r="1447">
      <c r="B1447" s="16"/>
      <c r="C1447" s="12"/>
      <c r="D1447" s="12"/>
      <c r="E1447" s="12"/>
      <c r="F1447" s="12"/>
      <c r="G1447" s="25"/>
      <c r="H1447" s="12"/>
      <c r="I1447" s="31"/>
      <c r="J1447" s="12"/>
      <c r="K1447" s="12"/>
      <c r="L1447" s="16"/>
      <c r="M1447" s="46"/>
      <c r="N1447" s="46"/>
      <c r="O1447" s="31"/>
      <c r="P1447" s="16"/>
      <c r="Q1447" s="16"/>
      <c r="R1447" s="16" t="str">
        <f t="shared" si="2"/>
        <v/>
      </c>
    </row>
    <row r="1448">
      <c r="B1448" s="16"/>
      <c r="C1448" s="12"/>
      <c r="D1448" s="12"/>
      <c r="E1448" s="12"/>
      <c r="F1448" s="12"/>
      <c r="G1448" s="25"/>
      <c r="H1448" s="12"/>
      <c r="I1448" s="31"/>
      <c r="J1448" s="12"/>
      <c r="K1448" s="12"/>
      <c r="L1448" s="16"/>
      <c r="M1448" s="46"/>
      <c r="N1448" s="46"/>
      <c r="O1448" s="31"/>
      <c r="P1448" s="16"/>
      <c r="Q1448" s="16"/>
      <c r="R1448" s="16" t="str">
        <f t="shared" si="2"/>
        <v/>
      </c>
    </row>
    <row r="1449">
      <c r="B1449" s="16"/>
      <c r="C1449" s="12"/>
      <c r="D1449" s="12"/>
      <c r="E1449" s="12"/>
      <c r="F1449" s="12"/>
      <c r="G1449" s="25"/>
      <c r="H1449" s="12"/>
      <c r="I1449" s="31"/>
      <c r="J1449" s="12"/>
      <c r="K1449" s="12"/>
      <c r="L1449" s="16"/>
      <c r="M1449" s="46"/>
      <c r="N1449" s="46"/>
      <c r="O1449" s="31"/>
      <c r="P1449" s="16"/>
      <c r="Q1449" s="16"/>
      <c r="R1449" s="16" t="str">
        <f t="shared" si="2"/>
        <v/>
      </c>
    </row>
    <row r="1450">
      <c r="B1450" s="16"/>
      <c r="C1450" s="12"/>
      <c r="D1450" s="12"/>
      <c r="E1450" s="12"/>
      <c r="F1450" s="12"/>
      <c r="G1450" s="25"/>
      <c r="H1450" s="12"/>
      <c r="I1450" s="31"/>
      <c r="J1450" s="12"/>
      <c r="K1450" s="12"/>
      <c r="L1450" s="16"/>
      <c r="M1450" s="46"/>
      <c r="N1450" s="46"/>
      <c r="O1450" s="31"/>
      <c r="P1450" s="16"/>
      <c r="Q1450" s="16"/>
      <c r="R1450" s="16" t="str">
        <f t="shared" si="2"/>
        <v/>
      </c>
    </row>
    <row r="1451">
      <c r="B1451" s="16"/>
      <c r="C1451" s="12"/>
      <c r="D1451" s="12"/>
      <c r="E1451" s="12"/>
      <c r="F1451" s="12"/>
      <c r="G1451" s="25"/>
      <c r="H1451" s="12"/>
      <c r="I1451" s="31"/>
      <c r="J1451" s="12"/>
      <c r="K1451" s="12"/>
      <c r="L1451" s="16"/>
      <c r="M1451" s="46"/>
      <c r="N1451" s="46"/>
      <c r="O1451" s="31"/>
      <c r="P1451" s="16"/>
      <c r="Q1451" s="16"/>
      <c r="R1451" s="16" t="str">
        <f t="shared" si="2"/>
        <v/>
      </c>
    </row>
    <row r="1452">
      <c r="B1452" s="16"/>
      <c r="C1452" s="12"/>
      <c r="D1452" s="12"/>
      <c r="E1452" s="12"/>
      <c r="F1452" s="12"/>
      <c r="G1452" s="25"/>
      <c r="H1452" s="12"/>
      <c r="I1452" s="31"/>
      <c r="J1452" s="12"/>
      <c r="K1452" s="12"/>
      <c r="L1452" s="16"/>
      <c r="M1452" s="46"/>
      <c r="N1452" s="46"/>
      <c r="O1452" s="31"/>
      <c r="P1452" s="16"/>
      <c r="Q1452" s="16"/>
      <c r="R1452" s="16" t="str">
        <f t="shared" si="2"/>
        <v/>
      </c>
    </row>
    <row r="1453">
      <c r="B1453" s="16"/>
      <c r="C1453" s="12"/>
      <c r="D1453" s="12"/>
      <c r="E1453" s="12"/>
      <c r="F1453" s="12"/>
      <c r="G1453" s="25"/>
      <c r="H1453" s="12"/>
      <c r="I1453" s="31"/>
      <c r="J1453" s="12"/>
      <c r="K1453" s="12"/>
      <c r="L1453" s="16"/>
      <c r="M1453" s="46"/>
      <c r="N1453" s="46"/>
      <c r="O1453" s="31"/>
      <c r="P1453" s="16"/>
      <c r="Q1453" s="16"/>
      <c r="R1453" s="16" t="str">
        <f t="shared" si="2"/>
        <v/>
      </c>
    </row>
    <row r="1454">
      <c r="B1454" s="16"/>
      <c r="C1454" s="12"/>
      <c r="D1454" s="12"/>
      <c r="E1454" s="12"/>
      <c r="F1454" s="12"/>
      <c r="G1454" s="25"/>
      <c r="H1454" s="12"/>
      <c r="I1454" s="31"/>
      <c r="J1454" s="12"/>
      <c r="K1454" s="12"/>
      <c r="L1454" s="16"/>
      <c r="M1454" s="46"/>
      <c r="N1454" s="46"/>
      <c r="O1454" s="31"/>
      <c r="P1454" s="16"/>
      <c r="Q1454" s="16"/>
      <c r="R1454" s="16" t="str">
        <f t="shared" si="2"/>
        <v/>
      </c>
    </row>
    <row r="1455">
      <c r="B1455" s="16"/>
      <c r="C1455" s="12"/>
      <c r="D1455" s="12"/>
      <c r="E1455" s="12"/>
      <c r="F1455" s="12"/>
      <c r="G1455" s="25"/>
      <c r="H1455" s="12"/>
      <c r="I1455" s="31"/>
      <c r="J1455" s="12"/>
      <c r="K1455" s="12"/>
      <c r="L1455" s="16"/>
      <c r="M1455" s="46"/>
      <c r="N1455" s="46"/>
      <c r="O1455" s="31"/>
      <c r="P1455" s="16"/>
      <c r="Q1455" s="16"/>
      <c r="R1455" s="16" t="str">
        <f t="shared" si="2"/>
        <v/>
      </c>
    </row>
    <row r="1456">
      <c r="B1456" s="16"/>
      <c r="C1456" s="12"/>
      <c r="D1456" s="12"/>
      <c r="E1456" s="12"/>
      <c r="F1456" s="12"/>
      <c r="G1456" s="25"/>
      <c r="H1456" s="12"/>
      <c r="I1456" s="31"/>
      <c r="J1456" s="12"/>
      <c r="K1456" s="12"/>
      <c r="L1456" s="16"/>
      <c r="M1456" s="46"/>
      <c r="N1456" s="46"/>
      <c r="O1456" s="31"/>
      <c r="P1456" s="16"/>
      <c r="Q1456" s="16"/>
      <c r="R1456" s="16" t="str">
        <f t="shared" si="2"/>
        <v/>
      </c>
    </row>
    <row r="1457">
      <c r="B1457" s="16"/>
      <c r="C1457" s="12"/>
      <c r="D1457" s="12"/>
      <c r="E1457" s="12"/>
      <c r="F1457" s="12"/>
      <c r="G1457" s="25"/>
      <c r="H1457" s="12"/>
      <c r="I1457" s="31"/>
      <c r="J1457" s="12"/>
      <c r="K1457" s="12"/>
      <c r="L1457" s="16"/>
      <c r="M1457" s="46"/>
      <c r="N1457" s="46"/>
      <c r="O1457" s="31"/>
      <c r="P1457" s="16"/>
      <c r="Q1457" s="16"/>
      <c r="R1457" s="16" t="str">
        <f t="shared" si="2"/>
        <v/>
      </c>
    </row>
    <row r="1458">
      <c r="B1458" s="16"/>
      <c r="C1458" s="12"/>
      <c r="D1458" s="12"/>
      <c r="E1458" s="12"/>
      <c r="F1458" s="12"/>
      <c r="G1458" s="25"/>
      <c r="H1458" s="12"/>
      <c r="I1458" s="31"/>
      <c r="J1458" s="12"/>
      <c r="K1458" s="12"/>
      <c r="L1458" s="16"/>
      <c r="M1458" s="46"/>
      <c r="N1458" s="46"/>
      <c r="O1458" s="31"/>
      <c r="P1458" s="16"/>
      <c r="Q1458" s="16"/>
      <c r="R1458" s="16" t="str">
        <f t="shared" si="2"/>
        <v/>
      </c>
    </row>
    <row r="1459">
      <c r="B1459" s="16"/>
      <c r="C1459" s="12"/>
      <c r="D1459" s="12"/>
      <c r="E1459" s="12"/>
      <c r="F1459" s="12"/>
      <c r="G1459" s="25"/>
      <c r="H1459" s="12"/>
      <c r="I1459" s="31"/>
      <c r="J1459" s="12"/>
      <c r="K1459" s="12"/>
      <c r="L1459" s="16"/>
      <c r="M1459" s="46"/>
      <c r="N1459" s="46"/>
      <c r="O1459" s="31"/>
      <c r="P1459" s="16"/>
      <c r="Q1459" s="16"/>
      <c r="R1459" s="16" t="str">
        <f t="shared" si="2"/>
        <v/>
      </c>
    </row>
    <row r="1460">
      <c r="B1460" s="16"/>
      <c r="C1460" s="12"/>
      <c r="D1460" s="12"/>
      <c r="E1460" s="12"/>
      <c r="F1460" s="12"/>
      <c r="G1460" s="25"/>
      <c r="H1460" s="12"/>
      <c r="I1460" s="31"/>
      <c r="J1460" s="12"/>
      <c r="K1460" s="12"/>
      <c r="L1460" s="16"/>
      <c r="M1460" s="46"/>
      <c r="N1460" s="46"/>
      <c r="O1460" s="31"/>
      <c r="P1460" s="16"/>
      <c r="Q1460" s="16"/>
      <c r="R1460" s="16" t="str">
        <f t="shared" si="2"/>
        <v/>
      </c>
    </row>
    <row r="1461">
      <c r="B1461" s="16"/>
      <c r="C1461" s="12"/>
      <c r="D1461" s="12"/>
      <c r="E1461" s="12"/>
      <c r="F1461" s="12"/>
      <c r="G1461" s="25"/>
      <c r="H1461" s="12"/>
      <c r="I1461" s="31"/>
      <c r="J1461" s="12"/>
      <c r="K1461" s="12"/>
      <c r="L1461" s="16"/>
      <c r="M1461" s="46"/>
      <c r="N1461" s="46"/>
      <c r="O1461" s="31"/>
      <c r="P1461" s="16"/>
      <c r="Q1461" s="16"/>
      <c r="R1461" s="16" t="str">
        <f t="shared" si="2"/>
        <v/>
      </c>
    </row>
    <row r="1462">
      <c r="B1462" s="16"/>
      <c r="C1462" s="12"/>
      <c r="D1462" s="12"/>
      <c r="E1462" s="12"/>
      <c r="F1462" s="12"/>
      <c r="G1462" s="25"/>
      <c r="H1462" s="12"/>
      <c r="I1462" s="31"/>
      <c r="J1462" s="12"/>
      <c r="K1462" s="12"/>
      <c r="L1462" s="16"/>
      <c r="M1462" s="46"/>
      <c r="N1462" s="46"/>
      <c r="O1462" s="31"/>
      <c r="P1462" s="16"/>
      <c r="Q1462" s="16"/>
      <c r="R1462" s="16" t="str">
        <f t="shared" si="2"/>
        <v/>
      </c>
    </row>
    <row r="1463">
      <c r="B1463" s="16"/>
      <c r="C1463" s="12"/>
      <c r="D1463" s="12"/>
      <c r="E1463" s="12"/>
      <c r="F1463" s="12"/>
      <c r="G1463" s="25"/>
      <c r="H1463" s="12"/>
      <c r="I1463" s="31"/>
      <c r="J1463" s="12"/>
      <c r="K1463" s="12"/>
      <c r="L1463" s="16"/>
      <c r="M1463" s="46"/>
      <c r="N1463" s="46"/>
      <c r="O1463" s="31"/>
      <c r="P1463" s="16"/>
      <c r="Q1463" s="16"/>
      <c r="R1463" s="16" t="str">
        <f t="shared" si="2"/>
        <v/>
      </c>
    </row>
    <row r="1464">
      <c r="B1464" s="16"/>
      <c r="C1464" s="12"/>
      <c r="D1464" s="12"/>
      <c r="E1464" s="12"/>
      <c r="F1464" s="12"/>
      <c r="G1464" s="25"/>
      <c r="H1464" s="12"/>
      <c r="I1464" s="31"/>
      <c r="J1464" s="12"/>
      <c r="K1464" s="12"/>
      <c r="L1464" s="16"/>
      <c r="M1464" s="46"/>
      <c r="N1464" s="46"/>
      <c r="O1464" s="31"/>
      <c r="P1464" s="16"/>
      <c r="Q1464" s="16"/>
      <c r="R1464" s="16" t="str">
        <f t="shared" si="2"/>
        <v/>
      </c>
    </row>
    <row r="1465">
      <c r="B1465" s="16"/>
      <c r="C1465" s="12"/>
      <c r="D1465" s="12"/>
      <c r="E1465" s="12"/>
      <c r="F1465" s="12"/>
      <c r="G1465" s="25"/>
      <c r="H1465" s="12"/>
      <c r="I1465" s="31"/>
      <c r="J1465" s="12"/>
      <c r="K1465" s="12"/>
      <c r="L1465" s="16"/>
      <c r="M1465" s="46"/>
      <c r="N1465" s="46"/>
      <c r="O1465" s="31"/>
      <c r="P1465" s="16"/>
      <c r="Q1465" s="16"/>
      <c r="R1465" s="16" t="str">
        <f t="shared" si="2"/>
        <v/>
      </c>
    </row>
    <row r="1466">
      <c r="B1466" s="16"/>
      <c r="C1466" s="12"/>
      <c r="D1466" s="12"/>
      <c r="E1466" s="12"/>
      <c r="F1466" s="12"/>
      <c r="G1466" s="25"/>
      <c r="H1466" s="12"/>
      <c r="I1466" s="31"/>
      <c r="J1466" s="12"/>
      <c r="K1466" s="12"/>
      <c r="L1466" s="16"/>
      <c r="M1466" s="46"/>
      <c r="N1466" s="46"/>
      <c r="O1466" s="31"/>
      <c r="P1466" s="16"/>
      <c r="Q1466" s="16"/>
      <c r="R1466" s="16" t="str">
        <f t="shared" si="2"/>
        <v/>
      </c>
    </row>
    <row r="1467">
      <c r="B1467" s="16"/>
      <c r="C1467" s="12"/>
      <c r="D1467" s="12"/>
      <c r="E1467" s="12"/>
      <c r="F1467" s="12"/>
      <c r="G1467" s="25"/>
      <c r="H1467" s="12"/>
      <c r="I1467" s="31"/>
      <c r="J1467" s="12"/>
      <c r="K1467" s="12"/>
      <c r="L1467" s="16"/>
      <c r="M1467" s="46"/>
      <c r="N1467" s="46"/>
      <c r="O1467" s="31"/>
      <c r="P1467" s="16"/>
      <c r="Q1467" s="16"/>
      <c r="R1467" s="16" t="str">
        <f t="shared" si="2"/>
        <v/>
      </c>
    </row>
    <row r="1468">
      <c r="B1468" s="16"/>
      <c r="C1468" s="12"/>
      <c r="D1468" s="12"/>
      <c r="E1468" s="12"/>
      <c r="F1468" s="12"/>
      <c r="G1468" s="25"/>
      <c r="H1468" s="12"/>
      <c r="I1468" s="31"/>
      <c r="J1468" s="12"/>
      <c r="K1468" s="12"/>
      <c r="L1468" s="16"/>
      <c r="M1468" s="46"/>
      <c r="N1468" s="46"/>
      <c r="O1468" s="31"/>
      <c r="P1468" s="16"/>
      <c r="Q1468" s="16"/>
      <c r="R1468" s="16" t="str">
        <f t="shared" si="2"/>
        <v/>
      </c>
    </row>
    <row r="1469">
      <c r="B1469" s="16"/>
      <c r="C1469" s="12"/>
      <c r="D1469" s="12"/>
      <c r="E1469" s="12"/>
      <c r="F1469" s="12"/>
      <c r="G1469" s="25"/>
      <c r="H1469" s="12"/>
      <c r="I1469" s="31"/>
      <c r="J1469" s="12"/>
      <c r="K1469" s="12"/>
      <c r="L1469" s="16"/>
      <c r="M1469" s="46"/>
      <c r="N1469" s="46"/>
      <c r="O1469" s="31"/>
      <c r="P1469" s="16"/>
      <c r="Q1469" s="16"/>
      <c r="R1469" s="16" t="str">
        <f t="shared" si="2"/>
        <v/>
      </c>
    </row>
    <row r="1470">
      <c r="B1470" s="16"/>
      <c r="C1470" s="12"/>
      <c r="D1470" s="12"/>
      <c r="E1470" s="12"/>
      <c r="F1470" s="12"/>
      <c r="G1470" s="25"/>
      <c r="H1470" s="12"/>
      <c r="I1470" s="31"/>
      <c r="J1470" s="12"/>
      <c r="K1470" s="12"/>
      <c r="L1470" s="16"/>
      <c r="M1470" s="46"/>
      <c r="N1470" s="46"/>
      <c r="O1470" s="31"/>
      <c r="P1470" s="16"/>
      <c r="Q1470" s="16"/>
      <c r="R1470" s="16" t="str">
        <f t="shared" si="2"/>
        <v/>
      </c>
    </row>
    <row r="1471">
      <c r="B1471" s="16"/>
      <c r="C1471" s="12"/>
      <c r="D1471" s="12"/>
      <c r="E1471" s="12"/>
      <c r="F1471" s="12"/>
      <c r="G1471" s="25"/>
      <c r="H1471" s="12"/>
      <c r="I1471" s="31"/>
      <c r="J1471" s="12"/>
      <c r="K1471" s="12"/>
      <c r="L1471" s="16"/>
      <c r="M1471" s="46"/>
      <c r="N1471" s="46"/>
      <c r="O1471" s="31"/>
      <c r="P1471" s="16"/>
      <c r="Q1471" s="16"/>
      <c r="R1471" s="16" t="str">
        <f t="shared" si="2"/>
        <v/>
      </c>
    </row>
    <row r="1472">
      <c r="B1472" s="16"/>
      <c r="C1472" s="12"/>
      <c r="D1472" s="12"/>
      <c r="E1472" s="12"/>
      <c r="F1472" s="12"/>
      <c r="G1472" s="25"/>
      <c r="H1472" s="12"/>
      <c r="I1472" s="31"/>
      <c r="J1472" s="12"/>
      <c r="K1472" s="12"/>
      <c r="L1472" s="16"/>
      <c r="M1472" s="46"/>
      <c r="N1472" s="46"/>
      <c r="O1472" s="31"/>
      <c r="P1472" s="16"/>
      <c r="Q1472" s="16"/>
      <c r="R1472" s="16" t="str">
        <f t="shared" si="2"/>
        <v/>
      </c>
    </row>
    <row r="1473">
      <c r="B1473" s="16"/>
      <c r="C1473" s="12"/>
      <c r="D1473" s="12"/>
      <c r="E1473" s="12"/>
      <c r="F1473" s="12"/>
      <c r="G1473" s="25"/>
      <c r="H1473" s="12"/>
      <c r="I1473" s="31"/>
      <c r="J1473" s="12"/>
      <c r="K1473" s="12"/>
      <c r="L1473" s="16"/>
      <c r="M1473" s="46"/>
      <c r="N1473" s="46"/>
      <c r="O1473" s="31"/>
      <c r="P1473" s="16"/>
      <c r="Q1473" s="16"/>
      <c r="R1473" s="16" t="str">
        <f t="shared" si="2"/>
        <v/>
      </c>
    </row>
    <row r="1474">
      <c r="B1474" s="16"/>
      <c r="C1474" s="12"/>
      <c r="D1474" s="12"/>
      <c r="E1474" s="12"/>
      <c r="F1474" s="12"/>
      <c r="G1474" s="25"/>
      <c r="H1474" s="12"/>
      <c r="I1474" s="31"/>
      <c r="J1474" s="12"/>
      <c r="K1474" s="12"/>
      <c r="L1474" s="16"/>
      <c r="M1474" s="46"/>
      <c r="N1474" s="46"/>
      <c r="O1474" s="31"/>
      <c r="P1474" s="16"/>
      <c r="Q1474" s="16"/>
      <c r="R1474" s="16" t="str">
        <f t="shared" si="2"/>
        <v/>
      </c>
    </row>
    <row r="1475">
      <c r="B1475" s="16"/>
      <c r="C1475" s="12"/>
      <c r="D1475" s="12"/>
      <c r="E1475" s="12"/>
      <c r="F1475" s="12"/>
      <c r="G1475" s="25"/>
      <c r="H1475" s="12"/>
      <c r="I1475" s="31"/>
      <c r="J1475" s="12"/>
      <c r="K1475" s="12"/>
      <c r="L1475" s="16"/>
      <c r="M1475" s="46"/>
      <c r="N1475" s="46"/>
      <c r="O1475" s="31"/>
      <c r="P1475" s="16"/>
      <c r="Q1475" s="16"/>
      <c r="R1475" s="16" t="str">
        <f t="shared" si="2"/>
        <v/>
      </c>
    </row>
    <row r="1476">
      <c r="B1476" s="16"/>
      <c r="C1476" s="12"/>
      <c r="D1476" s="12"/>
      <c r="E1476" s="12"/>
      <c r="F1476" s="12"/>
      <c r="G1476" s="25"/>
      <c r="H1476" s="12"/>
      <c r="I1476" s="31"/>
      <c r="J1476" s="12"/>
      <c r="K1476" s="12"/>
      <c r="L1476" s="16"/>
      <c r="M1476" s="46"/>
      <c r="N1476" s="46"/>
      <c r="O1476" s="31"/>
      <c r="P1476" s="16"/>
      <c r="Q1476" s="16"/>
      <c r="R1476" s="16" t="str">
        <f t="shared" si="2"/>
        <v/>
      </c>
    </row>
    <row r="1477">
      <c r="B1477" s="16"/>
      <c r="C1477" s="12"/>
      <c r="D1477" s="12"/>
      <c r="E1477" s="12"/>
      <c r="F1477" s="12"/>
      <c r="G1477" s="25"/>
      <c r="H1477" s="12"/>
      <c r="I1477" s="31"/>
      <c r="J1477" s="12"/>
      <c r="K1477" s="12"/>
      <c r="L1477" s="16"/>
      <c r="M1477" s="46"/>
      <c r="N1477" s="46"/>
      <c r="O1477" s="31"/>
      <c r="P1477" s="16"/>
      <c r="Q1477" s="16"/>
      <c r="R1477" s="16" t="str">
        <f t="shared" si="2"/>
        <v/>
      </c>
    </row>
    <row r="1478">
      <c r="B1478" s="16"/>
      <c r="C1478" s="12"/>
      <c r="D1478" s="12"/>
      <c r="E1478" s="12"/>
      <c r="F1478" s="12"/>
      <c r="G1478" s="25"/>
      <c r="H1478" s="12"/>
      <c r="I1478" s="31"/>
      <c r="J1478" s="12"/>
      <c r="K1478" s="12"/>
      <c r="L1478" s="16"/>
      <c r="M1478" s="46"/>
      <c r="N1478" s="46"/>
      <c r="O1478" s="31"/>
      <c r="P1478" s="16"/>
      <c r="Q1478" s="16"/>
      <c r="R1478" s="16" t="str">
        <f t="shared" si="2"/>
        <v/>
      </c>
    </row>
    <row r="1479">
      <c r="B1479" s="16"/>
      <c r="C1479" s="12"/>
      <c r="D1479" s="12"/>
      <c r="E1479" s="12"/>
      <c r="F1479" s="12"/>
      <c r="G1479" s="25"/>
      <c r="H1479" s="12"/>
      <c r="I1479" s="31"/>
      <c r="J1479" s="12"/>
      <c r="K1479" s="12"/>
      <c r="L1479" s="16"/>
      <c r="M1479" s="46"/>
      <c r="N1479" s="46"/>
      <c r="O1479" s="31"/>
      <c r="P1479" s="16"/>
      <c r="Q1479" s="16"/>
      <c r="R1479" s="16" t="str">
        <f t="shared" si="2"/>
        <v/>
      </c>
    </row>
    <row r="1480">
      <c r="B1480" s="16"/>
      <c r="C1480" s="12"/>
      <c r="D1480" s="12"/>
      <c r="E1480" s="12"/>
      <c r="F1480" s="12"/>
      <c r="G1480" s="25"/>
      <c r="H1480" s="12"/>
      <c r="I1480" s="31"/>
      <c r="J1480" s="12"/>
      <c r="K1480" s="12"/>
      <c r="L1480" s="16"/>
      <c r="M1480" s="46"/>
      <c r="N1480" s="46"/>
      <c r="O1480" s="31"/>
      <c r="P1480" s="16"/>
      <c r="Q1480" s="16"/>
      <c r="R1480" s="16" t="str">
        <f t="shared" si="2"/>
        <v/>
      </c>
    </row>
    <row r="1481">
      <c r="B1481" s="16"/>
      <c r="C1481" s="12"/>
      <c r="D1481" s="12"/>
      <c r="E1481" s="12"/>
      <c r="F1481" s="12"/>
      <c r="G1481" s="25"/>
      <c r="H1481" s="12"/>
      <c r="I1481" s="31"/>
      <c r="J1481" s="12"/>
      <c r="K1481" s="12"/>
      <c r="L1481" s="16"/>
      <c r="M1481" s="46"/>
      <c r="N1481" s="46"/>
      <c r="O1481" s="31"/>
      <c r="P1481" s="16"/>
      <c r="Q1481" s="16"/>
      <c r="R1481" s="16" t="str">
        <f t="shared" si="2"/>
        <v/>
      </c>
    </row>
    <row r="1482">
      <c r="B1482" s="16"/>
      <c r="C1482" s="12"/>
      <c r="D1482" s="12"/>
      <c r="E1482" s="12"/>
      <c r="F1482" s="12"/>
      <c r="G1482" s="25"/>
      <c r="H1482" s="12"/>
      <c r="I1482" s="31"/>
      <c r="J1482" s="12"/>
      <c r="K1482" s="12"/>
      <c r="L1482" s="16"/>
      <c r="M1482" s="46"/>
      <c r="N1482" s="46"/>
      <c r="O1482" s="31"/>
      <c r="P1482" s="16"/>
      <c r="Q1482" s="16"/>
      <c r="R1482" s="16" t="str">
        <f t="shared" si="2"/>
        <v/>
      </c>
    </row>
    <row r="1483">
      <c r="B1483" s="16"/>
      <c r="C1483" s="12"/>
      <c r="D1483" s="12"/>
      <c r="E1483" s="12"/>
      <c r="F1483" s="12"/>
      <c r="G1483" s="25"/>
      <c r="H1483" s="12"/>
      <c r="I1483" s="31"/>
      <c r="J1483" s="12"/>
      <c r="K1483" s="12"/>
      <c r="L1483" s="16"/>
      <c r="M1483" s="46"/>
      <c r="N1483" s="46"/>
      <c r="O1483" s="31"/>
      <c r="P1483" s="16"/>
      <c r="Q1483" s="16"/>
      <c r="R1483" s="16" t="str">
        <f t="shared" si="2"/>
        <v/>
      </c>
    </row>
    <row r="1484">
      <c r="B1484" s="16"/>
      <c r="C1484" s="12"/>
      <c r="D1484" s="12"/>
      <c r="E1484" s="12"/>
      <c r="F1484" s="12"/>
      <c r="G1484" s="25"/>
      <c r="H1484" s="12"/>
      <c r="I1484" s="31"/>
      <c r="J1484" s="12"/>
      <c r="K1484" s="12"/>
      <c r="L1484" s="16"/>
      <c r="M1484" s="46"/>
      <c r="N1484" s="46"/>
      <c r="O1484" s="31"/>
      <c r="P1484" s="16"/>
      <c r="Q1484" s="16"/>
      <c r="R1484" s="16" t="str">
        <f t="shared" si="2"/>
        <v/>
      </c>
    </row>
    <row r="1485">
      <c r="B1485" s="16"/>
      <c r="C1485" s="12"/>
      <c r="D1485" s="12"/>
      <c r="E1485" s="12"/>
      <c r="F1485" s="12"/>
      <c r="G1485" s="25"/>
      <c r="H1485" s="12"/>
      <c r="I1485" s="31"/>
      <c r="J1485" s="12"/>
      <c r="K1485" s="12"/>
      <c r="L1485" s="16"/>
      <c r="M1485" s="46"/>
      <c r="N1485" s="46"/>
      <c r="O1485" s="31"/>
      <c r="P1485" s="16"/>
      <c r="Q1485" s="16"/>
      <c r="R1485" s="16" t="str">
        <f t="shared" si="2"/>
        <v/>
      </c>
    </row>
    <row r="1486">
      <c r="B1486" s="16"/>
      <c r="C1486" s="12"/>
      <c r="D1486" s="12"/>
      <c r="E1486" s="12"/>
      <c r="F1486" s="12"/>
      <c r="G1486" s="25"/>
      <c r="H1486" s="12"/>
      <c r="I1486" s="31"/>
      <c r="J1486" s="12"/>
      <c r="K1486" s="12"/>
      <c r="L1486" s="16"/>
      <c r="M1486" s="46"/>
      <c r="N1486" s="46"/>
      <c r="O1486" s="31"/>
      <c r="P1486" s="16"/>
      <c r="Q1486" s="16"/>
      <c r="R1486" s="16" t="str">
        <f t="shared" si="2"/>
        <v/>
      </c>
    </row>
    <row r="1487">
      <c r="B1487" s="16"/>
      <c r="C1487" s="12"/>
      <c r="D1487" s="12"/>
      <c r="E1487" s="12"/>
      <c r="F1487" s="12"/>
      <c r="G1487" s="25"/>
      <c r="H1487" s="12"/>
      <c r="I1487" s="31"/>
      <c r="J1487" s="12"/>
      <c r="K1487" s="12"/>
      <c r="L1487" s="16"/>
      <c r="M1487" s="46"/>
      <c r="N1487" s="46"/>
      <c r="O1487" s="31"/>
      <c r="P1487" s="16"/>
      <c r="Q1487" s="16"/>
      <c r="R1487" s="16" t="str">
        <f t="shared" si="2"/>
        <v/>
      </c>
    </row>
    <row r="1488">
      <c r="B1488" s="16"/>
      <c r="C1488" s="12"/>
      <c r="D1488" s="12"/>
      <c r="E1488" s="12"/>
      <c r="F1488" s="12"/>
      <c r="G1488" s="25"/>
      <c r="H1488" s="12"/>
      <c r="I1488" s="31"/>
      <c r="J1488" s="12"/>
      <c r="K1488" s="12"/>
      <c r="L1488" s="16"/>
      <c r="M1488" s="46"/>
      <c r="N1488" s="46"/>
      <c r="O1488" s="31"/>
      <c r="P1488" s="16"/>
      <c r="Q1488" s="16"/>
      <c r="R1488" s="16" t="str">
        <f t="shared" si="2"/>
        <v/>
      </c>
    </row>
    <row r="1489">
      <c r="B1489" s="16"/>
      <c r="C1489" s="12"/>
      <c r="D1489" s="12"/>
      <c r="E1489" s="12"/>
      <c r="F1489" s="12"/>
      <c r="G1489" s="25"/>
      <c r="H1489" s="12"/>
      <c r="I1489" s="31"/>
      <c r="J1489" s="12"/>
      <c r="K1489" s="12"/>
      <c r="L1489" s="16"/>
      <c r="M1489" s="46"/>
      <c r="N1489" s="46"/>
      <c r="O1489" s="31"/>
      <c r="P1489" s="16"/>
      <c r="Q1489" s="16"/>
      <c r="R1489" s="16" t="str">
        <f t="shared" si="2"/>
        <v/>
      </c>
    </row>
    <row r="1490">
      <c r="B1490" s="16"/>
      <c r="C1490" s="12"/>
      <c r="D1490" s="12"/>
      <c r="E1490" s="12"/>
      <c r="F1490" s="12"/>
      <c r="G1490" s="25"/>
      <c r="H1490" s="12"/>
      <c r="I1490" s="31"/>
      <c r="J1490" s="12"/>
      <c r="K1490" s="12"/>
      <c r="L1490" s="16"/>
      <c r="M1490" s="46"/>
      <c r="N1490" s="46"/>
      <c r="O1490" s="31"/>
      <c r="P1490" s="16"/>
      <c r="Q1490" s="16"/>
      <c r="R1490" s="16" t="str">
        <f t="shared" si="2"/>
        <v/>
      </c>
    </row>
    <row r="1491">
      <c r="B1491" s="16"/>
      <c r="C1491" s="12"/>
      <c r="D1491" s="12"/>
      <c r="E1491" s="12"/>
      <c r="F1491" s="12"/>
      <c r="G1491" s="25"/>
      <c r="H1491" s="12"/>
      <c r="I1491" s="31"/>
      <c r="J1491" s="12"/>
      <c r="K1491" s="12"/>
      <c r="L1491" s="16"/>
      <c r="M1491" s="46"/>
      <c r="N1491" s="46"/>
      <c r="O1491" s="31"/>
      <c r="P1491" s="16"/>
      <c r="Q1491" s="16"/>
      <c r="R1491" s="16" t="str">
        <f t="shared" si="2"/>
        <v/>
      </c>
    </row>
    <row r="1492">
      <c r="B1492" s="16"/>
      <c r="C1492" s="12"/>
      <c r="D1492" s="12"/>
      <c r="E1492" s="12"/>
      <c r="F1492" s="12"/>
      <c r="G1492" s="25"/>
      <c r="H1492" s="12"/>
      <c r="I1492" s="31"/>
      <c r="J1492" s="12"/>
      <c r="K1492" s="12"/>
      <c r="L1492" s="16"/>
      <c r="M1492" s="46"/>
      <c r="N1492" s="46"/>
      <c r="O1492" s="31"/>
      <c r="P1492" s="16"/>
      <c r="Q1492" s="16"/>
      <c r="R1492" s="16" t="str">
        <f t="shared" si="2"/>
        <v/>
      </c>
    </row>
    <row r="1493">
      <c r="B1493" s="16"/>
      <c r="C1493" s="12"/>
      <c r="D1493" s="12"/>
      <c r="E1493" s="12"/>
      <c r="F1493" s="12"/>
      <c r="G1493" s="25"/>
      <c r="H1493" s="12"/>
      <c r="I1493" s="31"/>
      <c r="J1493" s="12"/>
      <c r="K1493" s="12"/>
      <c r="L1493" s="16"/>
      <c r="M1493" s="46"/>
      <c r="N1493" s="46"/>
      <c r="O1493" s="31"/>
      <c r="P1493" s="16"/>
      <c r="Q1493" s="16"/>
      <c r="R1493" s="16" t="str">
        <f t="shared" si="2"/>
        <v/>
      </c>
    </row>
    <row r="1494">
      <c r="B1494" s="16"/>
      <c r="C1494" s="12"/>
      <c r="D1494" s="12"/>
      <c r="E1494" s="12"/>
      <c r="F1494" s="12"/>
      <c r="G1494" s="25"/>
      <c r="H1494" s="12"/>
      <c r="I1494" s="31"/>
      <c r="J1494" s="12"/>
      <c r="K1494" s="12"/>
      <c r="L1494" s="16"/>
      <c r="M1494" s="46"/>
      <c r="N1494" s="46"/>
      <c r="O1494" s="31"/>
      <c r="P1494" s="16"/>
      <c r="Q1494" s="16"/>
      <c r="R1494" s="16" t="str">
        <f t="shared" si="2"/>
        <v/>
      </c>
    </row>
    <row r="1495">
      <c r="B1495" s="16"/>
      <c r="C1495" s="12"/>
      <c r="D1495" s="12"/>
      <c r="E1495" s="12"/>
      <c r="F1495" s="12"/>
      <c r="G1495" s="25"/>
      <c r="H1495" s="12"/>
      <c r="I1495" s="31"/>
      <c r="J1495" s="12"/>
      <c r="K1495" s="12"/>
      <c r="L1495" s="16"/>
      <c r="M1495" s="46"/>
      <c r="N1495" s="46"/>
      <c r="O1495" s="31"/>
      <c r="P1495" s="16"/>
      <c r="Q1495" s="16"/>
      <c r="R1495" s="16" t="str">
        <f t="shared" si="2"/>
        <v/>
      </c>
    </row>
    <row r="1496">
      <c r="B1496" s="16"/>
      <c r="C1496" s="12"/>
      <c r="D1496" s="12"/>
      <c r="E1496" s="12"/>
      <c r="F1496" s="12"/>
      <c r="G1496" s="25"/>
      <c r="H1496" s="12"/>
      <c r="I1496" s="31"/>
      <c r="J1496" s="12"/>
      <c r="K1496" s="12"/>
      <c r="L1496" s="16"/>
      <c r="M1496" s="46"/>
      <c r="N1496" s="46"/>
      <c r="O1496" s="31"/>
      <c r="P1496" s="16"/>
      <c r="Q1496" s="16"/>
      <c r="R1496" s="16" t="str">
        <f t="shared" si="2"/>
        <v/>
      </c>
    </row>
    <row r="1497">
      <c r="B1497" s="16"/>
      <c r="C1497" s="12"/>
      <c r="D1497" s="12"/>
      <c r="E1497" s="12"/>
      <c r="F1497" s="12"/>
      <c r="G1497" s="25"/>
      <c r="H1497" s="12"/>
      <c r="I1497" s="31"/>
      <c r="J1497" s="12"/>
      <c r="K1497" s="12"/>
      <c r="L1497" s="16"/>
      <c r="M1497" s="46"/>
      <c r="N1497" s="46"/>
      <c r="O1497" s="31"/>
      <c r="P1497" s="16"/>
      <c r="Q1497" s="16"/>
      <c r="R1497" s="16" t="str">
        <f t="shared" si="2"/>
        <v/>
      </c>
    </row>
    <row r="1498">
      <c r="B1498" s="16"/>
      <c r="C1498" s="12"/>
      <c r="D1498" s="12"/>
      <c r="E1498" s="12"/>
      <c r="F1498" s="12"/>
      <c r="G1498" s="25"/>
      <c r="H1498" s="12"/>
      <c r="I1498" s="31"/>
      <c r="J1498" s="12"/>
      <c r="K1498" s="12"/>
      <c r="L1498" s="16"/>
      <c r="M1498" s="46"/>
      <c r="N1498" s="46"/>
      <c r="O1498" s="31"/>
      <c r="P1498" s="16"/>
      <c r="Q1498" s="16"/>
      <c r="R1498" s="16" t="str">
        <f t="shared" si="2"/>
        <v/>
      </c>
    </row>
    <row r="1499">
      <c r="B1499" s="16"/>
      <c r="C1499" s="12"/>
      <c r="D1499" s="12"/>
      <c r="E1499" s="12"/>
      <c r="F1499" s="12"/>
      <c r="G1499" s="25"/>
      <c r="H1499" s="12"/>
      <c r="I1499" s="31"/>
      <c r="J1499" s="12"/>
      <c r="K1499" s="12"/>
      <c r="L1499" s="16"/>
      <c r="M1499" s="46"/>
      <c r="N1499" s="46"/>
      <c r="O1499" s="31"/>
      <c r="P1499" s="16"/>
      <c r="Q1499" s="16"/>
      <c r="R1499" s="16" t="str">
        <f t="shared" si="2"/>
        <v/>
      </c>
    </row>
    <row r="1500">
      <c r="B1500" s="16"/>
      <c r="C1500" s="12"/>
      <c r="D1500" s="12"/>
      <c r="E1500" s="12"/>
      <c r="F1500" s="12"/>
      <c r="G1500" s="25"/>
      <c r="H1500" s="12"/>
      <c r="I1500" s="31"/>
      <c r="J1500" s="12"/>
      <c r="K1500" s="12"/>
      <c r="L1500" s="16"/>
      <c r="M1500" s="46"/>
      <c r="N1500" s="46"/>
      <c r="O1500" s="31"/>
      <c r="P1500" s="16"/>
      <c r="Q1500" s="16"/>
      <c r="R1500" s="16" t="str">
        <f t="shared" si="2"/>
        <v/>
      </c>
    </row>
    <row r="1501">
      <c r="B1501" s="16"/>
      <c r="C1501" s="12"/>
      <c r="D1501" s="12"/>
      <c r="E1501" s="12"/>
      <c r="F1501" s="12"/>
      <c r="G1501" s="25"/>
      <c r="H1501" s="12"/>
      <c r="I1501" s="31"/>
      <c r="J1501" s="12"/>
      <c r="K1501" s="12"/>
      <c r="L1501" s="16"/>
      <c r="M1501" s="46"/>
      <c r="N1501" s="46"/>
      <c r="O1501" s="31"/>
      <c r="P1501" s="16"/>
      <c r="Q1501" s="16"/>
      <c r="R1501" s="16" t="str">
        <f t="shared" si="2"/>
        <v/>
      </c>
    </row>
    <row r="1502">
      <c r="B1502" s="16"/>
      <c r="C1502" s="12"/>
      <c r="D1502" s="12"/>
      <c r="E1502" s="12"/>
      <c r="F1502" s="12"/>
      <c r="G1502" s="25"/>
      <c r="H1502" s="12"/>
      <c r="I1502" s="31"/>
      <c r="J1502" s="12"/>
      <c r="K1502" s="12"/>
      <c r="L1502" s="16"/>
      <c r="M1502" s="46"/>
      <c r="N1502" s="46"/>
      <c r="O1502" s="31"/>
      <c r="P1502" s="16"/>
      <c r="Q1502" s="16"/>
      <c r="R1502" s="16" t="str">
        <f t="shared" si="2"/>
        <v/>
      </c>
    </row>
    <row r="1503">
      <c r="B1503" s="16"/>
      <c r="C1503" s="12"/>
      <c r="D1503" s="12"/>
      <c r="E1503" s="12"/>
      <c r="F1503" s="12"/>
      <c r="G1503" s="25"/>
      <c r="H1503" s="12"/>
      <c r="I1503" s="31"/>
      <c r="J1503" s="12"/>
      <c r="K1503" s="12"/>
      <c r="L1503" s="16"/>
      <c r="M1503" s="46"/>
      <c r="N1503" s="46"/>
      <c r="O1503" s="31"/>
      <c r="P1503" s="16"/>
      <c r="Q1503" s="16"/>
      <c r="R1503" s="16" t="str">
        <f t="shared" si="2"/>
        <v/>
      </c>
    </row>
    <row r="1504">
      <c r="B1504" s="16"/>
      <c r="C1504" s="12"/>
      <c r="D1504" s="12"/>
      <c r="E1504" s="12"/>
      <c r="F1504" s="12"/>
      <c r="G1504" s="25"/>
      <c r="H1504" s="12"/>
      <c r="I1504" s="31"/>
      <c r="J1504" s="12"/>
      <c r="K1504" s="12"/>
      <c r="L1504" s="16"/>
      <c r="M1504" s="46"/>
      <c r="N1504" s="46"/>
      <c r="O1504" s="31"/>
      <c r="P1504" s="16"/>
      <c r="Q1504" s="16"/>
      <c r="R1504" s="16" t="str">
        <f t="shared" si="2"/>
        <v/>
      </c>
    </row>
    <row r="1505">
      <c r="B1505" s="16"/>
      <c r="C1505" s="12"/>
      <c r="D1505" s="12"/>
      <c r="E1505" s="12"/>
      <c r="F1505" s="12"/>
      <c r="G1505" s="25"/>
      <c r="H1505" s="12"/>
      <c r="I1505" s="31"/>
      <c r="J1505" s="12"/>
      <c r="K1505" s="12"/>
      <c r="L1505" s="16"/>
      <c r="M1505" s="46"/>
      <c r="N1505" s="46"/>
      <c r="O1505" s="31"/>
      <c r="P1505" s="16"/>
      <c r="Q1505" s="16"/>
      <c r="R1505" s="16" t="str">
        <f t="shared" si="2"/>
        <v/>
      </c>
    </row>
    <row r="1506">
      <c r="B1506" s="16"/>
      <c r="C1506" s="12"/>
      <c r="D1506" s="12"/>
      <c r="E1506" s="12"/>
      <c r="F1506" s="12"/>
      <c r="G1506" s="25"/>
      <c r="H1506" s="12"/>
      <c r="I1506" s="31"/>
      <c r="J1506" s="12"/>
      <c r="K1506" s="12"/>
      <c r="L1506" s="16"/>
      <c r="M1506" s="46"/>
      <c r="N1506" s="46"/>
      <c r="O1506" s="31"/>
      <c r="P1506" s="16"/>
      <c r="Q1506" s="16"/>
      <c r="R1506" s="16" t="str">
        <f t="shared" si="2"/>
        <v/>
      </c>
    </row>
    <row r="1507">
      <c r="B1507" s="16"/>
      <c r="C1507" s="12"/>
      <c r="D1507" s="12"/>
      <c r="E1507" s="12"/>
      <c r="F1507" s="12"/>
      <c r="G1507" s="25"/>
      <c r="H1507" s="12"/>
      <c r="I1507" s="31"/>
      <c r="J1507" s="12"/>
      <c r="K1507" s="12"/>
      <c r="L1507" s="16"/>
      <c r="M1507" s="46"/>
      <c r="N1507" s="46"/>
      <c r="O1507" s="31"/>
      <c r="P1507" s="16"/>
      <c r="Q1507" s="16"/>
      <c r="R1507" s="16" t="str">
        <f t="shared" si="2"/>
        <v/>
      </c>
    </row>
    <row r="1508">
      <c r="B1508" s="16"/>
      <c r="C1508" s="12"/>
      <c r="D1508" s="12"/>
      <c r="E1508" s="12"/>
      <c r="F1508" s="12"/>
      <c r="G1508" s="25"/>
      <c r="H1508" s="12"/>
      <c r="I1508" s="31"/>
      <c r="J1508" s="12"/>
      <c r="K1508" s="12"/>
      <c r="L1508" s="16"/>
      <c r="M1508" s="46"/>
      <c r="N1508" s="46"/>
      <c r="O1508" s="31"/>
      <c r="P1508" s="16"/>
      <c r="Q1508" s="16"/>
      <c r="R1508" s="16" t="str">
        <f t="shared" si="2"/>
        <v/>
      </c>
    </row>
    <row r="1509">
      <c r="B1509" s="16"/>
      <c r="C1509" s="12"/>
      <c r="D1509" s="12"/>
      <c r="E1509" s="12"/>
      <c r="F1509" s="12"/>
      <c r="G1509" s="25"/>
      <c r="H1509" s="12"/>
      <c r="I1509" s="31"/>
      <c r="J1509" s="12"/>
      <c r="K1509" s="12"/>
      <c r="L1509" s="16"/>
      <c r="M1509" s="46"/>
      <c r="N1509" s="46"/>
      <c r="O1509" s="31"/>
      <c r="P1509" s="16"/>
      <c r="Q1509" s="16"/>
      <c r="R1509" s="16" t="str">
        <f t="shared" si="2"/>
        <v/>
      </c>
    </row>
    <row r="1510">
      <c r="B1510" s="16"/>
      <c r="C1510" s="12"/>
      <c r="D1510" s="12"/>
      <c r="E1510" s="12"/>
      <c r="F1510" s="12"/>
      <c r="G1510" s="25"/>
      <c r="H1510" s="12"/>
      <c r="I1510" s="31"/>
      <c r="J1510" s="12"/>
      <c r="K1510" s="12"/>
      <c r="L1510" s="16"/>
      <c r="M1510" s="46"/>
      <c r="N1510" s="46"/>
      <c r="O1510" s="31"/>
      <c r="P1510" s="16"/>
      <c r="Q1510" s="16"/>
      <c r="R1510" s="16" t="str">
        <f t="shared" si="2"/>
        <v/>
      </c>
    </row>
    <row r="1511">
      <c r="B1511" s="16"/>
      <c r="C1511" s="12"/>
      <c r="D1511" s="12"/>
      <c r="E1511" s="12"/>
      <c r="F1511" s="12"/>
      <c r="G1511" s="25"/>
      <c r="H1511" s="12"/>
      <c r="I1511" s="31"/>
      <c r="J1511" s="12"/>
      <c r="K1511" s="12"/>
      <c r="L1511" s="16"/>
      <c r="M1511" s="46"/>
      <c r="N1511" s="46"/>
      <c r="O1511" s="31"/>
      <c r="P1511" s="16"/>
      <c r="Q1511" s="16"/>
      <c r="R1511" s="16" t="str">
        <f t="shared" si="2"/>
        <v/>
      </c>
    </row>
    <row r="1512">
      <c r="B1512" s="16"/>
      <c r="C1512" s="12"/>
      <c r="D1512" s="12"/>
      <c r="E1512" s="12"/>
      <c r="F1512" s="12"/>
      <c r="G1512" s="25"/>
      <c r="H1512" s="12"/>
      <c r="I1512" s="31"/>
      <c r="J1512" s="12"/>
      <c r="K1512" s="12"/>
      <c r="L1512" s="16"/>
      <c r="M1512" s="46"/>
      <c r="N1512" s="46"/>
      <c r="O1512" s="31"/>
      <c r="P1512" s="16"/>
      <c r="Q1512" s="16"/>
      <c r="R1512" s="16" t="str">
        <f t="shared" si="2"/>
        <v/>
      </c>
    </row>
    <row r="1513">
      <c r="B1513" s="16"/>
      <c r="C1513" s="12"/>
      <c r="D1513" s="12"/>
      <c r="E1513" s="12"/>
      <c r="F1513" s="12"/>
      <c r="G1513" s="25"/>
      <c r="H1513" s="12"/>
      <c r="I1513" s="31"/>
      <c r="J1513" s="12"/>
      <c r="K1513" s="12"/>
      <c r="L1513" s="16"/>
      <c r="M1513" s="46"/>
      <c r="N1513" s="46"/>
      <c r="O1513" s="31"/>
      <c r="P1513" s="16"/>
      <c r="Q1513" s="16"/>
      <c r="R1513" s="16" t="str">
        <f t="shared" si="2"/>
        <v/>
      </c>
    </row>
    <row r="1514">
      <c r="B1514" s="16"/>
      <c r="C1514" s="12"/>
      <c r="D1514" s="12"/>
      <c r="E1514" s="12"/>
      <c r="F1514" s="12"/>
      <c r="G1514" s="25"/>
      <c r="H1514" s="12"/>
      <c r="I1514" s="31"/>
      <c r="J1514" s="12"/>
      <c r="K1514" s="12"/>
      <c r="L1514" s="16"/>
      <c r="M1514" s="46"/>
      <c r="N1514" s="46"/>
      <c r="O1514" s="31"/>
      <c r="P1514" s="16"/>
      <c r="Q1514" s="16"/>
      <c r="R1514" s="16" t="str">
        <f t="shared" si="2"/>
        <v/>
      </c>
    </row>
    <row r="1515">
      <c r="B1515" s="16"/>
      <c r="C1515" s="12"/>
      <c r="D1515" s="12"/>
      <c r="E1515" s="12"/>
      <c r="F1515" s="12"/>
      <c r="G1515" s="25"/>
      <c r="H1515" s="12"/>
      <c r="I1515" s="31"/>
      <c r="J1515" s="12"/>
      <c r="K1515" s="12"/>
      <c r="L1515" s="16"/>
      <c r="M1515" s="46"/>
      <c r="N1515" s="46"/>
      <c r="O1515" s="31"/>
      <c r="P1515" s="16"/>
      <c r="Q1515" s="16"/>
      <c r="R1515" s="16" t="str">
        <f t="shared" si="2"/>
        <v/>
      </c>
    </row>
    <row r="1516">
      <c r="B1516" s="16"/>
      <c r="C1516" s="12"/>
      <c r="D1516" s="12"/>
      <c r="E1516" s="12"/>
      <c r="F1516" s="12"/>
      <c r="G1516" s="25"/>
      <c r="H1516" s="12"/>
      <c r="I1516" s="31"/>
      <c r="J1516" s="12"/>
      <c r="K1516" s="12"/>
      <c r="L1516" s="16"/>
      <c r="M1516" s="46"/>
      <c r="N1516" s="46"/>
      <c r="O1516" s="31"/>
      <c r="P1516" s="16"/>
      <c r="Q1516" s="16"/>
      <c r="R1516" s="16" t="str">
        <f t="shared" si="2"/>
        <v/>
      </c>
    </row>
    <row r="1517">
      <c r="B1517" s="16"/>
      <c r="C1517" s="12"/>
      <c r="D1517" s="12"/>
      <c r="E1517" s="12"/>
      <c r="F1517" s="12"/>
      <c r="G1517" s="25"/>
      <c r="H1517" s="12"/>
      <c r="I1517" s="31"/>
      <c r="J1517" s="12"/>
      <c r="K1517" s="12"/>
      <c r="L1517" s="16"/>
      <c r="M1517" s="46"/>
      <c r="N1517" s="46"/>
      <c r="O1517" s="31"/>
      <c r="P1517" s="16"/>
      <c r="Q1517" s="16"/>
      <c r="R1517" s="16" t="str">
        <f t="shared" si="2"/>
        <v/>
      </c>
    </row>
    <row r="1518">
      <c r="B1518" s="16"/>
      <c r="C1518" s="12"/>
      <c r="D1518" s="12"/>
      <c r="E1518" s="12"/>
      <c r="F1518" s="12"/>
      <c r="G1518" s="25"/>
      <c r="H1518" s="12"/>
      <c r="I1518" s="31"/>
      <c r="J1518" s="12"/>
      <c r="K1518" s="12"/>
      <c r="L1518" s="16"/>
      <c r="M1518" s="46"/>
      <c r="N1518" s="46"/>
      <c r="O1518" s="31"/>
      <c r="P1518" s="16"/>
      <c r="Q1518" s="16"/>
      <c r="R1518" s="16" t="str">
        <f t="shared" si="2"/>
        <v/>
      </c>
    </row>
    <row r="1519">
      <c r="B1519" s="16"/>
      <c r="C1519" s="12"/>
      <c r="D1519" s="12"/>
      <c r="E1519" s="12"/>
      <c r="F1519" s="12"/>
      <c r="G1519" s="25"/>
      <c r="H1519" s="12"/>
      <c r="I1519" s="31"/>
      <c r="J1519" s="12"/>
      <c r="K1519" s="12"/>
      <c r="L1519" s="16"/>
      <c r="M1519" s="46"/>
      <c r="N1519" s="46"/>
      <c r="O1519" s="31"/>
      <c r="P1519" s="16"/>
      <c r="Q1519" s="16"/>
      <c r="R1519" s="16" t="str">
        <f t="shared" si="2"/>
        <v/>
      </c>
    </row>
    <row r="1520">
      <c r="B1520" s="16"/>
      <c r="C1520" s="12"/>
      <c r="D1520" s="12"/>
      <c r="E1520" s="12"/>
      <c r="F1520" s="12"/>
      <c r="G1520" s="25"/>
      <c r="H1520" s="12"/>
      <c r="I1520" s="31"/>
      <c r="J1520" s="12"/>
      <c r="K1520" s="12"/>
      <c r="L1520" s="16"/>
      <c r="M1520" s="46"/>
      <c r="N1520" s="46"/>
      <c r="O1520" s="31"/>
      <c r="P1520" s="16"/>
      <c r="Q1520" s="16"/>
      <c r="R1520" s="16" t="str">
        <f t="shared" si="2"/>
        <v/>
      </c>
    </row>
    <row r="1521">
      <c r="B1521" s="16"/>
      <c r="C1521" s="12"/>
      <c r="D1521" s="12"/>
      <c r="E1521" s="12"/>
      <c r="F1521" s="12"/>
      <c r="G1521" s="25"/>
      <c r="H1521" s="12"/>
      <c r="I1521" s="31"/>
      <c r="J1521" s="12"/>
      <c r="K1521" s="12"/>
      <c r="L1521" s="16"/>
      <c r="M1521" s="46"/>
      <c r="N1521" s="46"/>
      <c r="O1521" s="31"/>
      <c r="P1521" s="16"/>
      <c r="Q1521" s="16"/>
      <c r="R1521" s="16" t="str">
        <f t="shared" si="2"/>
        <v/>
      </c>
    </row>
    <row r="1522">
      <c r="B1522" s="16"/>
      <c r="C1522" s="12"/>
      <c r="D1522" s="12"/>
      <c r="E1522" s="12"/>
      <c r="F1522" s="12"/>
      <c r="G1522" s="25"/>
      <c r="H1522" s="12"/>
      <c r="I1522" s="31"/>
      <c r="J1522" s="12"/>
      <c r="K1522" s="12"/>
      <c r="L1522" s="16"/>
      <c r="M1522" s="46"/>
      <c r="N1522" s="46"/>
      <c r="O1522" s="31"/>
      <c r="P1522" s="16"/>
      <c r="Q1522" s="16"/>
      <c r="R1522" s="16" t="str">
        <f t="shared" si="2"/>
        <v/>
      </c>
    </row>
    <row r="1523">
      <c r="B1523" s="16"/>
      <c r="C1523" s="12"/>
      <c r="D1523" s="12"/>
      <c r="E1523" s="12"/>
      <c r="F1523" s="12"/>
      <c r="G1523" s="25"/>
      <c r="H1523" s="12"/>
      <c r="I1523" s="31"/>
      <c r="J1523" s="12"/>
      <c r="K1523" s="12"/>
      <c r="L1523" s="16"/>
      <c r="M1523" s="46"/>
      <c r="N1523" s="46"/>
      <c r="O1523" s="31"/>
      <c r="P1523" s="16"/>
      <c r="Q1523" s="16"/>
      <c r="R1523" s="16" t="str">
        <f t="shared" si="2"/>
        <v/>
      </c>
    </row>
    <row r="1524">
      <c r="B1524" s="16"/>
      <c r="C1524" s="12"/>
      <c r="D1524" s="12"/>
      <c r="E1524" s="12"/>
      <c r="F1524" s="12"/>
      <c r="G1524" s="25"/>
      <c r="H1524" s="12"/>
      <c r="I1524" s="31"/>
      <c r="J1524" s="12"/>
      <c r="K1524" s="12"/>
      <c r="L1524" s="16"/>
      <c r="M1524" s="46"/>
      <c r="N1524" s="46"/>
      <c r="O1524" s="31"/>
      <c r="P1524" s="16"/>
      <c r="Q1524" s="16"/>
      <c r="R1524" s="16" t="str">
        <f t="shared" si="2"/>
        <v/>
      </c>
    </row>
    <row r="1525">
      <c r="B1525" s="16"/>
      <c r="C1525" s="12"/>
      <c r="D1525" s="12"/>
      <c r="E1525" s="12"/>
      <c r="F1525" s="12"/>
      <c r="G1525" s="25"/>
      <c r="H1525" s="12"/>
      <c r="I1525" s="31"/>
      <c r="J1525" s="12"/>
      <c r="K1525" s="12"/>
      <c r="L1525" s="16"/>
      <c r="M1525" s="46"/>
      <c r="N1525" s="46"/>
      <c r="O1525" s="31"/>
      <c r="P1525" s="16"/>
      <c r="Q1525" s="16"/>
      <c r="R1525" s="16" t="str">
        <f t="shared" si="2"/>
        <v/>
      </c>
    </row>
    <row r="1526">
      <c r="B1526" s="16"/>
      <c r="C1526" s="12"/>
      <c r="D1526" s="12"/>
      <c r="E1526" s="12"/>
      <c r="F1526" s="12"/>
      <c r="G1526" s="25"/>
      <c r="H1526" s="12"/>
      <c r="I1526" s="31"/>
      <c r="J1526" s="12"/>
      <c r="K1526" s="12"/>
      <c r="L1526" s="16"/>
      <c r="M1526" s="46"/>
      <c r="N1526" s="46"/>
      <c r="O1526" s="31"/>
      <c r="P1526" s="16"/>
      <c r="Q1526" s="16"/>
      <c r="R1526" s="16" t="str">
        <f t="shared" si="2"/>
        <v/>
      </c>
    </row>
    <row r="1527">
      <c r="B1527" s="16"/>
      <c r="C1527" s="12"/>
      <c r="D1527" s="12"/>
      <c r="E1527" s="12"/>
      <c r="F1527" s="12"/>
      <c r="G1527" s="25"/>
      <c r="H1527" s="12"/>
      <c r="I1527" s="31"/>
      <c r="J1527" s="12"/>
      <c r="K1527" s="12"/>
      <c r="L1527" s="16"/>
      <c r="M1527" s="46"/>
      <c r="N1527" s="46"/>
      <c r="O1527" s="31"/>
      <c r="P1527" s="16"/>
      <c r="Q1527" s="16"/>
      <c r="R1527" s="16" t="str">
        <f t="shared" si="2"/>
        <v/>
      </c>
    </row>
    <row r="1528">
      <c r="B1528" s="16"/>
      <c r="C1528" s="12"/>
      <c r="D1528" s="12"/>
      <c r="E1528" s="12"/>
      <c r="F1528" s="12"/>
      <c r="G1528" s="25"/>
      <c r="H1528" s="12"/>
      <c r="I1528" s="31"/>
      <c r="J1528" s="12"/>
      <c r="K1528" s="12"/>
      <c r="L1528" s="16"/>
      <c r="M1528" s="46"/>
      <c r="N1528" s="46"/>
      <c r="O1528" s="31"/>
      <c r="P1528" s="16"/>
      <c r="Q1528" s="16"/>
      <c r="R1528" s="16" t="str">
        <f t="shared" si="2"/>
        <v/>
      </c>
    </row>
    <row r="1529">
      <c r="B1529" s="16"/>
      <c r="C1529" s="12"/>
      <c r="D1529" s="12"/>
      <c r="E1529" s="12"/>
      <c r="F1529" s="12"/>
      <c r="G1529" s="25"/>
      <c r="H1529" s="12"/>
      <c r="I1529" s="31"/>
      <c r="J1529" s="12"/>
      <c r="K1529" s="12"/>
      <c r="L1529" s="16"/>
      <c r="M1529" s="46"/>
      <c r="N1529" s="46"/>
      <c r="O1529" s="31"/>
      <c r="P1529" s="16"/>
      <c r="Q1529" s="16"/>
      <c r="R1529" s="16" t="str">
        <f t="shared" si="2"/>
        <v/>
      </c>
    </row>
    <row r="1530">
      <c r="B1530" s="16"/>
      <c r="C1530" s="12"/>
      <c r="D1530" s="12"/>
      <c r="E1530" s="12"/>
      <c r="F1530" s="12"/>
      <c r="G1530" s="25"/>
      <c r="H1530" s="12"/>
      <c r="I1530" s="31"/>
      <c r="J1530" s="12"/>
      <c r="K1530" s="12"/>
      <c r="L1530" s="16"/>
      <c r="M1530" s="46"/>
      <c r="N1530" s="46"/>
      <c r="O1530" s="31"/>
      <c r="P1530" s="16"/>
      <c r="Q1530" s="16"/>
      <c r="R1530" s="16" t="str">
        <f t="shared" si="2"/>
        <v/>
      </c>
    </row>
    <row r="1531">
      <c r="B1531" s="16"/>
      <c r="C1531" s="12"/>
      <c r="D1531" s="12"/>
      <c r="E1531" s="12"/>
      <c r="F1531" s="12"/>
      <c r="G1531" s="25"/>
      <c r="H1531" s="12"/>
      <c r="I1531" s="31"/>
      <c r="J1531" s="12"/>
      <c r="K1531" s="12"/>
      <c r="L1531" s="16"/>
      <c r="M1531" s="46"/>
      <c r="N1531" s="46"/>
      <c r="O1531" s="31"/>
      <c r="P1531" s="16"/>
      <c r="Q1531" s="16"/>
      <c r="R1531" s="16" t="str">
        <f t="shared" si="2"/>
        <v/>
      </c>
    </row>
    <row r="1532">
      <c r="B1532" s="16"/>
      <c r="C1532" s="12"/>
      <c r="D1532" s="12"/>
      <c r="E1532" s="12"/>
      <c r="F1532" s="12"/>
      <c r="G1532" s="25"/>
      <c r="H1532" s="12"/>
      <c r="I1532" s="31"/>
      <c r="J1532" s="12"/>
      <c r="K1532" s="12"/>
      <c r="L1532" s="16"/>
      <c r="M1532" s="46"/>
      <c r="N1532" s="46"/>
      <c r="O1532" s="31"/>
      <c r="P1532" s="16"/>
      <c r="Q1532" s="16"/>
      <c r="R1532" s="16" t="str">
        <f t="shared" si="2"/>
        <v/>
      </c>
    </row>
    <row r="1533">
      <c r="B1533" s="16"/>
      <c r="C1533" s="12"/>
      <c r="D1533" s="12"/>
      <c r="E1533" s="12"/>
      <c r="F1533" s="12"/>
      <c r="G1533" s="25"/>
      <c r="H1533" s="12"/>
      <c r="I1533" s="31"/>
      <c r="J1533" s="12"/>
      <c r="K1533" s="12"/>
      <c r="L1533" s="16"/>
      <c r="M1533" s="46"/>
      <c r="N1533" s="46"/>
      <c r="O1533" s="31"/>
      <c r="P1533" s="16"/>
      <c r="Q1533" s="16"/>
      <c r="R1533" s="16" t="str">
        <f t="shared" si="2"/>
        <v/>
      </c>
    </row>
    <row r="1534">
      <c r="B1534" s="16"/>
      <c r="C1534" s="12"/>
      <c r="D1534" s="12"/>
      <c r="E1534" s="12"/>
      <c r="F1534" s="12"/>
      <c r="G1534" s="25"/>
      <c r="H1534" s="12"/>
      <c r="I1534" s="31"/>
      <c r="J1534" s="12"/>
      <c r="K1534" s="12"/>
      <c r="L1534" s="16"/>
      <c r="M1534" s="46"/>
      <c r="N1534" s="46"/>
      <c r="O1534" s="31"/>
      <c r="P1534" s="16"/>
      <c r="Q1534" s="16"/>
      <c r="R1534" s="16" t="str">
        <f t="shared" si="2"/>
        <v/>
      </c>
    </row>
    <row r="1535">
      <c r="B1535" s="16"/>
      <c r="C1535" s="12"/>
      <c r="D1535" s="12"/>
      <c r="E1535" s="12"/>
      <c r="F1535" s="12"/>
      <c r="G1535" s="25"/>
      <c r="H1535" s="12"/>
      <c r="I1535" s="31"/>
      <c r="J1535" s="12"/>
      <c r="K1535" s="12"/>
      <c r="L1535" s="16"/>
      <c r="M1535" s="46"/>
      <c r="N1535" s="46"/>
      <c r="O1535" s="31"/>
      <c r="P1535" s="16"/>
      <c r="Q1535" s="16"/>
      <c r="R1535" s="16" t="str">
        <f t="shared" si="2"/>
        <v/>
      </c>
    </row>
    <row r="1536">
      <c r="B1536" s="16"/>
      <c r="C1536" s="12"/>
      <c r="D1536" s="12"/>
      <c r="E1536" s="12"/>
      <c r="F1536" s="12"/>
      <c r="G1536" s="25"/>
      <c r="H1536" s="12"/>
      <c r="I1536" s="31"/>
      <c r="J1536" s="12"/>
      <c r="K1536" s="12"/>
      <c r="L1536" s="16"/>
      <c r="M1536" s="46"/>
      <c r="N1536" s="46"/>
      <c r="O1536" s="31"/>
      <c r="P1536" s="16"/>
      <c r="Q1536" s="16"/>
      <c r="R1536" s="16" t="str">
        <f t="shared" si="2"/>
        <v/>
      </c>
    </row>
    <row r="1537">
      <c r="B1537" s="16"/>
      <c r="C1537" s="12"/>
      <c r="D1537" s="12"/>
      <c r="E1537" s="12"/>
      <c r="F1537" s="12"/>
      <c r="G1537" s="25"/>
      <c r="H1537" s="12"/>
      <c r="I1537" s="31"/>
      <c r="J1537" s="12"/>
      <c r="K1537" s="12"/>
      <c r="L1537" s="16"/>
      <c r="M1537" s="46"/>
      <c r="N1537" s="46"/>
      <c r="O1537" s="31"/>
      <c r="P1537" s="16"/>
      <c r="Q1537" s="16"/>
      <c r="R1537" s="16" t="str">
        <f t="shared" si="2"/>
        <v/>
      </c>
    </row>
    <row r="1538">
      <c r="B1538" s="16"/>
      <c r="C1538" s="12"/>
      <c r="D1538" s="12"/>
      <c r="E1538" s="12"/>
      <c r="F1538" s="12"/>
      <c r="G1538" s="25"/>
      <c r="H1538" s="12"/>
      <c r="I1538" s="31"/>
      <c r="J1538" s="12"/>
      <c r="K1538" s="12"/>
      <c r="L1538" s="16"/>
      <c r="M1538" s="46"/>
      <c r="N1538" s="46"/>
      <c r="O1538" s="31"/>
      <c r="P1538" s="16"/>
      <c r="Q1538" s="16"/>
      <c r="R1538" s="16" t="str">
        <f t="shared" si="2"/>
        <v/>
      </c>
    </row>
    <row r="1539">
      <c r="B1539" s="16"/>
      <c r="C1539" s="12"/>
      <c r="D1539" s="12"/>
      <c r="E1539" s="12"/>
      <c r="F1539" s="12"/>
      <c r="G1539" s="25"/>
      <c r="H1539" s="12"/>
      <c r="I1539" s="31"/>
      <c r="J1539" s="12"/>
      <c r="K1539" s="12"/>
      <c r="L1539" s="16"/>
      <c r="M1539" s="46"/>
      <c r="N1539" s="46"/>
      <c r="O1539" s="31"/>
      <c r="P1539" s="16"/>
      <c r="Q1539" s="16"/>
      <c r="R1539" s="16" t="str">
        <f t="shared" si="2"/>
        <v/>
      </c>
    </row>
    <row r="1540">
      <c r="B1540" s="16"/>
      <c r="C1540" s="12"/>
      <c r="D1540" s="12"/>
      <c r="E1540" s="12"/>
      <c r="F1540" s="12"/>
      <c r="G1540" s="25"/>
      <c r="H1540" s="12"/>
      <c r="I1540" s="31"/>
      <c r="J1540" s="12"/>
      <c r="K1540" s="12"/>
      <c r="L1540" s="16"/>
      <c r="M1540" s="46"/>
      <c r="N1540" s="46"/>
      <c r="O1540" s="31"/>
      <c r="P1540" s="16"/>
      <c r="Q1540" s="16"/>
      <c r="R1540" s="16" t="str">
        <f t="shared" si="2"/>
        <v/>
      </c>
    </row>
    <row r="1541">
      <c r="B1541" s="16"/>
      <c r="C1541" s="12"/>
      <c r="D1541" s="12"/>
      <c r="E1541" s="12"/>
      <c r="F1541" s="12"/>
      <c r="G1541" s="25"/>
      <c r="H1541" s="12"/>
      <c r="I1541" s="31"/>
      <c r="J1541" s="12"/>
      <c r="K1541" s="12"/>
      <c r="L1541" s="16"/>
      <c r="M1541" s="46"/>
      <c r="N1541" s="46"/>
      <c r="O1541" s="31"/>
      <c r="P1541" s="16"/>
      <c r="Q1541" s="16"/>
      <c r="R1541" s="16" t="str">
        <f t="shared" si="2"/>
        <v/>
      </c>
    </row>
    <row r="1542">
      <c r="B1542" s="16"/>
      <c r="C1542" s="12"/>
      <c r="D1542" s="12"/>
      <c r="E1542" s="12"/>
      <c r="F1542" s="12"/>
      <c r="G1542" s="25"/>
      <c r="H1542" s="12"/>
      <c r="I1542" s="31"/>
      <c r="J1542" s="12"/>
      <c r="K1542" s="12"/>
      <c r="L1542" s="16"/>
      <c r="M1542" s="46"/>
      <c r="N1542" s="46"/>
      <c r="O1542" s="31"/>
      <c r="P1542" s="16"/>
      <c r="Q1542" s="16"/>
      <c r="R1542" s="16" t="str">
        <f t="shared" si="2"/>
        <v/>
      </c>
    </row>
    <row r="1543">
      <c r="B1543" s="16"/>
      <c r="C1543" s="12"/>
      <c r="D1543" s="12"/>
      <c r="E1543" s="12"/>
      <c r="F1543" s="12"/>
      <c r="G1543" s="25"/>
      <c r="H1543" s="12"/>
      <c r="I1543" s="31"/>
      <c r="J1543" s="12"/>
      <c r="K1543" s="12"/>
      <c r="L1543" s="16"/>
      <c r="M1543" s="46"/>
      <c r="N1543" s="46"/>
      <c r="O1543" s="31"/>
      <c r="P1543" s="16"/>
      <c r="Q1543" s="16"/>
      <c r="R1543" s="16" t="str">
        <f t="shared" si="2"/>
        <v/>
      </c>
    </row>
    <row r="1544">
      <c r="B1544" s="16"/>
      <c r="C1544" s="12"/>
      <c r="D1544" s="12"/>
      <c r="E1544" s="12"/>
      <c r="F1544" s="12"/>
      <c r="G1544" s="25"/>
      <c r="H1544" s="12"/>
      <c r="I1544" s="31"/>
      <c r="J1544" s="12"/>
      <c r="K1544" s="12"/>
      <c r="L1544" s="16"/>
      <c r="M1544" s="46"/>
      <c r="N1544" s="46"/>
      <c r="O1544" s="31"/>
      <c r="P1544" s="16"/>
      <c r="Q1544" s="16"/>
      <c r="R1544" s="16" t="str">
        <f t="shared" si="2"/>
        <v/>
      </c>
    </row>
    <row r="1545">
      <c r="B1545" s="16"/>
      <c r="C1545" s="12"/>
      <c r="D1545" s="12"/>
      <c r="E1545" s="12"/>
      <c r="F1545" s="12"/>
      <c r="G1545" s="25"/>
      <c r="H1545" s="12"/>
      <c r="I1545" s="31"/>
      <c r="J1545" s="12"/>
      <c r="K1545" s="12"/>
      <c r="L1545" s="16"/>
      <c r="M1545" s="46"/>
      <c r="N1545" s="46"/>
      <c r="O1545" s="31"/>
      <c r="P1545" s="16"/>
      <c r="Q1545" s="16"/>
      <c r="R1545" s="16" t="str">
        <f t="shared" si="2"/>
        <v/>
      </c>
    </row>
    <row r="1546">
      <c r="B1546" s="16"/>
      <c r="C1546" s="12"/>
      <c r="D1546" s="12"/>
      <c r="E1546" s="12"/>
      <c r="F1546" s="12"/>
      <c r="G1546" s="25"/>
      <c r="H1546" s="12"/>
      <c r="I1546" s="31"/>
      <c r="J1546" s="12"/>
      <c r="K1546" s="12"/>
      <c r="L1546" s="16"/>
      <c r="M1546" s="46"/>
      <c r="N1546" s="46"/>
      <c r="O1546" s="31"/>
      <c r="P1546" s="16"/>
      <c r="Q1546" s="16"/>
      <c r="R1546" s="16" t="str">
        <f t="shared" si="2"/>
        <v/>
      </c>
    </row>
    <row r="1547">
      <c r="B1547" s="16"/>
      <c r="C1547" s="12"/>
      <c r="D1547" s="12"/>
      <c r="E1547" s="12"/>
      <c r="F1547" s="12"/>
      <c r="G1547" s="25"/>
      <c r="H1547" s="12"/>
      <c r="I1547" s="31"/>
      <c r="J1547" s="12"/>
      <c r="K1547" s="12"/>
      <c r="L1547" s="16"/>
      <c r="M1547" s="46"/>
      <c r="N1547" s="46"/>
      <c r="O1547" s="31"/>
      <c r="P1547" s="16"/>
      <c r="Q1547" s="16"/>
      <c r="R1547" s="16" t="str">
        <f t="shared" si="2"/>
        <v/>
      </c>
    </row>
    <row r="1548">
      <c r="B1548" s="16"/>
      <c r="C1548" s="12"/>
      <c r="D1548" s="12"/>
      <c r="E1548" s="12"/>
      <c r="F1548" s="12"/>
      <c r="G1548" s="25"/>
      <c r="H1548" s="12"/>
      <c r="I1548" s="31"/>
      <c r="J1548" s="12"/>
      <c r="K1548" s="12"/>
      <c r="L1548" s="16"/>
      <c r="M1548" s="46"/>
      <c r="N1548" s="46"/>
      <c r="O1548" s="31"/>
      <c r="P1548" s="16"/>
      <c r="Q1548" s="16"/>
      <c r="R1548" s="16" t="str">
        <f t="shared" si="2"/>
        <v/>
      </c>
    </row>
    <row r="1549">
      <c r="B1549" s="16"/>
      <c r="C1549" s="12"/>
      <c r="D1549" s="12"/>
      <c r="E1549" s="12"/>
      <c r="F1549" s="12"/>
      <c r="G1549" s="25"/>
      <c r="H1549" s="12"/>
      <c r="I1549" s="31"/>
      <c r="J1549" s="12"/>
      <c r="K1549" s="12"/>
      <c r="L1549" s="16"/>
      <c r="M1549" s="46"/>
      <c r="N1549" s="46"/>
      <c r="O1549" s="31"/>
      <c r="P1549" s="16"/>
      <c r="Q1549" s="16"/>
      <c r="R1549" s="16" t="str">
        <f t="shared" si="2"/>
        <v/>
      </c>
    </row>
    <row r="1550">
      <c r="B1550" s="16"/>
      <c r="C1550" s="12"/>
      <c r="D1550" s="12"/>
      <c r="E1550" s="12"/>
      <c r="F1550" s="12"/>
      <c r="G1550" s="25"/>
      <c r="H1550" s="12"/>
      <c r="I1550" s="31"/>
      <c r="J1550" s="12"/>
      <c r="K1550" s="12"/>
      <c r="L1550" s="16"/>
      <c r="M1550" s="46"/>
      <c r="N1550" s="46"/>
      <c r="O1550" s="31"/>
      <c r="P1550" s="16"/>
      <c r="Q1550" s="16"/>
      <c r="R1550" s="16" t="str">
        <f t="shared" si="2"/>
        <v/>
      </c>
    </row>
    <row r="1551">
      <c r="B1551" s="16"/>
      <c r="C1551" s="12"/>
      <c r="D1551" s="12"/>
      <c r="E1551" s="12"/>
      <c r="F1551" s="12"/>
      <c r="G1551" s="25"/>
      <c r="H1551" s="12"/>
      <c r="I1551" s="31"/>
      <c r="J1551" s="12"/>
      <c r="K1551" s="12"/>
      <c r="L1551" s="16"/>
      <c r="M1551" s="46"/>
      <c r="N1551" s="46"/>
      <c r="O1551" s="31"/>
      <c r="P1551" s="16"/>
      <c r="Q1551" s="16"/>
      <c r="R1551" s="16" t="str">
        <f t="shared" si="2"/>
        <v/>
      </c>
    </row>
    <row r="1552">
      <c r="B1552" s="16"/>
      <c r="C1552" s="12"/>
      <c r="D1552" s="12"/>
      <c r="E1552" s="12"/>
      <c r="F1552" s="12"/>
      <c r="G1552" s="25"/>
      <c r="H1552" s="12"/>
      <c r="I1552" s="31"/>
      <c r="J1552" s="12"/>
      <c r="K1552" s="12"/>
      <c r="L1552" s="16"/>
      <c r="M1552" s="46"/>
      <c r="N1552" s="46"/>
      <c r="O1552" s="31"/>
      <c r="P1552" s="16"/>
      <c r="Q1552" s="16"/>
      <c r="R1552" s="16" t="str">
        <f t="shared" si="2"/>
        <v/>
      </c>
    </row>
    <row r="1553">
      <c r="B1553" s="16"/>
      <c r="C1553" s="12"/>
      <c r="D1553" s="12"/>
      <c r="E1553" s="12"/>
      <c r="F1553" s="12"/>
      <c r="G1553" s="25"/>
      <c r="H1553" s="12"/>
      <c r="I1553" s="31"/>
      <c r="J1553" s="12"/>
      <c r="K1553" s="12"/>
      <c r="L1553" s="16"/>
      <c r="M1553" s="46"/>
      <c r="N1553" s="46"/>
      <c r="O1553" s="31"/>
      <c r="P1553" s="16"/>
      <c r="Q1553" s="16"/>
      <c r="R1553" s="16" t="str">
        <f t="shared" si="2"/>
        <v/>
      </c>
    </row>
    <row r="1554">
      <c r="B1554" s="16"/>
      <c r="C1554" s="12"/>
      <c r="D1554" s="12"/>
      <c r="E1554" s="12"/>
      <c r="F1554" s="12"/>
      <c r="G1554" s="25"/>
      <c r="H1554" s="12"/>
      <c r="I1554" s="31"/>
      <c r="J1554" s="12"/>
      <c r="K1554" s="12"/>
      <c r="L1554" s="16"/>
      <c r="M1554" s="46"/>
      <c r="N1554" s="46"/>
      <c r="O1554" s="31"/>
      <c r="P1554" s="16"/>
      <c r="Q1554" s="16"/>
      <c r="R1554" s="16" t="str">
        <f t="shared" si="2"/>
        <v/>
      </c>
    </row>
    <row r="1555">
      <c r="B1555" s="16"/>
      <c r="C1555" s="12"/>
      <c r="D1555" s="12"/>
      <c r="E1555" s="12"/>
      <c r="F1555" s="12"/>
      <c r="G1555" s="25"/>
      <c r="H1555" s="12"/>
      <c r="I1555" s="31"/>
      <c r="J1555" s="12"/>
      <c r="K1555" s="12"/>
      <c r="L1555" s="16"/>
      <c r="M1555" s="46"/>
      <c r="N1555" s="46"/>
      <c r="O1555" s="31"/>
      <c r="P1555" s="16"/>
      <c r="Q1555" s="16"/>
      <c r="R1555" s="16" t="str">
        <f t="shared" si="2"/>
        <v/>
      </c>
    </row>
    <row r="1556">
      <c r="B1556" s="16"/>
      <c r="C1556" s="12"/>
      <c r="D1556" s="12"/>
      <c r="E1556" s="12"/>
      <c r="F1556" s="12"/>
      <c r="G1556" s="25"/>
      <c r="H1556" s="12"/>
      <c r="I1556" s="31"/>
      <c r="J1556" s="12"/>
      <c r="K1556" s="12"/>
      <c r="L1556" s="16"/>
      <c r="M1556" s="46"/>
      <c r="N1556" s="46"/>
      <c r="O1556" s="31"/>
      <c r="P1556" s="16"/>
      <c r="Q1556" s="16"/>
      <c r="R1556" s="16" t="str">
        <f t="shared" si="2"/>
        <v/>
      </c>
    </row>
    <row r="1557">
      <c r="B1557" s="16"/>
      <c r="C1557" s="12"/>
      <c r="D1557" s="12"/>
      <c r="E1557" s="12"/>
      <c r="F1557" s="12"/>
      <c r="G1557" s="25"/>
      <c r="H1557" s="12"/>
      <c r="I1557" s="31"/>
      <c r="J1557" s="12"/>
      <c r="K1557" s="12"/>
      <c r="L1557" s="16"/>
      <c r="M1557" s="46"/>
      <c r="N1557" s="46"/>
      <c r="O1557" s="31"/>
      <c r="P1557" s="16"/>
      <c r="Q1557" s="16"/>
      <c r="R1557" s="16" t="str">
        <f t="shared" si="2"/>
        <v/>
      </c>
    </row>
    <row r="1558">
      <c r="B1558" s="16"/>
      <c r="C1558" s="12"/>
      <c r="D1558" s="12"/>
      <c r="E1558" s="12"/>
      <c r="F1558" s="12"/>
      <c r="G1558" s="25"/>
      <c r="H1558" s="12"/>
      <c r="I1558" s="31"/>
      <c r="J1558" s="12"/>
      <c r="K1558" s="12"/>
      <c r="L1558" s="16"/>
      <c r="M1558" s="46"/>
      <c r="N1558" s="46"/>
      <c r="O1558" s="31"/>
      <c r="P1558" s="16"/>
      <c r="Q1558" s="16"/>
      <c r="R1558" s="16" t="str">
        <f t="shared" si="2"/>
        <v/>
      </c>
    </row>
    <row r="1559">
      <c r="B1559" s="16"/>
      <c r="C1559" s="12"/>
      <c r="D1559" s="12"/>
      <c r="E1559" s="12"/>
      <c r="F1559" s="12"/>
      <c r="G1559" s="25"/>
      <c r="H1559" s="12"/>
      <c r="I1559" s="31"/>
      <c r="J1559" s="12"/>
      <c r="K1559" s="12"/>
      <c r="L1559" s="16"/>
      <c r="M1559" s="46"/>
      <c r="N1559" s="46"/>
      <c r="O1559" s="31"/>
      <c r="P1559" s="16"/>
      <c r="Q1559" s="16"/>
      <c r="R1559" s="16" t="str">
        <f t="shared" si="2"/>
        <v/>
      </c>
    </row>
    <row r="1560">
      <c r="B1560" s="16"/>
      <c r="C1560" s="12"/>
      <c r="D1560" s="12"/>
      <c r="E1560" s="12"/>
      <c r="F1560" s="12"/>
      <c r="G1560" s="25"/>
      <c r="H1560" s="12"/>
      <c r="I1560" s="31"/>
      <c r="J1560" s="12"/>
      <c r="K1560" s="12"/>
      <c r="L1560" s="16"/>
      <c r="M1560" s="46"/>
      <c r="N1560" s="46"/>
      <c r="O1560" s="31"/>
      <c r="P1560" s="16"/>
      <c r="Q1560" s="16"/>
      <c r="R1560" s="16" t="str">
        <f t="shared" si="2"/>
        <v/>
      </c>
    </row>
    <row r="1561">
      <c r="B1561" s="16"/>
      <c r="C1561" s="12"/>
      <c r="D1561" s="12"/>
      <c r="E1561" s="12"/>
      <c r="F1561" s="12"/>
      <c r="G1561" s="25"/>
      <c r="H1561" s="12"/>
      <c r="I1561" s="31"/>
      <c r="J1561" s="12"/>
      <c r="K1561" s="12"/>
      <c r="L1561" s="16"/>
      <c r="M1561" s="46"/>
      <c r="N1561" s="46"/>
      <c r="O1561" s="31"/>
      <c r="P1561" s="16"/>
      <c r="Q1561" s="16"/>
      <c r="R1561" s="16" t="str">
        <f t="shared" si="2"/>
        <v/>
      </c>
    </row>
    <row r="1562">
      <c r="B1562" s="16"/>
      <c r="C1562" s="12"/>
      <c r="D1562" s="12"/>
      <c r="E1562" s="12"/>
      <c r="F1562" s="12"/>
      <c r="G1562" s="25"/>
      <c r="H1562" s="12"/>
      <c r="I1562" s="31"/>
      <c r="J1562" s="12"/>
      <c r="K1562" s="12"/>
      <c r="L1562" s="16"/>
      <c r="M1562" s="46"/>
      <c r="N1562" s="46"/>
      <c r="O1562" s="31"/>
      <c r="P1562" s="16"/>
      <c r="Q1562" s="16"/>
      <c r="R1562" s="16" t="str">
        <f t="shared" si="2"/>
        <v/>
      </c>
    </row>
    <row r="1563">
      <c r="B1563" s="16"/>
      <c r="C1563" s="12"/>
      <c r="D1563" s="12"/>
      <c r="E1563" s="12"/>
      <c r="F1563" s="12"/>
      <c r="G1563" s="25"/>
      <c r="H1563" s="12"/>
      <c r="I1563" s="31"/>
      <c r="J1563" s="12"/>
      <c r="K1563" s="12"/>
      <c r="L1563" s="16"/>
      <c r="M1563" s="46"/>
      <c r="N1563" s="46"/>
      <c r="O1563" s="31"/>
      <c r="P1563" s="16"/>
      <c r="Q1563" s="16"/>
      <c r="R1563" s="16" t="str">
        <f t="shared" si="2"/>
        <v/>
      </c>
    </row>
    <row r="1564">
      <c r="B1564" s="16"/>
      <c r="C1564" s="12"/>
      <c r="D1564" s="12"/>
      <c r="E1564" s="12"/>
      <c r="F1564" s="12"/>
      <c r="G1564" s="25"/>
      <c r="H1564" s="12"/>
      <c r="I1564" s="31"/>
      <c r="J1564" s="12"/>
      <c r="K1564" s="12"/>
      <c r="L1564" s="16"/>
      <c r="M1564" s="46"/>
      <c r="N1564" s="46"/>
      <c r="O1564" s="31"/>
      <c r="P1564" s="16"/>
      <c r="Q1564" s="16"/>
      <c r="R1564" s="16" t="str">
        <f t="shared" si="2"/>
        <v/>
      </c>
    </row>
    <row r="1565">
      <c r="B1565" s="16"/>
      <c r="C1565" s="12"/>
      <c r="D1565" s="12"/>
      <c r="E1565" s="12"/>
      <c r="F1565" s="12"/>
      <c r="G1565" s="25"/>
      <c r="H1565" s="12"/>
      <c r="I1565" s="31"/>
      <c r="J1565" s="12"/>
      <c r="K1565" s="12"/>
      <c r="L1565" s="16"/>
      <c r="M1565" s="46"/>
      <c r="N1565" s="46"/>
      <c r="O1565" s="31"/>
      <c r="P1565" s="16"/>
      <c r="Q1565" s="16"/>
      <c r="R1565" s="16" t="str">
        <f t="shared" si="2"/>
        <v/>
      </c>
    </row>
    <row r="1566">
      <c r="B1566" s="16"/>
      <c r="C1566" s="12"/>
      <c r="D1566" s="12"/>
      <c r="E1566" s="12"/>
      <c r="F1566" s="12"/>
      <c r="G1566" s="25"/>
      <c r="H1566" s="12"/>
      <c r="I1566" s="31"/>
      <c r="J1566" s="12"/>
      <c r="K1566" s="12"/>
      <c r="L1566" s="16"/>
      <c r="M1566" s="46"/>
      <c r="N1566" s="46"/>
      <c r="O1566" s="31"/>
      <c r="P1566" s="16"/>
      <c r="Q1566" s="16"/>
      <c r="R1566" s="16" t="str">
        <f t="shared" si="2"/>
        <v/>
      </c>
    </row>
    <row r="1567">
      <c r="B1567" s="16"/>
      <c r="C1567" s="12"/>
      <c r="D1567" s="12"/>
      <c r="E1567" s="12"/>
      <c r="F1567" s="12"/>
      <c r="G1567" s="25"/>
      <c r="H1567" s="12"/>
      <c r="I1567" s="31"/>
      <c r="J1567" s="12"/>
      <c r="K1567" s="12"/>
      <c r="L1567" s="16"/>
      <c r="M1567" s="46"/>
      <c r="N1567" s="46"/>
      <c r="O1567" s="31"/>
      <c r="P1567" s="16"/>
      <c r="Q1567" s="16"/>
      <c r="R1567" s="16" t="str">
        <f t="shared" si="2"/>
        <v/>
      </c>
    </row>
    <row r="1568">
      <c r="B1568" s="16"/>
      <c r="C1568" s="12"/>
      <c r="D1568" s="12"/>
      <c r="E1568" s="12"/>
      <c r="F1568" s="12"/>
      <c r="G1568" s="25"/>
      <c r="H1568" s="12"/>
      <c r="I1568" s="31"/>
      <c r="J1568" s="12"/>
      <c r="K1568" s="12"/>
      <c r="L1568" s="16"/>
      <c r="M1568" s="46"/>
      <c r="N1568" s="46"/>
      <c r="O1568" s="31"/>
      <c r="P1568" s="16"/>
      <c r="Q1568" s="16"/>
      <c r="R1568" s="16" t="str">
        <f t="shared" si="2"/>
        <v/>
      </c>
    </row>
    <row r="1569">
      <c r="B1569" s="16"/>
      <c r="C1569" s="12"/>
      <c r="D1569" s="12"/>
      <c r="E1569" s="12"/>
      <c r="F1569" s="12"/>
      <c r="G1569" s="25"/>
      <c r="H1569" s="12"/>
      <c r="I1569" s="31"/>
      <c r="J1569" s="12"/>
      <c r="K1569" s="12"/>
      <c r="L1569" s="16"/>
      <c r="M1569" s="46"/>
      <c r="N1569" s="46"/>
      <c r="O1569" s="31"/>
      <c r="P1569" s="16"/>
      <c r="Q1569" s="16"/>
      <c r="R1569" s="16" t="str">
        <f t="shared" si="2"/>
        <v/>
      </c>
    </row>
    <row r="1570">
      <c r="B1570" s="16"/>
      <c r="C1570" s="12"/>
      <c r="D1570" s="12"/>
      <c r="E1570" s="12"/>
      <c r="F1570" s="12"/>
      <c r="G1570" s="25"/>
      <c r="H1570" s="12"/>
      <c r="I1570" s="31"/>
      <c r="J1570" s="12"/>
      <c r="K1570" s="12"/>
      <c r="L1570" s="16"/>
      <c r="M1570" s="46"/>
      <c r="N1570" s="46"/>
      <c r="O1570" s="31"/>
      <c r="P1570" s="16"/>
      <c r="Q1570" s="16"/>
      <c r="R1570" s="16" t="str">
        <f t="shared" si="2"/>
        <v/>
      </c>
    </row>
    <row r="1571">
      <c r="B1571" s="16"/>
      <c r="C1571" s="12"/>
      <c r="D1571" s="12"/>
      <c r="E1571" s="12"/>
      <c r="F1571" s="12"/>
      <c r="G1571" s="25"/>
      <c r="H1571" s="12"/>
      <c r="I1571" s="31"/>
      <c r="J1571" s="12"/>
      <c r="K1571" s="12"/>
      <c r="L1571" s="16"/>
      <c r="M1571" s="46"/>
      <c r="N1571" s="46"/>
      <c r="O1571" s="31"/>
      <c r="P1571" s="16"/>
      <c r="Q1571" s="16"/>
      <c r="R1571" s="16" t="str">
        <f t="shared" si="2"/>
        <v/>
      </c>
    </row>
    <row r="1572">
      <c r="B1572" s="16"/>
      <c r="C1572" s="12"/>
      <c r="D1572" s="12"/>
      <c r="E1572" s="12"/>
      <c r="F1572" s="12"/>
      <c r="G1572" s="25"/>
      <c r="H1572" s="12"/>
      <c r="I1572" s="31"/>
      <c r="J1572" s="12"/>
      <c r="K1572" s="12"/>
      <c r="L1572" s="16"/>
      <c r="M1572" s="46"/>
      <c r="N1572" s="46"/>
      <c r="O1572" s="31"/>
      <c r="P1572" s="16"/>
      <c r="Q1572" s="16"/>
      <c r="R1572" s="16" t="str">
        <f t="shared" si="2"/>
        <v/>
      </c>
    </row>
    <row r="1573">
      <c r="B1573" s="16"/>
      <c r="C1573" s="12"/>
      <c r="D1573" s="12"/>
      <c r="E1573" s="12"/>
      <c r="F1573" s="12"/>
      <c r="G1573" s="25"/>
      <c r="H1573" s="12"/>
      <c r="I1573" s="31"/>
      <c r="J1573" s="12"/>
      <c r="K1573" s="12"/>
      <c r="L1573" s="16"/>
      <c r="M1573" s="46"/>
      <c r="N1573" s="46"/>
      <c r="O1573" s="31"/>
      <c r="P1573" s="16"/>
      <c r="Q1573" s="16"/>
      <c r="R1573" s="16" t="str">
        <f t="shared" si="2"/>
        <v/>
      </c>
    </row>
    <row r="1574">
      <c r="B1574" s="16"/>
      <c r="C1574" s="12"/>
      <c r="D1574" s="12"/>
      <c r="E1574" s="12"/>
      <c r="F1574" s="12"/>
      <c r="G1574" s="25"/>
      <c r="H1574" s="12"/>
      <c r="I1574" s="31"/>
      <c r="J1574" s="12"/>
      <c r="K1574" s="12"/>
      <c r="L1574" s="16"/>
      <c r="M1574" s="46"/>
      <c r="N1574" s="46"/>
      <c r="O1574" s="31"/>
      <c r="P1574" s="16"/>
      <c r="Q1574" s="16"/>
      <c r="R1574" s="16" t="str">
        <f t="shared" si="2"/>
        <v/>
      </c>
    </row>
    <row r="1575">
      <c r="B1575" s="16"/>
      <c r="C1575" s="12"/>
      <c r="D1575" s="12"/>
      <c r="E1575" s="12"/>
      <c r="F1575" s="12"/>
      <c r="G1575" s="25"/>
      <c r="H1575" s="12"/>
      <c r="I1575" s="31"/>
      <c r="J1575" s="12"/>
      <c r="K1575" s="12"/>
      <c r="L1575" s="16"/>
      <c r="M1575" s="46"/>
      <c r="N1575" s="46"/>
      <c r="O1575" s="31"/>
      <c r="P1575" s="16"/>
      <c r="Q1575" s="16"/>
      <c r="R1575" s="16" t="str">
        <f t="shared" si="2"/>
        <v/>
      </c>
    </row>
    <row r="1576">
      <c r="B1576" s="16"/>
      <c r="C1576" s="12"/>
      <c r="D1576" s="12"/>
      <c r="E1576" s="12"/>
      <c r="F1576" s="12"/>
      <c r="G1576" s="25"/>
      <c r="H1576" s="12"/>
      <c r="I1576" s="31"/>
      <c r="J1576" s="12"/>
      <c r="K1576" s="12"/>
      <c r="L1576" s="16"/>
      <c r="M1576" s="46"/>
      <c r="N1576" s="46"/>
      <c r="O1576" s="31"/>
      <c r="P1576" s="16"/>
      <c r="Q1576" s="16"/>
      <c r="R1576" s="16" t="str">
        <f t="shared" si="2"/>
        <v/>
      </c>
    </row>
    <row r="1577">
      <c r="B1577" s="16"/>
      <c r="C1577" s="12"/>
      <c r="D1577" s="12"/>
      <c r="E1577" s="12"/>
      <c r="F1577" s="12"/>
      <c r="G1577" s="25"/>
      <c r="H1577" s="12"/>
      <c r="I1577" s="31"/>
      <c r="J1577" s="12"/>
      <c r="K1577" s="12"/>
      <c r="L1577" s="16"/>
      <c r="M1577" s="46"/>
      <c r="N1577" s="46"/>
      <c r="O1577" s="31"/>
      <c r="P1577" s="16"/>
      <c r="Q1577" s="16"/>
      <c r="R1577" s="16" t="str">
        <f t="shared" si="2"/>
        <v/>
      </c>
    </row>
    <row r="1578">
      <c r="B1578" s="16"/>
      <c r="C1578" s="12"/>
      <c r="D1578" s="12"/>
      <c r="E1578" s="12"/>
      <c r="F1578" s="12"/>
      <c r="G1578" s="25"/>
      <c r="H1578" s="12"/>
      <c r="I1578" s="31"/>
      <c r="J1578" s="12"/>
      <c r="K1578" s="12"/>
      <c r="L1578" s="16"/>
      <c r="M1578" s="46"/>
      <c r="N1578" s="46"/>
      <c r="O1578" s="31"/>
      <c r="P1578" s="16"/>
      <c r="Q1578" s="16"/>
      <c r="R1578" s="16" t="str">
        <f t="shared" si="2"/>
        <v/>
      </c>
    </row>
    <row r="1579">
      <c r="B1579" s="16"/>
      <c r="C1579" s="12"/>
      <c r="D1579" s="12"/>
      <c r="E1579" s="12"/>
      <c r="F1579" s="12"/>
      <c r="G1579" s="25"/>
      <c r="H1579" s="12"/>
      <c r="I1579" s="31"/>
      <c r="J1579" s="12"/>
      <c r="K1579" s="12"/>
      <c r="L1579" s="16"/>
      <c r="M1579" s="46"/>
      <c r="N1579" s="46"/>
      <c r="O1579" s="31"/>
      <c r="P1579" s="16"/>
      <c r="Q1579" s="16"/>
      <c r="R1579" s="16" t="str">
        <f t="shared" si="2"/>
        <v/>
      </c>
    </row>
    <row r="1580">
      <c r="B1580" s="16"/>
      <c r="C1580" s="12"/>
      <c r="D1580" s="12"/>
      <c r="E1580" s="12"/>
      <c r="F1580" s="12"/>
      <c r="G1580" s="25"/>
      <c r="H1580" s="12"/>
      <c r="I1580" s="31"/>
      <c r="J1580" s="12"/>
      <c r="K1580" s="12"/>
      <c r="L1580" s="16"/>
      <c r="M1580" s="46"/>
      <c r="N1580" s="46"/>
      <c r="O1580" s="31"/>
      <c r="P1580" s="16"/>
      <c r="Q1580" s="16"/>
      <c r="R1580" s="16" t="str">
        <f t="shared" si="2"/>
        <v/>
      </c>
    </row>
    <row r="1581">
      <c r="B1581" s="16"/>
      <c r="C1581" s="12"/>
      <c r="D1581" s="12"/>
      <c r="E1581" s="12"/>
      <c r="F1581" s="12"/>
      <c r="G1581" s="25"/>
      <c r="H1581" s="12"/>
      <c r="I1581" s="31"/>
      <c r="J1581" s="12"/>
      <c r="K1581" s="12"/>
      <c r="L1581" s="16"/>
      <c r="M1581" s="46"/>
      <c r="N1581" s="46"/>
      <c r="O1581" s="31"/>
      <c r="P1581" s="16"/>
      <c r="Q1581" s="16"/>
      <c r="R1581" s="16" t="str">
        <f t="shared" si="2"/>
        <v/>
      </c>
    </row>
    <row r="1582">
      <c r="B1582" s="16"/>
      <c r="C1582" s="12"/>
      <c r="D1582" s="12"/>
      <c r="E1582" s="12"/>
      <c r="F1582" s="12"/>
      <c r="G1582" s="25"/>
      <c r="H1582" s="12"/>
      <c r="I1582" s="31"/>
      <c r="J1582" s="12"/>
      <c r="K1582" s="12"/>
      <c r="L1582" s="16"/>
      <c r="M1582" s="46"/>
      <c r="N1582" s="46"/>
      <c r="O1582" s="31"/>
      <c r="P1582" s="16"/>
      <c r="Q1582" s="16"/>
      <c r="R1582" s="16" t="str">
        <f t="shared" si="2"/>
        <v/>
      </c>
    </row>
    <row r="1583">
      <c r="B1583" s="16"/>
      <c r="C1583" s="12"/>
      <c r="D1583" s="12"/>
      <c r="E1583" s="12"/>
      <c r="F1583" s="12"/>
      <c r="G1583" s="25"/>
      <c r="H1583" s="12"/>
      <c r="I1583" s="31"/>
      <c r="J1583" s="12"/>
      <c r="K1583" s="12"/>
      <c r="L1583" s="16"/>
      <c r="M1583" s="46"/>
      <c r="N1583" s="46"/>
      <c r="O1583" s="31"/>
      <c r="P1583" s="16"/>
      <c r="Q1583" s="16"/>
      <c r="R1583" s="16" t="str">
        <f t="shared" si="2"/>
        <v/>
      </c>
    </row>
    <row r="1584">
      <c r="B1584" s="16"/>
      <c r="C1584" s="12"/>
      <c r="D1584" s="12"/>
      <c r="E1584" s="12"/>
      <c r="F1584" s="12"/>
      <c r="G1584" s="25"/>
      <c r="H1584" s="12"/>
      <c r="I1584" s="31"/>
      <c r="J1584" s="12"/>
      <c r="K1584" s="12"/>
      <c r="L1584" s="16"/>
      <c r="M1584" s="46"/>
      <c r="N1584" s="46"/>
      <c r="O1584" s="31"/>
      <c r="P1584" s="16"/>
      <c r="Q1584" s="16"/>
      <c r="R1584" s="16" t="str">
        <f t="shared" si="2"/>
        <v/>
      </c>
    </row>
    <row r="1585">
      <c r="B1585" s="16"/>
      <c r="C1585" s="12"/>
      <c r="D1585" s="12"/>
      <c r="E1585" s="12"/>
      <c r="F1585" s="12"/>
      <c r="G1585" s="25"/>
      <c r="H1585" s="12"/>
      <c r="I1585" s="31"/>
      <c r="J1585" s="12"/>
      <c r="K1585" s="12"/>
      <c r="L1585" s="16"/>
      <c r="M1585" s="46"/>
      <c r="N1585" s="46"/>
      <c r="O1585" s="31"/>
      <c r="P1585" s="16"/>
      <c r="Q1585" s="16"/>
      <c r="R1585" s="16" t="str">
        <f t="shared" si="2"/>
        <v/>
      </c>
    </row>
    <row r="1586">
      <c r="B1586" s="16"/>
      <c r="C1586" s="12"/>
      <c r="D1586" s="12"/>
      <c r="E1586" s="12"/>
      <c r="F1586" s="12"/>
      <c r="G1586" s="25"/>
      <c r="H1586" s="12"/>
      <c r="I1586" s="31"/>
      <c r="J1586" s="12"/>
      <c r="K1586" s="12"/>
      <c r="L1586" s="16"/>
      <c r="M1586" s="46"/>
      <c r="N1586" s="46"/>
      <c r="O1586" s="31"/>
      <c r="P1586" s="16"/>
      <c r="Q1586" s="16"/>
      <c r="R1586" s="16" t="str">
        <f t="shared" si="2"/>
        <v/>
      </c>
    </row>
    <row r="1587">
      <c r="B1587" s="16"/>
      <c r="C1587" s="12"/>
      <c r="D1587" s="12"/>
      <c r="E1587" s="12"/>
      <c r="F1587" s="12"/>
      <c r="G1587" s="25"/>
      <c r="H1587" s="12"/>
      <c r="I1587" s="31"/>
      <c r="J1587" s="12"/>
      <c r="K1587" s="12"/>
      <c r="L1587" s="16"/>
      <c r="M1587" s="46"/>
      <c r="N1587" s="46"/>
      <c r="O1587" s="31"/>
      <c r="P1587" s="16"/>
      <c r="Q1587" s="16"/>
      <c r="R1587" s="16" t="str">
        <f t="shared" si="2"/>
        <v/>
      </c>
    </row>
    <row r="1588">
      <c r="B1588" s="16"/>
      <c r="C1588" s="12"/>
      <c r="D1588" s="12"/>
      <c r="E1588" s="12"/>
      <c r="F1588" s="12"/>
      <c r="G1588" s="25"/>
      <c r="H1588" s="12"/>
      <c r="I1588" s="31"/>
      <c r="J1588" s="12"/>
      <c r="K1588" s="12"/>
      <c r="L1588" s="16"/>
      <c r="M1588" s="46"/>
      <c r="N1588" s="46"/>
      <c r="O1588" s="31"/>
      <c r="P1588" s="16"/>
      <c r="Q1588" s="16"/>
      <c r="R1588" s="16" t="str">
        <f t="shared" si="2"/>
        <v/>
      </c>
    </row>
    <row r="1589">
      <c r="B1589" s="16"/>
      <c r="C1589" s="12"/>
      <c r="D1589" s="12"/>
      <c r="E1589" s="12"/>
      <c r="F1589" s="12"/>
      <c r="G1589" s="25"/>
      <c r="H1589" s="12"/>
      <c r="I1589" s="31"/>
      <c r="J1589" s="12"/>
      <c r="K1589" s="12"/>
      <c r="L1589" s="16"/>
      <c r="M1589" s="46"/>
      <c r="N1589" s="46"/>
      <c r="O1589" s="31"/>
      <c r="P1589" s="16"/>
      <c r="Q1589" s="16"/>
      <c r="R1589" s="16" t="str">
        <f t="shared" si="2"/>
        <v/>
      </c>
    </row>
    <row r="1590">
      <c r="B1590" s="16"/>
      <c r="C1590" s="12"/>
      <c r="D1590" s="12"/>
      <c r="E1590" s="12"/>
      <c r="F1590" s="12"/>
      <c r="G1590" s="25"/>
      <c r="H1590" s="12"/>
      <c r="I1590" s="31"/>
      <c r="J1590" s="12"/>
      <c r="K1590" s="12"/>
      <c r="L1590" s="16"/>
      <c r="M1590" s="46"/>
      <c r="N1590" s="46"/>
      <c r="O1590" s="31"/>
      <c r="P1590" s="16"/>
      <c r="Q1590" s="16"/>
      <c r="R1590" s="16" t="str">
        <f t="shared" si="2"/>
        <v/>
      </c>
    </row>
    <row r="1591">
      <c r="B1591" s="16"/>
      <c r="C1591" s="12"/>
      <c r="D1591" s="12"/>
      <c r="E1591" s="12"/>
      <c r="F1591" s="12"/>
      <c r="G1591" s="25"/>
      <c r="H1591" s="12"/>
      <c r="I1591" s="31"/>
      <c r="J1591" s="12"/>
      <c r="K1591" s="12"/>
      <c r="L1591" s="16"/>
      <c r="M1591" s="46"/>
      <c r="N1591" s="46"/>
      <c r="O1591" s="31"/>
      <c r="P1591" s="16"/>
      <c r="Q1591" s="16"/>
      <c r="R1591" s="16" t="str">
        <f t="shared" si="2"/>
        <v/>
      </c>
    </row>
    <row r="1592">
      <c r="B1592" s="16"/>
      <c r="C1592" s="12"/>
      <c r="D1592" s="12"/>
      <c r="E1592" s="12"/>
      <c r="F1592" s="12"/>
      <c r="G1592" s="25"/>
      <c r="H1592" s="12"/>
      <c r="I1592" s="31"/>
      <c r="J1592" s="12"/>
      <c r="K1592" s="12"/>
      <c r="L1592" s="16"/>
      <c r="M1592" s="46"/>
      <c r="N1592" s="46"/>
      <c r="O1592" s="31"/>
      <c r="P1592" s="16"/>
      <c r="Q1592" s="16"/>
      <c r="R1592" s="16" t="str">
        <f t="shared" si="2"/>
        <v/>
      </c>
    </row>
    <row r="1593">
      <c r="B1593" s="16"/>
      <c r="C1593" s="12"/>
      <c r="D1593" s="12"/>
      <c r="E1593" s="12"/>
      <c r="F1593" s="12"/>
      <c r="G1593" s="25"/>
      <c r="H1593" s="12"/>
      <c r="I1593" s="31"/>
      <c r="J1593" s="12"/>
      <c r="K1593" s="12"/>
      <c r="L1593" s="16"/>
      <c r="M1593" s="46"/>
      <c r="N1593" s="46"/>
      <c r="O1593" s="31"/>
      <c r="P1593" s="16"/>
      <c r="Q1593" s="16"/>
      <c r="R1593" s="16" t="str">
        <f t="shared" si="2"/>
        <v/>
      </c>
    </row>
    <row r="1594">
      <c r="B1594" s="16"/>
      <c r="C1594" s="12"/>
      <c r="D1594" s="12"/>
      <c r="E1594" s="12"/>
      <c r="F1594" s="12"/>
      <c r="G1594" s="25"/>
      <c r="H1594" s="12"/>
      <c r="I1594" s="31"/>
      <c r="J1594" s="12"/>
      <c r="K1594" s="12"/>
      <c r="L1594" s="16"/>
      <c r="M1594" s="46"/>
      <c r="N1594" s="46"/>
      <c r="O1594" s="31"/>
      <c r="P1594" s="16"/>
      <c r="Q1594" s="16"/>
      <c r="R1594" s="16" t="str">
        <f t="shared" si="2"/>
        <v/>
      </c>
    </row>
    <row r="1595">
      <c r="B1595" s="16"/>
      <c r="C1595" s="12"/>
      <c r="D1595" s="12"/>
      <c r="E1595" s="12"/>
      <c r="F1595" s="12"/>
      <c r="G1595" s="25"/>
      <c r="H1595" s="12"/>
      <c r="I1595" s="31"/>
      <c r="J1595" s="12"/>
      <c r="K1595" s="12"/>
      <c r="L1595" s="16"/>
      <c r="M1595" s="46"/>
      <c r="N1595" s="46"/>
      <c r="O1595" s="31"/>
      <c r="P1595" s="16"/>
      <c r="Q1595" s="16"/>
      <c r="R1595" s="16" t="str">
        <f t="shared" si="2"/>
        <v/>
      </c>
    </row>
    <row r="1596">
      <c r="B1596" s="16"/>
      <c r="C1596" s="12"/>
      <c r="D1596" s="12"/>
      <c r="E1596" s="12"/>
      <c r="F1596" s="12"/>
      <c r="G1596" s="25"/>
      <c r="H1596" s="12"/>
      <c r="I1596" s="31"/>
      <c r="J1596" s="12"/>
      <c r="K1596" s="12"/>
      <c r="L1596" s="16"/>
      <c r="M1596" s="46"/>
      <c r="N1596" s="46"/>
      <c r="O1596" s="31"/>
      <c r="P1596" s="16"/>
      <c r="Q1596" s="16"/>
      <c r="R1596" s="16" t="str">
        <f t="shared" si="2"/>
        <v/>
      </c>
    </row>
    <row r="1597">
      <c r="B1597" s="16"/>
      <c r="C1597" s="12"/>
      <c r="D1597" s="12"/>
      <c r="E1597" s="12"/>
      <c r="F1597" s="12"/>
      <c r="G1597" s="25"/>
      <c r="H1597" s="12"/>
      <c r="I1597" s="31"/>
      <c r="J1597" s="12"/>
      <c r="K1597" s="12"/>
      <c r="L1597" s="16"/>
      <c r="M1597" s="46"/>
      <c r="N1597" s="46"/>
      <c r="O1597" s="31"/>
      <c r="P1597" s="16"/>
      <c r="Q1597" s="16"/>
      <c r="R1597" s="16" t="str">
        <f t="shared" si="2"/>
        <v/>
      </c>
    </row>
    <row r="1598">
      <c r="B1598" s="16"/>
      <c r="C1598" s="12"/>
      <c r="D1598" s="12"/>
      <c r="E1598" s="12"/>
      <c r="F1598" s="12"/>
      <c r="G1598" s="25"/>
      <c r="H1598" s="12"/>
      <c r="I1598" s="31"/>
      <c r="J1598" s="12"/>
      <c r="K1598" s="12"/>
      <c r="L1598" s="16"/>
      <c r="M1598" s="46"/>
      <c r="N1598" s="46"/>
      <c r="O1598" s="31"/>
      <c r="P1598" s="16"/>
      <c r="Q1598" s="16"/>
      <c r="R1598" s="16" t="str">
        <f t="shared" si="2"/>
        <v/>
      </c>
    </row>
    <row r="1599">
      <c r="B1599" s="16"/>
      <c r="C1599" s="12"/>
      <c r="D1599" s="12"/>
      <c r="E1599" s="12"/>
      <c r="F1599" s="12"/>
      <c r="G1599" s="25"/>
      <c r="H1599" s="12"/>
      <c r="I1599" s="31"/>
      <c r="J1599" s="12"/>
      <c r="K1599" s="12"/>
      <c r="L1599" s="16"/>
      <c r="M1599" s="46"/>
      <c r="N1599" s="46"/>
      <c r="O1599" s="31"/>
      <c r="P1599" s="16"/>
      <c r="Q1599" s="16"/>
      <c r="R1599" s="16" t="str">
        <f t="shared" si="2"/>
        <v/>
      </c>
    </row>
    <row r="1600">
      <c r="B1600" s="16"/>
      <c r="C1600" s="12"/>
      <c r="D1600" s="12"/>
      <c r="E1600" s="12"/>
      <c r="F1600" s="12"/>
      <c r="G1600" s="25"/>
      <c r="H1600" s="12"/>
      <c r="I1600" s="31"/>
      <c r="J1600" s="12"/>
      <c r="K1600" s="12"/>
      <c r="L1600" s="16"/>
      <c r="M1600" s="46"/>
      <c r="N1600" s="46"/>
      <c r="O1600" s="31"/>
      <c r="P1600" s="16"/>
      <c r="Q1600" s="16"/>
      <c r="R1600" s="16" t="str">
        <f t="shared" si="2"/>
        <v/>
      </c>
    </row>
    <row r="1601">
      <c r="B1601" s="16"/>
      <c r="C1601" s="12"/>
      <c r="D1601" s="12"/>
      <c r="E1601" s="12"/>
      <c r="F1601" s="12"/>
      <c r="G1601" s="25"/>
      <c r="H1601" s="12"/>
      <c r="I1601" s="31"/>
      <c r="J1601" s="12"/>
      <c r="K1601" s="12"/>
      <c r="L1601" s="16"/>
      <c r="M1601" s="46"/>
      <c r="N1601" s="46"/>
      <c r="O1601" s="31"/>
      <c r="P1601" s="16"/>
      <c r="Q1601" s="16"/>
      <c r="R1601" s="16" t="str">
        <f t="shared" si="2"/>
        <v/>
      </c>
    </row>
    <row r="1602">
      <c r="B1602" s="16"/>
      <c r="C1602" s="12"/>
      <c r="D1602" s="12"/>
      <c r="E1602" s="12"/>
      <c r="F1602" s="12"/>
      <c r="G1602" s="25"/>
      <c r="H1602" s="12"/>
      <c r="I1602" s="31"/>
      <c r="J1602" s="12"/>
      <c r="K1602" s="12"/>
      <c r="L1602" s="16"/>
      <c r="M1602" s="46"/>
      <c r="N1602" s="46"/>
      <c r="O1602" s="31"/>
      <c r="P1602" s="16"/>
      <c r="Q1602" s="16"/>
      <c r="R1602" s="16" t="str">
        <f t="shared" si="2"/>
        <v/>
      </c>
    </row>
    <row r="1603">
      <c r="B1603" s="16"/>
      <c r="C1603" s="12"/>
      <c r="D1603" s="12"/>
      <c r="E1603" s="12"/>
      <c r="F1603" s="12"/>
      <c r="G1603" s="25"/>
      <c r="H1603" s="12"/>
      <c r="I1603" s="31"/>
      <c r="J1603" s="12"/>
      <c r="K1603" s="12"/>
      <c r="L1603" s="16"/>
      <c r="M1603" s="46"/>
      <c r="N1603" s="46"/>
      <c r="O1603" s="31"/>
      <c r="P1603" s="16"/>
      <c r="Q1603" s="16"/>
      <c r="R1603" s="16" t="str">
        <f t="shared" si="2"/>
        <v/>
      </c>
    </row>
    <row r="1604">
      <c r="B1604" s="16"/>
      <c r="C1604" s="12"/>
      <c r="D1604" s="12"/>
      <c r="E1604" s="12"/>
      <c r="F1604" s="12"/>
      <c r="G1604" s="25"/>
      <c r="H1604" s="12"/>
      <c r="I1604" s="31"/>
      <c r="J1604" s="12"/>
      <c r="K1604" s="12"/>
      <c r="L1604" s="16"/>
      <c r="M1604" s="46"/>
      <c r="N1604" s="46"/>
      <c r="O1604" s="31"/>
      <c r="P1604" s="16"/>
      <c r="Q1604" s="16"/>
      <c r="R1604" s="16" t="str">
        <f t="shared" si="2"/>
        <v/>
      </c>
    </row>
    <row r="1605">
      <c r="B1605" s="16"/>
      <c r="C1605" s="12"/>
      <c r="D1605" s="12"/>
      <c r="E1605" s="12"/>
      <c r="F1605" s="12"/>
      <c r="G1605" s="25"/>
      <c r="H1605" s="12"/>
      <c r="I1605" s="31"/>
      <c r="J1605" s="12"/>
      <c r="K1605" s="12"/>
      <c r="L1605" s="16"/>
      <c r="M1605" s="46"/>
      <c r="N1605" s="46"/>
      <c r="O1605" s="31"/>
      <c r="P1605" s="16"/>
      <c r="Q1605" s="16"/>
      <c r="R1605" s="16" t="str">
        <f t="shared" si="2"/>
        <v/>
      </c>
    </row>
    <row r="1606">
      <c r="B1606" s="16"/>
      <c r="C1606" s="12"/>
      <c r="D1606" s="12"/>
      <c r="E1606" s="12"/>
      <c r="F1606" s="12"/>
      <c r="G1606" s="25"/>
      <c r="H1606" s="12"/>
      <c r="I1606" s="31"/>
      <c r="J1606" s="12"/>
      <c r="K1606" s="12"/>
      <c r="L1606" s="16"/>
      <c r="M1606" s="46"/>
      <c r="N1606" s="46"/>
      <c r="O1606" s="31"/>
      <c r="P1606" s="16"/>
      <c r="Q1606" s="16"/>
      <c r="R1606" s="16" t="str">
        <f t="shared" si="2"/>
        <v/>
      </c>
    </row>
    <row r="1607">
      <c r="B1607" s="16"/>
      <c r="C1607" s="12"/>
      <c r="D1607" s="12"/>
      <c r="E1607" s="12"/>
      <c r="F1607" s="12"/>
      <c r="G1607" s="25"/>
      <c r="H1607" s="12"/>
      <c r="I1607" s="31"/>
      <c r="J1607" s="12"/>
      <c r="K1607" s="12"/>
      <c r="L1607" s="16"/>
      <c r="M1607" s="46"/>
      <c r="N1607" s="46"/>
      <c r="O1607" s="31"/>
      <c r="P1607" s="16"/>
      <c r="Q1607" s="16"/>
      <c r="R1607" s="16" t="str">
        <f t="shared" si="2"/>
        <v/>
      </c>
    </row>
    <row r="1608">
      <c r="B1608" s="16"/>
      <c r="C1608" s="12"/>
      <c r="D1608" s="12"/>
      <c r="E1608" s="12"/>
      <c r="F1608" s="12"/>
      <c r="G1608" s="25"/>
      <c r="H1608" s="12"/>
      <c r="I1608" s="31"/>
      <c r="J1608" s="12"/>
      <c r="K1608" s="12"/>
      <c r="L1608" s="16"/>
      <c r="M1608" s="46"/>
      <c r="N1608" s="46"/>
      <c r="O1608" s="31"/>
      <c r="P1608" s="16"/>
      <c r="Q1608" s="16"/>
      <c r="R1608" s="16" t="str">
        <f t="shared" si="2"/>
        <v/>
      </c>
    </row>
    <row r="1609">
      <c r="B1609" s="16"/>
      <c r="C1609" s="12"/>
      <c r="D1609" s="12"/>
      <c r="E1609" s="12"/>
      <c r="F1609" s="12"/>
      <c r="G1609" s="25"/>
      <c r="H1609" s="12"/>
      <c r="I1609" s="31"/>
      <c r="J1609" s="12"/>
      <c r="K1609" s="12"/>
      <c r="L1609" s="16"/>
      <c r="M1609" s="46"/>
      <c r="N1609" s="46"/>
      <c r="O1609" s="31"/>
      <c r="P1609" s="16"/>
      <c r="Q1609" s="16"/>
      <c r="R1609" s="16" t="str">
        <f t="shared" si="2"/>
        <v/>
      </c>
    </row>
    <row r="1610">
      <c r="B1610" s="16"/>
      <c r="C1610" s="12"/>
      <c r="D1610" s="12"/>
      <c r="E1610" s="12"/>
      <c r="F1610" s="12"/>
      <c r="G1610" s="25"/>
      <c r="H1610" s="12"/>
      <c r="I1610" s="31"/>
      <c r="J1610" s="12"/>
      <c r="K1610" s="12"/>
      <c r="L1610" s="16"/>
      <c r="M1610" s="46"/>
      <c r="N1610" s="46"/>
      <c r="O1610" s="31"/>
      <c r="P1610" s="16"/>
      <c r="Q1610" s="16"/>
      <c r="R1610" s="16" t="str">
        <f t="shared" si="2"/>
        <v/>
      </c>
    </row>
    <row r="1611">
      <c r="B1611" s="16"/>
      <c r="C1611" s="12"/>
      <c r="D1611" s="12"/>
      <c r="E1611" s="12"/>
      <c r="F1611" s="12"/>
      <c r="G1611" s="25"/>
      <c r="H1611" s="12"/>
      <c r="I1611" s="31"/>
      <c r="J1611" s="12"/>
      <c r="K1611" s="12"/>
      <c r="L1611" s="16"/>
      <c r="M1611" s="46"/>
      <c r="N1611" s="46"/>
      <c r="O1611" s="31"/>
      <c r="P1611" s="16"/>
      <c r="Q1611" s="16"/>
      <c r="R1611" s="16" t="str">
        <f t="shared" si="2"/>
        <v/>
      </c>
    </row>
    <row r="1612">
      <c r="B1612" s="16"/>
      <c r="C1612" s="12"/>
      <c r="D1612" s="12"/>
      <c r="E1612" s="12"/>
      <c r="F1612" s="12"/>
      <c r="G1612" s="25"/>
      <c r="H1612" s="12"/>
      <c r="I1612" s="31"/>
      <c r="J1612" s="12"/>
      <c r="K1612" s="12"/>
      <c r="L1612" s="16"/>
      <c r="M1612" s="46"/>
      <c r="N1612" s="46"/>
      <c r="O1612" s="31"/>
      <c r="P1612" s="16"/>
      <c r="Q1612" s="16"/>
      <c r="R1612" s="16" t="str">
        <f t="shared" si="2"/>
        <v/>
      </c>
    </row>
    <row r="1613">
      <c r="B1613" s="16"/>
      <c r="C1613" s="12"/>
      <c r="D1613" s="12"/>
      <c r="E1613" s="12"/>
      <c r="F1613" s="12"/>
      <c r="G1613" s="25"/>
      <c r="H1613" s="12"/>
      <c r="I1613" s="31"/>
      <c r="J1613" s="12"/>
      <c r="K1613" s="12"/>
      <c r="L1613" s="16"/>
      <c r="M1613" s="46"/>
      <c r="N1613" s="46"/>
      <c r="O1613" s="31"/>
      <c r="P1613" s="16"/>
      <c r="Q1613" s="16"/>
      <c r="R1613" s="16" t="str">
        <f t="shared" si="2"/>
        <v/>
      </c>
    </row>
    <row r="1614">
      <c r="B1614" s="16"/>
      <c r="C1614" s="12"/>
      <c r="D1614" s="12"/>
      <c r="E1614" s="12"/>
      <c r="F1614" s="12"/>
      <c r="G1614" s="25"/>
      <c r="H1614" s="12"/>
      <c r="I1614" s="31"/>
      <c r="J1614" s="12"/>
      <c r="K1614" s="12"/>
      <c r="L1614" s="16"/>
      <c r="M1614" s="46"/>
      <c r="N1614" s="46"/>
      <c r="O1614" s="31"/>
      <c r="P1614" s="16"/>
      <c r="Q1614" s="16"/>
      <c r="R1614" s="16" t="str">
        <f t="shared" si="2"/>
        <v/>
      </c>
    </row>
    <row r="1615">
      <c r="B1615" s="16"/>
      <c r="C1615" s="12"/>
      <c r="D1615" s="12"/>
      <c r="E1615" s="12"/>
      <c r="F1615" s="12"/>
      <c r="G1615" s="25"/>
      <c r="H1615" s="12"/>
      <c r="I1615" s="31"/>
      <c r="J1615" s="12"/>
      <c r="K1615" s="12"/>
      <c r="L1615" s="16"/>
      <c r="M1615" s="46"/>
      <c r="N1615" s="46"/>
      <c r="O1615" s="31"/>
      <c r="P1615" s="16"/>
      <c r="Q1615" s="16"/>
      <c r="R1615" s="16" t="str">
        <f t="shared" si="2"/>
        <v/>
      </c>
    </row>
    <row r="1616">
      <c r="B1616" s="16"/>
      <c r="C1616" s="12"/>
      <c r="D1616" s="12"/>
      <c r="E1616" s="12"/>
      <c r="F1616" s="12"/>
      <c r="G1616" s="25"/>
      <c r="H1616" s="12"/>
      <c r="I1616" s="31"/>
      <c r="J1616" s="12"/>
      <c r="K1616" s="12"/>
      <c r="L1616" s="16"/>
      <c r="M1616" s="46"/>
      <c r="N1616" s="46"/>
      <c r="O1616" s="31"/>
      <c r="P1616" s="16"/>
      <c r="Q1616" s="16"/>
      <c r="R1616" s="16" t="str">
        <f t="shared" si="2"/>
        <v/>
      </c>
    </row>
    <row r="1617">
      <c r="B1617" s="16"/>
      <c r="C1617" s="12"/>
      <c r="D1617" s="12"/>
      <c r="E1617" s="12"/>
      <c r="F1617" s="12"/>
      <c r="G1617" s="25"/>
      <c r="H1617" s="12"/>
      <c r="I1617" s="31"/>
      <c r="J1617" s="12"/>
      <c r="K1617" s="12"/>
      <c r="L1617" s="16"/>
      <c r="M1617" s="46"/>
      <c r="N1617" s="46"/>
      <c r="O1617" s="31"/>
      <c r="P1617" s="16"/>
      <c r="Q1617" s="16"/>
      <c r="R1617" s="16" t="str">
        <f t="shared" si="2"/>
        <v/>
      </c>
    </row>
    <row r="1618">
      <c r="B1618" s="16"/>
      <c r="C1618" s="12"/>
      <c r="D1618" s="12"/>
      <c r="E1618" s="12"/>
      <c r="F1618" s="12"/>
      <c r="G1618" s="25"/>
      <c r="H1618" s="12"/>
      <c r="I1618" s="31"/>
      <c r="J1618" s="12"/>
      <c r="K1618" s="12"/>
      <c r="L1618" s="16"/>
      <c r="M1618" s="46"/>
      <c r="N1618" s="46"/>
      <c r="O1618" s="31"/>
      <c r="P1618" s="16"/>
      <c r="Q1618" s="16"/>
      <c r="R1618" s="16" t="str">
        <f t="shared" si="2"/>
        <v/>
      </c>
    </row>
    <row r="1619">
      <c r="B1619" s="16"/>
      <c r="C1619" s="12"/>
      <c r="D1619" s="12"/>
      <c r="E1619" s="12"/>
      <c r="F1619" s="12"/>
      <c r="G1619" s="25"/>
      <c r="H1619" s="12"/>
      <c r="I1619" s="31"/>
      <c r="J1619" s="12"/>
      <c r="K1619" s="12"/>
      <c r="L1619" s="16"/>
      <c r="M1619" s="46"/>
      <c r="N1619" s="46"/>
      <c r="O1619" s="31"/>
      <c r="P1619" s="16"/>
      <c r="Q1619" s="16"/>
      <c r="R1619" s="16" t="str">
        <f t="shared" si="2"/>
        <v/>
      </c>
    </row>
    <row r="1620">
      <c r="B1620" s="16"/>
      <c r="C1620" s="12"/>
      <c r="D1620" s="12"/>
      <c r="E1620" s="12"/>
      <c r="F1620" s="12"/>
      <c r="G1620" s="25"/>
      <c r="H1620" s="12"/>
      <c r="I1620" s="31"/>
      <c r="J1620" s="12"/>
      <c r="K1620" s="12"/>
      <c r="L1620" s="16"/>
      <c r="M1620" s="46"/>
      <c r="N1620" s="46"/>
      <c r="O1620" s="31"/>
      <c r="P1620" s="16"/>
      <c r="Q1620" s="16"/>
      <c r="R1620" s="16" t="str">
        <f t="shared" si="2"/>
        <v/>
      </c>
    </row>
    <row r="1621">
      <c r="B1621" s="16"/>
      <c r="C1621" s="12"/>
      <c r="D1621" s="12"/>
      <c r="E1621" s="12"/>
      <c r="F1621" s="12"/>
      <c r="G1621" s="25"/>
      <c r="H1621" s="12"/>
      <c r="I1621" s="31"/>
      <c r="J1621" s="12"/>
      <c r="K1621" s="12"/>
      <c r="L1621" s="16"/>
      <c r="M1621" s="46"/>
      <c r="N1621" s="46"/>
      <c r="O1621" s="31"/>
      <c r="P1621" s="16"/>
      <c r="Q1621" s="16"/>
      <c r="R1621" s="16" t="str">
        <f t="shared" si="2"/>
        <v/>
      </c>
    </row>
    <row r="1622">
      <c r="B1622" s="16"/>
      <c r="C1622" s="12"/>
      <c r="D1622" s="12"/>
      <c r="E1622" s="12"/>
      <c r="F1622" s="12"/>
      <c r="G1622" s="25"/>
      <c r="H1622" s="12"/>
      <c r="I1622" s="31"/>
      <c r="J1622" s="12"/>
      <c r="K1622" s="12"/>
      <c r="L1622" s="16"/>
      <c r="M1622" s="46"/>
      <c r="N1622" s="46"/>
      <c r="O1622" s="31"/>
      <c r="P1622" s="16"/>
      <c r="Q1622" s="16"/>
      <c r="R1622" s="16" t="str">
        <f t="shared" si="2"/>
        <v/>
      </c>
    </row>
    <row r="1623">
      <c r="B1623" s="16"/>
      <c r="C1623" s="12"/>
      <c r="D1623" s="12"/>
      <c r="E1623" s="12"/>
      <c r="F1623" s="12"/>
      <c r="G1623" s="25"/>
      <c r="H1623" s="12"/>
      <c r="I1623" s="31"/>
      <c r="J1623" s="12"/>
      <c r="K1623" s="12"/>
      <c r="L1623" s="16"/>
      <c r="M1623" s="46"/>
      <c r="N1623" s="46"/>
      <c r="O1623" s="31"/>
      <c r="P1623" s="16"/>
      <c r="Q1623" s="16"/>
      <c r="R1623" s="16" t="str">
        <f t="shared" si="2"/>
        <v/>
      </c>
    </row>
    <row r="1624">
      <c r="B1624" s="16"/>
      <c r="C1624" s="12"/>
      <c r="D1624" s="12"/>
      <c r="E1624" s="12"/>
      <c r="F1624" s="12"/>
      <c r="G1624" s="25"/>
      <c r="H1624" s="12"/>
      <c r="I1624" s="31"/>
      <c r="J1624" s="12"/>
      <c r="K1624" s="12"/>
      <c r="L1624" s="16"/>
      <c r="M1624" s="46"/>
      <c r="N1624" s="46"/>
      <c r="O1624" s="31"/>
      <c r="P1624" s="16"/>
      <c r="Q1624" s="16"/>
      <c r="R1624" s="16" t="str">
        <f t="shared" si="2"/>
        <v/>
      </c>
    </row>
    <row r="1625">
      <c r="B1625" s="16"/>
      <c r="C1625" s="12"/>
      <c r="D1625" s="12"/>
      <c r="E1625" s="12"/>
      <c r="F1625" s="12"/>
      <c r="G1625" s="25"/>
      <c r="H1625" s="12"/>
      <c r="I1625" s="31"/>
      <c r="J1625" s="12"/>
      <c r="K1625" s="12"/>
      <c r="L1625" s="16"/>
      <c r="M1625" s="46"/>
      <c r="N1625" s="46"/>
      <c r="O1625" s="31"/>
      <c r="P1625" s="16"/>
      <c r="Q1625" s="16"/>
      <c r="R1625" s="16" t="str">
        <f t="shared" si="2"/>
        <v/>
      </c>
    </row>
    <row r="1626">
      <c r="B1626" s="16"/>
      <c r="C1626" s="12"/>
      <c r="D1626" s="12"/>
      <c r="E1626" s="12"/>
      <c r="F1626" s="12"/>
      <c r="G1626" s="25"/>
      <c r="H1626" s="12"/>
      <c r="I1626" s="31"/>
      <c r="J1626" s="12"/>
      <c r="K1626" s="12"/>
      <c r="L1626" s="16"/>
      <c r="M1626" s="46"/>
      <c r="N1626" s="46"/>
      <c r="O1626" s="31"/>
      <c r="P1626" s="16"/>
      <c r="Q1626" s="16"/>
      <c r="R1626" s="16" t="str">
        <f t="shared" si="2"/>
        <v/>
      </c>
    </row>
    <row r="1627">
      <c r="B1627" s="16"/>
      <c r="C1627" s="12"/>
      <c r="D1627" s="12"/>
      <c r="E1627" s="12"/>
      <c r="F1627" s="12"/>
      <c r="G1627" s="25"/>
      <c r="H1627" s="12"/>
      <c r="I1627" s="31"/>
      <c r="J1627" s="12"/>
      <c r="K1627" s="12"/>
      <c r="L1627" s="16"/>
      <c r="M1627" s="46"/>
      <c r="N1627" s="46"/>
      <c r="O1627" s="31"/>
      <c r="P1627" s="16"/>
      <c r="Q1627" s="16"/>
      <c r="R1627" s="16" t="str">
        <f t="shared" si="2"/>
        <v/>
      </c>
    </row>
    <row r="1628">
      <c r="B1628" s="16"/>
      <c r="C1628" s="12"/>
      <c r="D1628" s="12"/>
      <c r="E1628" s="12"/>
      <c r="F1628" s="12"/>
      <c r="G1628" s="25"/>
      <c r="H1628" s="12"/>
      <c r="I1628" s="31"/>
      <c r="J1628" s="12"/>
      <c r="K1628" s="12"/>
      <c r="L1628" s="16"/>
      <c r="M1628" s="46"/>
      <c r="N1628" s="46"/>
      <c r="O1628" s="31"/>
      <c r="P1628" s="16"/>
      <c r="Q1628" s="16"/>
      <c r="R1628" s="16" t="str">
        <f t="shared" si="2"/>
        <v/>
      </c>
    </row>
    <row r="1629">
      <c r="B1629" s="16"/>
      <c r="C1629" s="12"/>
      <c r="D1629" s="12"/>
      <c r="E1629" s="12"/>
      <c r="F1629" s="12"/>
      <c r="G1629" s="25"/>
      <c r="H1629" s="12"/>
      <c r="I1629" s="31"/>
      <c r="J1629" s="12"/>
      <c r="K1629" s="12"/>
      <c r="L1629" s="16"/>
      <c r="M1629" s="46"/>
      <c r="N1629" s="46"/>
      <c r="O1629" s="31"/>
      <c r="P1629" s="16"/>
      <c r="Q1629" s="16"/>
      <c r="R1629" s="16" t="str">
        <f t="shared" si="2"/>
        <v/>
      </c>
    </row>
    <row r="1630">
      <c r="B1630" s="16"/>
      <c r="C1630" s="12"/>
      <c r="D1630" s="12"/>
      <c r="E1630" s="12"/>
      <c r="F1630" s="12"/>
      <c r="G1630" s="25"/>
      <c r="H1630" s="12"/>
      <c r="I1630" s="31"/>
      <c r="J1630" s="12"/>
      <c r="K1630" s="12"/>
      <c r="L1630" s="16"/>
      <c r="M1630" s="46"/>
      <c r="N1630" s="46"/>
      <c r="O1630" s="31"/>
      <c r="P1630" s="16"/>
      <c r="Q1630" s="16"/>
      <c r="R1630" s="16" t="str">
        <f t="shared" si="2"/>
        <v/>
      </c>
    </row>
    <row r="1631">
      <c r="B1631" s="16"/>
      <c r="C1631" s="12"/>
      <c r="D1631" s="12"/>
      <c r="E1631" s="12"/>
      <c r="F1631" s="12"/>
      <c r="G1631" s="25"/>
      <c r="H1631" s="12"/>
      <c r="I1631" s="31"/>
      <c r="J1631" s="12"/>
      <c r="K1631" s="12"/>
      <c r="L1631" s="16"/>
      <c r="M1631" s="46"/>
      <c r="N1631" s="46"/>
      <c r="O1631" s="31"/>
      <c r="P1631" s="16"/>
      <c r="Q1631" s="16"/>
      <c r="R1631" s="16" t="str">
        <f t="shared" si="2"/>
        <v/>
      </c>
    </row>
    <row r="1632">
      <c r="B1632" s="16"/>
      <c r="C1632" s="12"/>
      <c r="D1632" s="12"/>
      <c r="E1632" s="12"/>
      <c r="F1632" s="12"/>
      <c r="G1632" s="25"/>
      <c r="H1632" s="12"/>
      <c r="I1632" s="31"/>
      <c r="J1632" s="12"/>
      <c r="K1632" s="12"/>
      <c r="L1632" s="16"/>
      <c r="M1632" s="46"/>
      <c r="N1632" s="46"/>
      <c r="O1632" s="31"/>
      <c r="P1632" s="16"/>
      <c r="Q1632" s="16"/>
      <c r="R1632" s="16" t="str">
        <f t="shared" si="2"/>
        <v/>
      </c>
    </row>
    <row r="1633">
      <c r="B1633" s="16"/>
      <c r="C1633" s="12"/>
      <c r="D1633" s="12"/>
      <c r="E1633" s="12"/>
      <c r="F1633" s="12"/>
      <c r="G1633" s="25"/>
      <c r="H1633" s="12"/>
      <c r="I1633" s="31"/>
      <c r="J1633" s="12"/>
      <c r="K1633" s="12"/>
      <c r="L1633" s="16"/>
      <c r="M1633" s="46"/>
      <c r="N1633" s="46"/>
      <c r="O1633" s="31"/>
      <c r="P1633" s="16"/>
      <c r="Q1633" s="16"/>
      <c r="R1633" s="16" t="str">
        <f t="shared" si="2"/>
        <v/>
      </c>
    </row>
    <row r="1634">
      <c r="B1634" s="16"/>
      <c r="C1634" s="12"/>
      <c r="D1634" s="12"/>
      <c r="E1634" s="12"/>
      <c r="F1634" s="12"/>
      <c r="G1634" s="25"/>
      <c r="H1634" s="12"/>
      <c r="I1634" s="31"/>
      <c r="J1634" s="12"/>
      <c r="K1634" s="12"/>
      <c r="L1634" s="16"/>
      <c r="M1634" s="46"/>
      <c r="N1634" s="46"/>
      <c r="O1634" s="31"/>
      <c r="P1634" s="16"/>
      <c r="Q1634" s="16"/>
      <c r="R1634" s="16" t="str">
        <f t="shared" si="2"/>
        <v/>
      </c>
    </row>
    <row r="1635">
      <c r="B1635" s="16"/>
      <c r="C1635" s="12"/>
      <c r="D1635" s="12"/>
      <c r="E1635" s="12"/>
      <c r="F1635" s="12"/>
      <c r="G1635" s="25"/>
      <c r="H1635" s="12"/>
      <c r="I1635" s="31"/>
      <c r="J1635" s="12"/>
      <c r="K1635" s="12"/>
      <c r="L1635" s="16"/>
      <c r="M1635" s="46"/>
      <c r="N1635" s="46"/>
      <c r="O1635" s="31"/>
      <c r="P1635" s="16"/>
      <c r="Q1635" s="16"/>
      <c r="R1635" s="16" t="str">
        <f t="shared" si="2"/>
        <v/>
      </c>
    </row>
    <row r="1636">
      <c r="B1636" s="16"/>
      <c r="C1636" s="12"/>
      <c r="D1636" s="12"/>
      <c r="E1636" s="12"/>
      <c r="F1636" s="12"/>
      <c r="G1636" s="25"/>
      <c r="H1636" s="12"/>
      <c r="I1636" s="31"/>
      <c r="J1636" s="12"/>
      <c r="K1636" s="12"/>
      <c r="L1636" s="16"/>
      <c r="M1636" s="46"/>
      <c r="N1636" s="46"/>
      <c r="O1636" s="31"/>
      <c r="P1636" s="16"/>
      <c r="Q1636" s="16"/>
      <c r="R1636" s="16" t="str">
        <f t="shared" si="2"/>
        <v/>
      </c>
    </row>
    <row r="1637">
      <c r="B1637" s="16"/>
      <c r="C1637" s="12"/>
      <c r="D1637" s="12"/>
      <c r="E1637" s="12"/>
      <c r="F1637" s="12"/>
      <c r="G1637" s="25"/>
      <c r="H1637" s="12"/>
      <c r="I1637" s="31"/>
      <c r="J1637" s="12"/>
      <c r="K1637" s="12"/>
      <c r="L1637" s="16"/>
      <c r="M1637" s="46"/>
      <c r="N1637" s="46"/>
      <c r="O1637" s="31"/>
      <c r="P1637" s="16"/>
      <c r="Q1637" s="16"/>
      <c r="R1637" s="16" t="str">
        <f t="shared" si="2"/>
        <v/>
      </c>
    </row>
    <row r="1638">
      <c r="B1638" s="16"/>
      <c r="C1638" s="12"/>
      <c r="D1638" s="12"/>
      <c r="E1638" s="12"/>
      <c r="F1638" s="12"/>
      <c r="G1638" s="25"/>
      <c r="H1638" s="12"/>
      <c r="I1638" s="31"/>
      <c r="J1638" s="12"/>
      <c r="K1638" s="12"/>
      <c r="L1638" s="16"/>
      <c r="M1638" s="46"/>
      <c r="N1638" s="46"/>
      <c r="O1638" s="31"/>
      <c r="P1638" s="16"/>
      <c r="Q1638" s="16"/>
      <c r="R1638" s="16" t="str">
        <f t="shared" si="2"/>
        <v/>
      </c>
    </row>
    <row r="1639">
      <c r="B1639" s="16"/>
      <c r="C1639" s="12"/>
      <c r="D1639" s="12"/>
      <c r="E1639" s="12"/>
      <c r="F1639" s="12"/>
      <c r="G1639" s="25"/>
      <c r="H1639" s="12"/>
      <c r="I1639" s="31"/>
      <c r="J1639" s="12"/>
      <c r="K1639" s="12"/>
      <c r="L1639" s="16"/>
      <c r="M1639" s="46"/>
      <c r="N1639" s="46"/>
      <c r="O1639" s="31"/>
      <c r="P1639" s="16"/>
      <c r="Q1639" s="16"/>
      <c r="R1639" s="16" t="str">
        <f t="shared" si="2"/>
        <v/>
      </c>
    </row>
    <row r="1640">
      <c r="B1640" s="16"/>
      <c r="C1640" s="12"/>
      <c r="D1640" s="12"/>
      <c r="E1640" s="12"/>
      <c r="F1640" s="12"/>
      <c r="G1640" s="25"/>
      <c r="H1640" s="12"/>
      <c r="I1640" s="31"/>
      <c r="J1640" s="12"/>
      <c r="K1640" s="12"/>
      <c r="L1640" s="16"/>
      <c r="M1640" s="46"/>
      <c r="N1640" s="46"/>
      <c r="O1640" s="31"/>
      <c r="P1640" s="16"/>
      <c r="Q1640" s="16"/>
      <c r="R1640" s="16" t="str">
        <f t="shared" si="2"/>
        <v/>
      </c>
    </row>
    <row r="1641">
      <c r="B1641" s="16"/>
      <c r="C1641" s="12"/>
      <c r="D1641" s="12"/>
      <c r="E1641" s="12"/>
      <c r="F1641" s="12"/>
      <c r="G1641" s="25"/>
      <c r="H1641" s="12"/>
      <c r="I1641" s="31"/>
      <c r="J1641" s="12"/>
      <c r="K1641" s="12"/>
      <c r="L1641" s="16"/>
      <c r="M1641" s="46"/>
      <c r="N1641" s="46"/>
      <c r="O1641" s="31"/>
      <c r="P1641" s="16"/>
      <c r="Q1641" s="16"/>
      <c r="R1641" s="16" t="str">
        <f t="shared" si="2"/>
        <v/>
      </c>
    </row>
    <row r="1642">
      <c r="B1642" s="16"/>
      <c r="C1642" s="12"/>
      <c r="D1642" s="12"/>
      <c r="E1642" s="12"/>
      <c r="F1642" s="12"/>
      <c r="G1642" s="25"/>
      <c r="H1642" s="12"/>
      <c r="I1642" s="31"/>
      <c r="J1642" s="12"/>
      <c r="K1642" s="12"/>
      <c r="L1642" s="16"/>
      <c r="M1642" s="46"/>
      <c r="N1642" s="46"/>
      <c r="O1642" s="31"/>
      <c r="P1642" s="16"/>
      <c r="Q1642" s="16"/>
      <c r="R1642" s="16" t="str">
        <f t="shared" si="2"/>
        <v/>
      </c>
    </row>
    <row r="1643">
      <c r="B1643" s="16"/>
      <c r="C1643" s="12"/>
      <c r="D1643" s="12"/>
      <c r="E1643" s="12"/>
      <c r="F1643" s="12"/>
      <c r="G1643" s="25"/>
      <c r="H1643" s="12"/>
      <c r="I1643" s="31"/>
      <c r="J1643" s="12"/>
      <c r="K1643" s="12"/>
      <c r="L1643" s="16"/>
      <c r="M1643" s="46"/>
      <c r="N1643" s="46"/>
      <c r="O1643" s="31"/>
      <c r="P1643" s="16"/>
      <c r="Q1643" s="16"/>
      <c r="R1643" s="16" t="str">
        <f t="shared" si="2"/>
        <v/>
      </c>
    </row>
    <row r="1644">
      <c r="B1644" s="16"/>
      <c r="C1644" s="12"/>
      <c r="D1644" s="12"/>
      <c r="E1644" s="12"/>
      <c r="F1644" s="12"/>
      <c r="G1644" s="25"/>
      <c r="H1644" s="12"/>
      <c r="I1644" s="31"/>
      <c r="J1644" s="12"/>
      <c r="K1644" s="12"/>
      <c r="L1644" s="16"/>
      <c r="M1644" s="46"/>
      <c r="N1644" s="46"/>
      <c r="O1644" s="31"/>
      <c r="P1644" s="16"/>
      <c r="Q1644" s="16"/>
      <c r="R1644" s="16" t="str">
        <f t="shared" si="2"/>
        <v/>
      </c>
    </row>
    <row r="1645">
      <c r="B1645" s="16"/>
      <c r="C1645" s="12"/>
      <c r="D1645" s="12"/>
      <c r="E1645" s="12"/>
      <c r="F1645" s="12"/>
      <c r="G1645" s="25"/>
      <c r="H1645" s="12"/>
      <c r="I1645" s="31"/>
      <c r="J1645" s="12"/>
      <c r="K1645" s="12"/>
      <c r="L1645" s="16"/>
      <c r="M1645" s="46"/>
      <c r="N1645" s="46"/>
      <c r="O1645" s="31"/>
      <c r="P1645" s="16"/>
      <c r="Q1645" s="16"/>
      <c r="R1645" s="16" t="str">
        <f t="shared" si="2"/>
        <v/>
      </c>
    </row>
    <row r="1646">
      <c r="B1646" s="16"/>
      <c r="C1646" s="12"/>
      <c r="D1646" s="12"/>
      <c r="E1646" s="12"/>
      <c r="F1646" s="12"/>
      <c r="G1646" s="25"/>
      <c r="H1646" s="12"/>
      <c r="I1646" s="31"/>
      <c r="J1646" s="12"/>
      <c r="K1646" s="12"/>
      <c r="L1646" s="16"/>
      <c r="M1646" s="46"/>
      <c r="N1646" s="46"/>
      <c r="O1646" s="31"/>
      <c r="P1646" s="16"/>
      <c r="Q1646" s="16"/>
      <c r="R1646" s="16" t="str">
        <f t="shared" si="2"/>
        <v/>
      </c>
    </row>
    <row r="1647">
      <c r="B1647" s="16"/>
      <c r="C1647" s="12"/>
      <c r="D1647" s="12"/>
      <c r="E1647" s="12"/>
      <c r="F1647" s="12"/>
      <c r="G1647" s="25"/>
      <c r="H1647" s="12"/>
      <c r="I1647" s="31"/>
      <c r="J1647" s="12"/>
      <c r="K1647" s="12"/>
      <c r="L1647" s="16"/>
      <c r="M1647" s="46"/>
      <c r="N1647" s="46"/>
      <c r="O1647" s="31"/>
      <c r="P1647" s="16"/>
      <c r="Q1647" s="16"/>
      <c r="R1647" s="16" t="str">
        <f t="shared" si="2"/>
        <v/>
      </c>
    </row>
    <row r="1648">
      <c r="B1648" s="16"/>
      <c r="C1648" s="12"/>
      <c r="D1648" s="12"/>
      <c r="E1648" s="12"/>
      <c r="F1648" s="12"/>
      <c r="G1648" s="25"/>
      <c r="H1648" s="12"/>
      <c r="I1648" s="31"/>
      <c r="J1648" s="12"/>
      <c r="K1648" s="12"/>
      <c r="L1648" s="16"/>
      <c r="M1648" s="46"/>
      <c r="N1648" s="46"/>
      <c r="O1648" s="31"/>
      <c r="P1648" s="16"/>
      <c r="Q1648" s="16"/>
      <c r="R1648" s="16" t="str">
        <f t="shared" si="2"/>
        <v/>
      </c>
    </row>
    <row r="1649">
      <c r="B1649" s="16"/>
      <c r="C1649" s="12"/>
      <c r="D1649" s="12"/>
      <c r="E1649" s="12"/>
      <c r="F1649" s="12"/>
      <c r="G1649" s="25"/>
      <c r="H1649" s="12"/>
      <c r="I1649" s="31"/>
      <c r="J1649" s="12"/>
      <c r="K1649" s="12"/>
      <c r="L1649" s="16"/>
      <c r="M1649" s="46"/>
      <c r="N1649" s="46"/>
      <c r="O1649" s="31"/>
      <c r="P1649" s="16"/>
      <c r="Q1649" s="16"/>
      <c r="R1649" s="16" t="str">
        <f t="shared" si="2"/>
        <v/>
      </c>
    </row>
    <row r="1650">
      <c r="B1650" s="16"/>
      <c r="C1650" s="12"/>
      <c r="D1650" s="12"/>
      <c r="E1650" s="12"/>
      <c r="F1650" s="12"/>
      <c r="G1650" s="25"/>
      <c r="H1650" s="12"/>
      <c r="I1650" s="31"/>
      <c r="J1650" s="12"/>
      <c r="K1650" s="12"/>
      <c r="L1650" s="16"/>
      <c r="M1650" s="30" t="s">
        <v>2034</v>
      </c>
      <c r="N1650" s="46"/>
      <c r="O1650" s="31"/>
      <c r="P1650" s="16"/>
      <c r="Q1650" s="16"/>
      <c r="R1650" s="16" t="str">
        <f t="shared" si="2"/>
        <v/>
      </c>
    </row>
    <row r="1651">
      <c r="B1651" s="16"/>
      <c r="C1651" s="12"/>
      <c r="D1651" s="12"/>
      <c r="E1651" s="12"/>
      <c r="F1651" s="12"/>
      <c r="G1651" s="25"/>
      <c r="H1651" s="12"/>
      <c r="I1651" s="31"/>
      <c r="J1651" s="12"/>
      <c r="K1651" s="12"/>
      <c r="L1651" s="16"/>
      <c r="M1651" s="46"/>
      <c r="N1651" s="46"/>
      <c r="O1651" s="31"/>
      <c r="P1651" s="16"/>
      <c r="Q1651" s="16"/>
      <c r="R1651" s="16" t="str">
        <f t="shared" si="2"/>
        <v/>
      </c>
    </row>
    <row r="1652">
      <c r="B1652" s="16"/>
      <c r="C1652" s="12"/>
      <c r="D1652" s="12"/>
      <c r="E1652" s="12"/>
      <c r="F1652" s="12"/>
      <c r="G1652" s="25"/>
      <c r="H1652" s="12"/>
      <c r="I1652" s="31"/>
      <c r="J1652" s="12"/>
      <c r="K1652" s="12"/>
      <c r="L1652" s="16"/>
      <c r="M1652" s="46"/>
      <c r="N1652" s="46"/>
      <c r="O1652" s="31"/>
      <c r="P1652" s="16"/>
      <c r="Q1652" s="16"/>
      <c r="R1652" s="16" t="str">
        <f t="shared" si="2"/>
        <v/>
      </c>
    </row>
    <row r="1653">
      <c r="B1653" s="16"/>
      <c r="C1653" s="12"/>
      <c r="D1653" s="12"/>
      <c r="E1653" s="12"/>
      <c r="F1653" s="12"/>
      <c r="G1653" s="25"/>
      <c r="H1653" s="12"/>
      <c r="I1653" s="31"/>
      <c r="J1653" s="12"/>
      <c r="K1653" s="12"/>
      <c r="L1653" s="16"/>
      <c r="M1653" s="46"/>
      <c r="N1653" s="46"/>
      <c r="O1653" s="31"/>
      <c r="P1653" s="16"/>
      <c r="Q1653" s="16"/>
      <c r="R1653" s="16" t="str">
        <f t="shared" si="2"/>
        <v/>
      </c>
    </row>
    <row r="1654">
      <c r="B1654" s="16"/>
      <c r="C1654" s="12"/>
      <c r="D1654" s="12"/>
      <c r="E1654" s="12"/>
      <c r="F1654" s="12"/>
      <c r="G1654" s="25"/>
      <c r="H1654" s="12"/>
      <c r="I1654" s="31"/>
      <c r="J1654" s="12"/>
      <c r="K1654" s="12"/>
      <c r="L1654" s="16"/>
      <c r="M1654" s="46"/>
      <c r="N1654" s="46"/>
      <c r="O1654" s="31"/>
      <c r="P1654" s="16"/>
      <c r="Q1654" s="16"/>
      <c r="R1654" s="16" t="str">
        <f t="shared" si="2"/>
        <v/>
      </c>
    </row>
    <row r="1655">
      <c r="B1655" s="16"/>
      <c r="C1655" s="12"/>
      <c r="D1655" s="12"/>
      <c r="E1655" s="12"/>
      <c r="F1655" s="12"/>
      <c r="G1655" s="25"/>
      <c r="H1655" s="12"/>
      <c r="I1655" s="31"/>
      <c r="J1655" s="12"/>
      <c r="K1655" s="12"/>
      <c r="L1655" s="16"/>
      <c r="M1655" s="46"/>
      <c r="N1655" s="46"/>
      <c r="O1655" s="31"/>
      <c r="P1655" s="16"/>
      <c r="Q1655" s="16"/>
      <c r="R1655" s="16" t="str">
        <f t="shared" si="2"/>
        <v/>
      </c>
    </row>
    <row r="1656">
      <c r="B1656" s="16"/>
      <c r="C1656" s="12"/>
      <c r="D1656" s="12"/>
      <c r="E1656" s="12"/>
      <c r="F1656" s="12"/>
      <c r="G1656" s="25"/>
      <c r="H1656" s="12"/>
      <c r="I1656" s="31"/>
      <c r="J1656" s="12"/>
      <c r="K1656" s="12"/>
      <c r="L1656" s="16"/>
      <c r="M1656" s="46"/>
      <c r="N1656" s="46"/>
      <c r="O1656" s="31"/>
      <c r="P1656" s="16"/>
      <c r="Q1656" s="16"/>
      <c r="R1656" s="16" t="str">
        <f t="shared" si="2"/>
        <v/>
      </c>
    </row>
    <row r="1657">
      <c r="B1657" s="16"/>
      <c r="C1657" s="12"/>
      <c r="D1657" s="12"/>
      <c r="E1657" s="12"/>
      <c r="F1657" s="12"/>
      <c r="G1657" s="25"/>
      <c r="H1657" s="12"/>
      <c r="I1657" s="31"/>
      <c r="J1657" s="12"/>
      <c r="K1657" s="12"/>
      <c r="L1657" s="16"/>
      <c r="M1657" s="46"/>
      <c r="N1657" s="46"/>
      <c r="O1657" s="31"/>
      <c r="P1657" s="16"/>
      <c r="Q1657" s="16"/>
      <c r="R1657" s="16" t="str">
        <f t="shared" si="2"/>
        <v/>
      </c>
    </row>
    <row r="1658">
      <c r="B1658" s="16"/>
      <c r="C1658" s="12"/>
      <c r="D1658" s="12"/>
      <c r="E1658" s="12"/>
      <c r="F1658" s="12"/>
      <c r="G1658" s="25"/>
      <c r="H1658" s="12"/>
      <c r="I1658" s="31"/>
      <c r="J1658" s="12"/>
      <c r="K1658" s="12"/>
      <c r="L1658" s="16"/>
      <c r="M1658" s="46"/>
      <c r="N1658" s="46"/>
      <c r="O1658" s="31"/>
      <c r="P1658" s="16"/>
      <c r="Q1658" s="16"/>
      <c r="R1658" s="16" t="str">
        <f t="shared" si="2"/>
        <v/>
      </c>
    </row>
    <row r="1659">
      <c r="B1659" s="16"/>
      <c r="C1659" s="12"/>
      <c r="D1659" s="12"/>
      <c r="E1659" s="12"/>
      <c r="F1659" s="12"/>
      <c r="G1659" s="25"/>
      <c r="H1659" s="12"/>
      <c r="I1659" s="31"/>
      <c r="J1659" s="12"/>
      <c r="K1659" s="12"/>
      <c r="L1659" s="16"/>
      <c r="M1659" s="46"/>
      <c r="N1659" s="46"/>
      <c r="O1659" s="31"/>
      <c r="P1659" s="16"/>
      <c r="Q1659" s="16"/>
      <c r="R1659" s="16" t="str">
        <f t="shared" si="2"/>
        <v/>
      </c>
    </row>
    <row r="1660">
      <c r="B1660" s="16"/>
      <c r="C1660" s="12"/>
      <c r="D1660" s="12"/>
      <c r="E1660" s="12"/>
      <c r="F1660" s="12"/>
      <c r="G1660" s="25"/>
      <c r="H1660" s="12"/>
      <c r="I1660" s="31"/>
      <c r="J1660" s="12"/>
      <c r="K1660" s="12"/>
      <c r="L1660" s="16"/>
      <c r="M1660" s="46"/>
      <c r="N1660" s="46"/>
      <c r="O1660" s="31"/>
      <c r="P1660" s="16"/>
      <c r="Q1660" s="16"/>
      <c r="R1660" s="16" t="str">
        <f t="shared" si="2"/>
        <v/>
      </c>
    </row>
    <row r="1661">
      <c r="B1661" s="16"/>
      <c r="C1661" s="12"/>
      <c r="D1661" s="12"/>
      <c r="E1661" s="12"/>
      <c r="F1661" s="12"/>
      <c r="G1661" s="25"/>
      <c r="H1661" s="12"/>
      <c r="I1661" s="31"/>
      <c r="J1661" s="12"/>
      <c r="K1661" s="12"/>
      <c r="L1661" s="16"/>
      <c r="M1661" s="46"/>
      <c r="N1661" s="46"/>
      <c r="O1661" s="31"/>
      <c r="P1661" s="16"/>
      <c r="Q1661" s="16"/>
      <c r="R1661" s="16" t="str">
        <f t="shared" si="2"/>
        <v/>
      </c>
    </row>
    <row r="1662">
      <c r="B1662" s="16"/>
      <c r="C1662" s="12"/>
      <c r="D1662" s="12"/>
      <c r="E1662" s="12"/>
      <c r="F1662" s="12"/>
      <c r="G1662" s="25"/>
      <c r="H1662" s="12"/>
      <c r="I1662" s="31"/>
      <c r="J1662" s="12"/>
      <c r="K1662" s="12"/>
      <c r="L1662" s="16"/>
      <c r="M1662" s="46"/>
      <c r="N1662" s="46"/>
      <c r="O1662" s="31"/>
      <c r="P1662" s="16"/>
      <c r="Q1662" s="16"/>
      <c r="R1662" s="16" t="str">
        <f t="shared" si="2"/>
        <v/>
      </c>
    </row>
    <row r="1663">
      <c r="B1663" s="16"/>
      <c r="C1663" s="12"/>
      <c r="D1663" s="12"/>
      <c r="E1663" s="12"/>
      <c r="F1663" s="12"/>
      <c r="G1663" s="25"/>
      <c r="H1663" s="12"/>
      <c r="I1663" s="31"/>
      <c r="J1663" s="12"/>
      <c r="K1663" s="12"/>
      <c r="L1663" s="16"/>
      <c r="M1663" s="46"/>
      <c r="N1663" s="46"/>
      <c r="O1663" s="31"/>
      <c r="P1663" s="16"/>
      <c r="Q1663" s="16"/>
      <c r="R1663" s="16" t="str">
        <f t="shared" si="2"/>
        <v/>
      </c>
    </row>
    <row r="1664">
      <c r="B1664" s="16"/>
      <c r="C1664" s="12"/>
      <c r="D1664" s="12"/>
      <c r="E1664" s="12"/>
      <c r="F1664" s="12"/>
      <c r="G1664" s="25"/>
      <c r="H1664" s="12"/>
      <c r="I1664" s="31"/>
      <c r="J1664" s="12"/>
      <c r="K1664" s="12"/>
      <c r="L1664" s="16"/>
      <c r="M1664" s="46"/>
      <c r="N1664" s="46"/>
      <c r="O1664" s="31"/>
      <c r="P1664" s="16"/>
      <c r="Q1664" s="16"/>
      <c r="R1664" s="16" t="str">
        <f t="shared" si="2"/>
        <v/>
      </c>
    </row>
    <row r="1665">
      <c r="B1665" s="16"/>
      <c r="C1665" s="12"/>
      <c r="D1665" s="12"/>
      <c r="E1665" s="12"/>
      <c r="F1665" s="12"/>
      <c r="G1665" s="25"/>
      <c r="H1665" s="12"/>
      <c r="I1665" s="31"/>
      <c r="J1665" s="12"/>
      <c r="K1665" s="12"/>
      <c r="L1665" s="16"/>
      <c r="M1665" s="46"/>
      <c r="N1665" s="46"/>
      <c r="O1665" s="31"/>
      <c r="P1665" s="16"/>
      <c r="Q1665" s="16"/>
      <c r="R1665" s="16" t="str">
        <f t="shared" si="2"/>
        <v/>
      </c>
    </row>
    <row r="1666">
      <c r="B1666" s="16"/>
      <c r="C1666" s="12"/>
      <c r="D1666" s="12"/>
      <c r="E1666" s="12"/>
      <c r="F1666" s="12"/>
      <c r="G1666" s="25"/>
      <c r="H1666" s="12"/>
      <c r="I1666" s="31"/>
      <c r="J1666" s="12"/>
      <c r="K1666" s="12"/>
      <c r="L1666" s="16"/>
      <c r="M1666" s="46"/>
      <c r="N1666" s="46"/>
      <c r="O1666" s="31"/>
      <c r="P1666" s="16"/>
      <c r="Q1666" s="16"/>
      <c r="R1666" s="16" t="str">
        <f t="shared" si="2"/>
        <v/>
      </c>
    </row>
    <row r="1667">
      <c r="B1667" s="16"/>
      <c r="C1667" s="12"/>
      <c r="D1667" s="12"/>
      <c r="E1667" s="12"/>
      <c r="F1667" s="12"/>
      <c r="G1667" s="25"/>
      <c r="H1667" s="12"/>
      <c r="I1667" s="31"/>
      <c r="J1667" s="12"/>
      <c r="K1667" s="12"/>
      <c r="L1667" s="16"/>
      <c r="M1667" s="46"/>
      <c r="N1667" s="46"/>
      <c r="O1667" s="31"/>
      <c r="P1667" s="16"/>
      <c r="Q1667" s="16"/>
      <c r="R1667" s="16" t="str">
        <f t="shared" si="2"/>
        <v/>
      </c>
    </row>
    <row r="1668">
      <c r="B1668" s="16"/>
      <c r="C1668" s="12"/>
      <c r="D1668" s="12"/>
      <c r="E1668" s="12"/>
      <c r="F1668" s="12"/>
      <c r="G1668" s="25"/>
      <c r="H1668" s="12"/>
      <c r="I1668" s="31"/>
      <c r="J1668" s="12"/>
      <c r="K1668" s="12"/>
      <c r="L1668" s="16"/>
      <c r="M1668" s="46"/>
      <c r="N1668" s="46"/>
      <c r="O1668" s="31"/>
      <c r="P1668" s="16"/>
      <c r="Q1668" s="16"/>
      <c r="R1668" s="16" t="str">
        <f t="shared" si="2"/>
        <v/>
      </c>
    </row>
    <row r="1669">
      <c r="B1669" s="16"/>
      <c r="C1669" s="12"/>
      <c r="D1669" s="12"/>
      <c r="E1669" s="12"/>
      <c r="F1669" s="12"/>
      <c r="G1669" s="25"/>
      <c r="H1669" s="12"/>
      <c r="I1669" s="31"/>
      <c r="J1669" s="12"/>
      <c r="K1669" s="12"/>
      <c r="L1669" s="16"/>
      <c r="M1669" s="46"/>
      <c r="N1669" s="46"/>
      <c r="O1669" s="31"/>
      <c r="P1669" s="16"/>
      <c r="Q1669" s="16"/>
      <c r="R1669" s="16" t="str">
        <f t="shared" si="2"/>
        <v/>
      </c>
    </row>
    <row r="1670">
      <c r="B1670" s="16"/>
      <c r="C1670" s="12"/>
      <c r="D1670" s="12"/>
      <c r="E1670" s="12"/>
      <c r="F1670" s="12"/>
      <c r="G1670" s="25"/>
      <c r="H1670" s="12"/>
      <c r="I1670" s="31"/>
      <c r="J1670" s="12"/>
      <c r="K1670" s="12"/>
      <c r="L1670" s="16"/>
      <c r="M1670" s="46"/>
      <c r="N1670" s="46"/>
      <c r="O1670" s="31"/>
      <c r="P1670" s="16"/>
      <c r="Q1670" s="16"/>
      <c r="R1670" s="16" t="str">
        <f t="shared" si="2"/>
        <v/>
      </c>
    </row>
    <row r="1671">
      <c r="B1671" s="16"/>
      <c r="C1671" s="12"/>
      <c r="D1671" s="12"/>
      <c r="E1671" s="12"/>
      <c r="F1671" s="12"/>
      <c r="G1671" s="25"/>
      <c r="H1671" s="12"/>
      <c r="I1671" s="31"/>
      <c r="J1671" s="12"/>
      <c r="K1671" s="12"/>
      <c r="L1671" s="16"/>
      <c r="M1671" s="46"/>
      <c r="N1671" s="46"/>
      <c r="O1671" s="31"/>
      <c r="P1671" s="16"/>
      <c r="Q1671" s="16"/>
      <c r="R1671" s="16" t="str">
        <f t="shared" si="2"/>
        <v/>
      </c>
    </row>
    <row r="1672">
      <c r="B1672" s="16"/>
      <c r="C1672" s="12"/>
      <c r="D1672" s="12"/>
      <c r="E1672" s="12"/>
      <c r="F1672" s="12"/>
      <c r="G1672" s="25"/>
      <c r="H1672" s="12"/>
      <c r="I1672" s="31"/>
      <c r="J1672" s="12"/>
      <c r="K1672" s="12"/>
      <c r="L1672" s="16"/>
      <c r="M1672" s="46"/>
      <c r="N1672" s="46"/>
      <c r="O1672" s="31"/>
      <c r="P1672" s="16"/>
      <c r="Q1672" s="16"/>
      <c r="R1672" s="16" t="str">
        <f t="shared" si="2"/>
        <v/>
      </c>
    </row>
    <row r="1673">
      <c r="B1673" s="16"/>
      <c r="C1673" s="12"/>
      <c r="D1673" s="12"/>
      <c r="E1673" s="12"/>
      <c r="F1673" s="12"/>
      <c r="G1673" s="25"/>
      <c r="H1673" s="12"/>
      <c r="I1673" s="31"/>
      <c r="J1673" s="12"/>
      <c r="K1673" s="12"/>
      <c r="L1673" s="16"/>
      <c r="M1673" s="46"/>
      <c r="N1673" s="46"/>
      <c r="O1673" s="31"/>
      <c r="P1673" s="16"/>
      <c r="Q1673" s="16"/>
      <c r="R1673" s="16" t="str">
        <f t="shared" si="2"/>
        <v/>
      </c>
    </row>
    <row r="1674">
      <c r="B1674" s="16"/>
      <c r="C1674" s="12"/>
      <c r="D1674" s="12"/>
      <c r="E1674" s="12"/>
      <c r="F1674" s="12"/>
      <c r="G1674" s="25"/>
      <c r="H1674" s="12"/>
      <c r="I1674" s="31"/>
      <c r="J1674" s="12"/>
      <c r="K1674" s="12"/>
      <c r="L1674" s="16"/>
      <c r="M1674" s="46"/>
      <c r="N1674" s="46"/>
      <c r="O1674" s="31"/>
      <c r="P1674" s="16"/>
      <c r="Q1674" s="16"/>
      <c r="R1674" s="16" t="str">
        <f t="shared" si="2"/>
        <v/>
      </c>
    </row>
    <row r="1675">
      <c r="B1675" s="16"/>
      <c r="C1675" s="12"/>
      <c r="D1675" s="12"/>
      <c r="E1675" s="12"/>
      <c r="F1675" s="12"/>
      <c r="G1675" s="25"/>
      <c r="H1675" s="12"/>
      <c r="I1675" s="31"/>
      <c r="J1675" s="12"/>
      <c r="K1675" s="12"/>
      <c r="L1675" s="16"/>
      <c r="M1675" s="46"/>
      <c r="N1675" s="46"/>
      <c r="O1675" s="31"/>
      <c r="P1675" s="16"/>
      <c r="Q1675" s="16"/>
      <c r="R1675" s="16" t="str">
        <f t="shared" si="2"/>
        <v/>
      </c>
    </row>
    <row r="1676">
      <c r="B1676" s="16"/>
      <c r="C1676" s="12"/>
      <c r="D1676" s="12"/>
      <c r="E1676" s="12"/>
      <c r="F1676" s="12"/>
      <c r="G1676" s="25"/>
      <c r="H1676" s="12"/>
      <c r="I1676" s="31"/>
      <c r="J1676" s="12"/>
      <c r="K1676" s="12"/>
      <c r="L1676" s="16"/>
      <c r="M1676" s="46"/>
      <c r="N1676" s="46"/>
      <c r="O1676" s="31"/>
      <c r="P1676" s="16"/>
      <c r="Q1676" s="16"/>
      <c r="R1676" s="16" t="str">
        <f t="shared" si="2"/>
        <v/>
      </c>
    </row>
    <row r="1677">
      <c r="B1677" s="16"/>
      <c r="C1677" s="12"/>
      <c r="D1677" s="12"/>
      <c r="E1677" s="12"/>
      <c r="F1677" s="12"/>
      <c r="G1677" s="25"/>
      <c r="H1677" s="12"/>
      <c r="I1677" s="31"/>
      <c r="J1677" s="12"/>
      <c r="K1677" s="12"/>
      <c r="L1677" s="16"/>
      <c r="M1677" s="46"/>
      <c r="N1677" s="46"/>
      <c r="O1677" s="31"/>
      <c r="P1677" s="16"/>
      <c r="Q1677" s="16"/>
      <c r="R1677" s="16" t="str">
        <f t="shared" si="2"/>
        <v/>
      </c>
    </row>
    <row r="1678">
      <c r="B1678" s="16"/>
      <c r="C1678" s="12"/>
      <c r="D1678" s="12"/>
      <c r="E1678" s="12"/>
      <c r="F1678" s="12"/>
      <c r="G1678" s="25"/>
      <c r="H1678" s="12"/>
      <c r="I1678" s="31"/>
      <c r="J1678" s="12"/>
      <c r="K1678" s="12"/>
      <c r="L1678" s="16"/>
      <c r="M1678" s="46"/>
      <c r="N1678" s="46"/>
      <c r="O1678" s="31"/>
      <c r="P1678" s="16"/>
      <c r="Q1678" s="16"/>
      <c r="R1678" s="16" t="str">
        <f t="shared" si="2"/>
        <v/>
      </c>
    </row>
    <row r="1679">
      <c r="B1679" s="16"/>
      <c r="C1679" s="12"/>
      <c r="D1679" s="12"/>
      <c r="E1679" s="12"/>
      <c r="F1679" s="12"/>
      <c r="G1679" s="25"/>
      <c r="H1679" s="12"/>
      <c r="I1679" s="31"/>
      <c r="J1679" s="12"/>
      <c r="K1679" s="12"/>
      <c r="L1679" s="16"/>
      <c r="M1679" s="46"/>
      <c r="N1679" s="46"/>
      <c r="O1679" s="31"/>
      <c r="P1679" s="16"/>
      <c r="Q1679" s="16"/>
      <c r="R1679" s="16" t="str">
        <f t="shared" si="2"/>
        <v/>
      </c>
    </row>
    <row r="1680">
      <c r="B1680" s="16"/>
      <c r="C1680" s="12"/>
      <c r="D1680" s="12"/>
      <c r="E1680" s="12"/>
      <c r="F1680" s="12"/>
      <c r="G1680" s="25"/>
      <c r="H1680" s="12"/>
      <c r="I1680" s="31"/>
      <c r="J1680" s="12"/>
      <c r="K1680" s="12"/>
      <c r="L1680" s="16"/>
      <c r="M1680" s="46"/>
      <c r="N1680" s="46"/>
      <c r="O1680" s="31"/>
      <c r="P1680" s="16"/>
      <c r="Q1680" s="16"/>
      <c r="R1680" s="16" t="str">
        <f t="shared" si="2"/>
        <v/>
      </c>
    </row>
    <row r="1681">
      <c r="B1681" s="16"/>
      <c r="C1681" s="12"/>
      <c r="D1681" s="12"/>
      <c r="E1681" s="12"/>
      <c r="F1681" s="12"/>
      <c r="G1681" s="25"/>
      <c r="H1681" s="12"/>
      <c r="I1681" s="31"/>
      <c r="J1681" s="12"/>
      <c r="K1681" s="12"/>
      <c r="L1681" s="16"/>
      <c r="M1681" s="46"/>
      <c r="N1681" s="46"/>
      <c r="O1681" s="31"/>
      <c r="P1681" s="16"/>
      <c r="Q1681" s="16"/>
      <c r="R1681" s="16" t="str">
        <f t="shared" si="2"/>
        <v/>
      </c>
    </row>
    <row r="1682">
      <c r="B1682" s="16"/>
      <c r="C1682" s="12"/>
      <c r="D1682" s="12"/>
      <c r="E1682" s="12"/>
      <c r="F1682" s="12"/>
      <c r="G1682" s="25"/>
      <c r="H1682" s="12"/>
      <c r="I1682" s="31"/>
      <c r="J1682" s="12"/>
      <c r="K1682" s="12"/>
      <c r="L1682" s="16"/>
      <c r="M1682" s="46"/>
      <c r="N1682" s="46"/>
      <c r="O1682" s="31"/>
      <c r="P1682" s="16"/>
      <c r="Q1682" s="16"/>
      <c r="R1682" s="16" t="str">
        <f t="shared" si="2"/>
        <v/>
      </c>
    </row>
    <row r="1683">
      <c r="B1683" s="16"/>
      <c r="C1683" s="12"/>
      <c r="D1683" s="12"/>
      <c r="E1683" s="12"/>
      <c r="F1683" s="12"/>
      <c r="G1683" s="25"/>
      <c r="H1683" s="12"/>
      <c r="I1683" s="31"/>
      <c r="J1683" s="12"/>
      <c r="K1683" s="12"/>
      <c r="L1683" s="16"/>
      <c r="M1683" s="46"/>
      <c r="N1683" s="46"/>
      <c r="O1683" s="31"/>
      <c r="P1683" s="16"/>
      <c r="Q1683" s="16"/>
      <c r="R1683" s="16" t="str">
        <f t="shared" si="2"/>
        <v/>
      </c>
    </row>
    <row r="1684">
      <c r="B1684" s="16"/>
      <c r="C1684" s="12"/>
      <c r="D1684" s="12"/>
      <c r="E1684" s="12"/>
      <c r="F1684" s="12"/>
      <c r="G1684" s="25"/>
      <c r="H1684" s="12"/>
      <c r="I1684" s="31"/>
      <c r="J1684" s="12"/>
      <c r="K1684" s="12"/>
      <c r="L1684" s="16"/>
      <c r="M1684" s="46"/>
      <c r="N1684" s="46"/>
      <c r="O1684" s="31"/>
      <c r="P1684" s="16"/>
      <c r="Q1684" s="16"/>
      <c r="R1684" s="16" t="str">
        <f t="shared" si="2"/>
        <v/>
      </c>
    </row>
    <row r="1685">
      <c r="B1685" s="16"/>
      <c r="C1685" s="12"/>
      <c r="D1685" s="12"/>
      <c r="E1685" s="12"/>
      <c r="F1685" s="12"/>
      <c r="G1685" s="25"/>
      <c r="H1685" s="12"/>
      <c r="I1685" s="31"/>
      <c r="J1685" s="12"/>
      <c r="K1685" s="12"/>
      <c r="L1685" s="16"/>
      <c r="M1685" s="46"/>
      <c r="N1685" s="46"/>
      <c r="O1685" s="31"/>
      <c r="P1685" s="16"/>
      <c r="Q1685" s="16"/>
      <c r="R1685" s="16" t="str">
        <f t="shared" si="2"/>
        <v/>
      </c>
    </row>
    <row r="1686">
      <c r="B1686" s="16"/>
      <c r="C1686" s="12"/>
      <c r="D1686" s="12"/>
      <c r="E1686" s="12"/>
      <c r="F1686" s="12"/>
      <c r="G1686" s="25"/>
      <c r="H1686" s="12"/>
      <c r="I1686" s="31"/>
      <c r="J1686" s="12"/>
      <c r="K1686" s="12"/>
      <c r="L1686" s="16"/>
      <c r="M1686" s="46"/>
      <c r="N1686" s="46"/>
      <c r="O1686" s="31"/>
      <c r="P1686" s="16"/>
      <c r="Q1686" s="16"/>
      <c r="R1686" s="16" t="str">
        <f t="shared" si="2"/>
        <v/>
      </c>
    </row>
    <row r="1687">
      <c r="B1687" s="16"/>
      <c r="C1687" s="12"/>
      <c r="D1687" s="12"/>
      <c r="E1687" s="12"/>
      <c r="F1687" s="12"/>
      <c r="G1687" s="25"/>
      <c r="H1687" s="12"/>
      <c r="I1687" s="31"/>
      <c r="J1687" s="12"/>
      <c r="K1687" s="12"/>
      <c r="L1687" s="16"/>
      <c r="M1687" s="46"/>
      <c r="N1687" s="46"/>
      <c r="O1687" s="31"/>
      <c r="P1687" s="16"/>
      <c r="Q1687" s="16"/>
      <c r="R1687" s="16" t="str">
        <f t="shared" si="2"/>
        <v/>
      </c>
    </row>
    <row r="1688">
      <c r="B1688" s="16"/>
      <c r="C1688" s="12"/>
      <c r="D1688" s="12"/>
      <c r="E1688" s="12"/>
      <c r="F1688" s="12"/>
      <c r="G1688" s="25"/>
      <c r="H1688" s="12"/>
      <c r="I1688" s="31"/>
      <c r="J1688" s="12"/>
      <c r="K1688" s="12"/>
      <c r="L1688" s="16"/>
      <c r="M1688" s="46"/>
      <c r="N1688" s="46"/>
      <c r="O1688" s="31"/>
      <c r="P1688" s="16"/>
      <c r="Q1688" s="16"/>
      <c r="R1688" s="16" t="str">
        <f t="shared" si="2"/>
        <v/>
      </c>
    </row>
    <row r="1689">
      <c r="B1689" s="16"/>
      <c r="C1689" s="12"/>
      <c r="D1689" s="12"/>
      <c r="E1689" s="12"/>
      <c r="F1689" s="12"/>
      <c r="G1689" s="25"/>
      <c r="H1689" s="12"/>
      <c r="I1689" s="31"/>
      <c r="J1689" s="12"/>
      <c r="K1689" s="12"/>
      <c r="L1689" s="16"/>
      <c r="M1689" s="46"/>
      <c r="N1689" s="46"/>
      <c r="O1689" s="31"/>
      <c r="P1689" s="16"/>
      <c r="Q1689" s="16"/>
      <c r="R1689" s="16" t="str">
        <f t="shared" si="2"/>
        <v/>
      </c>
    </row>
    <row r="1690">
      <c r="B1690" s="16"/>
      <c r="C1690" s="12"/>
      <c r="D1690" s="12"/>
      <c r="E1690" s="12"/>
      <c r="F1690" s="12"/>
      <c r="G1690" s="25"/>
      <c r="H1690" s="12"/>
      <c r="I1690" s="31"/>
      <c r="J1690" s="12"/>
      <c r="K1690" s="12"/>
      <c r="L1690" s="16"/>
      <c r="M1690" s="46"/>
      <c r="N1690" s="46"/>
      <c r="O1690" s="31"/>
      <c r="P1690" s="16"/>
      <c r="Q1690" s="16"/>
      <c r="R1690" s="16" t="str">
        <f t="shared" si="2"/>
        <v/>
      </c>
    </row>
    <row r="1691">
      <c r="B1691" s="16"/>
      <c r="C1691" s="12"/>
      <c r="D1691" s="12"/>
      <c r="E1691" s="12"/>
      <c r="F1691" s="12"/>
      <c r="G1691" s="25"/>
      <c r="H1691" s="12"/>
      <c r="I1691" s="31"/>
      <c r="J1691" s="12"/>
      <c r="K1691" s="12"/>
      <c r="L1691" s="16"/>
      <c r="M1691" s="46"/>
      <c r="N1691" s="46"/>
      <c r="O1691" s="31"/>
      <c r="P1691" s="16"/>
      <c r="Q1691" s="16"/>
      <c r="R1691" s="16" t="str">
        <f t="shared" si="2"/>
        <v/>
      </c>
    </row>
    <row r="1692">
      <c r="B1692" s="16"/>
      <c r="C1692" s="12"/>
      <c r="D1692" s="12"/>
      <c r="E1692" s="12"/>
      <c r="F1692" s="12"/>
      <c r="G1692" s="25"/>
      <c r="H1692" s="12"/>
      <c r="I1692" s="31"/>
      <c r="J1692" s="12"/>
      <c r="K1692" s="12"/>
      <c r="L1692" s="16"/>
      <c r="M1692" s="46"/>
      <c r="N1692" s="46"/>
      <c r="O1692" s="31"/>
      <c r="P1692" s="16"/>
      <c r="Q1692" s="16"/>
      <c r="R1692" s="16" t="str">
        <f t="shared" si="2"/>
        <v/>
      </c>
    </row>
    <row r="1693">
      <c r="B1693" s="16"/>
      <c r="C1693" s="12"/>
      <c r="D1693" s="12"/>
      <c r="E1693" s="12"/>
      <c r="F1693" s="12"/>
      <c r="G1693" s="25"/>
      <c r="H1693" s="12"/>
      <c r="I1693" s="31"/>
      <c r="J1693" s="12"/>
      <c r="K1693" s="12"/>
      <c r="L1693" s="16"/>
      <c r="M1693" s="46"/>
      <c r="N1693" s="46"/>
      <c r="O1693" s="31"/>
      <c r="P1693" s="16"/>
      <c r="Q1693" s="16"/>
      <c r="R1693" s="16" t="str">
        <f t="shared" si="2"/>
        <v/>
      </c>
    </row>
    <row r="1694">
      <c r="B1694" s="16"/>
      <c r="C1694" s="12"/>
      <c r="D1694" s="12"/>
      <c r="E1694" s="12"/>
      <c r="F1694" s="12"/>
      <c r="G1694" s="25"/>
      <c r="H1694" s="12"/>
      <c r="I1694" s="31"/>
      <c r="J1694" s="12"/>
      <c r="K1694" s="12"/>
      <c r="L1694" s="16"/>
      <c r="M1694" s="46"/>
      <c r="N1694" s="46"/>
      <c r="O1694" s="31"/>
      <c r="P1694" s="16"/>
      <c r="Q1694" s="16"/>
      <c r="R1694" s="16" t="str">
        <f t="shared" si="2"/>
        <v/>
      </c>
    </row>
    <row r="1695">
      <c r="B1695" s="16"/>
      <c r="C1695" s="12"/>
      <c r="D1695" s="12"/>
      <c r="E1695" s="12"/>
      <c r="F1695" s="12"/>
      <c r="G1695" s="25"/>
      <c r="H1695" s="12"/>
      <c r="I1695" s="31"/>
      <c r="J1695" s="12"/>
      <c r="K1695" s="12"/>
      <c r="L1695" s="16"/>
      <c r="M1695" s="46"/>
      <c r="N1695" s="46"/>
      <c r="O1695" s="31"/>
      <c r="P1695" s="16"/>
      <c r="Q1695" s="16"/>
      <c r="R1695" s="16" t="str">
        <f t="shared" si="2"/>
        <v/>
      </c>
    </row>
    <row r="1696">
      <c r="B1696" s="16"/>
      <c r="C1696" s="12"/>
      <c r="D1696" s="12"/>
      <c r="E1696" s="12"/>
      <c r="F1696" s="12"/>
      <c r="G1696" s="25"/>
      <c r="H1696" s="12"/>
      <c r="I1696" s="31"/>
      <c r="J1696" s="12"/>
      <c r="K1696" s="12"/>
      <c r="L1696" s="16"/>
      <c r="M1696" s="46"/>
      <c r="N1696" s="46"/>
      <c r="O1696" s="31"/>
      <c r="P1696" s="16"/>
      <c r="Q1696" s="16"/>
      <c r="R1696" s="16" t="str">
        <f t="shared" si="2"/>
        <v/>
      </c>
    </row>
    <row r="1697">
      <c r="B1697" s="16"/>
      <c r="C1697" s="12"/>
      <c r="D1697" s="12"/>
      <c r="E1697" s="12"/>
      <c r="F1697" s="12"/>
      <c r="G1697" s="25"/>
      <c r="H1697" s="12"/>
      <c r="I1697" s="31"/>
      <c r="J1697" s="12"/>
      <c r="K1697" s="12"/>
      <c r="L1697" s="16"/>
      <c r="M1697" s="46"/>
      <c r="N1697" s="46"/>
      <c r="O1697" s="31"/>
      <c r="P1697" s="16"/>
      <c r="Q1697" s="16"/>
      <c r="R1697" s="16" t="str">
        <f t="shared" si="2"/>
        <v/>
      </c>
    </row>
    <row r="1698">
      <c r="B1698" s="16"/>
      <c r="C1698" s="12"/>
      <c r="D1698" s="12"/>
      <c r="E1698" s="12"/>
      <c r="F1698" s="12"/>
      <c r="G1698" s="25"/>
      <c r="H1698" s="12"/>
      <c r="I1698" s="31"/>
      <c r="J1698" s="12"/>
      <c r="K1698" s="12"/>
      <c r="L1698" s="16"/>
      <c r="M1698" s="46"/>
      <c r="N1698" s="46"/>
      <c r="O1698" s="31"/>
      <c r="P1698" s="16"/>
      <c r="Q1698" s="16"/>
      <c r="R1698" s="16" t="str">
        <f t="shared" si="2"/>
        <v/>
      </c>
    </row>
    <row r="1699">
      <c r="B1699" s="16"/>
      <c r="C1699" s="12"/>
      <c r="D1699" s="12"/>
      <c r="E1699" s="12"/>
      <c r="F1699" s="12"/>
      <c r="G1699" s="25"/>
      <c r="H1699" s="12"/>
      <c r="I1699" s="31"/>
      <c r="J1699" s="12"/>
      <c r="K1699" s="12"/>
      <c r="L1699" s="16"/>
      <c r="M1699" s="46"/>
      <c r="N1699" s="46"/>
      <c r="O1699" s="31"/>
      <c r="P1699" s="16"/>
      <c r="Q1699" s="16"/>
      <c r="R1699" s="16" t="str">
        <f t="shared" si="2"/>
        <v/>
      </c>
    </row>
    <row r="1700">
      <c r="B1700" s="16"/>
      <c r="C1700" s="12"/>
      <c r="D1700" s="12"/>
      <c r="E1700" s="12"/>
      <c r="F1700" s="12"/>
      <c r="G1700" s="25"/>
      <c r="H1700" s="12"/>
      <c r="I1700" s="31"/>
      <c r="J1700" s="12"/>
      <c r="K1700" s="12"/>
      <c r="L1700" s="16"/>
      <c r="M1700" s="46"/>
      <c r="N1700" s="46"/>
      <c r="O1700" s="31"/>
      <c r="P1700" s="16"/>
      <c r="Q1700" s="16"/>
      <c r="R1700" s="16" t="str">
        <f t="shared" si="2"/>
        <v/>
      </c>
    </row>
    <row r="1701">
      <c r="B1701" s="16"/>
      <c r="C1701" s="12"/>
      <c r="D1701" s="12"/>
      <c r="E1701" s="12"/>
      <c r="F1701" s="12"/>
      <c r="G1701" s="25"/>
      <c r="H1701" s="12"/>
      <c r="I1701" s="31"/>
      <c r="J1701" s="12"/>
      <c r="K1701" s="12"/>
      <c r="L1701" s="16"/>
      <c r="M1701" s="46"/>
      <c r="N1701" s="46"/>
      <c r="O1701" s="31"/>
      <c r="P1701" s="16"/>
      <c r="Q1701" s="16"/>
      <c r="R1701" s="16" t="str">
        <f t="shared" si="2"/>
        <v/>
      </c>
    </row>
    <row r="1702">
      <c r="B1702" s="16"/>
      <c r="C1702" s="12"/>
      <c r="D1702" s="12"/>
      <c r="E1702" s="12"/>
      <c r="F1702" s="12"/>
      <c r="G1702" s="25"/>
      <c r="H1702" s="12"/>
      <c r="I1702" s="31"/>
      <c r="J1702" s="12"/>
      <c r="K1702" s="12"/>
      <c r="L1702" s="16"/>
      <c r="M1702" s="46"/>
      <c r="N1702" s="46"/>
      <c r="O1702" s="31"/>
      <c r="P1702" s="16"/>
      <c r="Q1702" s="16"/>
      <c r="R1702" s="16" t="str">
        <f t="shared" si="2"/>
        <v/>
      </c>
    </row>
    <row r="1703">
      <c r="B1703" s="16"/>
      <c r="C1703" s="12"/>
      <c r="D1703" s="12"/>
      <c r="E1703" s="12"/>
      <c r="F1703" s="12"/>
      <c r="G1703" s="25"/>
      <c r="H1703" s="12"/>
      <c r="I1703" s="31"/>
      <c r="J1703" s="12"/>
      <c r="K1703" s="12"/>
      <c r="L1703" s="16"/>
      <c r="M1703" s="46"/>
      <c r="N1703" s="46"/>
      <c r="O1703" s="31"/>
      <c r="P1703" s="16"/>
      <c r="Q1703" s="16"/>
      <c r="R1703" s="16" t="str">
        <f t="shared" si="2"/>
        <v/>
      </c>
    </row>
    <row r="1704">
      <c r="B1704" s="16"/>
      <c r="C1704" s="12"/>
      <c r="D1704" s="12"/>
      <c r="E1704" s="12"/>
      <c r="F1704" s="12"/>
      <c r="G1704" s="25"/>
      <c r="H1704" s="12"/>
      <c r="I1704" s="31"/>
      <c r="J1704" s="12"/>
      <c r="K1704" s="12"/>
      <c r="L1704" s="16"/>
      <c r="M1704" s="46"/>
      <c r="N1704" s="46"/>
      <c r="O1704" s="31"/>
      <c r="P1704" s="16"/>
      <c r="Q1704" s="16"/>
      <c r="R1704" s="16" t="str">
        <f t="shared" si="2"/>
        <v/>
      </c>
    </row>
    <row r="1705">
      <c r="B1705" s="16"/>
      <c r="C1705" s="12"/>
      <c r="D1705" s="12"/>
      <c r="E1705" s="12"/>
      <c r="F1705" s="12"/>
      <c r="G1705" s="25"/>
      <c r="H1705" s="12"/>
      <c r="I1705" s="31"/>
      <c r="J1705" s="12"/>
      <c r="K1705" s="12"/>
      <c r="L1705" s="16"/>
      <c r="M1705" s="46"/>
      <c r="N1705" s="46"/>
      <c r="O1705" s="31"/>
      <c r="P1705" s="16"/>
      <c r="Q1705" s="16"/>
      <c r="R1705" s="16" t="str">
        <f t="shared" si="2"/>
        <v/>
      </c>
    </row>
    <row r="1706">
      <c r="B1706" s="16"/>
      <c r="C1706" s="12"/>
      <c r="D1706" s="12"/>
      <c r="E1706" s="12"/>
      <c r="F1706" s="12"/>
      <c r="G1706" s="25"/>
      <c r="H1706" s="12"/>
      <c r="I1706" s="31"/>
      <c r="J1706" s="12"/>
      <c r="K1706" s="12"/>
      <c r="L1706" s="16"/>
      <c r="M1706" s="46"/>
      <c r="N1706" s="46"/>
      <c r="O1706" s="31"/>
      <c r="P1706" s="16"/>
      <c r="Q1706" s="16"/>
      <c r="R1706" s="16" t="str">
        <f t="shared" si="2"/>
        <v/>
      </c>
    </row>
    <row r="1707">
      <c r="B1707" s="16"/>
      <c r="C1707" s="12"/>
      <c r="D1707" s="12"/>
      <c r="E1707" s="12"/>
      <c r="F1707" s="12"/>
      <c r="G1707" s="25"/>
      <c r="H1707" s="12"/>
      <c r="I1707" s="31"/>
      <c r="J1707" s="12"/>
      <c r="K1707" s="12"/>
      <c r="L1707" s="16"/>
      <c r="M1707" s="46"/>
      <c r="N1707" s="46"/>
      <c r="O1707" s="31"/>
      <c r="P1707" s="16"/>
      <c r="Q1707" s="16"/>
      <c r="R1707" s="16" t="str">
        <f t="shared" si="2"/>
        <v/>
      </c>
    </row>
    <row r="1708">
      <c r="B1708" s="16"/>
      <c r="C1708" s="12"/>
      <c r="D1708" s="12"/>
      <c r="E1708" s="12"/>
      <c r="F1708" s="12"/>
      <c r="G1708" s="25"/>
      <c r="H1708" s="12"/>
      <c r="I1708" s="31"/>
      <c r="J1708" s="12"/>
      <c r="K1708" s="12"/>
      <c r="L1708" s="16"/>
      <c r="M1708" s="46"/>
      <c r="N1708" s="46"/>
      <c r="O1708" s="31"/>
      <c r="P1708" s="16"/>
      <c r="Q1708" s="16"/>
      <c r="R1708" s="16" t="str">
        <f t="shared" si="2"/>
        <v/>
      </c>
    </row>
    <row r="1709">
      <c r="B1709" s="16"/>
      <c r="C1709" s="12"/>
      <c r="D1709" s="12"/>
      <c r="E1709" s="12"/>
      <c r="F1709" s="12"/>
      <c r="G1709" s="25"/>
      <c r="H1709" s="12"/>
      <c r="I1709" s="31"/>
      <c r="J1709" s="12"/>
      <c r="K1709" s="12"/>
      <c r="L1709" s="16"/>
      <c r="M1709" s="46"/>
      <c r="N1709" s="46"/>
      <c r="O1709" s="31"/>
      <c r="P1709" s="16"/>
      <c r="Q1709" s="16"/>
      <c r="R1709" s="16" t="str">
        <f t="shared" si="2"/>
        <v/>
      </c>
    </row>
    <row r="1710">
      <c r="B1710" s="16"/>
      <c r="C1710" s="12"/>
      <c r="D1710" s="12"/>
      <c r="E1710" s="12"/>
      <c r="F1710" s="12"/>
      <c r="G1710" s="25"/>
      <c r="H1710" s="12"/>
      <c r="I1710" s="31"/>
      <c r="J1710" s="12"/>
      <c r="K1710" s="12"/>
      <c r="L1710" s="16"/>
      <c r="M1710" s="46"/>
      <c r="N1710" s="46"/>
      <c r="O1710" s="31"/>
      <c r="P1710" s="16"/>
      <c r="Q1710" s="16"/>
      <c r="R1710" s="16" t="str">
        <f t="shared" si="2"/>
        <v/>
      </c>
    </row>
    <row r="1711">
      <c r="B1711" s="16"/>
      <c r="C1711" s="12"/>
      <c r="D1711" s="12"/>
      <c r="E1711" s="12"/>
      <c r="F1711" s="12"/>
      <c r="G1711" s="25"/>
      <c r="H1711" s="12"/>
      <c r="I1711" s="31"/>
      <c r="J1711" s="12"/>
      <c r="K1711" s="12"/>
      <c r="L1711" s="16"/>
      <c r="M1711" s="46"/>
      <c r="N1711" s="46"/>
      <c r="O1711" s="31"/>
      <c r="P1711" s="16"/>
      <c r="Q1711" s="16"/>
      <c r="R1711" s="16" t="str">
        <f t="shared" si="2"/>
        <v/>
      </c>
    </row>
    <row r="1712">
      <c r="B1712" s="16"/>
      <c r="C1712" s="12"/>
      <c r="D1712" s="12"/>
      <c r="E1712" s="12"/>
      <c r="F1712" s="12"/>
      <c r="G1712" s="25"/>
      <c r="H1712" s="12"/>
      <c r="I1712" s="31"/>
      <c r="J1712" s="12"/>
      <c r="K1712" s="12"/>
      <c r="L1712" s="16"/>
      <c r="M1712" s="46"/>
      <c r="N1712" s="46"/>
      <c r="O1712" s="31"/>
      <c r="P1712" s="16"/>
      <c r="Q1712" s="16"/>
      <c r="R1712" s="16" t="str">
        <f t="shared" si="2"/>
        <v/>
      </c>
    </row>
    <row r="1713">
      <c r="B1713" s="16"/>
      <c r="C1713" s="12"/>
      <c r="D1713" s="12"/>
      <c r="E1713" s="12"/>
      <c r="F1713" s="12"/>
      <c r="G1713" s="25"/>
      <c r="H1713" s="12"/>
      <c r="I1713" s="31"/>
      <c r="J1713" s="12"/>
      <c r="K1713" s="12"/>
      <c r="L1713" s="16"/>
      <c r="M1713" s="46"/>
      <c r="N1713" s="46"/>
      <c r="O1713" s="31"/>
      <c r="P1713" s="16"/>
      <c r="Q1713" s="16"/>
      <c r="R1713" s="16" t="str">
        <f t="shared" si="2"/>
        <v/>
      </c>
    </row>
    <row r="1714">
      <c r="B1714" s="16"/>
      <c r="C1714" s="12"/>
      <c r="D1714" s="12"/>
      <c r="E1714" s="12"/>
      <c r="F1714" s="12"/>
      <c r="G1714" s="25"/>
      <c r="H1714" s="12"/>
      <c r="I1714" s="31"/>
      <c r="J1714" s="12"/>
      <c r="K1714" s="12"/>
      <c r="L1714" s="16"/>
      <c r="M1714" s="46"/>
      <c r="N1714" s="46"/>
      <c r="O1714" s="31"/>
      <c r="P1714" s="16"/>
      <c r="Q1714" s="16"/>
      <c r="R1714" s="16" t="str">
        <f t="shared" si="2"/>
        <v/>
      </c>
    </row>
    <row r="1715">
      <c r="B1715" s="16"/>
      <c r="C1715" s="12"/>
      <c r="D1715" s="12"/>
      <c r="E1715" s="12"/>
      <c r="F1715" s="12"/>
      <c r="G1715" s="25"/>
      <c r="H1715" s="12"/>
      <c r="I1715" s="31"/>
      <c r="J1715" s="12"/>
      <c r="K1715" s="12"/>
      <c r="L1715" s="16"/>
      <c r="M1715" s="46"/>
      <c r="N1715" s="46"/>
      <c r="O1715" s="31"/>
      <c r="P1715" s="16"/>
      <c r="Q1715" s="16"/>
      <c r="R1715" s="16" t="str">
        <f t="shared" si="2"/>
        <v/>
      </c>
    </row>
    <row r="1716">
      <c r="B1716" s="16"/>
      <c r="C1716" s="12"/>
      <c r="D1716" s="12"/>
      <c r="E1716" s="12"/>
      <c r="F1716" s="12"/>
      <c r="G1716" s="25"/>
      <c r="H1716" s="12"/>
      <c r="I1716" s="31"/>
      <c r="J1716" s="12"/>
      <c r="K1716" s="12"/>
      <c r="L1716" s="16"/>
      <c r="M1716" s="46"/>
      <c r="N1716" s="46"/>
      <c r="O1716" s="31"/>
      <c r="P1716" s="16"/>
      <c r="Q1716" s="16"/>
      <c r="R1716" s="16" t="str">
        <f t="shared" si="2"/>
        <v/>
      </c>
    </row>
    <row r="1717">
      <c r="B1717" s="16"/>
      <c r="C1717" s="12"/>
      <c r="D1717" s="12"/>
      <c r="E1717" s="12"/>
      <c r="F1717" s="12"/>
      <c r="G1717" s="25"/>
      <c r="H1717" s="12"/>
      <c r="I1717" s="31"/>
      <c r="J1717" s="12"/>
      <c r="K1717" s="12"/>
      <c r="L1717" s="16"/>
      <c r="M1717" s="46"/>
      <c r="N1717" s="46"/>
      <c r="O1717" s="31"/>
      <c r="P1717" s="16"/>
      <c r="Q1717" s="16"/>
      <c r="R1717" s="16" t="str">
        <f t="shared" si="2"/>
        <v/>
      </c>
    </row>
    <row r="1718">
      <c r="B1718" s="16"/>
      <c r="C1718" s="12"/>
      <c r="D1718" s="12"/>
      <c r="E1718" s="12"/>
      <c r="F1718" s="12"/>
      <c r="G1718" s="25"/>
      <c r="H1718" s="12"/>
      <c r="I1718" s="31"/>
      <c r="J1718" s="12"/>
      <c r="K1718" s="12"/>
      <c r="L1718" s="16"/>
      <c r="M1718" s="46"/>
      <c r="N1718" s="46"/>
      <c r="O1718" s="31"/>
      <c r="P1718" s="16"/>
      <c r="Q1718" s="16"/>
      <c r="R1718" s="16" t="str">
        <f t="shared" si="2"/>
        <v/>
      </c>
    </row>
    <row r="1719">
      <c r="B1719" s="16"/>
      <c r="C1719" s="12"/>
      <c r="D1719" s="12"/>
      <c r="E1719" s="12"/>
      <c r="F1719" s="12"/>
      <c r="G1719" s="25"/>
      <c r="H1719" s="12"/>
      <c r="I1719" s="31"/>
      <c r="J1719" s="12"/>
      <c r="K1719" s="12"/>
      <c r="L1719" s="16"/>
      <c r="M1719" s="46"/>
      <c r="N1719" s="46"/>
      <c r="O1719" s="31"/>
      <c r="P1719" s="16"/>
      <c r="Q1719" s="16"/>
      <c r="R1719" s="16" t="str">
        <f t="shared" si="2"/>
        <v/>
      </c>
    </row>
    <row r="1720">
      <c r="B1720" s="16"/>
      <c r="C1720" s="12"/>
      <c r="D1720" s="12"/>
      <c r="E1720" s="12"/>
      <c r="F1720" s="12"/>
      <c r="G1720" s="25"/>
      <c r="H1720" s="12"/>
      <c r="I1720" s="31"/>
      <c r="J1720" s="12"/>
      <c r="K1720" s="12"/>
      <c r="L1720" s="16"/>
      <c r="M1720" s="46"/>
      <c r="N1720" s="46"/>
      <c r="O1720" s="31"/>
      <c r="P1720" s="16"/>
      <c r="Q1720" s="16"/>
      <c r="R1720" s="16" t="str">
        <f t="shared" si="2"/>
        <v/>
      </c>
    </row>
    <row r="1721">
      <c r="B1721" s="16"/>
      <c r="C1721" s="12"/>
      <c r="D1721" s="12"/>
      <c r="E1721" s="12"/>
      <c r="F1721" s="12"/>
      <c r="G1721" s="25"/>
      <c r="H1721" s="12"/>
      <c r="I1721" s="31"/>
      <c r="J1721" s="12"/>
      <c r="K1721" s="12"/>
      <c r="L1721" s="16"/>
      <c r="M1721" s="46"/>
      <c r="N1721" s="46"/>
      <c r="O1721" s="31"/>
      <c r="P1721" s="16"/>
      <c r="Q1721" s="16"/>
      <c r="R1721" s="16" t="str">
        <f t="shared" si="2"/>
        <v/>
      </c>
    </row>
    <row r="1722">
      <c r="B1722" s="16"/>
      <c r="C1722" s="12"/>
      <c r="D1722" s="12"/>
      <c r="E1722" s="12"/>
      <c r="F1722" s="12"/>
      <c r="G1722" s="25"/>
      <c r="H1722" s="12"/>
      <c r="I1722" s="31"/>
      <c r="J1722" s="12"/>
      <c r="K1722" s="12"/>
      <c r="L1722" s="16"/>
      <c r="M1722" s="46"/>
      <c r="N1722" s="46"/>
      <c r="O1722" s="31"/>
      <c r="P1722" s="16"/>
      <c r="Q1722" s="16"/>
      <c r="R1722" s="16" t="str">
        <f t="shared" si="2"/>
        <v/>
      </c>
    </row>
    <row r="1723">
      <c r="B1723" s="16"/>
      <c r="C1723" s="12"/>
      <c r="D1723" s="12"/>
      <c r="E1723" s="12"/>
      <c r="F1723" s="12"/>
      <c r="G1723" s="25"/>
      <c r="H1723" s="12"/>
      <c r="I1723" s="31"/>
      <c r="J1723" s="12"/>
      <c r="K1723" s="12"/>
      <c r="L1723" s="16"/>
      <c r="M1723" s="46"/>
      <c r="N1723" s="46"/>
      <c r="O1723" s="31"/>
      <c r="P1723" s="16"/>
      <c r="Q1723" s="16"/>
      <c r="R1723" s="16" t="str">
        <f t="shared" si="2"/>
        <v/>
      </c>
    </row>
    <row r="1724">
      <c r="B1724" s="16"/>
      <c r="C1724" s="12"/>
      <c r="D1724" s="12"/>
      <c r="E1724" s="12"/>
      <c r="F1724" s="12"/>
      <c r="G1724" s="25"/>
      <c r="H1724" s="12"/>
      <c r="I1724" s="31"/>
      <c r="J1724" s="12"/>
      <c r="K1724" s="12"/>
      <c r="L1724" s="16"/>
      <c r="M1724" s="46"/>
      <c r="N1724" s="46"/>
      <c r="O1724" s="31"/>
      <c r="P1724" s="16"/>
      <c r="Q1724" s="16"/>
      <c r="R1724" s="16" t="str">
        <f t="shared" si="2"/>
        <v/>
      </c>
    </row>
    <row r="1725">
      <c r="B1725" s="16"/>
      <c r="C1725" s="12"/>
      <c r="D1725" s="12"/>
      <c r="E1725" s="12"/>
      <c r="F1725" s="12"/>
      <c r="G1725" s="25"/>
      <c r="H1725" s="12"/>
      <c r="I1725" s="31"/>
      <c r="J1725" s="12"/>
      <c r="K1725" s="12"/>
      <c r="L1725" s="16"/>
      <c r="M1725" s="46"/>
      <c r="N1725" s="46"/>
      <c r="O1725" s="31"/>
      <c r="P1725" s="16"/>
      <c r="Q1725" s="16"/>
      <c r="R1725" s="16" t="str">
        <f t="shared" si="2"/>
        <v/>
      </c>
    </row>
    <row r="1726">
      <c r="B1726" s="16"/>
      <c r="C1726" s="12"/>
      <c r="D1726" s="12"/>
      <c r="E1726" s="12"/>
      <c r="F1726" s="12"/>
      <c r="G1726" s="25"/>
      <c r="H1726" s="12"/>
      <c r="I1726" s="31"/>
      <c r="J1726" s="12"/>
      <c r="K1726" s="12"/>
      <c r="L1726" s="16"/>
      <c r="M1726" s="46"/>
      <c r="N1726" s="46"/>
      <c r="O1726" s="31"/>
      <c r="P1726" s="16"/>
      <c r="Q1726" s="16"/>
      <c r="R1726" s="16" t="str">
        <f t="shared" si="2"/>
        <v/>
      </c>
    </row>
    <row r="1727">
      <c r="B1727" s="16"/>
      <c r="C1727" s="12"/>
      <c r="D1727" s="12"/>
      <c r="E1727" s="12"/>
      <c r="F1727" s="12"/>
      <c r="G1727" s="25"/>
      <c r="H1727" s="12"/>
      <c r="I1727" s="31"/>
      <c r="J1727" s="12"/>
      <c r="K1727" s="12"/>
      <c r="L1727" s="16"/>
      <c r="M1727" s="46"/>
      <c r="N1727" s="46"/>
      <c r="O1727" s="31"/>
      <c r="P1727" s="16"/>
      <c r="Q1727" s="16"/>
      <c r="R1727" s="16" t="str">
        <f t="shared" si="2"/>
        <v/>
      </c>
    </row>
    <row r="1728">
      <c r="B1728" s="16"/>
      <c r="C1728" s="12"/>
      <c r="D1728" s="12"/>
      <c r="E1728" s="12"/>
      <c r="F1728" s="12"/>
      <c r="G1728" s="25"/>
      <c r="H1728" s="12"/>
      <c r="I1728" s="31"/>
      <c r="J1728" s="12"/>
      <c r="K1728" s="12"/>
      <c r="L1728" s="16"/>
      <c r="M1728" s="46"/>
      <c r="N1728" s="46"/>
      <c r="O1728" s="31"/>
      <c r="P1728" s="16"/>
      <c r="Q1728" s="16"/>
      <c r="R1728" s="16" t="str">
        <f t="shared" si="2"/>
        <v/>
      </c>
    </row>
    <row r="1729">
      <c r="B1729" s="16"/>
      <c r="C1729" s="12"/>
      <c r="D1729" s="12"/>
      <c r="E1729" s="12"/>
      <c r="F1729" s="12"/>
      <c r="G1729" s="25"/>
      <c r="H1729" s="12"/>
      <c r="I1729" s="31"/>
      <c r="J1729" s="12"/>
      <c r="K1729" s="12"/>
      <c r="L1729" s="16"/>
      <c r="M1729" s="46"/>
      <c r="N1729" s="46"/>
      <c r="O1729" s="31"/>
      <c r="P1729" s="16"/>
      <c r="Q1729" s="16"/>
      <c r="R1729" s="16" t="str">
        <f t="shared" si="2"/>
        <v/>
      </c>
    </row>
    <row r="1730">
      <c r="B1730" s="16"/>
      <c r="C1730" s="12"/>
      <c r="D1730" s="12"/>
      <c r="E1730" s="12"/>
      <c r="F1730" s="12"/>
      <c r="G1730" s="25"/>
      <c r="H1730" s="12"/>
      <c r="I1730" s="31"/>
      <c r="J1730" s="12"/>
      <c r="K1730" s="12"/>
      <c r="L1730" s="16"/>
      <c r="M1730" s="46"/>
      <c r="N1730" s="46"/>
      <c r="O1730" s="31"/>
      <c r="P1730" s="16"/>
      <c r="Q1730" s="16"/>
      <c r="R1730" s="16" t="str">
        <f t="shared" si="2"/>
        <v/>
      </c>
    </row>
    <row r="1731">
      <c r="B1731" s="16"/>
      <c r="C1731" s="12"/>
      <c r="D1731" s="12"/>
      <c r="E1731" s="12"/>
      <c r="F1731" s="12"/>
      <c r="G1731" s="25"/>
      <c r="H1731" s="12"/>
      <c r="I1731" s="31"/>
      <c r="J1731" s="12"/>
      <c r="K1731" s="12"/>
      <c r="L1731" s="16"/>
      <c r="M1731" s="46"/>
      <c r="N1731" s="46"/>
      <c r="O1731" s="31"/>
      <c r="P1731" s="16"/>
      <c r="Q1731" s="16"/>
      <c r="R1731" s="16" t="str">
        <f t="shared" si="2"/>
        <v/>
      </c>
    </row>
    <row r="1732">
      <c r="B1732" s="16"/>
      <c r="C1732" s="12"/>
      <c r="D1732" s="12"/>
      <c r="E1732" s="12"/>
      <c r="F1732" s="12"/>
      <c r="G1732" s="25"/>
      <c r="H1732" s="12"/>
      <c r="I1732" s="31"/>
      <c r="J1732" s="12"/>
      <c r="K1732" s="12"/>
      <c r="L1732" s="16"/>
      <c r="M1732" s="46"/>
      <c r="N1732" s="46"/>
      <c r="O1732" s="31"/>
      <c r="P1732" s="16"/>
      <c r="Q1732" s="16"/>
      <c r="R1732" s="16" t="str">
        <f t="shared" si="2"/>
        <v/>
      </c>
    </row>
    <row r="1733">
      <c r="B1733" s="16"/>
      <c r="C1733" s="12"/>
      <c r="D1733" s="12"/>
      <c r="E1733" s="12"/>
      <c r="F1733" s="12"/>
      <c r="G1733" s="25"/>
      <c r="H1733" s="12"/>
      <c r="I1733" s="31"/>
      <c r="J1733" s="12"/>
      <c r="K1733" s="12"/>
      <c r="L1733" s="16"/>
      <c r="M1733" s="46"/>
      <c r="N1733" s="46"/>
      <c r="O1733" s="31"/>
      <c r="P1733" s="16"/>
      <c r="Q1733" s="16"/>
      <c r="R1733" s="16" t="str">
        <f t="shared" si="2"/>
        <v/>
      </c>
    </row>
    <row r="1734">
      <c r="B1734" s="16"/>
      <c r="C1734" s="12"/>
      <c r="D1734" s="12"/>
      <c r="E1734" s="12"/>
      <c r="F1734" s="12"/>
      <c r="G1734" s="25"/>
      <c r="H1734" s="12"/>
      <c r="I1734" s="31"/>
      <c r="J1734" s="12"/>
      <c r="K1734" s="12"/>
      <c r="L1734" s="16"/>
      <c r="M1734" s="46"/>
      <c r="N1734" s="46"/>
      <c r="O1734" s="31"/>
      <c r="P1734" s="16"/>
      <c r="Q1734" s="16"/>
      <c r="R1734" s="16" t="str">
        <f t="shared" si="2"/>
        <v/>
      </c>
    </row>
    <row r="1735">
      <c r="B1735" s="16"/>
      <c r="C1735" s="12"/>
      <c r="D1735" s="12"/>
      <c r="E1735" s="12"/>
      <c r="F1735" s="12"/>
      <c r="G1735" s="25"/>
      <c r="H1735" s="12"/>
      <c r="I1735" s="31"/>
      <c r="J1735" s="12"/>
      <c r="K1735" s="12"/>
      <c r="L1735" s="16"/>
      <c r="M1735" s="46"/>
      <c r="N1735" s="46"/>
      <c r="O1735" s="31"/>
      <c r="P1735" s="16"/>
      <c r="Q1735" s="16"/>
      <c r="R1735" s="16" t="str">
        <f t="shared" si="2"/>
        <v/>
      </c>
    </row>
    <row r="1736">
      <c r="B1736" s="16"/>
      <c r="C1736" s="12"/>
      <c r="D1736" s="12"/>
      <c r="E1736" s="12"/>
      <c r="F1736" s="12"/>
      <c r="G1736" s="25"/>
      <c r="H1736" s="12"/>
      <c r="I1736" s="31"/>
      <c r="J1736" s="12"/>
      <c r="K1736" s="12"/>
      <c r="L1736" s="16"/>
      <c r="M1736" s="46"/>
      <c r="N1736" s="46"/>
      <c r="O1736" s="31"/>
      <c r="P1736" s="16"/>
      <c r="Q1736" s="16"/>
      <c r="R1736" s="16" t="str">
        <f t="shared" si="2"/>
        <v/>
      </c>
    </row>
    <row r="1737">
      <c r="B1737" s="16"/>
      <c r="C1737" s="12"/>
      <c r="D1737" s="12"/>
      <c r="E1737" s="12"/>
      <c r="F1737" s="12"/>
      <c r="G1737" s="25"/>
      <c r="H1737" s="12"/>
      <c r="I1737" s="31"/>
      <c r="J1737" s="12"/>
      <c r="K1737" s="12"/>
      <c r="L1737" s="16"/>
      <c r="M1737" s="46"/>
      <c r="N1737" s="46"/>
      <c r="O1737" s="31"/>
      <c r="P1737" s="16"/>
      <c r="Q1737" s="16"/>
      <c r="R1737" s="16" t="str">
        <f t="shared" si="2"/>
        <v/>
      </c>
    </row>
    <row r="1738">
      <c r="B1738" s="16"/>
      <c r="C1738" s="12"/>
      <c r="D1738" s="12"/>
      <c r="E1738" s="12"/>
      <c r="F1738" s="12"/>
      <c r="G1738" s="25"/>
      <c r="H1738" s="12"/>
      <c r="I1738" s="31"/>
      <c r="J1738" s="12"/>
      <c r="K1738" s="12"/>
      <c r="L1738" s="16"/>
      <c r="M1738" s="46"/>
      <c r="N1738" s="46"/>
      <c r="O1738" s="31"/>
      <c r="P1738" s="16"/>
      <c r="Q1738" s="16"/>
      <c r="R1738" s="16" t="str">
        <f t="shared" si="2"/>
        <v/>
      </c>
    </row>
    <row r="1739">
      <c r="B1739" s="16"/>
      <c r="C1739" s="12"/>
      <c r="D1739" s="12"/>
      <c r="E1739" s="12"/>
      <c r="F1739" s="12"/>
      <c r="G1739" s="25"/>
      <c r="H1739" s="12"/>
      <c r="I1739" s="31"/>
      <c r="J1739" s="12"/>
      <c r="K1739" s="12"/>
      <c r="L1739" s="16"/>
      <c r="M1739" s="46"/>
      <c r="N1739" s="46"/>
      <c r="O1739" s="31"/>
      <c r="P1739" s="16"/>
      <c r="Q1739" s="16"/>
      <c r="R1739" s="16" t="str">
        <f t="shared" si="2"/>
        <v/>
      </c>
    </row>
    <row r="1740">
      <c r="B1740" s="16"/>
      <c r="C1740" s="12"/>
      <c r="D1740" s="12"/>
      <c r="E1740" s="12"/>
      <c r="F1740" s="12"/>
      <c r="G1740" s="25"/>
      <c r="H1740" s="12"/>
      <c r="I1740" s="31"/>
      <c r="J1740" s="12"/>
      <c r="K1740" s="12"/>
      <c r="L1740" s="16"/>
      <c r="M1740" s="46"/>
      <c r="N1740" s="46"/>
      <c r="O1740" s="31"/>
      <c r="P1740" s="16"/>
      <c r="Q1740" s="16"/>
      <c r="R1740" s="16" t="str">
        <f t="shared" si="2"/>
        <v/>
      </c>
    </row>
    <row r="1741">
      <c r="B1741" s="16"/>
      <c r="C1741" s="12"/>
      <c r="D1741" s="12"/>
      <c r="E1741" s="12"/>
      <c r="F1741" s="12"/>
      <c r="G1741" s="25"/>
      <c r="H1741" s="12"/>
      <c r="I1741" s="31"/>
      <c r="J1741" s="12"/>
      <c r="K1741" s="12"/>
      <c r="L1741" s="16"/>
      <c r="M1741" s="46"/>
      <c r="N1741" s="46"/>
      <c r="O1741" s="31"/>
      <c r="P1741" s="16"/>
      <c r="Q1741" s="16"/>
      <c r="R1741" s="16" t="str">
        <f t="shared" si="2"/>
        <v/>
      </c>
    </row>
    <row r="1742">
      <c r="B1742" s="16"/>
      <c r="C1742" s="12"/>
      <c r="D1742" s="12"/>
      <c r="E1742" s="12"/>
      <c r="F1742" s="12"/>
      <c r="G1742" s="25"/>
      <c r="H1742" s="12"/>
      <c r="I1742" s="31"/>
      <c r="J1742" s="12"/>
      <c r="K1742" s="12"/>
      <c r="L1742" s="16"/>
      <c r="M1742" s="46"/>
      <c r="N1742" s="46"/>
      <c r="O1742" s="31"/>
      <c r="P1742" s="16"/>
      <c r="Q1742" s="16"/>
      <c r="R1742" s="16" t="str">
        <f t="shared" si="2"/>
        <v/>
      </c>
    </row>
    <row r="1743">
      <c r="B1743" s="16"/>
      <c r="C1743" s="12"/>
      <c r="D1743" s="12"/>
      <c r="E1743" s="12"/>
      <c r="F1743" s="12"/>
      <c r="G1743" s="25"/>
      <c r="H1743" s="12"/>
      <c r="I1743" s="31"/>
      <c r="J1743" s="12"/>
      <c r="K1743" s="12"/>
      <c r="L1743" s="16"/>
      <c r="M1743" s="46"/>
      <c r="N1743" s="46"/>
      <c r="O1743" s="31"/>
      <c r="P1743" s="16"/>
      <c r="Q1743" s="16"/>
      <c r="R1743" s="16" t="str">
        <f t="shared" si="2"/>
        <v/>
      </c>
    </row>
    <row r="1744">
      <c r="B1744" s="16"/>
      <c r="C1744" s="12"/>
      <c r="D1744" s="12"/>
      <c r="E1744" s="12"/>
      <c r="F1744" s="12"/>
      <c r="G1744" s="25"/>
      <c r="H1744" s="12"/>
      <c r="I1744" s="31"/>
      <c r="J1744" s="12"/>
      <c r="K1744" s="12"/>
      <c r="L1744" s="16"/>
      <c r="M1744" s="46"/>
      <c r="N1744" s="46"/>
      <c r="O1744" s="31"/>
      <c r="P1744" s="16"/>
      <c r="Q1744" s="16"/>
      <c r="R1744" s="16" t="str">
        <f t="shared" si="2"/>
        <v/>
      </c>
    </row>
    <row r="1745">
      <c r="B1745" s="16"/>
      <c r="C1745" s="12"/>
      <c r="D1745" s="12"/>
      <c r="E1745" s="12"/>
      <c r="F1745" s="12"/>
      <c r="G1745" s="25"/>
      <c r="H1745" s="12"/>
      <c r="I1745" s="31"/>
      <c r="J1745" s="12"/>
      <c r="K1745" s="12"/>
      <c r="L1745" s="16"/>
      <c r="M1745" s="46"/>
      <c r="N1745" s="46"/>
      <c r="O1745" s="31"/>
      <c r="P1745" s="16"/>
      <c r="Q1745" s="16"/>
      <c r="R1745" s="16" t="str">
        <f t="shared" si="2"/>
        <v/>
      </c>
    </row>
    <row r="1746">
      <c r="B1746" s="16"/>
      <c r="C1746" s="12"/>
      <c r="D1746" s="12"/>
      <c r="E1746" s="12"/>
      <c r="F1746" s="12"/>
      <c r="G1746" s="25"/>
      <c r="H1746" s="12"/>
      <c r="I1746" s="31"/>
      <c r="J1746" s="12"/>
      <c r="K1746" s="12"/>
      <c r="L1746" s="16"/>
      <c r="M1746" s="46"/>
      <c r="N1746" s="46"/>
      <c r="O1746" s="31"/>
      <c r="P1746" s="16"/>
      <c r="Q1746" s="16"/>
      <c r="R1746" s="16" t="str">
        <f t="shared" si="2"/>
        <v/>
      </c>
    </row>
    <row r="1747">
      <c r="B1747" s="16"/>
      <c r="C1747" s="12"/>
      <c r="D1747" s="12"/>
      <c r="E1747" s="12"/>
      <c r="F1747" s="12"/>
      <c r="G1747" s="25"/>
      <c r="H1747" s="12"/>
      <c r="I1747" s="31"/>
      <c r="J1747" s="12"/>
      <c r="K1747" s="12"/>
      <c r="L1747" s="16"/>
      <c r="M1747" s="46"/>
      <c r="N1747" s="46"/>
      <c r="O1747" s="31"/>
      <c r="P1747" s="16"/>
      <c r="Q1747" s="16"/>
      <c r="R1747" s="16" t="str">
        <f t="shared" si="2"/>
        <v/>
      </c>
    </row>
    <row r="1748">
      <c r="B1748" s="16"/>
      <c r="C1748" s="12"/>
      <c r="D1748" s="12"/>
      <c r="E1748" s="12"/>
      <c r="F1748" s="12"/>
      <c r="G1748" s="25"/>
      <c r="H1748" s="12"/>
      <c r="I1748" s="31"/>
      <c r="J1748" s="12"/>
      <c r="K1748" s="12"/>
      <c r="L1748" s="16"/>
      <c r="M1748" s="46"/>
      <c r="N1748" s="46"/>
      <c r="O1748" s="31"/>
      <c r="P1748" s="16"/>
      <c r="Q1748" s="16"/>
      <c r="R1748" s="16" t="str">
        <f t="shared" si="2"/>
        <v/>
      </c>
    </row>
    <row r="1749">
      <c r="B1749" s="16"/>
      <c r="C1749" s="12"/>
      <c r="D1749" s="12"/>
      <c r="E1749" s="12"/>
      <c r="F1749" s="12"/>
      <c r="G1749" s="25"/>
      <c r="H1749" s="12"/>
      <c r="I1749" s="31"/>
      <c r="J1749" s="12"/>
      <c r="K1749" s="12"/>
      <c r="L1749" s="16"/>
      <c r="M1749" s="46"/>
      <c r="N1749" s="46"/>
      <c r="O1749" s="31"/>
      <c r="P1749" s="16"/>
      <c r="Q1749" s="16"/>
      <c r="R1749" s="16" t="str">
        <f t="shared" si="2"/>
        <v/>
      </c>
    </row>
    <row r="1750">
      <c r="B1750" s="16"/>
      <c r="C1750" s="12"/>
      <c r="D1750" s="12"/>
      <c r="E1750" s="12"/>
      <c r="F1750" s="12"/>
      <c r="G1750" s="25"/>
      <c r="H1750" s="12"/>
      <c r="I1750" s="31"/>
      <c r="J1750" s="12"/>
      <c r="K1750" s="12"/>
      <c r="L1750" s="16"/>
      <c r="M1750" s="46"/>
      <c r="N1750" s="46"/>
      <c r="O1750" s="31"/>
      <c r="P1750" s="16"/>
      <c r="Q1750" s="16"/>
      <c r="R1750" s="16" t="str">
        <f t="shared" si="2"/>
        <v/>
      </c>
    </row>
    <row r="1751">
      <c r="B1751" s="16"/>
      <c r="C1751" s="12"/>
      <c r="D1751" s="12"/>
      <c r="E1751" s="12"/>
      <c r="F1751" s="12"/>
      <c r="G1751" s="25"/>
      <c r="H1751" s="12"/>
      <c r="I1751" s="31"/>
      <c r="J1751" s="12"/>
      <c r="K1751" s="12"/>
      <c r="L1751" s="16"/>
      <c r="M1751" s="46"/>
      <c r="N1751" s="46"/>
      <c r="O1751" s="31"/>
      <c r="P1751" s="16"/>
      <c r="Q1751" s="16"/>
      <c r="R1751" s="16" t="str">
        <f t="shared" si="2"/>
        <v/>
      </c>
    </row>
    <row r="1752">
      <c r="B1752" s="16"/>
      <c r="C1752" s="12"/>
      <c r="D1752" s="12"/>
      <c r="E1752" s="12"/>
      <c r="F1752" s="12"/>
      <c r="G1752" s="25"/>
      <c r="H1752" s="12"/>
      <c r="I1752" s="31"/>
      <c r="J1752" s="12"/>
      <c r="K1752" s="12"/>
      <c r="L1752" s="16"/>
      <c r="M1752" s="46"/>
      <c r="N1752" s="46"/>
      <c r="O1752" s="31"/>
      <c r="P1752" s="16"/>
      <c r="Q1752" s="16"/>
      <c r="R1752" s="16" t="str">
        <f t="shared" si="2"/>
        <v/>
      </c>
    </row>
    <row r="1753">
      <c r="B1753" s="16"/>
      <c r="C1753" s="12"/>
      <c r="D1753" s="12"/>
      <c r="E1753" s="12"/>
      <c r="F1753" s="12"/>
      <c r="G1753" s="25"/>
      <c r="H1753" s="12"/>
      <c r="I1753" s="31"/>
      <c r="J1753" s="12"/>
      <c r="K1753" s="12"/>
      <c r="L1753" s="16"/>
      <c r="M1753" s="46"/>
      <c r="N1753" s="46"/>
      <c r="O1753" s="31"/>
      <c r="P1753" s="16"/>
      <c r="Q1753" s="16"/>
      <c r="R1753" s="16" t="str">
        <f t="shared" si="2"/>
        <v/>
      </c>
    </row>
    <row r="1754">
      <c r="B1754" s="16"/>
      <c r="C1754" s="12"/>
      <c r="D1754" s="12"/>
      <c r="E1754" s="12"/>
      <c r="F1754" s="12"/>
      <c r="G1754" s="25"/>
      <c r="H1754" s="12"/>
      <c r="I1754" s="31"/>
      <c r="J1754" s="12"/>
      <c r="K1754" s="12"/>
      <c r="L1754" s="16"/>
      <c r="M1754" s="46"/>
      <c r="N1754" s="46"/>
      <c r="O1754" s="31"/>
      <c r="P1754" s="16"/>
      <c r="Q1754" s="16"/>
      <c r="R1754" s="16" t="str">
        <f t="shared" si="2"/>
        <v/>
      </c>
    </row>
    <row r="1755">
      <c r="B1755" s="16"/>
      <c r="C1755" s="12"/>
      <c r="D1755" s="12"/>
      <c r="E1755" s="12"/>
      <c r="F1755" s="12"/>
      <c r="G1755" s="25"/>
      <c r="H1755" s="12"/>
      <c r="I1755" s="31"/>
      <c r="J1755" s="12"/>
      <c r="K1755" s="12"/>
      <c r="L1755" s="16"/>
      <c r="M1755" s="46"/>
      <c r="N1755" s="46"/>
      <c r="O1755" s="31"/>
      <c r="P1755" s="16"/>
      <c r="Q1755" s="16"/>
      <c r="R1755" s="16" t="str">
        <f t="shared" si="2"/>
        <v/>
      </c>
    </row>
    <row r="1756">
      <c r="B1756" s="16"/>
      <c r="C1756" s="12"/>
      <c r="D1756" s="12"/>
      <c r="E1756" s="12"/>
      <c r="F1756" s="12"/>
      <c r="G1756" s="25"/>
      <c r="H1756" s="12"/>
      <c r="I1756" s="31"/>
      <c r="J1756" s="12"/>
      <c r="K1756" s="12"/>
      <c r="L1756" s="16"/>
      <c r="M1756" s="46"/>
      <c r="N1756" s="46"/>
      <c r="O1756" s="31"/>
      <c r="P1756" s="16"/>
      <c r="Q1756" s="16"/>
      <c r="R1756" s="16" t="str">
        <f t="shared" si="2"/>
        <v/>
      </c>
    </row>
    <row r="1757">
      <c r="B1757" s="16"/>
      <c r="C1757" s="12"/>
      <c r="D1757" s="12"/>
      <c r="E1757" s="12"/>
      <c r="F1757" s="12"/>
      <c r="G1757" s="25"/>
      <c r="H1757" s="12"/>
      <c r="I1757" s="31"/>
      <c r="J1757" s="12"/>
      <c r="K1757" s="12"/>
      <c r="L1757" s="16"/>
      <c r="M1757" s="46"/>
      <c r="N1757" s="46"/>
      <c r="O1757" s="31"/>
      <c r="P1757" s="16"/>
      <c r="Q1757" s="16"/>
      <c r="R1757" s="16" t="str">
        <f t="shared" si="2"/>
        <v/>
      </c>
    </row>
    <row r="1758">
      <c r="B1758" s="16"/>
      <c r="C1758" s="12"/>
      <c r="D1758" s="12"/>
      <c r="E1758" s="12"/>
      <c r="F1758" s="12"/>
      <c r="G1758" s="25"/>
      <c r="H1758" s="12"/>
      <c r="I1758" s="31"/>
      <c r="J1758" s="12"/>
      <c r="K1758" s="12"/>
      <c r="L1758" s="16"/>
      <c r="M1758" s="46"/>
      <c r="N1758" s="46"/>
      <c r="O1758" s="31"/>
      <c r="P1758" s="16"/>
      <c r="Q1758" s="16"/>
      <c r="R1758" s="16" t="str">
        <f t="shared" si="2"/>
        <v/>
      </c>
    </row>
    <row r="1759">
      <c r="B1759" s="16"/>
      <c r="C1759" s="12"/>
      <c r="D1759" s="12"/>
      <c r="E1759" s="12"/>
      <c r="F1759" s="12"/>
      <c r="G1759" s="25"/>
      <c r="H1759" s="12"/>
      <c r="I1759" s="31"/>
      <c r="J1759" s="12"/>
      <c r="K1759" s="12"/>
      <c r="L1759" s="16"/>
      <c r="M1759" s="46"/>
      <c r="N1759" s="46"/>
      <c r="O1759" s="31"/>
      <c r="P1759" s="16"/>
      <c r="Q1759" s="16"/>
      <c r="R1759" s="16" t="str">
        <f t="shared" si="2"/>
        <v/>
      </c>
    </row>
    <row r="1760">
      <c r="B1760" s="16"/>
      <c r="C1760" s="12"/>
      <c r="D1760" s="12"/>
      <c r="E1760" s="12"/>
      <c r="F1760" s="12"/>
      <c r="G1760" s="25"/>
      <c r="H1760" s="12"/>
      <c r="I1760" s="31"/>
      <c r="J1760" s="12"/>
      <c r="K1760" s="12"/>
      <c r="L1760" s="16"/>
      <c r="M1760" s="46"/>
      <c r="N1760" s="46"/>
      <c r="O1760" s="31"/>
      <c r="P1760" s="16"/>
      <c r="Q1760" s="16"/>
      <c r="R1760" s="16" t="str">
        <f t="shared" si="2"/>
        <v/>
      </c>
    </row>
    <row r="1761">
      <c r="B1761" s="16"/>
      <c r="C1761" s="12"/>
      <c r="D1761" s="12"/>
      <c r="E1761" s="12"/>
      <c r="F1761" s="12"/>
      <c r="G1761" s="25"/>
      <c r="H1761" s="12"/>
      <c r="I1761" s="31"/>
      <c r="J1761" s="12"/>
      <c r="K1761" s="12"/>
      <c r="L1761" s="16"/>
      <c r="M1761" s="46"/>
      <c r="N1761" s="46"/>
      <c r="O1761" s="31"/>
      <c r="P1761" s="16"/>
      <c r="Q1761" s="16"/>
      <c r="R1761" s="16" t="str">
        <f t="shared" si="2"/>
        <v/>
      </c>
    </row>
    <row r="1762">
      <c r="B1762" s="16"/>
      <c r="C1762" s="12"/>
      <c r="D1762" s="12"/>
      <c r="E1762" s="12"/>
      <c r="F1762" s="12"/>
      <c r="G1762" s="25"/>
      <c r="H1762" s="12"/>
      <c r="I1762" s="31"/>
      <c r="J1762" s="12"/>
      <c r="K1762" s="12"/>
      <c r="L1762" s="16"/>
      <c r="M1762" s="46"/>
      <c r="N1762" s="46"/>
      <c r="O1762" s="31"/>
      <c r="P1762" s="16"/>
      <c r="Q1762" s="16"/>
      <c r="R1762" s="16" t="str">
        <f t="shared" si="2"/>
        <v/>
      </c>
    </row>
    <row r="1763">
      <c r="B1763" s="16"/>
      <c r="C1763" s="12"/>
      <c r="D1763" s="12"/>
      <c r="E1763" s="12"/>
      <c r="F1763" s="12"/>
      <c r="G1763" s="25"/>
      <c r="H1763" s="12"/>
      <c r="I1763" s="31"/>
      <c r="J1763" s="12"/>
      <c r="K1763" s="12"/>
      <c r="L1763" s="16"/>
      <c r="M1763" s="46"/>
      <c r="N1763" s="46"/>
      <c r="O1763" s="31"/>
      <c r="P1763" s="16"/>
      <c r="Q1763" s="16"/>
      <c r="R1763" s="16" t="str">
        <f t="shared" si="2"/>
        <v/>
      </c>
    </row>
    <row r="1764">
      <c r="B1764" s="16"/>
      <c r="C1764" s="12"/>
      <c r="D1764" s="12"/>
      <c r="E1764" s="12"/>
      <c r="F1764" s="12"/>
      <c r="G1764" s="25"/>
      <c r="H1764" s="12"/>
      <c r="I1764" s="31"/>
      <c r="J1764" s="12"/>
      <c r="K1764" s="12"/>
      <c r="L1764" s="16"/>
      <c r="M1764" s="46"/>
      <c r="N1764" s="46"/>
      <c r="O1764" s="31"/>
      <c r="P1764" s="16"/>
      <c r="Q1764" s="16"/>
      <c r="R1764" s="16" t="str">
        <f t="shared" si="2"/>
        <v/>
      </c>
    </row>
    <row r="1765">
      <c r="B1765" s="16"/>
      <c r="C1765" s="12"/>
      <c r="D1765" s="12"/>
      <c r="E1765" s="12"/>
      <c r="F1765" s="12"/>
      <c r="G1765" s="25"/>
      <c r="H1765" s="12"/>
      <c r="I1765" s="31"/>
      <c r="J1765" s="12"/>
      <c r="K1765" s="12"/>
      <c r="L1765" s="16"/>
      <c r="M1765" s="46"/>
      <c r="N1765" s="46"/>
      <c r="O1765" s="31"/>
      <c r="P1765" s="16"/>
      <c r="Q1765" s="16"/>
      <c r="R1765" s="16" t="str">
        <f t="shared" si="2"/>
        <v/>
      </c>
    </row>
    <row r="1766">
      <c r="B1766" s="16"/>
      <c r="C1766" s="12"/>
      <c r="D1766" s="12"/>
      <c r="E1766" s="12"/>
      <c r="F1766" s="12"/>
      <c r="G1766" s="25"/>
      <c r="H1766" s="12"/>
      <c r="I1766" s="31"/>
      <c r="J1766" s="12"/>
      <c r="K1766" s="12"/>
      <c r="L1766" s="16"/>
      <c r="M1766" s="46"/>
      <c r="N1766" s="46"/>
      <c r="O1766" s="31"/>
      <c r="P1766" s="16"/>
      <c r="Q1766" s="16"/>
      <c r="R1766" s="16" t="str">
        <f t="shared" si="2"/>
        <v/>
      </c>
    </row>
    <row r="1767">
      <c r="B1767" s="16"/>
      <c r="C1767" s="12"/>
      <c r="D1767" s="12"/>
      <c r="E1767" s="12"/>
      <c r="F1767" s="12"/>
      <c r="G1767" s="25"/>
      <c r="H1767" s="12"/>
      <c r="I1767" s="31"/>
      <c r="J1767" s="12"/>
      <c r="K1767" s="12"/>
      <c r="L1767" s="16"/>
      <c r="M1767" s="46"/>
      <c r="N1767" s="46"/>
      <c r="O1767" s="31"/>
      <c r="P1767" s="16"/>
      <c r="Q1767" s="16"/>
      <c r="R1767" s="16" t="str">
        <f t="shared" si="2"/>
        <v/>
      </c>
    </row>
    <row r="1768">
      <c r="B1768" s="16"/>
      <c r="C1768" s="12"/>
      <c r="D1768" s="12"/>
      <c r="E1768" s="12"/>
      <c r="F1768" s="12"/>
      <c r="G1768" s="25"/>
      <c r="H1768" s="12"/>
      <c r="I1768" s="31"/>
      <c r="J1768" s="12"/>
      <c r="K1768" s="12"/>
      <c r="L1768" s="16"/>
      <c r="M1768" s="46"/>
      <c r="N1768" s="46"/>
      <c r="O1768" s="31"/>
      <c r="P1768" s="16"/>
      <c r="Q1768" s="16"/>
      <c r="R1768" s="16" t="str">
        <f t="shared" si="2"/>
        <v/>
      </c>
    </row>
    <row r="1769">
      <c r="B1769" s="16"/>
      <c r="C1769" s="12"/>
      <c r="D1769" s="12"/>
      <c r="E1769" s="12"/>
      <c r="F1769" s="12"/>
      <c r="G1769" s="25"/>
      <c r="H1769" s="12"/>
      <c r="I1769" s="31"/>
      <c r="J1769" s="12"/>
      <c r="K1769" s="12"/>
      <c r="L1769" s="16"/>
      <c r="M1769" s="46"/>
      <c r="N1769" s="46"/>
      <c r="O1769" s="31"/>
      <c r="P1769" s="16"/>
      <c r="Q1769" s="16"/>
      <c r="R1769" s="16" t="str">
        <f t="shared" si="2"/>
        <v/>
      </c>
    </row>
    <row r="1770">
      <c r="B1770" s="16"/>
      <c r="C1770" s="12"/>
      <c r="D1770" s="12"/>
      <c r="E1770" s="12"/>
      <c r="F1770" s="12"/>
      <c r="G1770" s="25"/>
      <c r="H1770" s="12"/>
      <c r="I1770" s="31"/>
      <c r="J1770" s="12"/>
      <c r="K1770" s="12"/>
      <c r="L1770" s="16"/>
      <c r="M1770" s="46"/>
      <c r="N1770" s="46"/>
      <c r="O1770" s="31"/>
      <c r="P1770" s="16"/>
      <c r="Q1770" s="16"/>
      <c r="R1770" s="16" t="str">
        <f t="shared" si="2"/>
        <v/>
      </c>
    </row>
    <row r="1771">
      <c r="B1771" s="16"/>
      <c r="C1771" s="12"/>
      <c r="D1771" s="12"/>
      <c r="E1771" s="12"/>
      <c r="F1771" s="12"/>
      <c r="G1771" s="25"/>
      <c r="H1771" s="12"/>
      <c r="I1771" s="31"/>
      <c r="J1771" s="12"/>
      <c r="K1771" s="12"/>
      <c r="L1771" s="16"/>
      <c r="M1771" s="46"/>
      <c r="N1771" s="46"/>
      <c r="O1771" s="31"/>
      <c r="P1771" s="16"/>
      <c r="Q1771" s="16"/>
      <c r="R1771" s="16" t="str">
        <f t="shared" si="2"/>
        <v/>
      </c>
    </row>
    <row r="1772">
      <c r="B1772" s="16"/>
      <c r="C1772" s="12"/>
      <c r="D1772" s="12"/>
      <c r="E1772" s="12"/>
      <c r="F1772" s="12"/>
      <c r="G1772" s="25"/>
      <c r="H1772" s="12"/>
      <c r="I1772" s="31"/>
      <c r="J1772" s="12"/>
      <c r="K1772" s="12"/>
      <c r="L1772" s="16"/>
      <c r="M1772" s="46"/>
      <c r="N1772" s="46"/>
      <c r="O1772" s="31"/>
      <c r="P1772" s="16"/>
      <c r="Q1772" s="16"/>
      <c r="R1772" s="16" t="str">
        <f t="shared" si="2"/>
        <v/>
      </c>
    </row>
    <row r="1773">
      <c r="B1773" s="16"/>
      <c r="C1773" s="12"/>
      <c r="D1773" s="12"/>
      <c r="E1773" s="12"/>
      <c r="F1773" s="12"/>
      <c r="G1773" s="25"/>
      <c r="H1773" s="12"/>
      <c r="I1773" s="31"/>
      <c r="J1773" s="12"/>
      <c r="K1773" s="12"/>
      <c r="L1773" s="16"/>
      <c r="M1773" s="46"/>
      <c r="N1773" s="46"/>
      <c r="O1773" s="31"/>
      <c r="P1773" s="16"/>
      <c r="Q1773" s="16"/>
      <c r="R1773" s="16" t="str">
        <f t="shared" si="2"/>
        <v/>
      </c>
    </row>
    <row r="1774">
      <c r="B1774" s="16"/>
      <c r="C1774" s="12"/>
      <c r="D1774" s="12"/>
      <c r="E1774" s="12"/>
      <c r="F1774" s="12"/>
      <c r="G1774" s="25"/>
      <c r="H1774" s="12"/>
      <c r="I1774" s="31"/>
      <c r="J1774" s="12"/>
      <c r="K1774" s="12"/>
      <c r="L1774" s="16"/>
      <c r="M1774" s="46"/>
      <c r="N1774" s="46"/>
      <c r="O1774" s="31"/>
      <c r="P1774" s="16"/>
      <c r="Q1774" s="16"/>
      <c r="R1774" s="16" t="str">
        <f t="shared" si="2"/>
        <v/>
      </c>
    </row>
    <row r="1775">
      <c r="B1775" s="16"/>
      <c r="C1775" s="12"/>
      <c r="D1775" s="12"/>
      <c r="E1775" s="12"/>
      <c r="F1775" s="12"/>
      <c r="G1775" s="25"/>
      <c r="H1775" s="12"/>
      <c r="I1775" s="31"/>
      <c r="J1775" s="12"/>
      <c r="K1775" s="12"/>
      <c r="L1775" s="16"/>
      <c r="M1775" s="46"/>
      <c r="N1775" s="46"/>
      <c r="O1775" s="31"/>
      <c r="P1775" s="16"/>
      <c r="Q1775" s="16"/>
      <c r="R1775" s="16" t="str">
        <f t="shared" si="2"/>
        <v/>
      </c>
    </row>
    <row r="1776">
      <c r="B1776" s="16"/>
      <c r="C1776" s="12"/>
      <c r="D1776" s="12"/>
      <c r="E1776" s="12"/>
      <c r="F1776" s="12"/>
      <c r="G1776" s="25"/>
      <c r="H1776" s="12"/>
      <c r="I1776" s="31"/>
      <c r="J1776" s="12"/>
      <c r="K1776" s="12"/>
      <c r="L1776" s="16"/>
      <c r="M1776" s="46"/>
      <c r="N1776" s="46"/>
      <c r="O1776" s="31"/>
      <c r="P1776" s="16"/>
      <c r="Q1776" s="16"/>
      <c r="R1776" s="16" t="str">
        <f t="shared" si="2"/>
        <v/>
      </c>
    </row>
    <row r="1777">
      <c r="B1777" s="16"/>
      <c r="C1777" s="12"/>
      <c r="D1777" s="12"/>
      <c r="E1777" s="12"/>
      <c r="F1777" s="12"/>
      <c r="G1777" s="25"/>
      <c r="H1777" s="12"/>
      <c r="I1777" s="31"/>
      <c r="J1777" s="12"/>
      <c r="K1777" s="12"/>
      <c r="L1777" s="16"/>
      <c r="M1777" s="46"/>
      <c r="N1777" s="46"/>
      <c r="O1777" s="31"/>
      <c r="P1777" s="16"/>
      <c r="Q1777" s="16"/>
      <c r="R1777" s="16" t="str">
        <f t="shared" si="2"/>
        <v/>
      </c>
    </row>
    <row r="1778">
      <c r="B1778" s="16"/>
      <c r="C1778" s="12"/>
      <c r="D1778" s="12"/>
      <c r="E1778" s="12"/>
      <c r="F1778" s="12"/>
      <c r="G1778" s="25"/>
      <c r="H1778" s="12"/>
      <c r="I1778" s="31"/>
      <c r="J1778" s="12"/>
      <c r="K1778" s="12"/>
      <c r="L1778" s="16"/>
      <c r="M1778" s="46"/>
      <c r="N1778" s="46"/>
      <c r="O1778" s="31"/>
      <c r="P1778" s="16"/>
      <c r="Q1778" s="16"/>
      <c r="R1778" s="16" t="str">
        <f t="shared" si="2"/>
        <v/>
      </c>
    </row>
    <row r="1779">
      <c r="B1779" s="16"/>
      <c r="C1779" s="12"/>
      <c r="D1779" s="12"/>
      <c r="E1779" s="12"/>
      <c r="F1779" s="12"/>
      <c r="G1779" s="25"/>
      <c r="H1779" s="12"/>
      <c r="I1779" s="31"/>
      <c r="J1779" s="12"/>
      <c r="K1779" s="12"/>
      <c r="L1779" s="16"/>
      <c r="M1779" s="46"/>
      <c r="N1779" s="46"/>
      <c r="O1779" s="31"/>
      <c r="P1779" s="16"/>
      <c r="Q1779" s="16"/>
      <c r="R1779" s="16" t="str">
        <f t="shared" si="2"/>
        <v/>
      </c>
    </row>
    <row r="1780">
      <c r="B1780" s="16"/>
      <c r="C1780" s="12"/>
      <c r="D1780" s="12"/>
      <c r="E1780" s="12"/>
      <c r="F1780" s="12"/>
      <c r="G1780" s="25"/>
      <c r="H1780" s="12"/>
      <c r="I1780" s="31"/>
      <c r="J1780" s="12"/>
      <c r="K1780" s="12"/>
      <c r="L1780" s="16"/>
      <c r="M1780" s="46"/>
      <c r="N1780" s="46"/>
      <c r="O1780" s="31"/>
      <c r="P1780" s="16"/>
      <c r="Q1780" s="16"/>
      <c r="R1780" s="16" t="str">
        <f t="shared" si="2"/>
        <v/>
      </c>
    </row>
    <row r="1781">
      <c r="B1781" s="16"/>
      <c r="C1781" s="12"/>
      <c r="D1781" s="12"/>
      <c r="E1781" s="12"/>
      <c r="F1781" s="12"/>
      <c r="G1781" s="25"/>
      <c r="H1781" s="12"/>
      <c r="I1781" s="31"/>
      <c r="J1781" s="12"/>
      <c r="K1781" s="12"/>
      <c r="L1781" s="16"/>
      <c r="M1781" s="46"/>
      <c r="N1781" s="46"/>
      <c r="O1781" s="31"/>
      <c r="P1781" s="16"/>
      <c r="Q1781" s="16"/>
      <c r="R1781" s="16" t="str">
        <f t="shared" si="2"/>
        <v/>
      </c>
    </row>
    <row r="1782">
      <c r="B1782" s="16"/>
      <c r="C1782" s="12"/>
      <c r="D1782" s="12"/>
      <c r="E1782" s="12"/>
      <c r="F1782" s="12"/>
      <c r="G1782" s="25"/>
      <c r="H1782" s="12"/>
      <c r="I1782" s="31"/>
      <c r="J1782" s="12"/>
      <c r="K1782" s="12"/>
      <c r="L1782" s="16"/>
      <c r="M1782" s="46"/>
      <c r="N1782" s="46"/>
      <c r="O1782" s="31"/>
      <c r="P1782" s="16"/>
      <c r="Q1782" s="16"/>
      <c r="R1782" s="16" t="str">
        <f t="shared" si="2"/>
        <v/>
      </c>
    </row>
    <row r="1783">
      <c r="B1783" s="16"/>
      <c r="C1783" s="12"/>
      <c r="D1783" s="12"/>
      <c r="E1783" s="12"/>
      <c r="F1783" s="12"/>
      <c r="G1783" s="25"/>
      <c r="H1783" s="12"/>
      <c r="I1783" s="31"/>
      <c r="J1783" s="12"/>
      <c r="K1783" s="12"/>
      <c r="L1783" s="16"/>
      <c r="M1783" s="46"/>
      <c r="N1783" s="46"/>
      <c r="O1783" s="31"/>
      <c r="P1783" s="16"/>
      <c r="Q1783" s="16"/>
      <c r="R1783" s="16" t="str">
        <f t="shared" si="2"/>
        <v/>
      </c>
    </row>
    <row r="1784">
      <c r="B1784" s="16"/>
      <c r="C1784" s="12"/>
      <c r="D1784" s="12"/>
      <c r="E1784" s="12"/>
      <c r="F1784" s="12"/>
      <c r="G1784" s="25"/>
      <c r="H1784" s="12"/>
      <c r="I1784" s="31"/>
      <c r="J1784" s="12"/>
      <c r="K1784" s="12"/>
      <c r="L1784" s="16"/>
      <c r="M1784" s="46"/>
      <c r="N1784" s="46"/>
      <c r="O1784" s="31"/>
      <c r="P1784" s="16"/>
      <c r="Q1784" s="16"/>
      <c r="R1784" s="16" t="str">
        <f t="shared" si="2"/>
        <v/>
      </c>
    </row>
    <row r="1785">
      <c r="B1785" s="16"/>
      <c r="C1785" s="12"/>
      <c r="D1785" s="12"/>
      <c r="E1785" s="12"/>
      <c r="F1785" s="12"/>
      <c r="G1785" s="25"/>
      <c r="H1785" s="12"/>
      <c r="I1785" s="31"/>
      <c r="J1785" s="12"/>
      <c r="K1785" s="12"/>
      <c r="L1785" s="16"/>
      <c r="M1785" s="46"/>
      <c r="N1785" s="46"/>
      <c r="O1785" s="31"/>
      <c r="P1785" s="16"/>
      <c r="Q1785" s="16"/>
      <c r="R1785" s="16" t="str">
        <f t="shared" si="2"/>
        <v/>
      </c>
    </row>
    <row r="1786">
      <c r="B1786" s="16"/>
      <c r="C1786" s="12"/>
      <c r="D1786" s="12"/>
      <c r="E1786" s="12"/>
      <c r="F1786" s="12"/>
      <c r="G1786" s="25"/>
      <c r="H1786" s="12"/>
      <c r="I1786" s="31"/>
      <c r="J1786" s="12"/>
      <c r="K1786" s="12"/>
      <c r="L1786" s="16"/>
      <c r="M1786" s="46"/>
      <c r="N1786" s="46"/>
      <c r="O1786" s="31"/>
      <c r="P1786" s="16"/>
      <c r="Q1786" s="16"/>
      <c r="R1786" s="16" t="str">
        <f t="shared" si="2"/>
        <v/>
      </c>
    </row>
    <row r="1787">
      <c r="B1787" s="16"/>
      <c r="C1787" s="12"/>
      <c r="D1787" s="12"/>
      <c r="E1787" s="12"/>
      <c r="F1787" s="12"/>
      <c r="G1787" s="25"/>
      <c r="H1787" s="12"/>
      <c r="I1787" s="31"/>
      <c r="J1787" s="12"/>
      <c r="K1787" s="12"/>
      <c r="L1787" s="16"/>
      <c r="M1787" s="46"/>
      <c r="N1787" s="46"/>
      <c r="O1787" s="31"/>
      <c r="P1787" s="16"/>
      <c r="Q1787" s="16"/>
      <c r="R1787" s="16" t="str">
        <f t="shared" si="2"/>
        <v/>
      </c>
    </row>
    <row r="1788">
      <c r="B1788" s="16"/>
      <c r="C1788" s="12"/>
      <c r="D1788" s="12"/>
      <c r="E1788" s="12"/>
      <c r="F1788" s="12"/>
      <c r="G1788" s="25"/>
      <c r="H1788" s="12"/>
      <c r="I1788" s="31"/>
      <c r="J1788" s="12"/>
      <c r="K1788" s="12"/>
      <c r="L1788" s="16"/>
      <c r="M1788" s="46"/>
      <c r="N1788" s="46"/>
      <c r="O1788" s="31"/>
      <c r="P1788" s="16"/>
      <c r="Q1788" s="16"/>
      <c r="R1788" s="16" t="str">
        <f t="shared" si="2"/>
        <v/>
      </c>
    </row>
    <row r="1789">
      <c r="B1789" s="16"/>
      <c r="C1789" s="12"/>
      <c r="D1789" s="12"/>
      <c r="E1789" s="12"/>
      <c r="F1789" s="12"/>
      <c r="G1789" s="25"/>
      <c r="H1789" s="12"/>
      <c r="I1789" s="31"/>
      <c r="J1789" s="12"/>
      <c r="K1789" s="12"/>
      <c r="L1789" s="16"/>
      <c r="M1789" s="46"/>
      <c r="N1789" s="46"/>
      <c r="O1789" s="31"/>
      <c r="P1789" s="16"/>
      <c r="Q1789" s="16"/>
      <c r="R1789" s="16" t="str">
        <f t="shared" si="2"/>
        <v/>
      </c>
    </row>
    <row r="1790">
      <c r="B1790" s="16"/>
      <c r="C1790" s="12"/>
      <c r="D1790" s="12"/>
      <c r="E1790" s="12"/>
      <c r="F1790" s="12"/>
      <c r="G1790" s="25"/>
      <c r="H1790" s="12"/>
      <c r="I1790" s="31"/>
      <c r="J1790" s="12"/>
      <c r="K1790" s="12"/>
      <c r="L1790" s="16"/>
      <c r="M1790" s="46"/>
      <c r="N1790" s="46"/>
      <c r="O1790" s="31"/>
      <c r="P1790" s="16"/>
      <c r="Q1790" s="16"/>
      <c r="R1790" s="16" t="str">
        <f t="shared" si="2"/>
        <v/>
      </c>
    </row>
    <row r="1791">
      <c r="B1791" s="16"/>
      <c r="C1791" s="12"/>
      <c r="D1791" s="12"/>
      <c r="E1791" s="12"/>
      <c r="F1791" s="12"/>
      <c r="G1791" s="25"/>
      <c r="H1791" s="12"/>
      <c r="I1791" s="31"/>
      <c r="J1791" s="12"/>
      <c r="K1791" s="12"/>
      <c r="L1791" s="16"/>
      <c r="M1791" s="46"/>
      <c r="N1791" s="46"/>
      <c r="O1791" s="31"/>
      <c r="P1791" s="16"/>
      <c r="Q1791" s="16"/>
      <c r="R1791" s="16" t="str">
        <f t="shared" si="2"/>
        <v/>
      </c>
    </row>
    <row r="1792">
      <c r="B1792" s="16"/>
      <c r="C1792" s="12"/>
      <c r="D1792" s="12"/>
      <c r="E1792" s="12"/>
      <c r="F1792" s="12"/>
      <c r="G1792" s="25"/>
      <c r="H1792" s="12"/>
      <c r="I1792" s="31"/>
      <c r="J1792" s="12"/>
      <c r="K1792" s="12"/>
      <c r="L1792" s="16"/>
      <c r="M1792" s="46"/>
      <c r="N1792" s="46"/>
      <c r="O1792" s="31"/>
      <c r="P1792" s="16"/>
      <c r="Q1792" s="16"/>
      <c r="R1792" s="16" t="str">
        <f t="shared" si="2"/>
        <v/>
      </c>
    </row>
    <row r="1793">
      <c r="B1793" s="16"/>
      <c r="C1793" s="12"/>
      <c r="D1793" s="12"/>
      <c r="E1793" s="12"/>
      <c r="F1793" s="12"/>
      <c r="G1793" s="25"/>
      <c r="H1793" s="12"/>
      <c r="I1793" s="31"/>
      <c r="J1793" s="12"/>
      <c r="K1793" s="12"/>
      <c r="L1793" s="16"/>
      <c r="M1793" s="46"/>
      <c r="N1793" s="46"/>
      <c r="O1793" s="31"/>
      <c r="P1793" s="16"/>
      <c r="Q1793" s="16"/>
      <c r="R1793" s="16" t="str">
        <f t="shared" si="2"/>
        <v/>
      </c>
    </row>
    <row r="1794">
      <c r="B1794" s="16"/>
      <c r="C1794" s="12"/>
      <c r="D1794" s="12"/>
      <c r="E1794" s="12"/>
      <c r="F1794" s="12"/>
      <c r="G1794" s="25"/>
      <c r="H1794" s="12"/>
      <c r="I1794" s="31"/>
      <c r="J1794" s="12"/>
      <c r="K1794" s="12"/>
      <c r="L1794" s="16"/>
      <c r="M1794" s="46"/>
      <c r="N1794" s="46"/>
      <c r="O1794" s="31"/>
      <c r="P1794" s="16"/>
      <c r="Q1794" s="16"/>
      <c r="R1794" s="16" t="str">
        <f t="shared" si="2"/>
        <v/>
      </c>
    </row>
    <row r="1795">
      <c r="B1795" s="16"/>
      <c r="C1795" s="12"/>
      <c r="D1795" s="12"/>
      <c r="E1795" s="12"/>
      <c r="F1795" s="12"/>
      <c r="G1795" s="25"/>
      <c r="H1795" s="12"/>
      <c r="I1795" s="31"/>
      <c r="J1795" s="12"/>
      <c r="K1795" s="12"/>
      <c r="L1795" s="16"/>
      <c r="M1795" s="46"/>
      <c r="N1795" s="46"/>
      <c r="O1795" s="31"/>
      <c r="P1795" s="16"/>
      <c r="Q1795" s="16"/>
      <c r="R1795" s="16" t="str">
        <f t="shared" si="2"/>
        <v/>
      </c>
    </row>
    <row r="1796">
      <c r="B1796" s="16"/>
      <c r="C1796" s="12"/>
      <c r="D1796" s="12"/>
      <c r="E1796" s="12"/>
      <c r="F1796" s="12"/>
      <c r="G1796" s="25"/>
      <c r="H1796" s="12"/>
      <c r="I1796" s="31"/>
      <c r="J1796" s="12"/>
      <c r="K1796" s="12"/>
      <c r="L1796" s="16"/>
      <c r="M1796" s="46"/>
      <c r="N1796" s="46"/>
      <c r="O1796" s="31"/>
      <c r="P1796" s="16"/>
      <c r="Q1796" s="16"/>
      <c r="R1796" s="16" t="str">
        <f t="shared" si="2"/>
        <v/>
      </c>
    </row>
    <row r="1797">
      <c r="B1797" s="16"/>
      <c r="C1797" s="12"/>
      <c r="D1797" s="12"/>
      <c r="E1797" s="12"/>
      <c r="F1797" s="12"/>
      <c r="G1797" s="25"/>
      <c r="H1797" s="12"/>
      <c r="I1797" s="31"/>
      <c r="J1797" s="12"/>
      <c r="K1797" s="12"/>
      <c r="L1797" s="16"/>
      <c r="M1797" s="46"/>
      <c r="N1797" s="46"/>
      <c r="O1797" s="31"/>
      <c r="P1797" s="16"/>
      <c r="Q1797" s="16"/>
      <c r="R1797" s="16" t="str">
        <f t="shared" si="2"/>
        <v/>
      </c>
    </row>
    <row r="1798">
      <c r="B1798" s="16"/>
      <c r="C1798" s="12"/>
      <c r="D1798" s="12"/>
      <c r="E1798" s="12"/>
      <c r="F1798" s="12"/>
      <c r="G1798" s="25"/>
      <c r="H1798" s="12"/>
      <c r="I1798" s="31"/>
      <c r="J1798" s="12"/>
      <c r="K1798" s="12"/>
      <c r="L1798" s="16"/>
      <c r="M1798" s="46"/>
      <c r="N1798" s="46"/>
      <c r="O1798" s="31"/>
      <c r="P1798" s="16"/>
      <c r="Q1798" s="16"/>
      <c r="R1798" s="16" t="str">
        <f t="shared" si="2"/>
        <v/>
      </c>
    </row>
    <row r="1799">
      <c r="B1799" s="16"/>
      <c r="C1799" s="12"/>
      <c r="D1799" s="12"/>
      <c r="E1799" s="12"/>
      <c r="F1799" s="12"/>
      <c r="G1799" s="25"/>
      <c r="H1799" s="12"/>
      <c r="I1799" s="31"/>
      <c r="J1799" s="12"/>
      <c r="K1799" s="12"/>
      <c r="L1799" s="16"/>
      <c r="M1799" s="46"/>
      <c r="N1799" s="46"/>
      <c r="O1799" s="31"/>
      <c r="P1799" s="16"/>
      <c r="Q1799" s="16"/>
      <c r="R1799" s="16" t="str">
        <f t="shared" si="2"/>
        <v/>
      </c>
    </row>
    <row r="1800">
      <c r="B1800" s="16"/>
      <c r="C1800" s="12"/>
      <c r="D1800" s="12"/>
      <c r="E1800" s="12"/>
      <c r="F1800" s="12"/>
      <c r="G1800" s="25"/>
      <c r="H1800" s="12"/>
      <c r="I1800" s="31"/>
      <c r="J1800" s="12"/>
      <c r="K1800" s="12"/>
      <c r="L1800" s="16"/>
      <c r="M1800" s="46"/>
      <c r="N1800" s="46"/>
      <c r="O1800" s="31"/>
      <c r="P1800" s="16"/>
      <c r="Q1800" s="16"/>
      <c r="R1800" s="16" t="str">
        <f t="shared" si="2"/>
        <v/>
      </c>
    </row>
    <row r="1801">
      <c r="B1801" s="16"/>
      <c r="C1801" s="12"/>
      <c r="D1801" s="12"/>
      <c r="E1801" s="12"/>
      <c r="F1801" s="12"/>
      <c r="G1801" s="25"/>
      <c r="H1801" s="12"/>
      <c r="I1801" s="31"/>
      <c r="J1801" s="12"/>
      <c r="K1801" s="12"/>
      <c r="L1801" s="16"/>
      <c r="M1801" s="46"/>
      <c r="N1801" s="46"/>
      <c r="O1801" s="31"/>
      <c r="P1801" s="16"/>
      <c r="Q1801" s="16"/>
      <c r="R1801" s="16" t="str">
        <f t="shared" si="2"/>
        <v/>
      </c>
    </row>
    <row r="1802">
      <c r="B1802" s="16"/>
      <c r="C1802" s="12"/>
      <c r="D1802" s="12"/>
      <c r="E1802" s="12"/>
      <c r="F1802" s="12"/>
      <c r="G1802" s="25"/>
      <c r="H1802" s="12"/>
      <c r="I1802" s="31"/>
      <c r="J1802" s="12"/>
      <c r="K1802" s="12"/>
      <c r="L1802" s="16"/>
      <c r="M1802" s="46"/>
      <c r="N1802" s="46"/>
      <c r="O1802" s="31"/>
      <c r="P1802" s="16"/>
      <c r="Q1802" s="16"/>
      <c r="R1802" s="16" t="str">
        <f t="shared" si="2"/>
        <v/>
      </c>
    </row>
    <row r="1803">
      <c r="B1803" s="16"/>
      <c r="C1803" s="12"/>
      <c r="D1803" s="12"/>
      <c r="E1803" s="12"/>
      <c r="F1803" s="12"/>
      <c r="G1803" s="25"/>
      <c r="H1803" s="12"/>
      <c r="I1803" s="31"/>
      <c r="J1803" s="12"/>
      <c r="K1803" s="12"/>
      <c r="L1803" s="16"/>
      <c r="M1803" s="46"/>
      <c r="N1803" s="46"/>
      <c r="O1803" s="31"/>
      <c r="P1803" s="16"/>
      <c r="Q1803" s="16"/>
      <c r="R1803" s="16" t="str">
        <f t="shared" si="2"/>
        <v/>
      </c>
    </row>
    <row r="1804">
      <c r="B1804" s="16"/>
      <c r="C1804" s="12"/>
      <c r="D1804" s="12"/>
      <c r="E1804" s="12"/>
      <c r="F1804" s="12"/>
      <c r="G1804" s="25"/>
      <c r="H1804" s="12"/>
      <c r="I1804" s="31"/>
      <c r="J1804" s="12"/>
      <c r="K1804" s="12"/>
      <c r="L1804" s="16"/>
      <c r="M1804" s="46"/>
      <c r="N1804" s="46"/>
      <c r="O1804" s="31"/>
      <c r="P1804" s="16"/>
      <c r="Q1804" s="16"/>
      <c r="R1804" s="16" t="str">
        <f t="shared" si="2"/>
        <v/>
      </c>
    </row>
    <row r="1805">
      <c r="B1805" s="16"/>
      <c r="C1805" s="12"/>
      <c r="D1805" s="12"/>
      <c r="E1805" s="12"/>
      <c r="F1805" s="12"/>
      <c r="G1805" s="25"/>
      <c r="H1805" s="12"/>
      <c r="I1805" s="31"/>
      <c r="J1805" s="12"/>
      <c r="K1805" s="12"/>
      <c r="L1805" s="16"/>
      <c r="M1805" s="46"/>
      <c r="N1805" s="46"/>
      <c r="O1805" s="31"/>
      <c r="P1805" s="16"/>
      <c r="Q1805" s="16"/>
      <c r="R1805" s="16" t="str">
        <f t="shared" si="2"/>
        <v/>
      </c>
    </row>
    <row r="1806">
      <c r="B1806" s="16"/>
      <c r="C1806" s="12"/>
      <c r="D1806" s="12"/>
      <c r="E1806" s="12"/>
      <c r="F1806" s="12"/>
      <c r="G1806" s="25"/>
      <c r="H1806" s="12"/>
      <c r="I1806" s="31"/>
      <c r="J1806" s="12"/>
      <c r="K1806" s="12"/>
      <c r="L1806" s="16"/>
      <c r="M1806" s="46"/>
      <c r="N1806" s="46"/>
      <c r="O1806" s="31"/>
      <c r="P1806" s="16"/>
      <c r="Q1806" s="16"/>
      <c r="R1806" s="16" t="str">
        <f t="shared" si="2"/>
        <v/>
      </c>
    </row>
    <row r="1807">
      <c r="B1807" s="16"/>
      <c r="C1807" s="12"/>
      <c r="D1807" s="12"/>
      <c r="E1807" s="12"/>
      <c r="F1807" s="12"/>
      <c r="G1807" s="25"/>
      <c r="H1807" s="12"/>
      <c r="I1807" s="31"/>
      <c r="J1807" s="12"/>
      <c r="K1807" s="12"/>
      <c r="L1807" s="16"/>
      <c r="M1807" s="46"/>
      <c r="N1807" s="46"/>
      <c r="O1807" s="31"/>
      <c r="P1807" s="16"/>
      <c r="Q1807" s="16"/>
      <c r="R1807" s="16" t="str">
        <f t="shared" si="2"/>
        <v/>
      </c>
    </row>
    <row r="1808">
      <c r="B1808" s="16"/>
      <c r="C1808" s="12"/>
      <c r="D1808" s="12"/>
      <c r="E1808" s="12"/>
      <c r="F1808" s="12"/>
      <c r="G1808" s="25"/>
      <c r="H1808" s="12"/>
      <c r="I1808" s="31"/>
      <c r="J1808" s="12"/>
      <c r="K1808" s="12"/>
      <c r="L1808" s="16"/>
      <c r="M1808" s="46"/>
      <c r="N1808" s="46"/>
      <c r="O1808" s="31"/>
      <c r="P1808" s="16"/>
      <c r="Q1808" s="16"/>
      <c r="R1808" s="16" t="str">
        <f t="shared" si="2"/>
        <v/>
      </c>
    </row>
    <row r="1809">
      <c r="B1809" s="16"/>
      <c r="C1809" s="12"/>
      <c r="D1809" s="12"/>
      <c r="E1809" s="12"/>
      <c r="F1809" s="12"/>
      <c r="G1809" s="25"/>
      <c r="H1809" s="12"/>
      <c r="I1809" s="31"/>
      <c r="J1809" s="12"/>
      <c r="K1809" s="12"/>
      <c r="L1809" s="16"/>
      <c r="M1809" s="46"/>
      <c r="N1809" s="46"/>
      <c r="O1809" s="31"/>
      <c r="P1809" s="16"/>
      <c r="Q1809" s="16"/>
      <c r="R1809" s="16" t="str">
        <f t="shared" si="2"/>
        <v/>
      </c>
    </row>
    <row r="1810">
      <c r="B1810" s="16"/>
      <c r="C1810" s="12"/>
      <c r="D1810" s="12"/>
      <c r="E1810" s="12"/>
      <c r="F1810" s="12"/>
      <c r="G1810" s="25"/>
      <c r="H1810" s="12"/>
      <c r="I1810" s="31"/>
      <c r="J1810" s="12"/>
      <c r="K1810" s="12"/>
      <c r="L1810" s="16"/>
      <c r="M1810" s="46"/>
      <c r="N1810" s="46"/>
      <c r="O1810" s="31"/>
      <c r="P1810" s="16"/>
      <c r="Q1810" s="16"/>
      <c r="R1810" s="16" t="str">
        <f t="shared" si="2"/>
        <v/>
      </c>
    </row>
    <row r="1811">
      <c r="B1811" s="16"/>
      <c r="C1811" s="12"/>
      <c r="D1811" s="12"/>
      <c r="E1811" s="12"/>
      <c r="F1811" s="12"/>
      <c r="G1811" s="25"/>
      <c r="H1811" s="12"/>
      <c r="I1811" s="31"/>
      <c r="J1811" s="12"/>
      <c r="K1811" s="12"/>
      <c r="L1811" s="16"/>
      <c r="M1811" s="46"/>
      <c r="N1811" s="46"/>
      <c r="O1811" s="31"/>
      <c r="P1811" s="16"/>
      <c r="Q1811" s="16"/>
      <c r="R1811" s="16" t="str">
        <f t="shared" si="2"/>
        <v/>
      </c>
    </row>
    <row r="1812">
      <c r="B1812" s="16"/>
      <c r="C1812" s="12"/>
      <c r="D1812" s="12"/>
      <c r="E1812" s="12"/>
      <c r="F1812" s="12"/>
      <c r="G1812" s="25"/>
      <c r="H1812" s="12"/>
      <c r="I1812" s="31"/>
      <c r="J1812" s="12"/>
      <c r="K1812" s="12"/>
      <c r="L1812" s="16"/>
      <c r="M1812" s="46"/>
      <c r="N1812" s="46"/>
      <c r="O1812" s="31"/>
      <c r="P1812" s="16"/>
      <c r="Q1812" s="16"/>
      <c r="R1812" s="16" t="str">
        <f t="shared" si="2"/>
        <v/>
      </c>
    </row>
    <row r="1813">
      <c r="B1813" s="16"/>
      <c r="C1813" s="12"/>
      <c r="D1813" s="12"/>
      <c r="E1813" s="12"/>
      <c r="F1813" s="12"/>
      <c r="G1813" s="25"/>
      <c r="H1813" s="12"/>
      <c r="I1813" s="31"/>
      <c r="J1813" s="12"/>
      <c r="K1813" s="12"/>
      <c r="L1813" s="16"/>
      <c r="M1813" s="46"/>
      <c r="N1813" s="46"/>
      <c r="O1813" s="31"/>
      <c r="P1813" s="16"/>
      <c r="Q1813" s="16"/>
      <c r="R1813" s="16" t="str">
        <f t="shared" si="2"/>
        <v/>
      </c>
    </row>
    <row r="1814">
      <c r="B1814" s="16"/>
      <c r="C1814" s="12"/>
      <c r="D1814" s="12"/>
      <c r="E1814" s="12"/>
      <c r="F1814" s="12"/>
      <c r="G1814" s="25"/>
      <c r="H1814" s="12"/>
      <c r="I1814" s="31"/>
      <c r="J1814" s="12"/>
      <c r="K1814" s="12"/>
      <c r="L1814" s="16"/>
      <c r="M1814" s="46"/>
      <c r="N1814" s="46"/>
      <c r="O1814" s="31"/>
      <c r="P1814" s="16"/>
      <c r="Q1814" s="16"/>
      <c r="R1814" s="16" t="str">
        <f t="shared" si="2"/>
        <v/>
      </c>
    </row>
    <row r="1815">
      <c r="B1815" s="16"/>
      <c r="C1815" s="12"/>
      <c r="D1815" s="12"/>
      <c r="E1815" s="12"/>
      <c r="F1815" s="12"/>
      <c r="G1815" s="25"/>
      <c r="H1815" s="12"/>
      <c r="I1815" s="31"/>
      <c r="J1815" s="12"/>
      <c r="K1815" s="12"/>
      <c r="L1815" s="16"/>
      <c r="M1815" s="46"/>
      <c r="N1815" s="46"/>
      <c r="O1815" s="31"/>
      <c r="P1815" s="16"/>
      <c r="Q1815" s="16"/>
      <c r="R1815" s="16" t="str">
        <f t="shared" si="2"/>
        <v/>
      </c>
    </row>
    <row r="1816">
      <c r="B1816" s="16"/>
      <c r="C1816" s="12"/>
      <c r="D1816" s="12"/>
      <c r="E1816" s="12"/>
      <c r="F1816" s="12"/>
      <c r="G1816" s="25"/>
      <c r="H1816" s="12"/>
      <c r="I1816" s="31"/>
      <c r="J1816" s="12"/>
      <c r="K1816" s="12"/>
      <c r="L1816" s="16"/>
      <c r="M1816" s="46"/>
      <c r="N1816" s="46"/>
      <c r="O1816" s="31"/>
      <c r="P1816" s="16"/>
      <c r="Q1816" s="16"/>
      <c r="R1816" s="16" t="str">
        <f t="shared" si="2"/>
        <v/>
      </c>
    </row>
    <row r="1817">
      <c r="B1817" s="16"/>
      <c r="C1817" s="12"/>
      <c r="D1817" s="12"/>
      <c r="E1817" s="12"/>
      <c r="F1817" s="12"/>
      <c r="G1817" s="25"/>
      <c r="H1817" s="12"/>
      <c r="I1817" s="31"/>
      <c r="J1817" s="12"/>
      <c r="K1817" s="12"/>
      <c r="L1817" s="16"/>
      <c r="M1817" s="46"/>
      <c r="N1817" s="46"/>
      <c r="O1817" s="31"/>
      <c r="P1817" s="16"/>
      <c r="Q1817" s="16"/>
      <c r="R1817" s="16" t="str">
        <f t="shared" si="2"/>
        <v/>
      </c>
    </row>
    <row r="1818">
      <c r="B1818" s="16"/>
      <c r="C1818" s="12"/>
      <c r="D1818" s="12"/>
      <c r="E1818" s="12"/>
      <c r="F1818" s="12"/>
      <c r="G1818" s="25"/>
      <c r="H1818" s="12"/>
      <c r="I1818" s="31"/>
      <c r="J1818" s="12"/>
      <c r="K1818" s="12"/>
      <c r="L1818" s="16"/>
      <c r="M1818" s="46"/>
      <c r="N1818" s="46"/>
      <c r="O1818" s="31"/>
      <c r="P1818" s="16"/>
      <c r="Q1818" s="16"/>
      <c r="R1818" s="16" t="str">
        <f t="shared" si="2"/>
        <v/>
      </c>
    </row>
    <row r="1819">
      <c r="B1819" s="16"/>
      <c r="C1819" s="12"/>
      <c r="D1819" s="12"/>
      <c r="E1819" s="12"/>
      <c r="F1819" s="12"/>
      <c r="G1819" s="25"/>
      <c r="H1819" s="12"/>
      <c r="I1819" s="31"/>
      <c r="J1819" s="12"/>
      <c r="K1819" s="12"/>
      <c r="L1819" s="16"/>
      <c r="M1819" s="46"/>
      <c r="N1819" s="46"/>
      <c r="O1819" s="31"/>
      <c r="P1819" s="16"/>
      <c r="Q1819" s="16"/>
      <c r="R1819" s="16" t="str">
        <f t="shared" si="2"/>
        <v/>
      </c>
    </row>
    <row r="1820">
      <c r="B1820" s="16"/>
      <c r="C1820" s="12"/>
      <c r="D1820" s="12"/>
      <c r="E1820" s="12"/>
      <c r="F1820" s="12"/>
      <c r="G1820" s="25"/>
      <c r="H1820" s="12"/>
      <c r="I1820" s="31"/>
      <c r="J1820" s="12"/>
      <c r="K1820" s="12"/>
      <c r="L1820" s="16"/>
      <c r="M1820" s="46"/>
      <c r="N1820" s="46"/>
      <c r="O1820" s="31"/>
      <c r="P1820" s="16"/>
      <c r="Q1820" s="16"/>
      <c r="R1820" s="16" t="str">
        <f t="shared" si="2"/>
        <v/>
      </c>
    </row>
    <row r="1821">
      <c r="B1821" s="16"/>
      <c r="C1821" s="12"/>
      <c r="D1821" s="12"/>
      <c r="E1821" s="12"/>
      <c r="F1821" s="12"/>
      <c r="G1821" s="25"/>
      <c r="H1821" s="12"/>
      <c r="I1821" s="31"/>
      <c r="J1821" s="12"/>
      <c r="K1821" s="12"/>
      <c r="L1821" s="16"/>
      <c r="M1821" s="46"/>
      <c r="N1821" s="46"/>
      <c r="O1821" s="31"/>
      <c r="P1821" s="16"/>
      <c r="Q1821" s="16"/>
      <c r="R1821" s="16" t="str">
        <f t="shared" si="2"/>
        <v/>
      </c>
    </row>
    <row r="1822">
      <c r="B1822" s="16"/>
      <c r="C1822" s="12"/>
      <c r="D1822" s="12"/>
      <c r="E1822" s="12"/>
      <c r="F1822" s="12"/>
      <c r="G1822" s="25"/>
      <c r="H1822" s="12"/>
      <c r="I1822" s="31"/>
      <c r="J1822" s="12"/>
      <c r="K1822" s="12"/>
      <c r="L1822" s="16"/>
      <c r="M1822" s="46"/>
      <c r="N1822" s="46"/>
      <c r="O1822" s="31"/>
      <c r="P1822" s="16"/>
      <c r="Q1822" s="16"/>
      <c r="R1822" s="16" t="str">
        <f t="shared" si="2"/>
        <v/>
      </c>
    </row>
    <row r="1823">
      <c r="B1823" s="16"/>
      <c r="C1823" s="12"/>
      <c r="D1823" s="12"/>
      <c r="E1823" s="12"/>
      <c r="F1823" s="12"/>
      <c r="G1823" s="25"/>
      <c r="H1823" s="12"/>
      <c r="I1823" s="31"/>
      <c r="J1823" s="12"/>
      <c r="K1823" s="12"/>
      <c r="L1823" s="16"/>
      <c r="M1823" s="46"/>
      <c r="N1823" s="46"/>
      <c r="O1823" s="31"/>
      <c r="P1823" s="16"/>
      <c r="Q1823" s="16"/>
      <c r="R1823" s="16" t="str">
        <f t="shared" si="2"/>
        <v/>
      </c>
    </row>
    <row r="1824">
      <c r="B1824" s="16"/>
      <c r="C1824" s="12"/>
      <c r="D1824" s="12"/>
      <c r="E1824" s="12"/>
      <c r="F1824" s="12"/>
      <c r="G1824" s="25"/>
      <c r="H1824" s="12"/>
      <c r="I1824" s="31"/>
      <c r="J1824" s="12"/>
      <c r="K1824" s="12"/>
      <c r="L1824" s="16"/>
      <c r="M1824" s="46"/>
      <c r="N1824" s="46"/>
      <c r="O1824" s="31"/>
      <c r="P1824" s="16"/>
      <c r="Q1824" s="16"/>
      <c r="R1824" s="16" t="str">
        <f t="shared" si="2"/>
        <v/>
      </c>
    </row>
    <row r="1825">
      <c r="B1825" s="16"/>
      <c r="C1825" s="12"/>
      <c r="D1825" s="12"/>
      <c r="E1825" s="12"/>
      <c r="F1825" s="12"/>
      <c r="G1825" s="25"/>
      <c r="H1825" s="12"/>
      <c r="I1825" s="31"/>
      <c r="J1825" s="12"/>
      <c r="K1825" s="12"/>
      <c r="L1825" s="16"/>
      <c r="M1825" s="46"/>
      <c r="N1825" s="46"/>
      <c r="O1825" s="31"/>
      <c r="P1825" s="16"/>
      <c r="Q1825" s="16"/>
      <c r="R1825" s="16" t="str">
        <f t="shared" si="2"/>
        <v/>
      </c>
    </row>
    <row r="1826">
      <c r="B1826" s="16"/>
      <c r="C1826" s="12"/>
      <c r="D1826" s="12"/>
      <c r="E1826" s="12"/>
      <c r="F1826" s="12"/>
      <c r="G1826" s="25"/>
      <c r="H1826" s="12"/>
      <c r="I1826" s="31"/>
      <c r="J1826" s="12"/>
      <c r="K1826" s="12"/>
      <c r="L1826" s="16"/>
      <c r="M1826" s="46"/>
      <c r="N1826" s="46"/>
      <c r="O1826" s="31"/>
      <c r="P1826" s="16"/>
      <c r="Q1826" s="16"/>
      <c r="R1826" s="16" t="str">
        <f t="shared" si="2"/>
        <v/>
      </c>
    </row>
    <row r="1827">
      <c r="B1827" s="16"/>
      <c r="C1827" s="12"/>
      <c r="D1827" s="12"/>
      <c r="E1827" s="12"/>
      <c r="F1827" s="12"/>
      <c r="G1827" s="25"/>
      <c r="H1827" s="12"/>
      <c r="I1827" s="31"/>
      <c r="J1827" s="12"/>
      <c r="K1827" s="12"/>
      <c r="L1827" s="16"/>
      <c r="M1827" s="46"/>
      <c r="N1827" s="46"/>
      <c r="O1827" s="31"/>
      <c r="P1827" s="16"/>
      <c r="Q1827" s="16"/>
      <c r="R1827" s="16" t="str">
        <f t="shared" si="2"/>
        <v/>
      </c>
    </row>
    <row r="1828">
      <c r="B1828" s="16"/>
      <c r="C1828" s="12"/>
      <c r="D1828" s="12"/>
      <c r="E1828" s="12"/>
      <c r="F1828" s="12"/>
      <c r="G1828" s="25"/>
      <c r="H1828" s="12"/>
      <c r="I1828" s="31"/>
      <c r="J1828" s="12"/>
      <c r="K1828" s="12"/>
      <c r="L1828" s="16"/>
      <c r="M1828" s="46"/>
      <c r="N1828" s="46"/>
      <c r="O1828" s="31"/>
      <c r="P1828" s="16"/>
      <c r="Q1828" s="16"/>
      <c r="R1828" s="16" t="str">
        <f t="shared" si="2"/>
        <v/>
      </c>
    </row>
    <row r="1829">
      <c r="B1829" s="16"/>
      <c r="C1829" s="12"/>
      <c r="D1829" s="12"/>
      <c r="E1829" s="12"/>
      <c r="F1829" s="12"/>
      <c r="G1829" s="25"/>
      <c r="H1829" s="12"/>
      <c r="I1829" s="31"/>
      <c r="J1829" s="12"/>
      <c r="K1829" s="12"/>
      <c r="L1829" s="16"/>
      <c r="M1829" s="46"/>
      <c r="N1829" s="46"/>
      <c r="O1829" s="31"/>
      <c r="P1829" s="16"/>
      <c r="Q1829" s="16"/>
      <c r="R1829" s="16" t="str">
        <f t="shared" si="2"/>
        <v/>
      </c>
    </row>
    <row r="1830">
      <c r="B1830" s="16"/>
      <c r="C1830" s="12"/>
      <c r="D1830" s="12"/>
      <c r="E1830" s="12"/>
      <c r="F1830" s="12"/>
      <c r="G1830" s="25"/>
      <c r="H1830" s="12"/>
      <c r="I1830" s="31"/>
      <c r="J1830" s="12"/>
      <c r="K1830" s="12"/>
      <c r="L1830" s="16"/>
      <c r="M1830" s="46"/>
      <c r="N1830" s="46"/>
      <c r="O1830" s="31"/>
      <c r="P1830" s="16"/>
      <c r="Q1830" s="16"/>
      <c r="R1830" s="16" t="str">
        <f t="shared" si="2"/>
        <v/>
      </c>
    </row>
    <row r="1831">
      <c r="B1831" s="16"/>
      <c r="C1831" s="12"/>
      <c r="D1831" s="12"/>
      <c r="E1831" s="12"/>
      <c r="F1831" s="12"/>
      <c r="G1831" s="25"/>
      <c r="H1831" s="12"/>
      <c r="I1831" s="31"/>
      <c r="J1831" s="12"/>
      <c r="K1831" s="12"/>
      <c r="L1831" s="16"/>
      <c r="M1831" s="46"/>
      <c r="N1831" s="46"/>
      <c r="O1831" s="31"/>
      <c r="P1831" s="16"/>
      <c r="Q1831" s="16"/>
      <c r="R1831" s="16" t="str">
        <f t="shared" si="2"/>
        <v/>
      </c>
    </row>
    <row r="1832">
      <c r="B1832" s="16"/>
      <c r="C1832" s="12"/>
      <c r="D1832" s="12"/>
      <c r="E1832" s="12"/>
      <c r="F1832" s="12"/>
      <c r="G1832" s="25"/>
      <c r="H1832" s="12"/>
      <c r="I1832" s="31"/>
      <c r="J1832" s="12"/>
      <c r="K1832" s="12"/>
      <c r="L1832" s="16"/>
      <c r="M1832" s="46"/>
      <c r="N1832" s="46"/>
      <c r="O1832" s="31"/>
      <c r="P1832" s="16"/>
      <c r="Q1832" s="16"/>
      <c r="R1832" s="16" t="str">
        <f t="shared" si="2"/>
        <v/>
      </c>
    </row>
    <row r="1833">
      <c r="B1833" s="16"/>
      <c r="C1833" s="12"/>
      <c r="D1833" s="12"/>
      <c r="E1833" s="12"/>
      <c r="F1833" s="12"/>
      <c r="G1833" s="25"/>
      <c r="H1833" s="12"/>
      <c r="I1833" s="31"/>
      <c r="J1833" s="12"/>
      <c r="K1833" s="12"/>
      <c r="L1833" s="16"/>
      <c r="M1833" s="46"/>
      <c r="N1833" s="46"/>
      <c r="O1833" s="31"/>
      <c r="P1833" s="16"/>
      <c r="Q1833" s="16"/>
      <c r="R1833" s="16" t="str">
        <f t="shared" si="2"/>
        <v/>
      </c>
    </row>
    <row r="1834">
      <c r="B1834" s="16"/>
      <c r="C1834" s="12"/>
      <c r="D1834" s="12"/>
      <c r="E1834" s="12"/>
      <c r="F1834" s="12"/>
      <c r="G1834" s="25"/>
      <c r="H1834" s="12"/>
      <c r="I1834" s="31"/>
      <c r="J1834" s="12"/>
      <c r="K1834" s="12"/>
      <c r="L1834" s="16"/>
      <c r="M1834" s="46"/>
      <c r="N1834" s="46"/>
      <c r="O1834" s="31"/>
      <c r="P1834" s="16"/>
      <c r="Q1834" s="16"/>
      <c r="R1834" s="16" t="str">
        <f t="shared" si="2"/>
        <v/>
      </c>
    </row>
    <row r="1835">
      <c r="B1835" s="16"/>
      <c r="C1835" s="12"/>
      <c r="D1835" s="12"/>
      <c r="E1835" s="12"/>
      <c r="F1835" s="12"/>
      <c r="G1835" s="25"/>
      <c r="H1835" s="12"/>
      <c r="I1835" s="31"/>
      <c r="J1835" s="12"/>
      <c r="K1835" s="12"/>
      <c r="L1835" s="16"/>
      <c r="M1835" s="46"/>
      <c r="N1835" s="46"/>
      <c r="O1835" s="31"/>
      <c r="P1835" s="16"/>
      <c r="Q1835" s="16"/>
      <c r="R1835" s="16" t="str">
        <f t="shared" si="2"/>
        <v/>
      </c>
    </row>
    <row r="1836">
      <c r="B1836" s="16"/>
      <c r="C1836" s="12"/>
      <c r="D1836" s="12"/>
      <c r="E1836" s="12"/>
      <c r="F1836" s="12"/>
      <c r="G1836" s="25"/>
      <c r="H1836" s="12"/>
      <c r="I1836" s="31"/>
      <c r="J1836" s="12"/>
      <c r="K1836" s="12"/>
      <c r="L1836" s="16"/>
      <c r="M1836" s="46"/>
      <c r="N1836" s="46"/>
      <c r="O1836" s="31"/>
      <c r="P1836" s="16"/>
      <c r="Q1836" s="16"/>
      <c r="R1836" s="16" t="str">
        <f t="shared" si="2"/>
        <v/>
      </c>
    </row>
    <row r="1837">
      <c r="B1837" s="16"/>
      <c r="C1837" s="12"/>
      <c r="D1837" s="12"/>
      <c r="E1837" s="12"/>
      <c r="F1837" s="12"/>
      <c r="G1837" s="25"/>
      <c r="H1837" s="12"/>
      <c r="I1837" s="31"/>
      <c r="J1837" s="12"/>
      <c r="K1837" s="12"/>
      <c r="L1837" s="16"/>
      <c r="M1837" s="46"/>
      <c r="N1837" s="46"/>
      <c r="O1837" s="31"/>
      <c r="P1837" s="16"/>
      <c r="Q1837" s="16"/>
      <c r="R1837" s="16" t="str">
        <f t="shared" si="2"/>
        <v/>
      </c>
    </row>
    <row r="1838">
      <c r="B1838" s="16"/>
      <c r="C1838" s="12"/>
      <c r="D1838" s="12"/>
      <c r="E1838" s="12"/>
      <c r="F1838" s="12"/>
      <c r="G1838" s="25"/>
      <c r="H1838" s="12"/>
      <c r="I1838" s="31"/>
      <c r="J1838" s="12"/>
      <c r="K1838" s="12"/>
      <c r="L1838" s="16"/>
      <c r="M1838" s="46"/>
      <c r="N1838" s="46"/>
      <c r="O1838" s="31"/>
      <c r="P1838" s="16"/>
      <c r="Q1838" s="16"/>
      <c r="R1838" s="16" t="str">
        <f t="shared" si="2"/>
        <v/>
      </c>
    </row>
    <row r="1839">
      <c r="B1839" s="16"/>
      <c r="C1839" s="12"/>
      <c r="D1839" s="12"/>
      <c r="E1839" s="12"/>
      <c r="F1839" s="12"/>
      <c r="G1839" s="25"/>
      <c r="H1839" s="12"/>
      <c r="I1839" s="31"/>
      <c r="J1839" s="12"/>
      <c r="K1839" s="12"/>
      <c r="L1839" s="16"/>
      <c r="M1839" s="46"/>
      <c r="N1839" s="46"/>
      <c r="O1839" s="31"/>
      <c r="P1839" s="16"/>
      <c r="Q1839" s="16"/>
      <c r="R1839" s="16" t="str">
        <f t="shared" si="2"/>
        <v/>
      </c>
    </row>
    <row r="1840">
      <c r="B1840" s="16"/>
      <c r="C1840" s="12"/>
      <c r="D1840" s="12"/>
      <c r="E1840" s="12"/>
      <c r="F1840" s="12"/>
      <c r="G1840" s="25"/>
      <c r="H1840" s="12"/>
      <c r="I1840" s="31"/>
      <c r="J1840" s="12"/>
      <c r="K1840" s="12"/>
      <c r="L1840" s="16"/>
      <c r="M1840" s="46"/>
      <c r="N1840" s="46"/>
      <c r="O1840" s="31"/>
      <c r="P1840" s="16"/>
      <c r="Q1840" s="16"/>
      <c r="R1840" s="16" t="str">
        <f t="shared" si="2"/>
        <v/>
      </c>
    </row>
    <row r="1841">
      <c r="B1841" s="16"/>
      <c r="C1841" s="12"/>
      <c r="D1841" s="12"/>
      <c r="E1841" s="12"/>
      <c r="F1841" s="12"/>
      <c r="G1841" s="25"/>
      <c r="H1841" s="12"/>
      <c r="I1841" s="31"/>
      <c r="J1841" s="12"/>
      <c r="K1841" s="12"/>
      <c r="L1841" s="16"/>
      <c r="M1841" s="46"/>
      <c r="N1841" s="46"/>
      <c r="O1841" s="31"/>
      <c r="P1841" s="16"/>
      <c r="Q1841" s="16"/>
      <c r="R1841" s="16" t="str">
        <f t="shared" si="2"/>
        <v/>
      </c>
    </row>
    <row r="1842">
      <c r="B1842" s="16"/>
      <c r="C1842" s="12"/>
      <c r="D1842" s="12"/>
      <c r="E1842" s="12"/>
      <c r="F1842" s="12"/>
      <c r="G1842" s="25"/>
      <c r="H1842" s="12"/>
      <c r="I1842" s="31"/>
      <c r="J1842" s="12"/>
      <c r="K1842" s="12"/>
      <c r="L1842" s="16"/>
      <c r="M1842" s="46"/>
      <c r="N1842" s="46"/>
      <c r="O1842" s="31"/>
      <c r="P1842" s="16"/>
      <c r="Q1842" s="16"/>
      <c r="R1842" s="16" t="str">
        <f t="shared" si="2"/>
        <v/>
      </c>
    </row>
    <row r="1843">
      <c r="B1843" s="16"/>
      <c r="C1843" s="12"/>
      <c r="D1843" s="12"/>
      <c r="E1843" s="12"/>
      <c r="F1843" s="12"/>
      <c r="G1843" s="25"/>
      <c r="H1843" s="12"/>
      <c r="I1843" s="31"/>
      <c r="J1843" s="12"/>
      <c r="K1843" s="12"/>
      <c r="L1843" s="16"/>
      <c r="M1843" s="46"/>
      <c r="N1843" s="46"/>
      <c r="O1843" s="31"/>
      <c r="P1843" s="16"/>
      <c r="Q1843" s="16"/>
      <c r="R1843" s="16" t="str">
        <f t="shared" si="2"/>
        <v/>
      </c>
    </row>
    <row r="1844">
      <c r="B1844" s="16"/>
      <c r="C1844" s="12"/>
      <c r="D1844" s="12"/>
      <c r="E1844" s="12"/>
      <c r="F1844" s="12"/>
      <c r="G1844" s="25"/>
      <c r="H1844" s="12"/>
      <c r="I1844" s="31"/>
      <c r="J1844" s="12"/>
      <c r="K1844" s="12"/>
      <c r="L1844" s="16"/>
      <c r="M1844" s="46"/>
      <c r="N1844" s="46"/>
      <c r="O1844" s="31"/>
      <c r="P1844" s="16"/>
      <c r="Q1844" s="16"/>
      <c r="R1844" s="16" t="str">
        <f t="shared" si="2"/>
        <v/>
      </c>
    </row>
    <row r="1845">
      <c r="B1845" s="16"/>
      <c r="C1845" s="12"/>
      <c r="D1845" s="12"/>
      <c r="E1845" s="12"/>
      <c r="F1845" s="12"/>
      <c r="G1845" s="25"/>
      <c r="H1845" s="12"/>
      <c r="I1845" s="31"/>
      <c r="J1845" s="12"/>
      <c r="K1845" s="12"/>
      <c r="L1845" s="16"/>
      <c r="M1845" s="46"/>
      <c r="N1845" s="46"/>
      <c r="O1845" s="31"/>
      <c r="P1845" s="16"/>
      <c r="Q1845" s="16"/>
      <c r="R1845" s="16" t="str">
        <f t="shared" si="2"/>
        <v/>
      </c>
    </row>
    <row r="1846">
      <c r="B1846" s="16"/>
      <c r="C1846" s="12"/>
      <c r="D1846" s="12"/>
      <c r="E1846" s="12"/>
      <c r="F1846" s="12"/>
      <c r="G1846" s="25"/>
      <c r="H1846" s="12"/>
      <c r="I1846" s="31"/>
      <c r="J1846" s="12"/>
      <c r="K1846" s="12"/>
      <c r="L1846" s="16"/>
      <c r="M1846" s="46"/>
      <c r="N1846" s="46"/>
      <c r="O1846" s="31"/>
      <c r="P1846" s="16"/>
      <c r="Q1846" s="16"/>
      <c r="R1846" s="16" t="str">
        <f t="shared" si="2"/>
        <v/>
      </c>
    </row>
    <row r="1847">
      <c r="B1847" s="16"/>
      <c r="C1847" s="12"/>
      <c r="D1847" s="12"/>
      <c r="E1847" s="12"/>
      <c r="F1847" s="12"/>
      <c r="G1847" s="25"/>
      <c r="H1847" s="12"/>
      <c r="I1847" s="31"/>
      <c r="J1847" s="12"/>
      <c r="K1847" s="12"/>
      <c r="L1847" s="16"/>
      <c r="M1847" s="46"/>
      <c r="N1847" s="46"/>
      <c r="O1847" s="31"/>
      <c r="P1847" s="16"/>
      <c r="Q1847" s="16"/>
      <c r="R1847" s="16" t="str">
        <f t="shared" si="2"/>
        <v/>
      </c>
    </row>
    <row r="1848">
      <c r="B1848" s="16"/>
      <c r="C1848" s="12"/>
      <c r="D1848" s="12"/>
      <c r="E1848" s="12"/>
      <c r="F1848" s="12"/>
      <c r="G1848" s="25"/>
      <c r="H1848" s="12"/>
      <c r="I1848" s="31"/>
      <c r="J1848" s="12"/>
      <c r="K1848" s="12"/>
      <c r="L1848" s="16"/>
      <c r="M1848" s="46"/>
      <c r="N1848" s="46"/>
      <c r="O1848" s="31"/>
      <c r="P1848" s="16"/>
      <c r="Q1848" s="16"/>
      <c r="R1848" s="16" t="str">
        <f t="shared" si="2"/>
        <v/>
      </c>
    </row>
    <row r="1849">
      <c r="B1849" s="16"/>
      <c r="C1849" s="12"/>
      <c r="D1849" s="12"/>
      <c r="E1849" s="12"/>
      <c r="F1849" s="12"/>
      <c r="G1849" s="25"/>
      <c r="H1849" s="12"/>
      <c r="I1849" s="31"/>
      <c r="J1849" s="12"/>
      <c r="K1849" s="12"/>
      <c r="L1849" s="16"/>
      <c r="M1849" s="46"/>
      <c r="N1849" s="46"/>
      <c r="O1849" s="31"/>
      <c r="P1849" s="16"/>
      <c r="Q1849" s="16"/>
      <c r="R1849" s="16" t="str">
        <f t="shared" si="2"/>
        <v/>
      </c>
    </row>
    <row r="1850">
      <c r="B1850" s="16"/>
      <c r="C1850" s="12"/>
      <c r="D1850" s="12"/>
      <c r="E1850" s="12"/>
      <c r="F1850" s="12"/>
      <c r="G1850" s="25"/>
      <c r="H1850" s="12"/>
      <c r="I1850" s="31"/>
      <c r="J1850" s="12"/>
      <c r="K1850" s="12"/>
      <c r="L1850" s="16"/>
      <c r="M1850" s="46"/>
      <c r="N1850" s="46"/>
      <c r="O1850" s="31"/>
      <c r="P1850" s="16"/>
      <c r="Q1850" s="16"/>
      <c r="R1850" s="16" t="str">
        <f t="shared" si="2"/>
        <v/>
      </c>
    </row>
    <row r="1851">
      <c r="B1851" s="16"/>
      <c r="C1851" s="12"/>
      <c r="D1851" s="12"/>
      <c r="E1851" s="12"/>
      <c r="F1851" s="12"/>
      <c r="G1851" s="25"/>
      <c r="H1851" s="12"/>
      <c r="I1851" s="31"/>
      <c r="J1851" s="12"/>
      <c r="K1851" s="12"/>
      <c r="L1851" s="16"/>
      <c r="M1851" s="46"/>
      <c r="N1851" s="46"/>
      <c r="O1851" s="31"/>
      <c r="P1851" s="16"/>
      <c r="Q1851" s="16"/>
      <c r="R1851" s="16" t="str">
        <f t="shared" si="2"/>
        <v/>
      </c>
    </row>
    <row r="1852">
      <c r="B1852" s="16"/>
      <c r="C1852" s="12"/>
      <c r="D1852" s="12"/>
      <c r="E1852" s="12"/>
      <c r="F1852" s="12"/>
      <c r="G1852" s="25"/>
      <c r="H1852" s="12"/>
      <c r="I1852" s="31"/>
      <c r="J1852" s="12"/>
      <c r="K1852" s="12"/>
      <c r="L1852" s="16"/>
      <c r="M1852" s="46"/>
      <c r="N1852" s="46"/>
      <c r="O1852" s="31"/>
      <c r="P1852" s="16"/>
      <c r="Q1852" s="16"/>
      <c r="R1852" s="16" t="str">
        <f t="shared" si="2"/>
        <v/>
      </c>
    </row>
    <row r="1853">
      <c r="B1853" s="16"/>
      <c r="C1853" s="12"/>
      <c r="D1853" s="12"/>
      <c r="E1853" s="12"/>
      <c r="F1853" s="12"/>
      <c r="G1853" s="25"/>
      <c r="H1853" s="12"/>
      <c r="I1853" s="31"/>
      <c r="J1853" s="12"/>
      <c r="K1853" s="12"/>
      <c r="L1853" s="16"/>
      <c r="M1853" s="46"/>
      <c r="N1853" s="46"/>
      <c r="O1853" s="31"/>
      <c r="P1853" s="16"/>
      <c r="Q1853" s="16"/>
      <c r="R1853" s="16" t="str">
        <f t="shared" si="2"/>
        <v/>
      </c>
    </row>
    <row r="1854">
      <c r="B1854" s="16"/>
      <c r="C1854" s="12"/>
      <c r="D1854" s="12"/>
      <c r="E1854" s="12"/>
      <c r="F1854" s="12"/>
      <c r="G1854" s="25"/>
      <c r="H1854" s="12"/>
      <c r="I1854" s="31"/>
      <c r="J1854" s="12"/>
      <c r="K1854" s="12"/>
      <c r="L1854" s="16"/>
      <c r="M1854" s="46"/>
      <c r="N1854" s="46"/>
      <c r="O1854" s="31"/>
      <c r="P1854" s="16"/>
      <c r="Q1854" s="16"/>
      <c r="R1854" s="16" t="str">
        <f t="shared" si="2"/>
        <v/>
      </c>
    </row>
    <row r="1855">
      <c r="B1855" s="16"/>
      <c r="C1855" s="12"/>
      <c r="D1855" s="12"/>
      <c r="E1855" s="12"/>
      <c r="F1855" s="12"/>
      <c r="G1855" s="25"/>
      <c r="H1855" s="12"/>
      <c r="I1855" s="31"/>
      <c r="J1855" s="12"/>
      <c r="K1855" s="12"/>
      <c r="L1855" s="16"/>
      <c r="M1855" s="46"/>
      <c r="N1855" s="46"/>
      <c r="O1855" s="31"/>
      <c r="P1855" s="16"/>
      <c r="Q1855" s="16"/>
      <c r="R1855" s="16" t="str">
        <f t="shared" si="2"/>
        <v/>
      </c>
    </row>
    <row r="1856">
      <c r="B1856" s="16"/>
      <c r="C1856" s="12"/>
      <c r="D1856" s="12"/>
      <c r="E1856" s="12"/>
      <c r="F1856" s="12"/>
      <c r="G1856" s="25"/>
      <c r="H1856" s="12"/>
      <c r="I1856" s="31"/>
      <c r="J1856" s="12"/>
      <c r="K1856" s="12"/>
      <c r="L1856" s="16"/>
      <c r="M1856" s="46"/>
      <c r="N1856" s="46"/>
      <c r="O1856" s="31"/>
      <c r="P1856" s="16"/>
      <c r="Q1856" s="16"/>
      <c r="R1856" s="16" t="str">
        <f t="shared" si="2"/>
        <v/>
      </c>
    </row>
    <row r="1857">
      <c r="B1857" s="16"/>
      <c r="C1857" s="12"/>
      <c r="D1857" s="12"/>
      <c r="E1857" s="12"/>
      <c r="F1857" s="12"/>
      <c r="G1857" s="25"/>
      <c r="H1857" s="12"/>
      <c r="I1857" s="31"/>
      <c r="J1857" s="12"/>
      <c r="K1857" s="12"/>
      <c r="L1857" s="16"/>
      <c r="M1857" s="46"/>
      <c r="N1857" s="46"/>
      <c r="O1857" s="31"/>
      <c r="P1857" s="16"/>
      <c r="Q1857" s="16"/>
      <c r="R1857" s="16" t="str">
        <f t="shared" si="2"/>
        <v/>
      </c>
    </row>
    <row r="1858">
      <c r="B1858" s="16"/>
      <c r="C1858" s="12"/>
      <c r="D1858" s="12"/>
      <c r="E1858" s="12"/>
      <c r="F1858" s="12"/>
      <c r="G1858" s="25"/>
      <c r="H1858" s="12"/>
      <c r="I1858" s="31"/>
      <c r="J1858" s="12"/>
      <c r="K1858" s="12"/>
      <c r="L1858" s="16"/>
      <c r="M1858" s="46"/>
      <c r="N1858" s="46"/>
      <c r="O1858" s="31"/>
      <c r="P1858" s="16"/>
      <c r="Q1858" s="16"/>
      <c r="R1858" s="16" t="str">
        <f t="shared" si="2"/>
        <v/>
      </c>
    </row>
    <row r="1859">
      <c r="B1859" s="16"/>
      <c r="C1859" s="12"/>
      <c r="D1859" s="12"/>
      <c r="E1859" s="12"/>
      <c r="F1859" s="12"/>
      <c r="G1859" s="25"/>
      <c r="H1859" s="12"/>
      <c r="I1859" s="31"/>
      <c r="J1859" s="12"/>
      <c r="K1859" s="12"/>
      <c r="L1859" s="16"/>
      <c r="M1859" s="46"/>
      <c r="N1859" s="46"/>
      <c r="O1859" s="31"/>
      <c r="P1859" s="16"/>
      <c r="Q1859" s="16"/>
      <c r="R1859" s="16" t="str">
        <f t="shared" si="2"/>
        <v/>
      </c>
    </row>
    <row r="1860">
      <c r="B1860" s="16"/>
      <c r="C1860" s="12"/>
      <c r="D1860" s="12"/>
      <c r="E1860" s="12"/>
      <c r="F1860" s="12"/>
      <c r="G1860" s="25"/>
      <c r="H1860" s="12"/>
      <c r="I1860" s="31"/>
      <c r="J1860" s="12"/>
      <c r="K1860" s="12"/>
      <c r="L1860" s="16"/>
      <c r="M1860" s="46"/>
      <c r="N1860" s="46"/>
      <c r="O1860" s="31"/>
      <c r="P1860" s="16"/>
      <c r="Q1860" s="16"/>
      <c r="R1860" s="16" t="str">
        <f t="shared" si="2"/>
        <v/>
      </c>
    </row>
    <row r="1861">
      <c r="B1861" s="16"/>
      <c r="C1861" s="12"/>
      <c r="D1861" s="12"/>
      <c r="E1861" s="12"/>
      <c r="F1861" s="12"/>
      <c r="G1861" s="25"/>
      <c r="H1861" s="12"/>
      <c r="I1861" s="31"/>
      <c r="J1861" s="12"/>
      <c r="K1861" s="12"/>
      <c r="L1861" s="16"/>
      <c r="M1861" s="46"/>
      <c r="N1861" s="46"/>
      <c r="O1861" s="31"/>
      <c r="P1861" s="16"/>
      <c r="Q1861" s="16"/>
      <c r="R1861" s="16" t="str">
        <f t="shared" si="2"/>
        <v/>
      </c>
    </row>
    <row r="1862">
      <c r="B1862" s="16"/>
      <c r="C1862" s="12"/>
      <c r="D1862" s="12"/>
      <c r="E1862" s="12"/>
      <c r="F1862" s="12"/>
      <c r="G1862" s="25"/>
      <c r="H1862" s="12"/>
      <c r="I1862" s="31"/>
      <c r="J1862" s="12"/>
      <c r="K1862" s="12"/>
      <c r="L1862" s="16"/>
      <c r="M1862" s="46"/>
      <c r="N1862" s="46"/>
      <c r="O1862" s="31"/>
      <c r="P1862" s="16"/>
      <c r="Q1862" s="16"/>
      <c r="R1862" s="16" t="str">
        <f t="shared" si="2"/>
        <v/>
      </c>
    </row>
    <row r="1863">
      <c r="B1863" s="16"/>
      <c r="C1863" s="12"/>
      <c r="D1863" s="12"/>
      <c r="E1863" s="12"/>
      <c r="F1863" s="12"/>
      <c r="G1863" s="25"/>
      <c r="H1863" s="12"/>
      <c r="I1863" s="31"/>
      <c r="J1863" s="12"/>
      <c r="K1863" s="12"/>
      <c r="L1863" s="16"/>
      <c r="M1863" s="46"/>
      <c r="N1863" s="46"/>
      <c r="O1863" s="31"/>
      <c r="P1863" s="16"/>
      <c r="Q1863" s="16"/>
      <c r="R1863" s="16" t="str">
        <f t="shared" si="2"/>
        <v/>
      </c>
    </row>
    <row r="1864">
      <c r="B1864" s="16"/>
      <c r="C1864" s="12"/>
      <c r="D1864" s="12"/>
      <c r="E1864" s="12"/>
      <c r="F1864" s="12"/>
      <c r="G1864" s="25"/>
      <c r="H1864" s="12"/>
      <c r="I1864" s="31"/>
      <c r="J1864" s="12"/>
      <c r="K1864" s="12"/>
      <c r="L1864" s="16"/>
      <c r="M1864" s="46"/>
      <c r="N1864" s="46"/>
      <c r="O1864" s="31"/>
      <c r="P1864" s="16"/>
      <c r="Q1864" s="16"/>
      <c r="R1864" s="16" t="str">
        <f t="shared" si="2"/>
        <v/>
      </c>
    </row>
    <row r="1865">
      <c r="B1865" s="16"/>
      <c r="C1865" s="12"/>
      <c r="D1865" s="12"/>
      <c r="E1865" s="12"/>
      <c r="F1865" s="12"/>
      <c r="G1865" s="25"/>
      <c r="H1865" s="12"/>
      <c r="I1865" s="31"/>
      <c r="J1865" s="12"/>
      <c r="K1865" s="12"/>
      <c r="L1865" s="16"/>
      <c r="M1865" s="46"/>
      <c r="N1865" s="46"/>
      <c r="O1865" s="31"/>
      <c r="P1865" s="16"/>
      <c r="Q1865" s="16"/>
      <c r="R1865" s="16" t="str">
        <f t="shared" si="2"/>
        <v/>
      </c>
    </row>
    <row r="1866">
      <c r="B1866" s="16"/>
      <c r="C1866" s="12"/>
      <c r="D1866" s="12"/>
      <c r="E1866" s="12"/>
      <c r="F1866" s="12"/>
      <c r="G1866" s="25"/>
      <c r="H1866" s="12"/>
      <c r="I1866" s="31"/>
      <c r="J1866" s="12"/>
      <c r="K1866" s="12"/>
      <c r="L1866" s="16"/>
      <c r="M1866" s="46"/>
      <c r="N1866" s="46"/>
      <c r="O1866" s="31"/>
      <c r="P1866" s="16"/>
      <c r="Q1866" s="16"/>
      <c r="R1866" s="16" t="str">
        <f t="shared" si="2"/>
        <v/>
      </c>
    </row>
    <row r="1867">
      <c r="B1867" s="16"/>
      <c r="C1867" s="12"/>
      <c r="D1867" s="12"/>
      <c r="E1867" s="12"/>
      <c r="F1867" s="12"/>
      <c r="G1867" s="25"/>
      <c r="H1867" s="12"/>
      <c r="I1867" s="31"/>
      <c r="J1867" s="12"/>
      <c r="K1867" s="12"/>
      <c r="L1867" s="16"/>
      <c r="M1867" s="46"/>
      <c r="N1867" s="46"/>
      <c r="O1867" s="31"/>
      <c r="P1867" s="16"/>
      <c r="Q1867" s="16"/>
      <c r="R1867" s="16" t="str">
        <f t="shared" si="2"/>
        <v/>
      </c>
    </row>
    <row r="1868">
      <c r="B1868" s="16"/>
      <c r="C1868" s="12"/>
      <c r="D1868" s="12"/>
      <c r="E1868" s="12"/>
      <c r="F1868" s="12"/>
      <c r="G1868" s="25"/>
      <c r="H1868" s="12"/>
      <c r="I1868" s="31"/>
      <c r="J1868" s="12"/>
      <c r="K1868" s="12"/>
      <c r="L1868" s="16"/>
      <c r="M1868" s="46"/>
      <c r="N1868" s="46"/>
      <c r="O1868" s="31"/>
      <c r="P1868" s="16"/>
      <c r="Q1868" s="16"/>
      <c r="R1868" s="16" t="str">
        <f t="shared" si="2"/>
        <v/>
      </c>
    </row>
    <row r="1869">
      <c r="B1869" s="16"/>
      <c r="C1869" s="12"/>
      <c r="D1869" s="12"/>
      <c r="E1869" s="12"/>
      <c r="F1869" s="12"/>
      <c r="G1869" s="25"/>
      <c r="H1869" s="12"/>
      <c r="I1869" s="31"/>
      <c r="J1869" s="12"/>
      <c r="K1869" s="12"/>
      <c r="L1869" s="16"/>
      <c r="M1869" s="46"/>
      <c r="N1869" s="46"/>
      <c r="O1869" s="31"/>
      <c r="P1869" s="16"/>
      <c r="Q1869" s="16"/>
      <c r="R1869" s="16" t="str">
        <f t="shared" si="2"/>
        <v/>
      </c>
    </row>
    <row r="1870">
      <c r="B1870" s="16"/>
      <c r="C1870" s="12"/>
      <c r="D1870" s="12"/>
      <c r="E1870" s="12"/>
      <c r="F1870" s="12"/>
      <c r="G1870" s="25"/>
      <c r="H1870" s="12"/>
      <c r="I1870" s="31"/>
      <c r="J1870" s="12"/>
      <c r="K1870" s="12"/>
      <c r="L1870" s="16"/>
      <c r="M1870" s="46"/>
      <c r="N1870" s="46"/>
      <c r="O1870" s="31"/>
      <c r="P1870" s="16"/>
      <c r="Q1870" s="16"/>
      <c r="R1870" s="16" t="str">
        <f t="shared" si="2"/>
        <v/>
      </c>
    </row>
    <row r="1871">
      <c r="B1871" s="16"/>
      <c r="C1871" s="12"/>
      <c r="D1871" s="12"/>
      <c r="E1871" s="12"/>
      <c r="F1871" s="12"/>
      <c r="G1871" s="25"/>
      <c r="H1871" s="12"/>
      <c r="I1871" s="31"/>
      <c r="J1871" s="12"/>
      <c r="K1871" s="12"/>
      <c r="L1871" s="16"/>
      <c r="M1871" s="46"/>
      <c r="N1871" s="46"/>
      <c r="O1871" s="31"/>
      <c r="P1871" s="16"/>
      <c r="Q1871" s="16"/>
      <c r="R1871" s="16" t="str">
        <f t="shared" si="2"/>
        <v/>
      </c>
    </row>
    <row r="1872">
      <c r="B1872" s="16"/>
      <c r="C1872" s="12"/>
      <c r="D1872" s="12"/>
      <c r="E1872" s="12"/>
      <c r="F1872" s="12"/>
      <c r="G1872" s="25"/>
      <c r="H1872" s="12"/>
      <c r="I1872" s="31"/>
      <c r="J1872" s="12"/>
      <c r="K1872" s="12"/>
      <c r="L1872" s="16"/>
      <c r="M1872" s="46"/>
      <c r="N1872" s="46"/>
      <c r="O1872" s="31"/>
      <c r="P1872" s="16"/>
      <c r="Q1872" s="16"/>
      <c r="R1872" s="16" t="str">
        <f t="shared" si="2"/>
        <v/>
      </c>
    </row>
    <row r="1873">
      <c r="B1873" s="16"/>
      <c r="C1873" s="12"/>
      <c r="D1873" s="12"/>
      <c r="E1873" s="12"/>
      <c r="F1873" s="12"/>
      <c r="G1873" s="25"/>
      <c r="H1873" s="12"/>
      <c r="I1873" s="31"/>
      <c r="J1873" s="12"/>
      <c r="K1873" s="12"/>
      <c r="L1873" s="16"/>
      <c r="M1873" s="46"/>
      <c r="N1873" s="46"/>
      <c r="O1873" s="31"/>
      <c r="P1873" s="16"/>
      <c r="Q1873" s="16"/>
      <c r="R1873" s="16" t="str">
        <f t="shared" si="2"/>
        <v/>
      </c>
    </row>
    <row r="1874">
      <c r="B1874" s="16"/>
      <c r="C1874" s="12"/>
      <c r="D1874" s="12"/>
      <c r="E1874" s="12"/>
      <c r="F1874" s="12"/>
      <c r="G1874" s="25"/>
      <c r="H1874" s="12"/>
      <c r="I1874" s="31"/>
      <c r="J1874" s="12"/>
      <c r="K1874" s="12"/>
      <c r="L1874" s="16"/>
      <c r="M1874" s="46"/>
      <c r="N1874" s="46"/>
      <c r="O1874" s="31"/>
      <c r="P1874" s="16"/>
      <c r="Q1874" s="16"/>
      <c r="R1874" s="16" t="str">
        <f t="shared" si="2"/>
        <v/>
      </c>
    </row>
    <row r="1875">
      <c r="B1875" s="16"/>
      <c r="C1875" s="12"/>
      <c r="D1875" s="12"/>
      <c r="E1875" s="12"/>
      <c r="F1875" s="12"/>
      <c r="G1875" s="25"/>
      <c r="H1875" s="12"/>
      <c r="I1875" s="31"/>
      <c r="J1875" s="12"/>
      <c r="K1875" s="12"/>
      <c r="L1875" s="16"/>
      <c r="M1875" s="46"/>
      <c r="N1875" s="46"/>
      <c r="O1875" s="31"/>
      <c r="P1875" s="16"/>
      <c r="Q1875" s="16"/>
      <c r="R1875" s="16" t="str">
        <f t="shared" si="2"/>
        <v/>
      </c>
    </row>
    <row r="1876">
      <c r="B1876" s="16"/>
      <c r="C1876" s="12"/>
      <c r="D1876" s="12"/>
      <c r="E1876" s="12"/>
      <c r="F1876" s="12"/>
      <c r="G1876" s="25"/>
      <c r="H1876" s="12"/>
      <c r="I1876" s="31"/>
      <c r="J1876" s="12"/>
      <c r="K1876" s="12"/>
      <c r="L1876" s="16"/>
      <c r="M1876" s="46"/>
      <c r="N1876" s="46"/>
      <c r="O1876" s="31"/>
      <c r="P1876" s="16"/>
      <c r="Q1876" s="16"/>
      <c r="R1876" s="16" t="str">
        <f t="shared" si="2"/>
        <v/>
      </c>
    </row>
    <row r="1877">
      <c r="B1877" s="16"/>
      <c r="C1877" s="12"/>
      <c r="D1877" s="12"/>
      <c r="E1877" s="12"/>
      <c r="F1877" s="12"/>
      <c r="G1877" s="25"/>
      <c r="H1877" s="12"/>
      <c r="I1877" s="31"/>
      <c r="J1877" s="12"/>
      <c r="K1877" s="12"/>
      <c r="L1877" s="16"/>
      <c r="M1877" s="46"/>
      <c r="N1877" s="46"/>
      <c r="O1877" s="31"/>
      <c r="P1877" s="16"/>
      <c r="Q1877" s="16"/>
      <c r="R1877" s="16" t="str">
        <f t="shared" si="2"/>
        <v/>
      </c>
    </row>
    <row r="1878">
      <c r="B1878" s="16"/>
      <c r="C1878" s="12"/>
      <c r="D1878" s="12"/>
      <c r="E1878" s="12"/>
      <c r="F1878" s="12"/>
      <c r="G1878" s="25"/>
      <c r="H1878" s="12"/>
      <c r="I1878" s="31"/>
      <c r="J1878" s="12"/>
      <c r="K1878" s="12"/>
      <c r="L1878" s="16"/>
      <c r="M1878" s="46"/>
      <c r="N1878" s="46"/>
      <c r="O1878" s="31"/>
      <c r="P1878" s="16"/>
      <c r="Q1878" s="16"/>
      <c r="R1878" s="16" t="str">
        <f t="shared" si="2"/>
        <v/>
      </c>
    </row>
    <row r="1879">
      <c r="B1879" s="16"/>
      <c r="C1879" s="12"/>
      <c r="D1879" s="12"/>
      <c r="E1879" s="12"/>
      <c r="F1879" s="12"/>
      <c r="G1879" s="25"/>
      <c r="H1879" s="12"/>
      <c r="I1879" s="31"/>
      <c r="J1879" s="12"/>
      <c r="K1879" s="12"/>
      <c r="L1879" s="16"/>
      <c r="M1879" s="46"/>
      <c r="N1879" s="46"/>
      <c r="O1879" s="31"/>
      <c r="P1879" s="16"/>
      <c r="Q1879" s="16"/>
      <c r="R1879" s="16" t="str">
        <f t="shared" si="2"/>
        <v/>
      </c>
    </row>
    <row r="1880">
      <c r="B1880" s="16"/>
      <c r="C1880" s="12"/>
      <c r="D1880" s="12"/>
      <c r="E1880" s="12"/>
      <c r="F1880" s="12"/>
      <c r="G1880" s="25"/>
      <c r="H1880" s="12"/>
      <c r="I1880" s="31"/>
      <c r="J1880" s="12"/>
      <c r="K1880" s="12"/>
      <c r="L1880" s="16"/>
      <c r="M1880" s="46"/>
      <c r="N1880" s="46"/>
      <c r="O1880" s="31"/>
      <c r="P1880" s="16"/>
      <c r="Q1880" s="16"/>
      <c r="R1880" s="16" t="str">
        <f t="shared" si="2"/>
        <v/>
      </c>
    </row>
    <row r="1881">
      <c r="B1881" s="16"/>
      <c r="C1881" s="12"/>
      <c r="D1881" s="12"/>
      <c r="E1881" s="12"/>
      <c r="F1881" s="12"/>
      <c r="G1881" s="25"/>
      <c r="H1881" s="12"/>
      <c r="I1881" s="31"/>
      <c r="J1881" s="12"/>
      <c r="K1881" s="12"/>
      <c r="L1881" s="16"/>
      <c r="M1881" s="46"/>
      <c r="N1881" s="46"/>
      <c r="O1881" s="31"/>
      <c r="P1881" s="16"/>
      <c r="Q1881" s="16"/>
      <c r="R1881" s="16" t="str">
        <f t="shared" si="2"/>
        <v/>
      </c>
    </row>
    <row r="1882">
      <c r="B1882" s="16"/>
      <c r="C1882" s="12"/>
      <c r="D1882" s="12"/>
      <c r="E1882" s="12"/>
      <c r="F1882" s="12"/>
      <c r="G1882" s="25"/>
      <c r="H1882" s="12"/>
      <c r="I1882" s="31"/>
      <c r="J1882" s="12"/>
      <c r="K1882" s="12"/>
      <c r="L1882" s="16"/>
      <c r="M1882" s="46"/>
      <c r="N1882" s="46"/>
      <c r="O1882" s="31"/>
      <c r="P1882" s="16"/>
      <c r="Q1882" s="16"/>
      <c r="R1882" s="16" t="str">
        <f t="shared" si="2"/>
        <v/>
      </c>
    </row>
    <row r="1883">
      <c r="B1883" s="16"/>
      <c r="C1883" s="12"/>
      <c r="D1883" s="12"/>
      <c r="E1883" s="12"/>
      <c r="F1883" s="12"/>
      <c r="G1883" s="25"/>
      <c r="H1883" s="12"/>
      <c r="I1883" s="31"/>
      <c r="J1883" s="12"/>
      <c r="K1883" s="12"/>
      <c r="L1883" s="16"/>
      <c r="M1883" s="46"/>
      <c r="N1883" s="46"/>
      <c r="O1883" s="31"/>
      <c r="P1883" s="16"/>
      <c r="Q1883" s="16"/>
      <c r="R1883" s="16" t="str">
        <f t="shared" si="2"/>
        <v/>
      </c>
    </row>
    <row r="1884">
      <c r="B1884" s="16"/>
      <c r="C1884" s="12"/>
      <c r="D1884" s="12"/>
      <c r="E1884" s="12"/>
      <c r="F1884" s="12"/>
      <c r="G1884" s="25"/>
      <c r="H1884" s="12"/>
      <c r="I1884" s="31"/>
      <c r="J1884" s="12"/>
      <c r="K1884" s="12"/>
      <c r="L1884" s="16"/>
      <c r="M1884" s="46"/>
      <c r="N1884" s="46"/>
      <c r="O1884" s="31"/>
      <c r="P1884" s="16"/>
      <c r="Q1884" s="16"/>
      <c r="R1884" s="16" t="str">
        <f t="shared" si="2"/>
        <v/>
      </c>
    </row>
    <row r="1885">
      <c r="B1885" s="16"/>
      <c r="C1885" s="12"/>
      <c r="D1885" s="12"/>
      <c r="E1885" s="12"/>
      <c r="F1885" s="12"/>
      <c r="G1885" s="25"/>
      <c r="H1885" s="12"/>
      <c r="I1885" s="31"/>
      <c r="J1885" s="12"/>
      <c r="K1885" s="12"/>
      <c r="L1885" s="16"/>
      <c r="M1885" s="46"/>
      <c r="N1885" s="46"/>
      <c r="O1885" s="31"/>
      <c r="P1885" s="16"/>
      <c r="Q1885" s="16"/>
      <c r="R1885" s="16" t="str">
        <f t="shared" si="2"/>
        <v/>
      </c>
    </row>
    <row r="1886">
      <c r="B1886" s="16"/>
      <c r="C1886" s="12"/>
      <c r="D1886" s="12"/>
      <c r="E1886" s="12"/>
      <c r="F1886" s="12"/>
      <c r="G1886" s="25"/>
      <c r="H1886" s="12"/>
      <c r="I1886" s="31"/>
      <c r="J1886" s="12"/>
      <c r="K1886" s="12"/>
      <c r="L1886" s="16"/>
      <c r="M1886" s="46"/>
      <c r="N1886" s="46"/>
      <c r="O1886" s="31"/>
      <c r="P1886" s="16"/>
      <c r="Q1886" s="16"/>
      <c r="R1886" s="16" t="str">
        <f t="shared" si="2"/>
        <v/>
      </c>
    </row>
    <row r="1887">
      <c r="B1887" s="16"/>
      <c r="C1887" s="12"/>
      <c r="D1887" s="12"/>
      <c r="E1887" s="12"/>
      <c r="F1887" s="12"/>
      <c r="G1887" s="25"/>
      <c r="H1887" s="12"/>
      <c r="I1887" s="31"/>
      <c r="J1887" s="12"/>
      <c r="K1887" s="12"/>
      <c r="L1887" s="16"/>
      <c r="M1887" s="46"/>
      <c r="N1887" s="46"/>
      <c r="O1887" s="31"/>
      <c r="P1887" s="16"/>
      <c r="Q1887" s="16"/>
      <c r="R1887" s="16" t="str">
        <f t="shared" si="2"/>
        <v/>
      </c>
    </row>
    <row r="1888">
      <c r="B1888" s="16"/>
      <c r="C1888" s="12"/>
      <c r="D1888" s="12"/>
      <c r="E1888" s="12"/>
      <c r="F1888" s="12"/>
      <c r="G1888" s="25"/>
      <c r="H1888" s="12"/>
      <c r="I1888" s="31"/>
      <c r="J1888" s="12"/>
      <c r="K1888" s="12"/>
      <c r="L1888" s="16"/>
      <c r="M1888" s="46"/>
      <c r="N1888" s="46"/>
      <c r="O1888" s="31"/>
      <c r="P1888" s="16"/>
      <c r="Q1888" s="16"/>
      <c r="R1888" s="16" t="str">
        <f t="shared" si="2"/>
        <v/>
      </c>
    </row>
    <row r="1889">
      <c r="B1889" s="16"/>
      <c r="C1889" s="12"/>
      <c r="D1889" s="12"/>
      <c r="E1889" s="12"/>
      <c r="F1889" s="12"/>
      <c r="G1889" s="25"/>
      <c r="H1889" s="12"/>
      <c r="I1889" s="31"/>
      <c r="J1889" s="12"/>
      <c r="K1889" s="12"/>
      <c r="L1889" s="16"/>
      <c r="M1889" s="46"/>
      <c r="N1889" s="46"/>
      <c r="O1889" s="31"/>
      <c r="P1889" s="16"/>
      <c r="Q1889" s="16"/>
      <c r="R1889" s="16" t="str">
        <f t="shared" si="2"/>
        <v/>
      </c>
    </row>
    <row r="1890">
      <c r="B1890" s="16"/>
      <c r="C1890" s="12"/>
      <c r="D1890" s="12"/>
      <c r="E1890" s="12"/>
      <c r="F1890" s="12"/>
      <c r="G1890" s="25"/>
      <c r="H1890" s="12"/>
      <c r="I1890" s="31"/>
      <c r="J1890" s="12"/>
      <c r="K1890" s="12"/>
      <c r="L1890" s="16"/>
      <c r="M1890" s="46"/>
      <c r="N1890" s="46"/>
      <c r="O1890" s="31"/>
      <c r="P1890" s="16"/>
      <c r="Q1890" s="16"/>
      <c r="R1890" s="16" t="str">
        <f t="shared" si="2"/>
        <v/>
      </c>
    </row>
    <row r="1891">
      <c r="B1891" s="16"/>
      <c r="C1891" s="12"/>
      <c r="D1891" s="12"/>
      <c r="E1891" s="12"/>
      <c r="F1891" s="12"/>
      <c r="G1891" s="25"/>
      <c r="H1891" s="12"/>
      <c r="I1891" s="31"/>
      <c r="J1891" s="12"/>
      <c r="K1891" s="12"/>
      <c r="L1891" s="16"/>
      <c r="M1891" s="46"/>
      <c r="N1891" s="46"/>
      <c r="O1891" s="31"/>
      <c r="P1891" s="16"/>
      <c r="Q1891" s="16"/>
      <c r="R1891" s="16" t="str">
        <f t="shared" si="2"/>
        <v/>
      </c>
    </row>
    <row r="1892">
      <c r="B1892" s="16"/>
      <c r="C1892" s="12"/>
      <c r="D1892" s="12"/>
      <c r="E1892" s="12"/>
      <c r="F1892" s="12"/>
      <c r="G1892" s="25"/>
      <c r="H1892" s="12"/>
      <c r="I1892" s="31"/>
      <c r="J1892" s="12"/>
      <c r="K1892" s="12"/>
      <c r="L1892" s="16"/>
      <c r="M1892" s="46"/>
      <c r="N1892" s="46"/>
      <c r="O1892" s="31"/>
      <c r="P1892" s="16"/>
      <c r="Q1892" s="16"/>
      <c r="R1892" s="16" t="str">
        <f t="shared" si="2"/>
        <v/>
      </c>
    </row>
    <row r="1893">
      <c r="B1893" s="16"/>
      <c r="C1893" s="12"/>
      <c r="D1893" s="12"/>
      <c r="E1893" s="12"/>
      <c r="F1893" s="12"/>
      <c r="G1893" s="25"/>
      <c r="H1893" s="12"/>
      <c r="I1893" s="31"/>
      <c r="J1893" s="12"/>
      <c r="K1893" s="12"/>
      <c r="L1893" s="16"/>
      <c r="M1893" s="46"/>
      <c r="N1893" s="46"/>
      <c r="O1893" s="31"/>
      <c r="P1893" s="16"/>
      <c r="Q1893" s="16"/>
      <c r="R1893" s="16" t="str">
        <f t="shared" si="2"/>
        <v/>
      </c>
    </row>
    <row r="1894">
      <c r="B1894" s="16"/>
      <c r="C1894" s="12"/>
      <c r="D1894" s="12"/>
      <c r="E1894" s="12"/>
      <c r="F1894" s="12"/>
      <c r="G1894" s="25"/>
      <c r="H1894" s="12"/>
      <c r="I1894" s="31"/>
      <c r="J1894" s="12"/>
      <c r="K1894" s="12"/>
      <c r="L1894" s="16"/>
      <c r="M1894" s="46"/>
      <c r="N1894" s="46"/>
      <c r="O1894" s="31"/>
      <c r="P1894" s="16"/>
      <c r="Q1894" s="16"/>
      <c r="R1894" s="16" t="str">
        <f t="shared" si="2"/>
        <v/>
      </c>
    </row>
    <row r="1895">
      <c r="B1895" s="16"/>
      <c r="C1895" s="12"/>
      <c r="D1895" s="12"/>
      <c r="E1895" s="12"/>
      <c r="F1895" s="12"/>
      <c r="G1895" s="25"/>
      <c r="H1895" s="12"/>
      <c r="I1895" s="31"/>
      <c r="J1895" s="12"/>
      <c r="K1895" s="12"/>
      <c r="L1895" s="16"/>
      <c r="M1895" s="46"/>
      <c r="N1895" s="46"/>
      <c r="O1895" s="31"/>
      <c r="P1895" s="16"/>
      <c r="Q1895" s="16"/>
      <c r="R1895" s="16" t="str">
        <f t="shared" si="2"/>
        <v/>
      </c>
    </row>
    <row r="1896">
      <c r="B1896" s="16"/>
      <c r="C1896" s="12"/>
      <c r="D1896" s="12"/>
      <c r="E1896" s="12"/>
      <c r="F1896" s="12"/>
      <c r="G1896" s="25"/>
      <c r="H1896" s="12"/>
      <c r="I1896" s="31"/>
      <c r="J1896" s="12"/>
      <c r="K1896" s="12"/>
      <c r="L1896" s="16"/>
      <c r="M1896" s="46"/>
      <c r="N1896" s="46"/>
      <c r="O1896" s="31"/>
      <c r="P1896" s="16"/>
      <c r="Q1896" s="16"/>
      <c r="R1896" s="16" t="str">
        <f t="shared" si="2"/>
        <v/>
      </c>
    </row>
    <row r="1897">
      <c r="B1897" s="16"/>
      <c r="C1897" s="12"/>
      <c r="D1897" s="12"/>
      <c r="E1897" s="12"/>
      <c r="F1897" s="12"/>
      <c r="G1897" s="25"/>
      <c r="H1897" s="12"/>
      <c r="I1897" s="31"/>
      <c r="J1897" s="12"/>
      <c r="K1897" s="12"/>
      <c r="L1897" s="16"/>
      <c r="M1897" s="46"/>
      <c r="N1897" s="46"/>
      <c r="O1897" s="31"/>
      <c r="P1897" s="16"/>
      <c r="Q1897" s="16"/>
      <c r="R1897" s="16" t="str">
        <f t="shared" si="2"/>
        <v/>
      </c>
    </row>
    <row r="1898">
      <c r="B1898" s="16"/>
      <c r="C1898" s="12"/>
      <c r="D1898" s="12"/>
      <c r="E1898" s="12"/>
      <c r="F1898" s="12"/>
      <c r="G1898" s="25"/>
      <c r="H1898" s="12"/>
      <c r="I1898" s="31"/>
      <c r="J1898" s="12"/>
      <c r="K1898" s="12"/>
      <c r="L1898" s="16"/>
      <c r="M1898" s="46"/>
      <c r="N1898" s="46"/>
      <c r="O1898" s="31"/>
      <c r="P1898" s="16"/>
      <c r="Q1898" s="16"/>
      <c r="R1898" s="16" t="str">
        <f t="shared" si="2"/>
        <v/>
      </c>
    </row>
    <row r="1899">
      <c r="B1899" s="16"/>
      <c r="C1899" s="12"/>
      <c r="D1899" s="12"/>
      <c r="E1899" s="12"/>
      <c r="F1899" s="12"/>
      <c r="G1899" s="25"/>
      <c r="H1899" s="12"/>
      <c r="I1899" s="31"/>
      <c r="J1899" s="12"/>
      <c r="K1899" s="12"/>
      <c r="L1899" s="16"/>
      <c r="M1899" s="46"/>
      <c r="N1899" s="46"/>
      <c r="O1899" s="31"/>
      <c r="P1899" s="16"/>
      <c r="Q1899" s="16"/>
      <c r="R1899" s="16" t="str">
        <f t="shared" si="2"/>
        <v/>
      </c>
    </row>
    <row r="1900">
      <c r="B1900" s="16"/>
      <c r="C1900" s="12"/>
      <c r="D1900" s="12"/>
      <c r="E1900" s="12"/>
      <c r="F1900" s="12"/>
      <c r="G1900" s="25"/>
      <c r="H1900" s="12"/>
      <c r="I1900" s="31"/>
      <c r="J1900" s="12"/>
      <c r="K1900" s="12"/>
      <c r="L1900" s="16"/>
      <c r="M1900" s="46"/>
      <c r="N1900" s="46"/>
      <c r="O1900" s="31"/>
      <c r="P1900" s="16"/>
      <c r="Q1900" s="16"/>
      <c r="R1900" s="16" t="str">
        <f t="shared" si="2"/>
        <v/>
      </c>
    </row>
    <row r="1901">
      <c r="B1901" s="16"/>
      <c r="C1901" s="12"/>
      <c r="D1901" s="12"/>
      <c r="E1901" s="12"/>
      <c r="F1901" s="12"/>
      <c r="G1901" s="25"/>
      <c r="H1901" s="12"/>
      <c r="I1901" s="31"/>
      <c r="J1901" s="12"/>
      <c r="K1901" s="12"/>
      <c r="L1901" s="16"/>
      <c r="M1901" s="46"/>
      <c r="N1901" s="46"/>
      <c r="O1901" s="31"/>
      <c r="P1901" s="16"/>
      <c r="Q1901" s="16"/>
      <c r="R1901" s="16" t="str">
        <f t="shared" si="2"/>
        <v/>
      </c>
    </row>
    <row r="1902">
      <c r="B1902" s="16"/>
      <c r="C1902" s="12"/>
      <c r="D1902" s="12"/>
      <c r="E1902" s="12"/>
      <c r="F1902" s="12"/>
      <c r="G1902" s="25"/>
      <c r="H1902" s="12"/>
      <c r="I1902" s="31"/>
      <c r="J1902" s="12"/>
      <c r="K1902" s="12"/>
      <c r="L1902" s="16"/>
      <c r="M1902" s="46"/>
      <c r="N1902" s="46"/>
      <c r="O1902" s="31"/>
      <c r="P1902" s="16"/>
      <c r="Q1902" s="16"/>
      <c r="R1902" s="16" t="str">
        <f t="shared" si="2"/>
        <v/>
      </c>
    </row>
    <row r="1903">
      <c r="B1903" s="16"/>
      <c r="C1903" s="12"/>
      <c r="D1903" s="12"/>
      <c r="E1903" s="12"/>
      <c r="F1903" s="12"/>
      <c r="G1903" s="25"/>
      <c r="H1903" s="12"/>
      <c r="I1903" s="31"/>
      <c r="J1903" s="12"/>
      <c r="K1903" s="12"/>
      <c r="L1903" s="16"/>
      <c r="M1903" s="46"/>
      <c r="N1903" s="46"/>
      <c r="O1903" s="31"/>
      <c r="P1903" s="16"/>
      <c r="Q1903" s="16"/>
      <c r="R1903" s="16" t="str">
        <f t="shared" si="2"/>
        <v/>
      </c>
    </row>
    <row r="1904">
      <c r="B1904" s="16"/>
      <c r="C1904" s="12"/>
      <c r="D1904" s="12"/>
      <c r="E1904" s="12"/>
      <c r="F1904" s="12"/>
      <c r="G1904" s="25"/>
      <c r="H1904" s="12"/>
      <c r="I1904" s="31"/>
      <c r="J1904" s="12"/>
      <c r="K1904" s="12"/>
      <c r="L1904" s="16"/>
      <c r="M1904" s="46"/>
      <c r="N1904" s="46"/>
      <c r="O1904" s="31"/>
      <c r="P1904" s="16"/>
      <c r="Q1904" s="16"/>
      <c r="R1904" s="16" t="str">
        <f t="shared" si="2"/>
        <v/>
      </c>
    </row>
    <row r="1905">
      <c r="B1905" s="16"/>
      <c r="C1905" s="12"/>
      <c r="D1905" s="12"/>
      <c r="E1905" s="12"/>
      <c r="F1905" s="12"/>
      <c r="G1905" s="25"/>
      <c r="H1905" s="12"/>
      <c r="I1905" s="31"/>
      <c r="J1905" s="12"/>
      <c r="K1905" s="12"/>
      <c r="L1905" s="16"/>
      <c r="M1905" s="46"/>
      <c r="N1905" s="46"/>
      <c r="O1905" s="31"/>
      <c r="P1905" s="16"/>
      <c r="Q1905" s="16"/>
      <c r="R1905" s="16" t="str">
        <f t="shared" si="2"/>
        <v/>
      </c>
    </row>
    <row r="1906">
      <c r="B1906" s="16"/>
      <c r="C1906" s="12"/>
      <c r="D1906" s="12"/>
      <c r="E1906" s="12"/>
      <c r="F1906" s="12"/>
      <c r="G1906" s="25"/>
      <c r="H1906" s="12"/>
      <c r="I1906" s="31"/>
      <c r="J1906" s="12"/>
      <c r="K1906" s="12"/>
      <c r="L1906" s="16"/>
      <c r="M1906" s="46"/>
      <c r="N1906" s="46"/>
      <c r="O1906" s="31"/>
      <c r="P1906" s="16"/>
      <c r="Q1906" s="16"/>
      <c r="R1906" s="16" t="str">
        <f t="shared" si="2"/>
        <v/>
      </c>
    </row>
    <row r="1907">
      <c r="B1907" s="16"/>
      <c r="C1907" s="12"/>
      <c r="D1907" s="12"/>
      <c r="E1907" s="12"/>
      <c r="F1907" s="12"/>
      <c r="G1907" s="25"/>
      <c r="H1907" s="12"/>
      <c r="I1907" s="31"/>
      <c r="J1907" s="12"/>
      <c r="K1907" s="12"/>
      <c r="L1907" s="16"/>
      <c r="M1907" s="46"/>
      <c r="N1907" s="46"/>
      <c r="O1907" s="31"/>
      <c r="P1907" s="16"/>
      <c r="Q1907" s="16"/>
      <c r="R1907" s="16" t="str">
        <f t="shared" si="2"/>
        <v/>
      </c>
    </row>
    <row r="1908">
      <c r="B1908" s="16"/>
      <c r="C1908" s="12"/>
      <c r="D1908" s="12"/>
      <c r="E1908" s="12"/>
      <c r="F1908" s="12"/>
      <c r="G1908" s="25"/>
      <c r="H1908" s="12"/>
      <c r="I1908" s="31"/>
      <c r="J1908" s="12"/>
      <c r="K1908" s="12"/>
      <c r="L1908" s="16"/>
      <c r="M1908" s="46"/>
      <c r="N1908" s="46"/>
      <c r="O1908" s="31"/>
      <c r="P1908" s="16"/>
      <c r="Q1908" s="16"/>
      <c r="R1908" s="16" t="str">
        <f t="shared" si="2"/>
        <v/>
      </c>
    </row>
    <row r="1909">
      <c r="B1909" s="16"/>
      <c r="C1909" s="12"/>
      <c r="D1909" s="12"/>
      <c r="E1909" s="12"/>
      <c r="F1909" s="12"/>
      <c r="G1909" s="25"/>
      <c r="H1909" s="12"/>
      <c r="I1909" s="31"/>
      <c r="J1909" s="12"/>
      <c r="K1909" s="12"/>
      <c r="L1909" s="16"/>
      <c r="M1909" s="46"/>
      <c r="N1909" s="46"/>
      <c r="O1909" s="31"/>
      <c r="P1909" s="16"/>
      <c r="Q1909" s="16"/>
      <c r="R1909" s="16" t="str">
        <f t="shared" si="2"/>
        <v/>
      </c>
    </row>
    <row r="1910">
      <c r="B1910" s="16"/>
      <c r="C1910" s="12"/>
      <c r="D1910" s="12"/>
      <c r="E1910" s="12"/>
      <c r="F1910" s="12"/>
      <c r="G1910" s="25"/>
      <c r="H1910" s="12"/>
      <c r="I1910" s="31"/>
      <c r="J1910" s="12"/>
      <c r="K1910" s="12"/>
      <c r="L1910" s="16"/>
      <c r="M1910" s="46"/>
      <c r="N1910" s="46"/>
      <c r="O1910" s="31"/>
      <c r="P1910" s="16"/>
      <c r="Q1910" s="16"/>
      <c r="R1910" s="16" t="str">
        <f t="shared" si="2"/>
        <v/>
      </c>
    </row>
    <row r="1911">
      <c r="B1911" s="16"/>
      <c r="C1911" s="12"/>
      <c r="D1911" s="12"/>
      <c r="E1911" s="12"/>
      <c r="F1911" s="12"/>
      <c r="G1911" s="25"/>
      <c r="H1911" s="12"/>
      <c r="I1911" s="31"/>
      <c r="J1911" s="12"/>
      <c r="K1911" s="12"/>
      <c r="L1911" s="16"/>
      <c r="M1911" s="46"/>
      <c r="N1911" s="46"/>
      <c r="O1911" s="31"/>
      <c r="P1911" s="16"/>
      <c r="Q1911" s="16"/>
      <c r="R1911" s="16" t="str">
        <f t="shared" si="2"/>
        <v/>
      </c>
    </row>
    <row r="1912">
      <c r="B1912" s="16"/>
      <c r="C1912" s="12"/>
      <c r="D1912" s="12"/>
      <c r="E1912" s="12"/>
      <c r="F1912" s="12"/>
      <c r="G1912" s="25"/>
      <c r="H1912" s="12"/>
      <c r="I1912" s="31"/>
      <c r="J1912" s="12"/>
      <c r="K1912" s="12"/>
      <c r="L1912" s="16"/>
      <c r="M1912" s="46"/>
      <c r="N1912" s="46"/>
      <c r="O1912" s="31"/>
      <c r="P1912" s="16"/>
      <c r="Q1912" s="16"/>
      <c r="R1912" s="16" t="str">
        <f t="shared" si="2"/>
        <v/>
      </c>
    </row>
    <row r="1913">
      <c r="B1913" s="16"/>
      <c r="C1913" s="12"/>
      <c r="D1913" s="12"/>
      <c r="E1913" s="12"/>
      <c r="F1913" s="12"/>
      <c r="G1913" s="25"/>
      <c r="H1913" s="12"/>
      <c r="I1913" s="31"/>
      <c r="J1913" s="12"/>
      <c r="K1913" s="12"/>
      <c r="L1913" s="16"/>
      <c r="M1913" s="46"/>
      <c r="N1913" s="46"/>
      <c r="O1913" s="31"/>
      <c r="P1913" s="16"/>
      <c r="Q1913" s="16"/>
      <c r="R1913" s="16" t="str">
        <f t="shared" si="2"/>
        <v/>
      </c>
    </row>
    <row r="1914">
      <c r="B1914" s="16"/>
      <c r="C1914" s="12"/>
      <c r="D1914" s="12"/>
      <c r="E1914" s="12"/>
      <c r="F1914" s="12"/>
      <c r="G1914" s="25"/>
      <c r="H1914" s="12"/>
      <c r="I1914" s="31"/>
      <c r="J1914" s="12"/>
      <c r="K1914" s="12"/>
      <c r="L1914" s="16"/>
      <c r="M1914" s="46"/>
      <c r="N1914" s="46"/>
      <c r="O1914" s="31"/>
      <c r="P1914" s="16"/>
      <c r="Q1914" s="16"/>
      <c r="R1914" s="16" t="str">
        <f t="shared" si="2"/>
        <v/>
      </c>
    </row>
    <row r="1915">
      <c r="B1915" s="16"/>
      <c r="C1915" s="12"/>
      <c r="D1915" s="12"/>
      <c r="E1915" s="12"/>
      <c r="F1915" s="12"/>
      <c r="G1915" s="25"/>
      <c r="H1915" s="12"/>
      <c r="I1915" s="31"/>
      <c r="J1915" s="12"/>
      <c r="K1915" s="12"/>
      <c r="L1915" s="16"/>
      <c r="M1915" s="46"/>
      <c r="N1915" s="46"/>
      <c r="O1915" s="31"/>
      <c r="P1915" s="16"/>
      <c r="Q1915" s="16"/>
      <c r="R1915" s="16" t="str">
        <f t="shared" si="2"/>
        <v/>
      </c>
    </row>
    <row r="1916">
      <c r="B1916" s="16"/>
      <c r="C1916" s="12"/>
      <c r="D1916" s="12"/>
      <c r="E1916" s="12"/>
      <c r="F1916" s="12"/>
      <c r="G1916" s="25"/>
      <c r="H1916" s="12"/>
      <c r="I1916" s="31"/>
      <c r="J1916" s="12"/>
      <c r="K1916" s="12"/>
      <c r="L1916" s="16"/>
      <c r="M1916" s="46"/>
      <c r="N1916" s="46"/>
      <c r="O1916" s="31"/>
      <c r="P1916" s="16"/>
      <c r="Q1916" s="16"/>
      <c r="R1916" s="16" t="str">
        <f t="shared" si="2"/>
        <v/>
      </c>
    </row>
    <row r="1917">
      <c r="B1917" s="16"/>
      <c r="C1917" s="12"/>
      <c r="D1917" s="12"/>
      <c r="E1917" s="12"/>
      <c r="F1917" s="12"/>
      <c r="G1917" s="25"/>
      <c r="H1917" s="12"/>
      <c r="I1917" s="31"/>
      <c r="J1917" s="12"/>
      <c r="K1917" s="12"/>
      <c r="L1917" s="16"/>
      <c r="M1917" s="46"/>
      <c r="N1917" s="46"/>
      <c r="O1917" s="31"/>
      <c r="P1917" s="16"/>
      <c r="Q1917" s="16"/>
      <c r="R1917" s="16" t="str">
        <f t="shared" si="2"/>
        <v/>
      </c>
    </row>
    <row r="1918">
      <c r="B1918" s="16"/>
      <c r="C1918" s="12"/>
      <c r="D1918" s="12"/>
      <c r="E1918" s="12"/>
      <c r="F1918" s="12"/>
      <c r="G1918" s="25"/>
      <c r="H1918" s="12"/>
      <c r="I1918" s="31"/>
      <c r="J1918" s="12"/>
      <c r="K1918" s="12"/>
      <c r="L1918" s="16"/>
      <c r="M1918" s="46"/>
      <c r="N1918" s="46"/>
      <c r="O1918" s="31"/>
      <c r="P1918" s="16"/>
      <c r="Q1918" s="16"/>
      <c r="R1918" s="16" t="str">
        <f t="shared" si="2"/>
        <v/>
      </c>
    </row>
    <row r="1919">
      <c r="B1919" s="16"/>
      <c r="C1919" s="12"/>
      <c r="D1919" s="12"/>
      <c r="E1919" s="12"/>
      <c r="F1919" s="12"/>
      <c r="G1919" s="25"/>
      <c r="H1919" s="12"/>
      <c r="I1919" s="31"/>
      <c r="J1919" s="12"/>
      <c r="K1919" s="12"/>
      <c r="L1919" s="16"/>
      <c r="M1919" s="46"/>
      <c r="N1919" s="46"/>
      <c r="O1919" s="31"/>
      <c r="P1919" s="16"/>
      <c r="Q1919" s="16"/>
      <c r="R1919" s="16" t="str">
        <f t="shared" si="2"/>
        <v/>
      </c>
    </row>
    <row r="1920">
      <c r="B1920" s="16"/>
      <c r="C1920" s="12"/>
      <c r="D1920" s="12"/>
      <c r="E1920" s="12"/>
      <c r="F1920" s="12"/>
      <c r="G1920" s="25"/>
      <c r="H1920" s="12"/>
      <c r="I1920" s="31"/>
      <c r="J1920" s="12"/>
      <c r="K1920" s="12"/>
      <c r="L1920" s="16"/>
      <c r="M1920" s="46"/>
      <c r="N1920" s="46"/>
      <c r="O1920" s="31"/>
      <c r="P1920" s="16"/>
      <c r="Q1920" s="16"/>
      <c r="R1920" s="16" t="str">
        <f t="shared" si="2"/>
        <v/>
      </c>
    </row>
    <row r="1921">
      <c r="B1921" s="16"/>
      <c r="C1921" s="12"/>
      <c r="D1921" s="12"/>
      <c r="E1921" s="12"/>
      <c r="F1921" s="12"/>
      <c r="G1921" s="25"/>
      <c r="H1921" s="12"/>
      <c r="I1921" s="31"/>
      <c r="J1921" s="12"/>
      <c r="K1921" s="12"/>
      <c r="L1921" s="16"/>
      <c r="M1921" s="46"/>
      <c r="N1921" s="46"/>
      <c r="O1921" s="31"/>
      <c r="P1921" s="16"/>
      <c r="Q1921" s="16"/>
      <c r="R1921" s="16" t="str">
        <f t="shared" si="2"/>
        <v/>
      </c>
    </row>
    <row r="1922">
      <c r="B1922" s="16"/>
      <c r="C1922" s="12"/>
      <c r="D1922" s="12"/>
      <c r="E1922" s="12"/>
      <c r="F1922" s="12"/>
      <c r="G1922" s="25"/>
      <c r="H1922" s="12"/>
      <c r="I1922" s="31"/>
      <c r="J1922" s="12"/>
      <c r="K1922" s="12"/>
      <c r="L1922" s="16"/>
      <c r="M1922" s="46"/>
      <c r="N1922" s="46"/>
      <c r="O1922" s="31"/>
      <c r="P1922" s="16"/>
      <c r="Q1922" s="16"/>
      <c r="R1922" s="16" t="str">
        <f t="shared" si="2"/>
        <v/>
      </c>
    </row>
    <row r="1923">
      <c r="B1923" s="16"/>
      <c r="C1923" s="12"/>
      <c r="D1923" s="12"/>
      <c r="E1923" s="12"/>
      <c r="F1923" s="12"/>
      <c r="G1923" s="25"/>
      <c r="H1923" s="12"/>
      <c r="I1923" s="31"/>
      <c r="J1923" s="12"/>
      <c r="K1923" s="12"/>
      <c r="L1923" s="16"/>
      <c r="M1923" s="46"/>
      <c r="N1923" s="46"/>
      <c r="O1923" s="31"/>
      <c r="P1923" s="16"/>
      <c r="Q1923" s="16"/>
      <c r="R1923" s="16" t="str">
        <f t="shared" si="2"/>
        <v/>
      </c>
    </row>
    <row r="1924">
      <c r="B1924" s="16"/>
      <c r="C1924" s="12"/>
      <c r="D1924" s="12"/>
      <c r="E1924" s="12"/>
      <c r="F1924" s="12"/>
      <c r="G1924" s="25"/>
      <c r="H1924" s="12"/>
      <c r="I1924" s="31"/>
      <c r="J1924" s="12"/>
      <c r="K1924" s="12"/>
      <c r="L1924" s="16"/>
      <c r="M1924" s="46"/>
      <c r="N1924" s="46"/>
      <c r="O1924" s="31"/>
      <c r="P1924" s="16"/>
      <c r="Q1924" s="16"/>
      <c r="R1924" s="16" t="str">
        <f t="shared" si="2"/>
        <v/>
      </c>
    </row>
    <row r="1925">
      <c r="B1925" s="16"/>
      <c r="C1925" s="12"/>
      <c r="D1925" s="12"/>
      <c r="E1925" s="12"/>
      <c r="F1925" s="12"/>
      <c r="G1925" s="25"/>
      <c r="H1925" s="12"/>
      <c r="I1925" s="31"/>
      <c r="J1925" s="12"/>
      <c r="K1925" s="12"/>
      <c r="L1925" s="16"/>
      <c r="M1925" s="46"/>
      <c r="N1925" s="46"/>
      <c r="O1925" s="31"/>
      <c r="P1925" s="16"/>
      <c r="Q1925" s="16"/>
      <c r="R1925" s="16" t="str">
        <f t="shared" si="2"/>
        <v/>
      </c>
    </row>
    <row r="1926">
      <c r="B1926" s="16"/>
      <c r="C1926" s="12"/>
      <c r="D1926" s="12"/>
      <c r="E1926" s="12"/>
      <c r="F1926" s="12"/>
      <c r="G1926" s="25"/>
      <c r="H1926" s="12"/>
      <c r="I1926" s="31"/>
      <c r="J1926" s="12"/>
      <c r="K1926" s="12"/>
      <c r="L1926" s="16"/>
      <c r="M1926" s="46"/>
      <c r="N1926" s="46"/>
      <c r="O1926" s="31"/>
      <c r="P1926" s="16"/>
      <c r="Q1926" s="16"/>
      <c r="R1926" s="16" t="str">
        <f t="shared" si="2"/>
        <v/>
      </c>
    </row>
    <row r="1927">
      <c r="B1927" s="16"/>
      <c r="C1927" s="12"/>
      <c r="D1927" s="12"/>
      <c r="E1927" s="12"/>
      <c r="F1927" s="12"/>
      <c r="G1927" s="25"/>
      <c r="H1927" s="12"/>
      <c r="I1927" s="31"/>
      <c r="J1927" s="12"/>
      <c r="K1927" s="12"/>
      <c r="L1927" s="16"/>
      <c r="M1927" s="46"/>
      <c r="N1927" s="46"/>
      <c r="O1927" s="31"/>
      <c r="P1927" s="16"/>
      <c r="Q1927" s="16"/>
      <c r="R1927" s="16" t="str">
        <f t="shared" si="2"/>
        <v/>
      </c>
    </row>
    <row r="1928">
      <c r="B1928" s="16"/>
      <c r="C1928" s="12"/>
      <c r="D1928" s="12"/>
      <c r="E1928" s="12"/>
      <c r="F1928" s="12"/>
      <c r="G1928" s="25"/>
      <c r="H1928" s="12"/>
      <c r="I1928" s="31"/>
      <c r="J1928" s="12"/>
      <c r="K1928" s="12"/>
      <c r="L1928" s="16"/>
      <c r="M1928" s="46"/>
      <c r="N1928" s="46"/>
      <c r="O1928" s="31"/>
      <c r="P1928" s="16"/>
      <c r="Q1928" s="16"/>
      <c r="R1928" s="16" t="str">
        <f t="shared" si="2"/>
        <v/>
      </c>
    </row>
    <row r="1929">
      <c r="B1929" s="16"/>
      <c r="C1929" s="12"/>
      <c r="D1929" s="12"/>
      <c r="E1929" s="12"/>
      <c r="F1929" s="12"/>
      <c r="G1929" s="25"/>
      <c r="H1929" s="12"/>
      <c r="I1929" s="31"/>
      <c r="J1929" s="12"/>
      <c r="K1929" s="12"/>
      <c r="L1929" s="16"/>
      <c r="M1929" s="46"/>
      <c r="N1929" s="46"/>
      <c r="O1929" s="31"/>
      <c r="P1929" s="16"/>
      <c r="Q1929" s="16"/>
      <c r="R1929" s="16" t="str">
        <f t="shared" si="2"/>
        <v/>
      </c>
    </row>
    <row r="1930">
      <c r="B1930" s="16"/>
      <c r="C1930" s="12"/>
      <c r="D1930" s="12"/>
      <c r="E1930" s="12"/>
      <c r="F1930" s="12"/>
      <c r="G1930" s="25"/>
      <c r="H1930" s="12"/>
      <c r="I1930" s="31"/>
      <c r="J1930" s="12"/>
      <c r="K1930" s="12"/>
      <c r="L1930" s="16"/>
      <c r="M1930" s="46"/>
      <c r="N1930" s="46"/>
      <c r="O1930" s="31"/>
      <c r="P1930" s="16"/>
      <c r="Q1930" s="16"/>
      <c r="R1930" s="16" t="str">
        <f t="shared" si="2"/>
        <v/>
      </c>
    </row>
    <row r="1931">
      <c r="B1931" s="16"/>
      <c r="C1931" s="12"/>
      <c r="D1931" s="12"/>
      <c r="E1931" s="12"/>
      <c r="F1931" s="12"/>
      <c r="G1931" s="25"/>
      <c r="H1931" s="12"/>
      <c r="I1931" s="31"/>
      <c r="J1931" s="12"/>
      <c r="K1931" s="12"/>
      <c r="L1931" s="16"/>
      <c r="M1931" s="46"/>
      <c r="N1931" s="46"/>
      <c r="O1931" s="31"/>
      <c r="P1931" s="16"/>
      <c r="Q1931" s="16"/>
      <c r="R1931" s="16" t="str">
        <f t="shared" si="2"/>
        <v/>
      </c>
    </row>
    <row r="1932">
      <c r="B1932" s="16"/>
      <c r="C1932" s="12"/>
      <c r="D1932" s="12"/>
      <c r="E1932" s="12"/>
      <c r="F1932" s="12"/>
      <c r="G1932" s="25"/>
      <c r="H1932" s="12"/>
      <c r="I1932" s="31"/>
      <c r="J1932" s="12"/>
      <c r="K1932" s="12"/>
      <c r="L1932" s="16"/>
      <c r="M1932" s="46"/>
      <c r="N1932" s="46"/>
      <c r="O1932" s="31"/>
      <c r="P1932" s="16"/>
      <c r="Q1932" s="16"/>
      <c r="R1932" s="16" t="str">
        <f t="shared" si="2"/>
        <v/>
      </c>
    </row>
    <row r="1933">
      <c r="B1933" s="16"/>
      <c r="C1933" s="12"/>
      <c r="D1933" s="12"/>
      <c r="E1933" s="12"/>
      <c r="F1933" s="12"/>
      <c r="G1933" s="25"/>
      <c r="H1933" s="12"/>
      <c r="I1933" s="31"/>
      <c r="J1933" s="12"/>
      <c r="K1933" s="12"/>
      <c r="L1933" s="16"/>
      <c r="M1933" s="46"/>
      <c r="N1933" s="46"/>
      <c r="O1933" s="31"/>
      <c r="P1933" s="16"/>
      <c r="Q1933" s="16"/>
      <c r="R1933" s="16" t="str">
        <f t="shared" si="2"/>
        <v/>
      </c>
    </row>
    <row r="1934">
      <c r="B1934" s="16"/>
      <c r="C1934" s="12"/>
      <c r="D1934" s="12"/>
      <c r="E1934" s="12"/>
      <c r="F1934" s="12"/>
      <c r="G1934" s="25"/>
      <c r="H1934" s="12"/>
      <c r="I1934" s="31"/>
      <c r="J1934" s="12"/>
      <c r="K1934" s="12"/>
      <c r="L1934" s="16"/>
      <c r="M1934" s="46"/>
      <c r="N1934" s="46"/>
      <c r="O1934" s="31"/>
      <c r="P1934" s="16"/>
      <c r="Q1934" s="16"/>
      <c r="R1934" s="16" t="str">
        <f t="shared" si="2"/>
        <v/>
      </c>
    </row>
    <row r="1935">
      <c r="B1935" s="16"/>
      <c r="C1935" s="12"/>
      <c r="D1935" s="12"/>
      <c r="E1935" s="12"/>
      <c r="F1935" s="12"/>
      <c r="G1935" s="25"/>
      <c r="H1935" s="12"/>
      <c r="I1935" s="31"/>
      <c r="J1935" s="12"/>
      <c r="K1935" s="12"/>
      <c r="L1935" s="16"/>
      <c r="M1935" s="46"/>
      <c r="N1935" s="46"/>
      <c r="O1935" s="31"/>
      <c r="P1935" s="16"/>
      <c r="Q1935" s="16"/>
      <c r="R1935" s="16" t="str">
        <f t="shared" si="2"/>
        <v/>
      </c>
    </row>
    <row r="1936">
      <c r="B1936" s="16"/>
      <c r="C1936" s="12"/>
      <c r="D1936" s="12"/>
      <c r="E1936" s="12"/>
      <c r="F1936" s="12"/>
      <c r="G1936" s="25"/>
      <c r="H1936" s="12"/>
      <c r="I1936" s="31"/>
      <c r="J1936" s="12"/>
      <c r="K1936" s="12"/>
      <c r="L1936" s="16"/>
      <c r="M1936" s="46"/>
      <c r="N1936" s="46"/>
      <c r="O1936" s="31"/>
      <c r="P1936" s="16"/>
      <c r="Q1936" s="16"/>
      <c r="R1936" s="16" t="str">
        <f t="shared" si="2"/>
        <v/>
      </c>
    </row>
    <row r="1937">
      <c r="B1937" s="16"/>
      <c r="C1937" s="12"/>
      <c r="D1937" s="12"/>
      <c r="E1937" s="12"/>
      <c r="F1937" s="12"/>
      <c r="G1937" s="25"/>
      <c r="H1937" s="12"/>
      <c r="I1937" s="31"/>
      <c r="J1937" s="12"/>
      <c r="K1937" s="12"/>
      <c r="L1937" s="16"/>
      <c r="M1937" s="46"/>
      <c r="N1937" s="46"/>
      <c r="O1937" s="31"/>
      <c r="P1937" s="16"/>
      <c r="Q1937" s="16"/>
      <c r="R1937" s="16" t="str">
        <f t="shared" si="2"/>
        <v/>
      </c>
    </row>
    <row r="1938">
      <c r="B1938" s="16"/>
      <c r="C1938" s="12"/>
      <c r="D1938" s="12"/>
      <c r="E1938" s="12"/>
      <c r="F1938" s="12"/>
      <c r="G1938" s="25"/>
      <c r="H1938" s="12"/>
      <c r="I1938" s="31"/>
      <c r="J1938" s="12"/>
      <c r="K1938" s="12"/>
      <c r="L1938" s="16"/>
      <c r="M1938" s="46"/>
      <c r="N1938" s="46"/>
      <c r="O1938" s="31"/>
      <c r="P1938" s="16"/>
      <c r="Q1938" s="16"/>
      <c r="R1938" s="16" t="str">
        <f t="shared" si="2"/>
        <v/>
      </c>
    </row>
    <row r="1939">
      <c r="B1939" s="16"/>
      <c r="C1939" s="12"/>
      <c r="D1939" s="12"/>
      <c r="E1939" s="12"/>
      <c r="F1939" s="12"/>
      <c r="G1939" s="25"/>
      <c r="H1939" s="12"/>
      <c r="I1939" s="31"/>
      <c r="J1939" s="12"/>
      <c r="K1939" s="12"/>
      <c r="L1939" s="16"/>
      <c r="M1939" s="46"/>
      <c r="N1939" s="46"/>
      <c r="O1939" s="31"/>
      <c r="P1939" s="16"/>
      <c r="Q1939" s="16"/>
      <c r="R1939" s="16" t="str">
        <f t="shared" si="2"/>
        <v/>
      </c>
    </row>
    <row r="1940">
      <c r="B1940" s="16"/>
      <c r="C1940" s="12"/>
      <c r="D1940" s="12"/>
      <c r="E1940" s="12"/>
      <c r="F1940" s="12"/>
      <c r="G1940" s="25"/>
      <c r="H1940" s="12"/>
      <c r="I1940" s="31"/>
      <c r="J1940" s="12"/>
      <c r="K1940" s="12"/>
      <c r="L1940" s="16"/>
      <c r="M1940" s="46"/>
      <c r="N1940" s="46"/>
      <c r="O1940" s="31"/>
      <c r="P1940" s="16"/>
      <c r="Q1940" s="16"/>
      <c r="R1940" s="16" t="str">
        <f t="shared" si="2"/>
        <v/>
      </c>
    </row>
    <row r="1941">
      <c r="B1941" s="16"/>
      <c r="C1941" s="12"/>
      <c r="D1941" s="12"/>
      <c r="E1941" s="12"/>
      <c r="F1941" s="12"/>
      <c r="G1941" s="25"/>
      <c r="H1941" s="12"/>
      <c r="I1941" s="31"/>
      <c r="J1941" s="12"/>
      <c r="K1941" s="12"/>
      <c r="L1941" s="16"/>
      <c r="M1941" s="46"/>
      <c r="N1941" s="46"/>
      <c r="O1941" s="31"/>
      <c r="P1941" s="16"/>
      <c r="Q1941" s="16"/>
      <c r="R1941" s="16" t="str">
        <f t="shared" si="2"/>
        <v/>
      </c>
    </row>
    <row r="1942">
      <c r="B1942" s="16"/>
      <c r="C1942" s="12"/>
      <c r="D1942" s="12"/>
      <c r="E1942" s="12"/>
      <c r="F1942" s="12"/>
      <c r="G1942" s="25"/>
      <c r="H1942" s="12"/>
      <c r="I1942" s="31"/>
      <c r="J1942" s="12"/>
      <c r="K1942" s="12"/>
      <c r="L1942" s="16"/>
      <c r="M1942" s="46"/>
      <c r="N1942" s="46"/>
      <c r="O1942" s="31"/>
      <c r="P1942" s="16"/>
      <c r="Q1942" s="16"/>
      <c r="R1942" s="16" t="str">
        <f t="shared" si="2"/>
        <v/>
      </c>
    </row>
    <row r="1943">
      <c r="B1943" s="16"/>
      <c r="C1943" s="12"/>
      <c r="D1943" s="12"/>
      <c r="E1943" s="12"/>
      <c r="F1943" s="12"/>
      <c r="G1943" s="25"/>
      <c r="H1943" s="12"/>
      <c r="I1943" s="31"/>
      <c r="J1943" s="12"/>
      <c r="K1943" s="12"/>
      <c r="L1943" s="16"/>
      <c r="M1943" s="46"/>
      <c r="N1943" s="46"/>
      <c r="O1943" s="31"/>
      <c r="P1943" s="16"/>
      <c r="Q1943" s="16"/>
      <c r="R1943" s="16" t="str">
        <f t="shared" si="2"/>
        <v/>
      </c>
    </row>
    <row r="1944">
      <c r="B1944" s="16"/>
      <c r="C1944" s="12"/>
      <c r="D1944" s="12"/>
      <c r="E1944" s="12"/>
      <c r="F1944" s="12"/>
      <c r="G1944" s="25"/>
      <c r="H1944" s="12"/>
      <c r="I1944" s="31"/>
      <c r="J1944" s="12"/>
      <c r="K1944" s="12"/>
      <c r="L1944" s="16"/>
      <c r="M1944" s="46"/>
      <c r="N1944" s="46"/>
      <c r="O1944" s="31"/>
      <c r="P1944" s="16"/>
      <c r="Q1944" s="16"/>
      <c r="R1944" s="16" t="str">
        <f t="shared" si="2"/>
        <v/>
      </c>
    </row>
    <row r="1945">
      <c r="B1945" s="16"/>
      <c r="C1945" s="12"/>
      <c r="D1945" s="12"/>
      <c r="E1945" s="12"/>
      <c r="F1945" s="12"/>
      <c r="G1945" s="25"/>
      <c r="H1945" s="12"/>
      <c r="I1945" s="31"/>
      <c r="J1945" s="12"/>
      <c r="K1945" s="12"/>
      <c r="L1945" s="16"/>
      <c r="M1945" s="46"/>
      <c r="N1945" s="46"/>
      <c r="O1945" s="31"/>
      <c r="P1945" s="16"/>
      <c r="Q1945" s="16"/>
      <c r="R1945" s="16" t="str">
        <f t="shared" si="2"/>
        <v/>
      </c>
    </row>
    <row r="1946">
      <c r="B1946" s="16"/>
      <c r="C1946" s="12"/>
      <c r="D1946" s="12"/>
      <c r="E1946" s="12"/>
      <c r="F1946" s="12"/>
      <c r="G1946" s="25"/>
      <c r="H1946" s="12"/>
      <c r="I1946" s="31"/>
      <c r="J1946" s="12"/>
      <c r="K1946" s="12"/>
      <c r="L1946" s="16"/>
      <c r="M1946" s="46"/>
      <c r="N1946" s="46"/>
      <c r="O1946" s="31"/>
      <c r="P1946" s="16"/>
      <c r="Q1946" s="16"/>
      <c r="R1946" s="16" t="str">
        <f t="shared" si="2"/>
        <v/>
      </c>
    </row>
    <row r="1947">
      <c r="B1947" s="16"/>
      <c r="C1947" s="12"/>
      <c r="D1947" s="12"/>
      <c r="E1947" s="12"/>
      <c r="F1947" s="12"/>
      <c r="G1947" s="25"/>
      <c r="H1947" s="12"/>
      <c r="I1947" s="31"/>
      <c r="J1947" s="12"/>
      <c r="K1947" s="12"/>
      <c r="L1947" s="16"/>
      <c r="M1947" s="46"/>
      <c r="N1947" s="46"/>
      <c r="O1947" s="31"/>
      <c r="P1947" s="16"/>
      <c r="Q1947" s="16"/>
      <c r="R1947" s="16" t="str">
        <f t="shared" si="2"/>
        <v/>
      </c>
    </row>
  </sheetData>
  <mergeCells count="2">
    <mergeCell ref="A1:D1"/>
    <mergeCell ref="A2:D2"/>
  </mergeCells>
  <conditionalFormatting sqref="A3:S3">
    <cfRule type="notContainsBlanks" dxfId="0" priority="1">
      <formula>LEN(TRIM(A3))&gt;0</formula>
    </cfRule>
  </conditionalFormatting>
  <conditionalFormatting sqref="R4:R1947">
    <cfRule type="containsText" dxfId="1" priority="2" operator="containsText" text="Igual">
      <formula>NOT(ISERROR(SEARCH(("Igual"),(R4))))</formula>
    </cfRule>
  </conditionalFormatting>
  <conditionalFormatting sqref="R4:R1947">
    <cfRule type="containsText" dxfId="2" priority="3" operator="containsText" text="Diferente">
      <formula>NOT(ISERROR(SEARCH(("Diferente"),(R4))))</formula>
    </cfRule>
  </conditionalFormatting>
  <conditionalFormatting sqref="E1:E1947">
    <cfRule type="expression" dxfId="0" priority="4">
      <formula>COUNT.SE()</formula>
    </cfRule>
  </conditionalFormatting>
  <dataValidations>
    <dataValidation type="list" allowBlank="1" showErrorMessage="1" sqref="P4:Q1947">
      <formula1>"Sim,Não,Parcialmente"</formula1>
    </dataValidation>
    <dataValidation type="list" allowBlank="1" showErrorMessage="1" sqref="L4:L1947">
      <formula1>"RQ1,RQ2,RQ3,RQ4,RQ5,RQ6,RQ7,RQ8,RQ9"</formula1>
    </dataValidation>
    <dataValidation type="list" allowBlank="1" showErrorMessage="1" sqref="B4:B1947">
      <formula1>"Conference,Journal"</formula1>
    </dataValidation>
  </dataValidations>
  <hyperlinks>
    <hyperlink r:id="rId1" ref="F4"/>
    <hyperlink r:id="rId2" ref="F13"/>
    <hyperlink r:id="rId3" ref="F22"/>
    <hyperlink r:id="rId4" ref="F31"/>
    <hyperlink r:id="rId5" ref="F40"/>
    <hyperlink r:id="rId6" ref="F49"/>
    <hyperlink r:id="rId7" ref="F58"/>
    <hyperlink r:id="rId8" ref="F67"/>
    <hyperlink r:id="rId9" ref="F76"/>
    <hyperlink r:id="rId10" ref="F85"/>
    <hyperlink r:id="rId11" ref="F94"/>
    <hyperlink r:id="rId12" ref="F103"/>
    <hyperlink r:id="rId13" ref="F112"/>
    <hyperlink r:id="rId14" ref="F121"/>
    <hyperlink r:id="rId15" ref="F130"/>
    <hyperlink r:id="rId16" ref="F139"/>
    <hyperlink r:id="rId17" ref="F148"/>
    <hyperlink r:id="rId18" ref="F157"/>
    <hyperlink r:id="rId19" ref="F166"/>
    <hyperlink r:id="rId20" ref="F175"/>
    <hyperlink r:id="rId21" ref="F184"/>
    <hyperlink r:id="rId22" ref="F193"/>
    <hyperlink r:id="rId23" ref="F202"/>
    <hyperlink r:id="rId24" ref="F211"/>
    <hyperlink r:id="rId25" ref="F220"/>
    <hyperlink r:id="rId26" ref="F229"/>
    <hyperlink r:id="rId27" ref="F238"/>
    <hyperlink r:id="rId28" ref="F247"/>
    <hyperlink r:id="rId29" ref="F256"/>
    <hyperlink r:id="rId30" ref="F265"/>
    <hyperlink r:id="rId31" ref="F274"/>
    <hyperlink r:id="rId32" ref="F283"/>
    <hyperlink r:id="rId33" ref="F292"/>
    <hyperlink r:id="rId34" ref="F301"/>
    <hyperlink r:id="rId35" ref="F310"/>
    <hyperlink r:id="rId36" ref="F319"/>
    <hyperlink r:id="rId37" ref="F328"/>
    <hyperlink r:id="rId38" ref="F337"/>
    <hyperlink r:id="rId39" ref="F346"/>
    <hyperlink r:id="rId40" ref="F355"/>
    <hyperlink r:id="rId41" ref="F364"/>
    <hyperlink r:id="rId42" ref="F373"/>
    <hyperlink r:id="rId43" ref="F382"/>
    <hyperlink r:id="rId44" ref="F391"/>
    <hyperlink r:id="rId45" ref="F400"/>
    <hyperlink r:id="rId46" ref="F409"/>
    <hyperlink r:id="rId47" ref="F418"/>
    <hyperlink r:id="rId48" ref="F427"/>
    <hyperlink r:id="rId49" ref="F436"/>
    <hyperlink r:id="rId50" ref="F445"/>
    <hyperlink r:id="rId51" ref="F454"/>
    <hyperlink r:id="rId52" ref="F463"/>
    <hyperlink r:id="rId53" ref="F472"/>
    <hyperlink r:id="rId54" ref="F481"/>
    <hyperlink r:id="rId55" ref="F490"/>
    <hyperlink r:id="rId56" ref="F499"/>
    <hyperlink r:id="rId57" ref="F508"/>
    <hyperlink r:id="rId58" ref="F517"/>
    <hyperlink r:id="rId59" ref="F526"/>
    <hyperlink r:id="rId60" ref="F535"/>
    <hyperlink r:id="rId61" ref="F544"/>
    <hyperlink r:id="rId62" ref="F553"/>
    <hyperlink r:id="rId63" ref="F562"/>
    <hyperlink r:id="rId64" ref="F571"/>
    <hyperlink r:id="rId65" ref="F580"/>
    <hyperlink r:id="rId66" ref="F589"/>
    <hyperlink r:id="rId67" ref="F598"/>
    <hyperlink r:id="rId68" ref="F607"/>
    <hyperlink r:id="rId69" ref="F616"/>
    <hyperlink r:id="rId70" ref="F625"/>
    <hyperlink r:id="rId71" ref="F634"/>
    <hyperlink r:id="rId72" ref="F643"/>
    <hyperlink r:id="rId73" ref="F652"/>
    <hyperlink r:id="rId74" ref="F661"/>
    <hyperlink r:id="rId75" ref="F670"/>
    <hyperlink r:id="rId76" ref="F679"/>
    <hyperlink r:id="rId77" ref="F688"/>
    <hyperlink r:id="rId78" ref="F697"/>
    <hyperlink r:id="rId79" ref="F706"/>
    <hyperlink r:id="rId80" ref="F715"/>
    <hyperlink r:id="rId81" ref="F724"/>
    <hyperlink r:id="rId82" ref="F733"/>
    <hyperlink r:id="rId83" ref="F742"/>
    <hyperlink r:id="rId84" ref="F751"/>
    <hyperlink r:id="rId85" ref="F760"/>
    <hyperlink r:id="rId86" ref="F769"/>
    <hyperlink r:id="rId87" ref="F778"/>
    <hyperlink r:id="rId88" ref="F787"/>
    <hyperlink r:id="rId89" ref="F796"/>
    <hyperlink r:id="rId90" ref="F805"/>
    <hyperlink r:id="rId91" ref="F814"/>
    <hyperlink r:id="rId92" ref="F823"/>
    <hyperlink r:id="rId93" ref="F832"/>
    <hyperlink r:id="rId94" ref="F841"/>
    <hyperlink r:id="rId95" ref="F850"/>
    <hyperlink r:id="rId96" ref="F859"/>
    <hyperlink r:id="rId97" ref="F868"/>
    <hyperlink r:id="rId98" ref="F877"/>
    <hyperlink r:id="rId99" ref="F886"/>
    <hyperlink r:id="rId100" ref="F895"/>
    <hyperlink r:id="rId101" ref="F904"/>
    <hyperlink r:id="rId102" ref="F913"/>
    <hyperlink r:id="rId103" ref="F922"/>
    <hyperlink r:id="rId104" ref="F931"/>
    <hyperlink r:id="rId105" ref="F940"/>
    <hyperlink r:id="rId106" ref="F949"/>
    <hyperlink r:id="rId107" ref="F958"/>
    <hyperlink r:id="rId108" ref="F967"/>
    <hyperlink r:id="rId109" ref="F976"/>
    <hyperlink r:id="rId110" ref="F985"/>
    <hyperlink r:id="rId111" ref="F994"/>
    <hyperlink r:id="rId112" ref="F1003"/>
    <hyperlink r:id="rId113" ref="F1012"/>
    <hyperlink r:id="rId114" ref="F1021"/>
    <hyperlink r:id="rId115" ref="F1030"/>
    <hyperlink r:id="rId116" ref="F1039"/>
    <hyperlink r:id="rId117" ref="F1048"/>
    <hyperlink r:id="rId118" ref="F1057"/>
    <hyperlink r:id="rId119" ref="F1066"/>
    <hyperlink r:id="rId120" ref="F1075"/>
  </hyperlinks>
  <drawing r:id="rId1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0.63"/>
    <col customWidth="1" min="3" max="3" width="97.0"/>
  </cols>
  <sheetData>
    <row r="1">
      <c r="A1" s="53" t="s">
        <v>2077</v>
      </c>
      <c r="B1" s="54" t="s">
        <v>2078</v>
      </c>
      <c r="C1" s="55"/>
    </row>
    <row r="2">
      <c r="A2" s="53" t="s">
        <v>2079</v>
      </c>
      <c r="B2" s="54" t="s">
        <v>2080</v>
      </c>
      <c r="C2" s="56" t="s">
        <v>2081</v>
      </c>
    </row>
    <row r="3">
      <c r="A3" s="53" t="s">
        <v>2082</v>
      </c>
      <c r="B3" s="54" t="s">
        <v>2083</v>
      </c>
      <c r="C3" s="57" t="s">
        <v>2084</v>
      </c>
    </row>
    <row r="4">
      <c r="A4" s="53" t="s">
        <v>2085</v>
      </c>
      <c r="B4" s="54" t="s">
        <v>2086</v>
      </c>
      <c r="C4" s="57" t="s">
        <v>2087</v>
      </c>
    </row>
    <row r="5">
      <c r="A5" s="53" t="s">
        <v>2088</v>
      </c>
      <c r="B5" s="54" t="s">
        <v>2089</v>
      </c>
      <c r="C5" s="57" t="s">
        <v>2090</v>
      </c>
    </row>
    <row r="6">
      <c r="A6" s="53" t="s">
        <v>2091</v>
      </c>
      <c r="B6" s="54" t="s">
        <v>2092</v>
      </c>
      <c r="C6" s="57" t="s">
        <v>2093</v>
      </c>
    </row>
    <row r="7">
      <c r="A7" s="53" t="s">
        <v>2094</v>
      </c>
      <c r="B7" s="54" t="s">
        <v>2095</v>
      </c>
      <c r="C7" s="57" t="s">
        <v>2096</v>
      </c>
    </row>
    <row r="8">
      <c r="A8" s="53" t="s">
        <v>2097</v>
      </c>
      <c r="B8" s="58" t="s">
        <v>2098</v>
      </c>
      <c r="C8" s="57" t="s">
        <v>2099</v>
      </c>
    </row>
    <row r="9">
      <c r="A9" s="53" t="s">
        <v>2100</v>
      </c>
      <c r="B9" s="58" t="s">
        <v>2101</v>
      </c>
      <c r="C9" s="57" t="s">
        <v>2102</v>
      </c>
    </row>
    <row r="10">
      <c r="A10" s="53" t="s">
        <v>2103</v>
      </c>
      <c r="B10" s="58" t="s">
        <v>2104</v>
      </c>
      <c r="C10" s="57" t="s">
        <v>2105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25"/>
    <col customWidth="1" min="2" max="2" width="13.63"/>
    <col customWidth="1" min="3" max="3" width="11.88"/>
    <col customWidth="1" min="4" max="4" width="19.5"/>
    <col customWidth="1" min="5" max="5" width="24.88"/>
    <col customWidth="1" min="6" max="6" width="22.25"/>
    <col customWidth="1" min="7" max="7" width="6.0"/>
    <col customWidth="1" min="8" max="8" width="11.25"/>
    <col customWidth="1" min="9" max="9" width="11.38"/>
    <col customWidth="1" min="10" max="12" width="13.0"/>
    <col customWidth="1" min="13" max="13" width="28.75"/>
    <col customWidth="1" min="14" max="14" width="27.13"/>
    <col customWidth="1" min="15" max="15" width="25.38"/>
  </cols>
  <sheetData>
    <row r="1">
      <c r="A1" s="1" t="s">
        <v>2106</v>
      </c>
      <c r="E1" s="2"/>
      <c r="F1" s="2"/>
      <c r="G1" s="2"/>
      <c r="H1" s="2"/>
      <c r="I1" s="1"/>
      <c r="J1" s="2"/>
      <c r="K1" s="2"/>
      <c r="L1" s="3"/>
      <c r="M1" s="26"/>
      <c r="N1" s="26"/>
      <c r="O1" s="3"/>
      <c r="P1" s="3"/>
      <c r="Q1" s="3"/>
      <c r="R1" s="3"/>
      <c r="S1" s="3"/>
    </row>
    <row r="2">
      <c r="A2" s="1" t="s">
        <v>1</v>
      </c>
      <c r="E2" s="2"/>
      <c r="F2" s="2"/>
      <c r="G2" s="2"/>
      <c r="H2" s="2"/>
      <c r="I2" s="1"/>
      <c r="J2" s="2"/>
      <c r="K2" s="2"/>
      <c r="L2" s="3"/>
      <c r="M2" s="26"/>
      <c r="N2" s="26"/>
      <c r="O2" s="3"/>
      <c r="P2" s="3"/>
      <c r="Q2" s="3"/>
      <c r="R2" s="3"/>
      <c r="S2" s="3"/>
    </row>
    <row r="3" ht="45.75" customHeight="1">
      <c r="A3" s="4" t="s">
        <v>2</v>
      </c>
      <c r="B3" s="4" t="s">
        <v>3</v>
      </c>
      <c r="C3" s="5" t="s">
        <v>525</v>
      </c>
      <c r="D3" s="5" t="s">
        <v>4</v>
      </c>
      <c r="E3" s="5" t="s">
        <v>5</v>
      </c>
      <c r="F3" s="5" t="s">
        <v>6</v>
      </c>
      <c r="G3" s="6" t="s">
        <v>7</v>
      </c>
      <c r="H3" s="5" t="s">
        <v>8</v>
      </c>
      <c r="I3" s="4" t="s">
        <v>9</v>
      </c>
      <c r="J3" s="4" t="s">
        <v>526</v>
      </c>
      <c r="K3" s="5" t="s">
        <v>10</v>
      </c>
      <c r="L3" s="4" t="s">
        <v>11</v>
      </c>
      <c r="M3" s="27" t="s">
        <v>12</v>
      </c>
      <c r="N3" s="27" t="s">
        <v>13</v>
      </c>
      <c r="O3" s="4" t="s">
        <v>14</v>
      </c>
      <c r="P3" s="4" t="s">
        <v>15</v>
      </c>
      <c r="Q3" s="4" t="s">
        <v>16</v>
      </c>
      <c r="R3" s="4" t="s">
        <v>17</v>
      </c>
      <c r="S3" s="4" t="s">
        <v>18</v>
      </c>
    </row>
    <row r="4">
      <c r="A4" s="7" t="s">
        <v>2107</v>
      </c>
      <c r="B4" s="7" t="s">
        <v>20</v>
      </c>
      <c r="C4" s="28" t="s">
        <v>527</v>
      </c>
      <c r="D4" s="28" t="s">
        <v>21</v>
      </c>
      <c r="E4" s="9" t="s">
        <v>22</v>
      </c>
      <c r="F4" s="10" t="s">
        <v>23</v>
      </c>
      <c r="G4" s="11">
        <v>2020.0</v>
      </c>
      <c r="H4" s="9" t="s">
        <v>24</v>
      </c>
      <c r="I4" s="29" t="s">
        <v>528</v>
      </c>
      <c r="J4" s="13" t="s">
        <v>529</v>
      </c>
      <c r="K4" s="13" t="s">
        <v>23</v>
      </c>
      <c r="L4" s="14" t="s">
        <v>25</v>
      </c>
      <c r="M4" s="30" t="s">
        <v>530</v>
      </c>
      <c r="N4" s="30" t="s">
        <v>531</v>
      </c>
      <c r="O4" s="29" t="s">
        <v>532</v>
      </c>
      <c r="P4" s="14" t="s">
        <v>533</v>
      </c>
      <c r="Q4" s="14" t="s">
        <v>533</v>
      </c>
      <c r="R4" s="16" t="str">
        <f t="shared" ref="R4:R224" si="1">IF(OR(P4="",Q4=""),"",IF(P4=Q4,"Igual","Diferente"))</f>
        <v>Igual</v>
      </c>
      <c r="S4" s="14" t="s">
        <v>534</v>
      </c>
    </row>
    <row r="5">
      <c r="A5" s="7"/>
      <c r="B5" s="14"/>
      <c r="C5" s="17"/>
      <c r="D5" s="17"/>
      <c r="E5" s="9"/>
      <c r="F5" s="10"/>
      <c r="G5" s="11"/>
      <c r="H5" s="9"/>
      <c r="I5" s="29" t="s">
        <v>535</v>
      </c>
      <c r="J5" s="13"/>
      <c r="K5" s="13"/>
      <c r="L5" s="14" t="s">
        <v>31</v>
      </c>
      <c r="M5" s="30" t="s">
        <v>536</v>
      </c>
      <c r="N5" s="30" t="s">
        <v>537</v>
      </c>
      <c r="O5" s="29" t="s">
        <v>538</v>
      </c>
      <c r="P5" s="14" t="s">
        <v>533</v>
      </c>
      <c r="Q5" s="14" t="s">
        <v>533</v>
      </c>
      <c r="R5" s="16" t="str">
        <f t="shared" si="1"/>
        <v>Igual</v>
      </c>
    </row>
    <row r="6">
      <c r="A6" s="7"/>
      <c r="B6" s="14"/>
      <c r="C6" s="17"/>
      <c r="D6" s="17"/>
      <c r="F6" s="10"/>
      <c r="G6" s="11"/>
      <c r="H6" s="9"/>
      <c r="I6" s="31"/>
      <c r="J6" s="13"/>
      <c r="K6" s="13"/>
      <c r="L6" s="14" t="s">
        <v>36</v>
      </c>
      <c r="M6" s="30" t="s">
        <v>539</v>
      </c>
      <c r="N6" s="30" t="s">
        <v>540</v>
      </c>
      <c r="O6" s="29" t="s">
        <v>2108</v>
      </c>
      <c r="P6" s="14" t="s">
        <v>533</v>
      </c>
      <c r="Q6" s="14" t="s">
        <v>542</v>
      </c>
      <c r="R6" s="16" t="str">
        <f t="shared" si="1"/>
        <v>Diferente</v>
      </c>
      <c r="S6" s="14" t="s">
        <v>543</v>
      </c>
    </row>
    <row r="7">
      <c r="A7" s="7"/>
      <c r="B7" s="14"/>
      <c r="C7" s="17"/>
      <c r="D7" s="17"/>
      <c r="E7" s="9"/>
      <c r="F7" s="10"/>
      <c r="G7" s="11"/>
      <c r="H7" s="9"/>
      <c r="I7" s="31"/>
      <c r="J7" s="13"/>
      <c r="K7" s="13"/>
      <c r="L7" s="14" t="s">
        <v>41</v>
      </c>
      <c r="M7" s="30" t="s">
        <v>544</v>
      </c>
      <c r="N7" s="30" t="s">
        <v>545</v>
      </c>
      <c r="O7" s="29" t="s">
        <v>2109</v>
      </c>
      <c r="P7" s="14" t="s">
        <v>533</v>
      </c>
      <c r="Q7" s="14" t="s">
        <v>542</v>
      </c>
      <c r="R7" s="16" t="str">
        <f t="shared" si="1"/>
        <v>Diferente</v>
      </c>
      <c r="S7" s="14" t="s">
        <v>543</v>
      </c>
    </row>
    <row r="8">
      <c r="A8" s="7"/>
      <c r="B8" s="14"/>
      <c r="C8" s="17"/>
      <c r="D8" s="17"/>
      <c r="E8" s="9"/>
      <c r="F8" s="10"/>
      <c r="G8" s="11"/>
      <c r="H8" s="9"/>
      <c r="I8" s="31"/>
      <c r="J8" s="13"/>
      <c r="K8" s="13"/>
      <c r="L8" s="14" t="s">
        <v>47</v>
      </c>
      <c r="M8" s="30" t="s">
        <v>547</v>
      </c>
      <c r="N8" s="30" t="s">
        <v>548</v>
      </c>
      <c r="O8" s="29" t="s">
        <v>549</v>
      </c>
      <c r="P8" s="14" t="s">
        <v>533</v>
      </c>
      <c r="Q8" s="14" t="s">
        <v>533</v>
      </c>
      <c r="R8" s="16" t="str">
        <f t="shared" si="1"/>
        <v>Igual</v>
      </c>
    </row>
    <row r="9">
      <c r="A9" s="7"/>
      <c r="B9" s="14"/>
      <c r="C9" s="17"/>
      <c r="D9" s="17"/>
      <c r="E9" s="9"/>
      <c r="F9" s="10"/>
      <c r="G9" s="11"/>
      <c r="H9" s="9"/>
      <c r="I9" s="31"/>
      <c r="J9" s="13"/>
      <c r="K9" s="13"/>
      <c r="L9" s="14" t="s">
        <v>53</v>
      </c>
      <c r="M9" s="30" t="s">
        <v>550</v>
      </c>
      <c r="N9" s="30" t="s">
        <v>551</v>
      </c>
      <c r="O9" s="29" t="s">
        <v>552</v>
      </c>
      <c r="P9" s="14" t="s">
        <v>533</v>
      </c>
      <c r="Q9" s="14" t="s">
        <v>533</v>
      </c>
      <c r="R9" s="16" t="str">
        <f t="shared" si="1"/>
        <v>Igual</v>
      </c>
    </row>
    <row r="10">
      <c r="A10" s="7"/>
      <c r="B10" s="14"/>
      <c r="C10" s="17"/>
      <c r="D10" s="17"/>
      <c r="E10" s="9"/>
      <c r="F10" s="10"/>
      <c r="G10" s="11"/>
      <c r="H10" s="9"/>
      <c r="I10" s="31"/>
      <c r="J10" s="13"/>
      <c r="K10" s="13"/>
      <c r="L10" s="14" t="s">
        <v>59</v>
      </c>
      <c r="M10" s="30" t="s">
        <v>553</v>
      </c>
      <c r="N10" s="30" t="s">
        <v>554</v>
      </c>
      <c r="O10" s="29" t="s">
        <v>555</v>
      </c>
      <c r="P10" s="14" t="s">
        <v>533</v>
      </c>
      <c r="Q10" s="14" t="s">
        <v>533</v>
      </c>
      <c r="R10" s="16" t="str">
        <f t="shared" si="1"/>
        <v>Igual</v>
      </c>
    </row>
    <row r="11">
      <c r="A11" s="7"/>
      <c r="B11" s="14"/>
      <c r="C11" s="17"/>
      <c r="D11" s="17"/>
      <c r="E11" s="9"/>
      <c r="F11" s="10"/>
      <c r="G11" s="11"/>
      <c r="H11" s="9"/>
      <c r="I11" s="31"/>
      <c r="J11" s="13"/>
      <c r="K11" s="13"/>
      <c r="L11" s="14" t="s">
        <v>65</v>
      </c>
      <c r="M11" s="30" t="s">
        <v>556</v>
      </c>
      <c r="N11" s="30" t="s">
        <v>557</v>
      </c>
      <c r="O11" s="29" t="s">
        <v>558</v>
      </c>
      <c r="P11" s="14" t="s">
        <v>533</v>
      </c>
      <c r="Q11" s="14" t="s">
        <v>533</v>
      </c>
      <c r="R11" s="16" t="str">
        <f t="shared" si="1"/>
        <v>Igual</v>
      </c>
    </row>
    <row r="12">
      <c r="A12" s="7"/>
      <c r="B12" s="14"/>
      <c r="C12" s="17"/>
      <c r="D12" s="17"/>
      <c r="E12" s="9"/>
      <c r="F12" s="10"/>
      <c r="G12" s="11"/>
      <c r="H12" s="9"/>
      <c r="I12" s="31"/>
      <c r="J12" s="13"/>
      <c r="K12" s="13"/>
      <c r="L12" s="14" t="s">
        <v>71</v>
      </c>
      <c r="M12" s="30" t="s">
        <v>559</v>
      </c>
      <c r="N12" s="30" t="s">
        <v>560</v>
      </c>
      <c r="O12" s="29" t="s">
        <v>2110</v>
      </c>
      <c r="P12" s="14" t="s">
        <v>533</v>
      </c>
      <c r="Q12" s="14" t="s">
        <v>562</v>
      </c>
      <c r="R12" s="16" t="str">
        <f t="shared" si="1"/>
        <v>Diferente</v>
      </c>
      <c r="S12" s="14" t="s">
        <v>563</v>
      </c>
    </row>
    <row r="13">
      <c r="A13" s="7" t="s">
        <v>2111</v>
      </c>
      <c r="B13" s="14" t="s">
        <v>20</v>
      </c>
      <c r="C13" s="17" t="s">
        <v>564</v>
      </c>
      <c r="D13" s="17" t="s">
        <v>28</v>
      </c>
      <c r="E13" s="18" t="s">
        <v>29</v>
      </c>
      <c r="F13" s="10" t="s">
        <v>23</v>
      </c>
      <c r="G13" s="11">
        <v>2020.0</v>
      </c>
      <c r="H13" s="9" t="s">
        <v>30</v>
      </c>
      <c r="I13" s="29" t="s">
        <v>565</v>
      </c>
      <c r="J13" s="13" t="s">
        <v>566</v>
      </c>
      <c r="K13" s="13" t="s">
        <v>23</v>
      </c>
      <c r="L13" s="14" t="s">
        <v>25</v>
      </c>
      <c r="M13" s="30" t="s">
        <v>567</v>
      </c>
      <c r="N13" s="30" t="s">
        <v>568</v>
      </c>
      <c r="O13" s="29" t="s">
        <v>2112</v>
      </c>
      <c r="P13" s="14" t="s">
        <v>542</v>
      </c>
      <c r="Q13" s="14" t="s">
        <v>542</v>
      </c>
      <c r="R13" s="16" t="str">
        <f t="shared" si="1"/>
        <v>Igual</v>
      </c>
      <c r="S13" s="14" t="s">
        <v>570</v>
      </c>
    </row>
    <row r="14">
      <c r="A14" s="7"/>
      <c r="B14" s="14"/>
      <c r="C14" s="17"/>
      <c r="D14" s="17"/>
      <c r="E14" s="9"/>
      <c r="F14" s="10"/>
      <c r="G14" s="11"/>
      <c r="H14" s="9"/>
      <c r="I14" s="31"/>
      <c r="J14" s="13"/>
      <c r="K14" s="13"/>
      <c r="L14" s="14" t="s">
        <v>31</v>
      </c>
      <c r="M14" s="30" t="s">
        <v>571</v>
      </c>
      <c r="N14" s="30" t="s">
        <v>572</v>
      </c>
      <c r="O14" s="29" t="s">
        <v>573</v>
      </c>
      <c r="P14" s="14" t="s">
        <v>533</v>
      </c>
      <c r="Q14" s="14" t="s">
        <v>533</v>
      </c>
      <c r="R14" s="16" t="str">
        <f t="shared" si="1"/>
        <v>Igual</v>
      </c>
    </row>
    <row r="15">
      <c r="A15" s="7"/>
      <c r="B15" s="14"/>
      <c r="C15" s="17"/>
      <c r="D15" s="17"/>
      <c r="E15" s="9"/>
      <c r="F15" s="10"/>
      <c r="G15" s="11"/>
      <c r="H15" s="9"/>
      <c r="I15" s="31"/>
      <c r="J15" s="13"/>
      <c r="K15" s="13"/>
      <c r="L15" s="14" t="s">
        <v>36</v>
      </c>
      <c r="M15" s="30" t="s">
        <v>574</v>
      </c>
      <c r="N15" s="30" t="s">
        <v>575</v>
      </c>
      <c r="O15" s="29" t="s">
        <v>576</v>
      </c>
      <c r="P15" s="14" t="s">
        <v>542</v>
      </c>
      <c r="Q15" s="14" t="s">
        <v>542</v>
      </c>
      <c r="R15" s="16" t="str">
        <f t="shared" si="1"/>
        <v>Igual</v>
      </c>
      <c r="S15" s="14" t="s">
        <v>577</v>
      </c>
    </row>
    <row r="16">
      <c r="A16" s="7"/>
      <c r="B16" s="14"/>
      <c r="C16" s="17"/>
      <c r="D16" s="17"/>
      <c r="E16" s="9"/>
      <c r="F16" s="10"/>
      <c r="G16" s="11"/>
      <c r="H16" s="9"/>
      <c r="I16" s="31"/>
      <c r="J16" s="13"/>
      <c r="K16" s="13"/>
      <c r="L16" s="14" t="s">
        <v>41</v>
      </c>
      <c r="M16" s="30" t="s">
        <v>578</v>
      </c>
      <c r="N16" s="30" t="s">
        <v>579</v>
      </c>
      <c r="O16" s="29" t="s">
        <v>580</v>
      </c>
      <c r="P16" s="14" t="s">
        <v>533</v>
      </c>
      <c r="Q16" s="14" t="s">
        <v>542</v>
      </c>
      <c r="R16" s="16" t="str">
        <f t="shared" si="1"/>
        <v>Diferente</v>
      </c>
    </row>
    <row r="17">
      <c r="A17" s="7"/>
      <c r="B17" s="14"/>
      <c r="C17" s="17"/>
      <c r="D17" s="17"/>
      <c r="E17" s="9"/>
      <c r="F17" s="10"/>
      <c r="G17" s="11"/>
      <c r="H17" s="9"/>
      <c r="I17" s="31"/>
      <c r="J17" s="13"/>
      <c r="K17" s="13"/>
      <c r="L17" s="14" t="s">
        <v>47</v>
      </c>
      <c r="M17" s="30" t="s">
        <v>581</v>
      </c>
      <c r="N17" s="30" t="s">
        <v>582</v>
      </c>
      <c r="O17" s="29" t="s">
        <v>583</v>
      </c>
      <c r="P17" s="14" t="s">
        <v>533</v>
      </c>
      <c r="Q17" s="14" t="s">
        <v>542</v>
      </c>
      <c r="R17" s="16" t="str">
        <f t="shared" si="1"/>
        <v>Diferente</v>
      </c>
    </row>
    <row r="18">
      <c r="A18" s="7"/>
      <c r="B18" s="14"/>
      <c r="C18" s="17"/>
      <c r="D18" s="17"/>
      <c r="E18" s="9"/>
      <c r="F18" s="10"/>
      <c r="G18" s="11"/>
      <c r="H18" s="9"/>
      <c r="I18" s="31"/>
      <c r="J18" s="13"/>
      <c r="K18" s="13"/>
      <c r="L18" s="14" t="s">
        <v>53</v>
      </c>
      <c r="M18" s="30" t="s">
        <v>584</v>
      </c>
      <c r="N18" s="30" t="s">
        <v>585</v>
      </c>
      <c r="O18" s="29" t="s">
        <v>586</v>
      </c>
      <c r="P18" s="14" t="s">
        <v>533</v>
      </c>
      <c r="Q18" s="14" t="s">
        <v>533</v>
      </c>
      <c r="R18" s="16" t="str">
        <f t="shared" si="1"/>
        <v>Igual</v>
      </c>
    </row>
    <row r="19">
      <c r="A19" s="7"/>
      <c r="B19" s="14"/>
      <c r="C19" s="17"/>
      <c r="D19" s="17"/>
      <c r="E19" s="9"/>
      <c r="F19" s="10"/>
      <c r="G19" s="11"/>
      <c r="H19" s="9"/>
      <c r="I19" s="31"/>
      <c r="J19" s="13"/>
      <c r="K19" s="13"/>
      <c r="L19" s="14" t="s">
        <v>59</v>
      </c>
      <c r="M19" s="30" t="s">
        <v>587</v>
      </c>
      <c r="N19" s="30" t="s">
        <v>588</v>
      </c>
      <c r="O19" s="29" t="s">
        <v>589</v>
      </c>
      <c r="P19" s="14" t="s">
        <v>533</v>
      </c>
      <c r="Q19" s="14" t="s">
        <v>533</v>
      </c>
      <c r="R19" s="16" t="str">
        <f t="shared" si="1"/>
        <v>Igual</v>
      </c>
    </row>
    <row r="20">
      <c r="A20" s="7"/>
      <c r="B20" s="14"/>
      <c r="C20" s="17"/>
      <c r="D20" s="17"/>
      <c r="E20" s="9"/>
      <c r="F20" s="10"/>
      <c r="G20" s="11"/>
      <c r="H20" s="9"/>
      <c r="I20" s="31"/>
      <c r="J20" s="13"/>
      <c r="K20" s="13"/>
      <c r="L20" s="14" t="s">
        <v>65</v>
      </c>
      <c r="M20" s="30" t="s">
        <v>590</v>
      </c>
      <c r="N20" s="30" t="s">
        <v>591</v>
      </c>
      <c r="O20" s="29" t="s">
        <v>558</v>
      </c>
      <c r="P20" s="14" t="s">
        <v>533</v>
      </c>
      <c r="Q20" s="14" t="s">
        <v>533</v>
      </c>
      <c r="R20" s="16" t="str">
        <f t="shared" si="1"/>
        <v>Igual</v>
      </c>
    </row>
    <row r="21">
      <c r="A21" s="7"/>
      <c r="B21" s="14"/>
      <c r="C21" s="17"/>
      <c r="D21" s="17"/>
      <c r="E21" s="9"/>
      <c r="F21" s="10"/>
      <c r="G21" s="11"/>
      <c r="H21" s="9"/>
      <c r="I21" s="31"/>
      <c r="J21" s="13"/>
      <c r="K21" s="13"/>
      <c r="L21" s="14" t="s">
        <v>71</v>
      </c>
      <c r="M21" s="30" t="s">
        <v>592</v>
      </c>
      <c r="N21" s="30" t="s">
        <v>593</v>
      </c>
      <c r="O21" s="29" t="s">
        <v>594</v>
      </c>
      <c r="P21" s="14" t="s">
        <v>533</v>
      </c>
      <c r="Q21" s="14" t="s">
        <v>562</v>
      </c>
      <c r="R21" s="16" t="str">
        <f t="shared" si="1"/>
        <v>Diferente</v>
      </c>
      <c r="S21" s="14" t="s">
        <v>595</v>
      </c>
    </row>
    <row r="22">
      <c r="A22" s="7" t="s">
        <v>2113</v>
      </c>
      <c r="B22" s="14" t="s">
        <v>20</v>
      </c>
      <c r="C22" s="17" t="s">
        <v>596</v>
      </c>
      <c r="D22" s="17" t="s">
        <v>33</v>
      </c>
      <c r="E22" s="9" t="s">
        <v>34</v>
      </c>
      <c r="F22" s="10" t="s">
        <v>23</v>
      </c>
      <c r="G22" s="11">
        <v>2025.0</v>
      </c>
      <c r="H22" s="9" t="s">
        <v>35</v>
      </c>
      <c r="I22" s="29" t="s">
        <v>528</v>
      </c>
      <c r="J22" s="13"/>
      <c r="K22" s="13" t="s">
        <v>23</v>
      </c>
      <c r="L22" s="32" t="s">
        <v>25</v>
      </c>
      <c r="M22" s="30" t="s">
        <v>597</v>
      </c>
      <c r="N22" s="30" t="s">
        <v>598</v>
      </c>
      <c r="O22" s="29" t="s">
        <v>2114</v>
      </c>
      <c r="P22" s="14" t="s">
        <v>533</v>
      </c>
      <c r="Q22" s="14" t="s">
        <v>533</v>
      </c>
      <c r="R22" s="16" t="str">
        <f t="shared" si="1"/>
        <v>Igual</v>
      </c>
    </row>
    <row r="23">
      <c r="A23" s="7"/>
      <c r="B23" s="16"/>
      <c r="C23" s="12"/>
      <c r="D23" s="12"/>
      <c r="E23" s="9"/>
      <c r="F23" s="9"/>
      <c r="G23" s="11"/>
      <c r="H23" s="9"/>
      <c r="I23" s="31"/>
      <c r="J23" s="13"/>
      <c r="K23" s="13"/>
      <c r="L23" s="32" t="s">
        <v>31</v>
      </c>
      <c r="M23" s="30" t="s">
        <v>600</v>
      </c>
      <c r="N23" s="30" t="s">
        <v>601</v>
      </c>
      <c r="O23" s="29" t="s">
        <v>602</v>
      </c>
      <c r="P23" s="14" t="s">
        <v>533</v>
      </c>
      <c r="Q23" s="14" t="s">
        <v>533</v>
      </c>
      <c r="R23" s="16" t="str">
        <f t="shared" si="1"/>
        <v>Igual</v>
      </c>
    </row>
    <row r="24">
      <c r="A24" s="7"/>
      <c r="B24" s="16"/>
      <c r="C24" s="12"/>
      <c r="D24" s="12"/>
      <c r="E24" s="9"/>
      <c r="F24" s="9"/>
      <c r="G24" s="11"/>
      <c r="H24" s="9"/>
      <c r="I24" s="31"/>
      <c r="J24" s="13"/>
      <c r="K24" s="13"/>
      <c r="L24" s="32" t="s">
        <v>36</v>
      </c>
      <c r="M24" s="30" t="s">
        <v>603</v>
      </c>
      <c r="N24" s="30" t="s">
        <v>604</v>
      </c>
      <c r="O24" s="29" t="s">
        <v>605</v>
      </c>
      <c r="P24" s="14" t="s">
        <v>533</v>
      </c>
      <c r="Q24" s="14" t="s">
        <v>542</v>
      </c>
      <c r="R24" s="16" t="str">
        <f t="shared" si="1"/>
        <v>Diferente</v>
      </c>
    </row>
    <row r="25">
      <c r="A25" s="7"/>
      <c r="B25" s="16"/>
      <c r="C25" s="12"/>
      <c r="D25" s="12"/>
      <c r="E25" s="9"/>
      <c r="F25" s="9"/>
      <c r="G25" s="11"/>
      <c r="H25" s="9"/>
      <c r="I25" s="31"/>
      <c r="J25" s="13"/>
      <c r="K25" s="13"/>
      <c r="L25" s="32" t="s">
        <v>41</v>
      </c>
      <c r="M25" s="30" t="s">
        <v>606</v>
      </c>
      <c r="N25" s="30" t="s">
        <v>607</v>
      </c>
      <c r="O25" s="29" t="s">
        <v>608</v>
      </c>
      <c r="P25" s="14" t="s">
        <v>533</v>
      </c>
      <c r="Q25" s="14" t="s">
        <v>533</v>
      </c>
      <c r="R25" s="16" t="str">
        <f t="shared" si="1"/>
        <v>Igual</v>
      </c>
    </row>
    <row r="26">
      <c r="A26" s="7"/>
      <c r="B26" s="16"/>
      <c r="C26" s="12"/>
      <c r="D26" s="12"/>
      <c r="E26" s="9"/>
      <c r="F26" s="9"/>
      <c r="G26" s="11"/>
      <c r="H26" s="9"/>
      <c r="I26" s="31"/>
      <c r="J26" s="13"/>
      <c r="K26" s="13"/>
      <c r="L26" s="32" t="s">
        <v>47</v>
      </c>
      <c r="M26" s="30" t="s">
        <v>609</v>
      </c>
      <c r="N26" s="30" t="s">
        <v>610</v>
      </c>
      <c r="O26" s="29" t="s">
        <v>611</v>
      </c>
      <c r="P26" s="14" t="s">
        <v>533</v>
      </c>
      <c r="Q26" s="14" t="s">
        <v>533</v>
      </c>
      <c r="R26" s="16" t="str">
        <f t="shared" si="1"/>
        <v>Igual</v>
      </c>
    </row>
    <row r="27">
      <c r="A27" s="7"/>
      <c r="B27" s="16"/>
      <c r="C27" s="12"/>
      <c r="D27" s="12"/>
      <c r="E27" s="9"/>
      <c r="F27" s="9"/>
      <c r="G27" s="11"/>
      <c r="H27" s="9"/>
      <c r="I27" s="31"/>
      <c r="J27" s="13"/>
      <c r="K27" s="13"/>
      <c r="L27" s="32" t="s">
        <v>53</v>
      </c>
      <c r="M27" s="30" t="s">
        <v>612</v>
      </c>
      <c r="N27" s="30" t="s">
        <v>613</v>
      </c>
      <c r="O27" s="29" t="s">
        <v>586</v>
      </c>
      <c r="P27" s="14" t="s">
        <v>533</v>
      </c>
      <c r="Q27" s="14" t="s">
        <v>533</v>
      </c>
      <c r="R27" s="16" t="str">
        <f t="shared" si="1"/>
        <v>Igual</v>
      </c>
    </row>
    <row r="28">
      <c r="A28" s="7"/>
      <c r="B28" s="16"/>
      <c r="C28" s="12"/>
      <c r="D28" s="12"/>
      <c r="E28" s="9"/>
      <c r="F28" s="9"/>
      <c r="G28" s="11"/>
      <c r="H28" s="9"/>
      <c r="I28" s="31"/>
      <c r="J28" s="13"/>
      <c r="K28" s="13"/>
      <c r="L28" s="32" t="s">
        <v>59</v>
      </c>
      <c r="M28" s="30" t="s">
        <v>614</v>
      </c>
      <c r="N28" s="30" t="s">
        <v>615</v>
      </c>
      <c r="O28" s="29" t="s">
        <v>555</v>
      </c>
      <c r="P28" s="14" t="s">
        <v>533</v>
      </c>
      <c r="Q28" s="14" t="s">
        <v>562</v>
      </c>
      <c r="R28" s="16" t="str">
        <f t="shared" si="1"/>
        <v>Diferente</v>
      </c>
    </row>
    <row r="29">
      <c r="A29" s="7"/>
      <c r="B29" s="16"/>
      <c r="C29" s="12"/>
      <c r="D29" s="12"/>
      <c r="E29" s="9"/>
      <c r="F29" s="9"/>
      <c r="G29" s="11"/>
      <c r="H29" s="9"/>
      <c r="I29" s="31"/>
      <c r="J29" s="13"/>
      <c r="K29" s="13"/>
      <c r="L29" s="32" t="s">
        <v>65</v>
      </c>
      <c r="M29" s="30" t="s">
        <v>616</v>
      </c>
      <c r="N29" s="30" t="s">
        <v>617</v>
      </c>
      <c r="O29" s="29" t="s">
        <v>558</v>
      </c>
      <c r="P29" s="14" t="s">
        <v>533</v>
      </c>
      <c r="Q29" s="14" t="s">
        <v>533</v>
      </c>
      <c r="R29" s="16" t="str">
        <f t="shared" si="1"/>
        <v>Igual</v>
      </c>
    </row>
    <row r="30">
      <c r="A30" s="7"/>
      <c r="B30" s="16"/>
      <c r="C30" s="12"/>
      <c r="D30" s="12"/>
      <c r="E30" s="9"/>
      <c r="F30" s="9"/>
      <c r="G30" s="11"/>
      <c r="H30" s="9"/>
      <c r="I30" s="31"/>
      <c r="J30" s="13"/>
      <c r="K30" s="13"/>
      <c r="L30" s="32" t="s">
        <v>71</v>
      </c>
      <c r="M30" s="30" t="s">
        <v>618</v>
      </c>
      <c r="N30" s="30" t="s">
        <v>619</v>
      </c>
      <c r="O30" s="29" t="s">
        <v>620</v>
      </c>
      <c r="P30" s="14" t="s">
        <v>533</v>
      </c>
      <c r="Q30" s="14" t="s">
        <v>533</v>
      </c>
      <c r="R30" s="16" t="str">
        <f t="shared" si="1"/>
        <v>Igual</v>
      </c>
    </row>
    <row r="31">
      <c r="A31" s="7" t="s">
        <v>2115</v>
      </c>
      <c r="B31" s="14" t="s">
        <v>20</v>
      </c>
      <c r="C31" s="17" t="s">
        <v>621</v>
      </c>
      <c r="D31" s="17" t="s">
        <v>622</v>
      </c>
      <c r="E31" s="9" t="s">
        <v>38</v>
      </c>
      <c r="F31" s="33" t="s">
        <v>2116</v>
      </c>
      <c r="G31" s="11">
        <v>2024.0</v>
      </c>
      <c r="H31" s="9" t="s">
        <v>40</v>
      </c>
      <c r="I31" s="29" t="s">
        <v>535</v>
      </c>
      <c r="J31" s="13"/>
      <c r="K31" s="13" t="s">
        <v>23</v>
      </c>
      <c r="L31" s="32" t="s">
        <v>25</v>
      </c>
      <c r="M31" s="34" t="s">
        <v>624</v>
      </c>
      <c r="N31" s="35" t="s">
        <v>625</v>
      </c>
      <c r="O31" s="29" t="s">
        <v>626</v>
      </c>
      <c r="P31" s="14" t="s">
        <v>562</v>
      </c>
      <c r="Q31" s="14" t="s">
        <v>533</v>
      </c>
      <c r="R31" s="16" t="str">
        <f t="shared" si="1"/>
        <v>Diferente</v>
      </c>
    </row>
    <row r="32">
      <c r="A32" s="7"/>
      <c r="B32" s="14"/>
      <c r="C32" s="17"/>
      <c r="D32" s="17"/>
      <c r="E32" s="9"/>
      <c r="F32" s="9"/>
      <c r="G32" s="11"/>
      <c r="H32" s="9"/>
      <c r="I32" s="31"/>
      <c r="J32" s="13"/>
      <c r="K32" s="13"/>
      <c r="L32" s="32" t="s">
        <v>31</v>
      </c>
      <c r="M32" s="36" t="s">
        <v>627</v>
      </c>
      <c r="N32" s="37" t="s">
        <v>628</v>
      </c>
      <c r="O32" s="29" t="s">
        <v>629</v>
      </c>
      <c r="P32" s="14" t="s">
        <v>533</v>
      </c>
      <c r="Q32" s="14" t="s">
        <v>533</v>
      </c>
      <c r="R32" s="16" t="str">
        <f t="shared" si="1"/>
        <v>Igual</v>
      </c>
    </row>
    <row r="33">
      <c r="A33" s="7"/>
      <c r="B33" s="14"/>
      <c r="C33" s="17"/>
      <c r="D33" s="17"/>
      <c r="E33" s="9"/>
      <c r="F33" s="9"/>
      <c r="G33" s="11"/>
      <c r="H33" s="9"/>
      <c r="I33" s="31"/>
      <c r="J33" s="13"/>
      <c r="K33" s="13"/>
      <c r="L33" s="32" t="s">
        <v>36</v>
      </c>
      <c r="M33" s="36" t="s">
        <v>630</v>
      </c>
      <c r="N33" s="37" t="s">
        <v>631</v>
      </c>
      <c r="O33" s="29" t="s">
        <v>632</v>
      </c>
      <c r="P33" s="14" t="s">
        <v>562</v>
      </c>
      <c r="Q33" s="14" t="s">
        <v>533</v>
      </c>
      <c r="R33" s="16" t="str">
        <f t="shared" si="1"/>
        <v>Diferente</v>
      </c>
    </row>
    <row r="34">
      <c r="A34" s="7"/>
      <c r="B34" s="14"/>
      <c r="C34" s="17"/>
      <c r="D34" s="17"/>
      <c r="E34" s="9"/>
      <c r="F34" s="9"/>
      <c r="G34" s="11"/>
      <c r="H34" s="9"/>
      <c r="I34" s="31"/>
      <c r="J34" s="13"/>
      <c r="K34" s="13"/>
      <c r="L34" s="32" t="s">
        <v>41</v>
      </c>
      <c r="M34" s="36" t="s">
        <v>633</v>
      </c>
      <c r="N34" s="37" t="s">
        <v>634</v>
      </c>
      <c r="O34" s="29" t="s">
        <v>635</v>
      </c>
      <c r="P34" s="14" t="s">
        <v>562</v>
      </c>
      <c r="Q34" s="14" t="s">
        <v>533</v>
      </c>
      <c r="R34" s="16" t="str">
        <f t="shared" si="1"/>
        <v>Diferente</v>
      </c>
    </row>
    <row r="35">
      <c r="A35" s="7"/>
      <c r="B35" s="14"/>
      <c r="C35" s="17"/>
      <c r="D35" s="17"/>
      <c r="E35" s="9"/>
      <c r="F35" s="9"/>
      <c r="G35" s="11"/>
      <c r="H35" s="9"/>
      <c r="I35" s="31"/>
      <c r="J35" s="13"/>
      <c r="K35" s="13"/>
      <c r="L35" s="32" t="s">
        <v>47</v>
      </c>
      <c r="M35" s="36" t="s">
        <v>636</v>
      </c>
      <c r="N35" s="37" t="s">
        <v>637</v>
      </c>
      <c r="O35" s="29" t="s">
        <v>638</v>
      </c>
      <c r="P35" s="14" t="s">
        <v>562</v>
      </c>
      <c r="Q35" s="14" t="s">
        <v>533</v>
      </c>
      <c r="R35" s="16" t="str">
        <f t="shared" si="1"/>
        <v>Diferente</v>
      </c>
    </row>
    <row r="36">
      <c r="A36" s="7"/>
      <c r="B36" s="14"/>
      <c r="C36" s="17"/>
      <c r="D36" s="17"/>
      <c r="E36" s="9"/>
      <c r="F36" s="9"/>
      <c r="G36" s="11"/>
      <c r="H36" s="9"/>
      <c r="I36" s="31"/>
      <c r="J36" s="13"/>
      <c r="K36" s="13"/>
      <c r="L36" s="32" t="s">
        <v>53</v>
      </c>
      <c r="M36" s="36" t="s">
        <v>639</v>
      </c>
      <c r="N36" s="37" t="s">
        <v>640</v>
      </c>
      <c r="O36" s="29" t="s">
        <v>641</v>
      </c>
      <c r="P36" s="14" t="s">
        <v>533</v>
      </c>
      <c r="Q36" s="14" t="s">
        <v>533</v>
      </c>
      <c r="R36" s="16" t="str">
        <f t="shared" si="1"/>
        <v>Igual</v>
      </c>
    </row>
    <row r="37">
      <c r="A37" s="7"/>
      <c r="B37" s="14"/>
      <c r="C37" s="17"/>
      <c r="D37" s="17"/>
      <c r="E37" s="9"/>
      <c r="F37" s="9"/>
      <c r="G37" s="11"/>
      <c r="H37" s="9"/>
      <c r="I37" s="31"/>
      <c r="J37" s="13"/>
      <c r="K37" s="13"/>
      <c r="L37" s="32" t="s">
        <v>59</v>
      </c>
      <c r="M37" s="36" t="s">
        <v>642</v>
      </c>
      <c r="N37" s="37" t="s">
        <v>643</v>
      </c>
      <c r="O37" s="29" t="s">
        <v>644</v>
      </c>
      <c r="P37" s="14" t="s">
        <v>562</v>
      </c>
      <c r="Q37" s="14" t="s">
        <v>533</v>
      </c>
      <c r="R37" s="16" t="str">
        <f t="shared" si="1"/>
        <v>Diferente</v>
      </c>
    </row>
    <row r="38">
      <c r="A38" s="7"/>
      <c r="B38" s="14"/>
      <c r="C38" s="17"/>
      <c r="D38" s="17"/>
      <c r="E38" s="9"/>
      <c r="F38" s="9"/>
      <c r="G38" s="11"/>
      <c r="H38" s="9"/>
      <c r="I38" s="31"/>
      <c r="J38" s="13"/>
      <c r="K38" s="13"/>
      <c r="L38" s="32" t="s">
        <v>65</v>
      </c>
      <c r="M38" s="36" t="s">
        <v>645</v>
      </c>
      <c r="N38" s="37" t="s">
        <v>646</v>
      </c>
      <c r="O38" s="29" t="s">
        <v>647</v>
      </c>
      <c r="P38" s="14" t="s">
        <v>533</v>
      </c>
      <c r="Q38" s="14" t="s">
        <v>533</v>
      </c>
      <c r="R38" s="16" t="str">
        <f t="shared" si="1"/>
        <v>Igual</v>
      </c>
    </row>
    <row r="39">
      <c r="A39" s="7"/>
      <c r="B39" s="14"/>
      <c r="C39" s="17"/>
      <c r="D39" s="17"/>
      <c r="E39" s="9"/>
      <c r="F39" s="9"/>
      <c r="G39" s="11"/>
      <c r="H39" s="9"/>
      <c r="I39" s="31"/>
      <c r="J39" s="13"/>
      <c r="K39" s="13"/>
      <c r="L39" s="32" t="s">
        <v>71</v>
      </c>
      <c r="M39" s="36" t="s">
        <v>648</v>
      </c>
      <c r="N39" s="37" t="s">
        <v>649</v>
      </c>
      <c r="O39" s="29" t="s">
        <v>650</v>
      </c>
      <c r="P39" s="14" t="s">
        <v>562</v>
      </c>
      <c r="Q39" s="14" t="s">
        <v>533</v>
      </c>
      <c r="R39" s="16" t="str">
        <f t="shared" si="1"/>
        <v>Diferente</v>
      </c>
    </row>
    <row r="40">
      <c r="A40" s="7" t="s">
        <v>2117</v>
      </c>
      <c r="B40" s="14" t="s">
        <v>20</v>
      </c>
      <c r="C40" s="17" t="s">
        <v>651</v>
      </c>
      <c r="D40" s="17" t="s">
        <v>43</v>
      </c>
      <c r="E40" s="9" t="s">
        <v>44</v>
      </c>
      <c r="F40" s="33" t="s">
        <v>652</v>
      </c>
      <c r="G40" s="11">
        <v>2023.0</v>
      </c>
      <c r="H40" s="9" t="s">
        <v>46</v>
      </c>
      <c r="I40" s="29" t="s">
        <v>653</v>
      </c>
      <c r="J40" s="13"/>
      <c r="K40" s="13" t="s">
        <v>23</v>
      </c>
      <c r="L40" s="32" t="s">
        <v>25</v>
      </c>
      <c r="M40" s="38" t="s">
        <v>654</v>
      </c>
      <c r="N40" s="39" t="s">
        <v>654</v>
      </c>
      <c r="O40" s="29" t="s">
        <v>655</v>
      </c>
      <c r="P40" s="14" t="s">
        <v>562</v>
      </c>
      <c r="Q40" s="14" t="s">
        <v>562</v>
      </c>
      <c r="R40" s="16" t="str">
        <f t="shared" si="1"/>
        <v>Igual</v>
      </c>
      <c r="S40" s="14" t="s">
        <v>656</v>
      </c>
    </row>
    <row r="41">
      <c r="A41" s="7"/>
      <c r="B41" s="14"/>
      <c r="C41" s="17"/>
      <c r="D41" s="17"/>
      <c r="E41" s="9"/>
      <c r="F41" s="9"/>
      <c r="G41" s="11"/>
      <c r="H41" s="9"/>
      <c r="I41" s="31"/>
      <c r="J41" s="13"/>
      <c r="K41" s="13"/>
      <c r="L41" s="32" t="s">
        <v>31</v>
      </c>
      <c r="M41" s="38" t="s">
        <v>654</v>
      </c>
      <c r="N41" s="39" t="s">
        <v>654</v>
      </c>
      <c r="O41" s="29" t="s">
        <v>657</v>
      </c>
      <c r="P41" s="14" t="s">
        <v>533</v>
      </c>
      <c r="Q41" s="14" t="s">
        <v>533</v>
      </c>
      <c r="R41" s="16" t="str">
        <f t="shared" si="1"/>
        <v>Igual</v>
      </c>
    </row>
    <row r="42">
      <c r="A42" s="7"/>
      <c r="B42" s="14"/>
      <c r="C42" s="17"/>
      <c r="D42" s="17"/>
      <c r="E42" s="9"/>
      <c r="F42" s="9"/>
      <c r="G42" s="11"/>
      <c r="H42" s="9"/>
      <c r="I42" s="31"/>
      <c r="J42" s="13"/>
      <c r="K42" s="13"/>
      <c r="L42" s="32" t="s">
        <v>36</v>
      </c>
      <c r="M42" s="30" t="s">
        <v>658</v>
      </c>
      <c r="N42" s="39" t="s">
        <v>654</v>
      </c>
      <c r="O42" s="29" t="s">
        <v>659</v>
      </c>
      <c r="P42" s="14" t="s">
        <v>533</v>
      </c>
      <c r="Q42" s="14" t="s">
        <v>562</v>
      </c>
      <c r="R42" s="16" t="str">
        <f t="shared" si="1"/>
        <v>Diferente</v>
      </c>
    </row>
    <row r="43">
      <c r="A43" s="7"/>
      <c r="B43" s="14"/>
      <c r="C43" s="17"/>
      <c r="D43" s="17"/>
      <c r="E43" s="9"/>
      <c r="F43" s="9"/>
      <c r="G43" s="11"/>
      <c r="H43" s="9"/>
      <c r="I43" s="31"/>
      <c r="J43" s="13"/>
      <c r="K43" s="13"/>
      <c r="L43" s="32" t="s">
        <v>41</v>
      </c>
      <c r="M43" s="30" t="s">
        <v>654</v>
      </c>
      <c r="N43" s="39" t="s">
        <v>654</v>
      </c>
      <c r="O43" s="29" t="s">
        <v>660</v>
      </c>
      <c r="P43" s="14" t="s">
        <v>562</v>
      </c>
      <c r="Q43" s="14" t="s">
        <v>562</v>
      </c>
      <c r="R43" s="16" t="str">
        <f t="shared" si="1"/>
        <v>Igual</v>
      </c>
    </row>
    <row r="44">
      <c r="A44" s="7"/>
      <c r="B44" s="14"/>
      <c r="C44" s="17"/>
      <c r="D44" s="17"/>
      <c r="E44" s="9"/>
      <c r="F44" s="9"/>
      <c r="G44" s="11"/>
      <c r="H44" s="9"/>
      <c r="I44" s="31"/>
      <c r="J44" s="13"/>
      <c r="K44" s="13"/>
      <c r="L44" s="32" t="s">
        <v>47</v>
      </c>
      <c r="M44" s="30" t="s">
        <v>654</v>
      </c>
      <c r="N44" s="39" t="s">
        <v>654</v>
      </c>
      <c r="O44" s="29" t="s">
        <v>611</v>
      </c>
      <c r="P44" s="14" t="s">
        <v>533</v>
      </c>
      <c r="Q44" s="14" t="s">
        <v>533</v>
      </c>
      <c r="R44" s="16" t="str">
        <f t="shared" si="1"/>
        <v>Igual</v>
      </c>
    </row>
    <row r="45">
      <c r="A45" s="7"/>
      <c r="B45" s="14"/>
      <c r="C45" s="17"/>
      <c r="D45" s="17"/>
      <c r="E45" s="9"/>
      <c r="F45" s="9"/>
      <c r="G45" s="11"/>
      <c r="H45" s="9"/>
      <c r="I45" s="31"/>
      <c r="J45" s="13"/>
      <c r="K45" s="13"/>
      <c r="L45" s="32" t="s">
        <v>53</v>
      </c>
      <c r="M45" s="30" t="s">
        <v>654</v>
      </c>
      <c r="N45" s="39" t="s">
        <v>654</v>
      </c>
      <c r="O45" s="29" t="s">
        <v>586</v>
      </c>
      <c r="P45" s="14" t="s">
        <v>533</v>
      </c>
      <c r="Q45" s="14" t="s">
        <v>533</v>
      </c>
      <c r="R45" s="16" t="str">
        <f t="shared" si="1"/>
        <v>Igual</v>
      </c>
    </row>
    <row r="46">
      <c r="A46" s="7"/>
      <c r="B46" s="14"/>
      <c r="C46" s="17"/>
      <c r="D46" s="17"/>
      <c r="E46" s="9"/>
      <c r="F46" s="9"/>
      <c r="G46" s="11"/>
      <c r="H46" s="9"/>
      <c r="I46" s="31"/>
      <c r="J46" s="13"/>
      <c r="K46" s="13"/>
      <c r="L46" s="32" t="s">
        <v>59</v>
      </c>
      <c r="M46" s="30" t="s">
        <v>661</v>
      </c>
      <c r="N46" s="30" t="s">
        <v>662</v>
      </c>
      <c r="O46" s="29" t="s">
        <v>663</v>
      </c>
      <c r="P46" s="14" t="s">
        <v>533</v>
      </c>
      <c r="Q46" s="14" t="s">
        <v>533</v>
      </c>
      <c r="R46" s="16" t="str">
        <f t="shared" si="1"/>
        <v>Igual</v>
      </c>
    </row>
    <row r="47">
      <c r="A47" s="7"/>
      <c r="B47" s="14"/>
      <c r="C47" s="17"/>
      <c r="D47" s="17"/>
      <c r="E47" s="9"/>
      <c r="F47" s="9"/>
      <c r="G47" s="11"/>
      <c r="H47" s="9"/>
      <c r="I47" s="31"/>
      <c r="J47" s="13"/>
      <c r="K47" s="13"/>
      <c r="L47" s="32" t="s">
        <v>65</v>
      </c>
      <c r="M47" s="30" t="s">
        <v>654</v>
      </c>
      <c r="N47" s="30" t="s">
        <v>654</v>
      </c>
      <c r="O47" s="29" t="s">
        <v>558</v>
      </c>
      <c r="P47" s="14" t="s">
        <v>533</v>
      </c>
      <c r="Q47" s="14" t="s">
        <v>533</v>
      </c>
      <c r="R47" s="16" t="str">
        <f t="shared" si="1"/>
        <v>Igual</v>
      </c>
    </row>
    <row r="48">
      <c r="A48" s="7"/>
      <c r="B48" s="14"/>
      <c r="C48" s="17"/>
      <c r="D48" s="17"/>
      <c r="E48" s="9"/>
      <c r="F48" s="9"/>
      <c r="G48" s="11"/>
      <c r="H48" s="9"/>
      <c r="I48" s="31"/>
      <c r="J48" s="13"/>
      <c r="K48" s="13"/>
      <c r="L48" s="32" t="s">
        <v>71</v>
      </c>
      <c r="M48" s="30" t="s">
        <v>664</v>
      </c>
      <c r="N48" s="30" t="s">
        <v>654</v>
      </c>
      <c r="O48" s="29" t="s">
        <v>665</v>
      </c>
      <c r="P48" s="14" t="s">
        <v>542</v>
      </c>
      <c r="Q48" s="14" t="s">
        <v>562</v>
      </c>
      <c r="R48" s="16" t="str">
        <f t="shared" si="1"/>
        <v>Diferente</v>
      </c>
    </row>
    <row r="49">
      <c r="A49" s="7" t="s">
        <v>2118</v>
      </c>
      <c r="B49" s="14" t="s">
        <v>20</v>
      </c>
      <c r="C49" s="17" t="s">
        <v>666</v>
      </c>
      <c r="D49" s="17" t="s">
        <v>49</v>
      </c>
      <c r="E49" s="9" t="s">
        <v>50</v>
      </c>
      <c r="F49" s="33" t="s">
        <v>2119</v>
      </c>
      <c r="G49" s="11">
        <v>2025.0</v>
      </c>
      <c r="H49" s="9" t="s">
        <v>52</v>
      </c>
      <c r="I49" s="29" t="s">
        <v>668</v>
      </c>
      <c r="J49" s="13"/>
      <c r="K49" s="13" t="s">
        <v>23</v>
      </c>
      <c r="L49" s="32" t="s">
        <v>25</v>
      </c>
      <c r="M49" s="30" t="s">
        <v>654</v>
      </c>
      <c r="N49" s="30" t="s">
        <v>654</v>
      </c>
      <c r="O49" s="29" t="s">
        <v>669</v>
      </c>
      <c r="P49" s="14" t="s">
        <v>562</v>
      </c>
      <c r="Q49" s="14" t="s">
        <v>562</v>
      </c>
      <c r="R49" s="16" t="str">
        <f t="shared" si="1"/>
        <v>Igual</v>
      </c>
    </row>
    <row r="50">
      <c r="A50" s="7"/>
      <c r="B50" s="14"/>
      <c r="C50" s="17"/>
      <c r="D50" s="17"/>
      <c r="E50" s="9"/>
      <c r="F50" s="9"/>
      <c r="G50" s="11"/>
      <c r="H50" s="9"/>
      <c r="I50" s="29" t="s">
        <v>670</v>
      </c>
      <c r="J50" s="13"/>
      <c r="K50" s="13"/>
      <c r="L50" s="32" t="s">
        <v>31</v>
      </c>
      <c r="M50" s="30" t="s">
        <v>654</v>
      </c>
      <c r="N50" s="30" t="s">
        <v>654</v>
      </c>
      <c r="O50" s="29" t="s">
        <v>671</v>
      </c>
      <c r="P50" s="14" t="s">
        <v>562</v>
      </c>
      <c r="Q50" s="14" t="s">
        <v>562</v>
      </c>
      <c r="R50" s="16" t="str">
        <f t="shared" si="1"/>
        <v>Igual</v>
      </c>
    </row>
    <row r="51">
      <c r="A51" s="7"/>
      <c r="B51" s="14"/>
      <c r="C51" s="17"/>
      <c r="D51" s="17"/>
      <c r="E51" s="9"/>
      <c r="F51" s="9"/>
      <c r="G51" s="11"/>
      <c r="H51" s="9"/>
      <c r="I51" s="31"/>
      <c r="J51" s="13"/>
      <c r="K51" s="13"/>
      <c r="L51" s="32" t="s">
        <v>36</v>
      </c>
      <c r="M51" s="30" t="s">
        <v>654</v>
      </c>
      <c r="N51" s="30" t="s">
        <v>654</v>
      </c>
      <c r="O51" s="29" t="s">
        <v>672</v>
      </c>
      <c r="P51" s="14" t="s">
        <v>562</v>
      </c>
      <c r="Q51" s="14" t="s">
        <v>562</v>
      </c>
      <c r="R51" s="16" t="str">
        <f t="shared" si="1"/>
        <v>Igual</v>
      </c>
    </row>
    <row r="52">
      <c r="A52" s="7"/>
      <c r="B52" s="14"/>
      <c r="C52" s="17"/>
      <c r="D52" s="17"/>
      <c r="E52" s="9"/>
      <c r="F52" s="9"/>
      <c r="G52" s="11"/>
      <c r="H52" s="9"/>
      <c r="I52" s="31"/>
      <c r="J52" s="13"/>
      <c r="K52" s="13"/>
      <c r="L52" s="32" t="s">
        <v>41</v>
      </c>
      <c r="M52" s="30" t="s">
        <v>654</v>
      </c>
      <c r="N52" s="30" t="s">
        <v>654</v>
      </c>
      <c r="O52" s="29" t="s">
        <v>673</v>
      </c>
      <c r="P52" s="14" t="s">
        <v>542</v>
      </c>
      <c r="Q52" s="14" t="s">
        <v>542</v>
      </c>
      <c r="R52" s="16" t="str">
        <f t="shared" si="1"/>
        <v>Igual</v>
      </c>
    </row>
    <row r="53">
      <c r="A53" s="7"/>
      <c r="B53" s="14"/>
      <c r="C53" s="17"/>
      <c r="D53" s="17"/>
      <c r="E53" s="9"/>
      <c r="F53" s="9"/>
      <c r="G53" s="11"/>
      <c r="H53" s="9"/>
      <c r="I53" s="31"/>
      <c r="J53" s="13"/>
      <c r="K53" s="13"/>
      <c r="L53" s="32" t="s">
        <v>47</v>
      </c>
      <c r="M53" s="30" t="s">
        <v>654</v>
      </c>
      <c r="N53" s="30" t="s">
        <v>674</v>
      </c>
      <c r="O53" s="29" t="s">
        <v>675</v>
      </c>
      <c r="P53" s="14" t="s">
        <v>562</v>
      </c>
      <c r="Q53" s="14" t="s">
        <v>533</v>
      </c>
      <c r="R53" s="16" t="str">
        <f t="shared" si="1"/>
        <v>Diferente</v>
      </c>
    </row>
    <row r="54">
      <c r="A54" s="7"/>
      <c r="B54" s="14"/>
      <c r="C54" s="17"/>
      <c r="D54" s="17"/>
      <c r="E54" s="9"/>
      <c r="F54" s="9"/>
      <c r="G54" s="11"/>
      <c r="H54" s="9"/>
      <c r="I54" s="31"/>
      <c r="J54" s="13"/>
      <c r="K54" s="13"/>
      <c r="L54" s="32" t="s">
        <v>53</v>
      </c>
      <c r="M54" s="30" t="s">
        <v>654</v>
      </c>
      <c r="N54" s="30" t="s">
        <v>654</v>
      </c>
      <c r="O54" s="29" t="s">
        <v>641</v>
      </c>
      <c r="P54" s="14" t="s">
        <v>533</v>
      </c>
      <c r="Q54" s="14" t="s">
        <v>533</v>
      </c>
      <c r="R54" s="16" t="str">
        <f t="shared" si="1"/>
        <v>Igual</v>
      </c>
    </row>
    <row r="55">
      <c r="A55" s="7"/>
      <c r="B55" s="14"/>
      <c r="C55" s="17"/>
      <c r="D55" s="17"/>
      <c r="E55" s="9"/>
      <c r="F55" s="9"/>
      <c r="G55" s="11"/>
      <c r="H55" s="9"/>
      <c r="I55" s="31"/>
      <c r="J55" s="13"/>
      <c r="K55" s="13"/>
      <c r="L55" s="32" t="s">
        <v>59</v>
      </c>
      <c r="M55" s="30" t="s">
        <v>654</v>
      </c>
      <c r="N55" s="30" t="s">
        <v>654</v>
      </c>
      <c r="O55" s="29" t="s">
        <v>676</v>
      </c>
      <c r="P55" s="14" t="s">
        <v>533</v>
      </c>
      <c r="Q55" s="14" t="s">
        <v>533</v>
      </c>
      <c r="R55" s="16" t="str">
        <f t="shared" si="1"/>
        <v>Igual</v>
      </c>
    </row>
    <row r="56">
      <c r="A56" s="7"/>
      <c r="B56" s="14"/>
      <c r="C56" s="17"/>
      <c r="D56" s="17"/>
      <c r="E56" s="9"/>
      <c r="F56" s="9"/>
      <c r="G56" s="11"/>
      <c r="H56" s="9"/>
      <c r="I56" s="31"/>
      <c r="J56" s="13"/>
      <c r="K56" s="13"/>
      <c r="L56" s="32" t="s">
        <v>65</v>
      </c>
      <c r="M56" s="30" t="s">
        <v>654</v>
      </c>
      <c r="N56" s="30" t="s">
        <v>654</v>
      </c>
      <c r="O56" s="29" t="s">
        <v>558</v>
      </c>
      <c r="P56" s="14" t="s">
        <v>533</v>
      </c>
      <c r="Q56" s="14" t="s">
        <v>533</v>
      </c>
      <c r="R56" s="16" t="str">
        <f t="shared" si="1"/>
        <v>Igual</v>
      </c>
    </row>
    <row r="57">
      <c r="A57" s="7"/>
      <c r="B57" s="14"/>
      <c r="C57" s="17"/>
      <c r="D57" s="17"/>
      <c r="E57" s="9"/>
      <c r="F57" s="9"/>
      <c r="G57" s="11"/>
      <c r="H57" s="9"/>
      <c r="I57" s="31"/>
      <c r="J57" s="13"/>
      <c r="K57" s="13"/>
      <c r="L57" s="32" t="s">
        <v>71</v>
      </c>
      <c r="M57" s="30" t="s">
        <v>654</v>
      </c>
      <c r="N57" s="30" t="s">
        <v>654</v>
      </c>
      <c r="O57" s="29" t="s">
        <v>677</v>
      </c>
      <c r="P57" s="14" t="s">
        <v>562</v>
      </c>
      <c r="Q57" s="14" t="s">
        <v>562</v>
      </c>
      <c r="R57" s="16" t="str">
        <f t="shared" si="1"/>
        <v>Igual</v>
      </c>
    </row>
    <row r="58">
      <c r="A58" s="7" t="s">
        <v>2118</v>
      </c>
      <c r="B58" s="14" t="s">
        <v>20</v>
      </c>
      <c r="C58" s="17" t="s">
        <v>678</v>
      </c>
      <c r="D58" s="17" t="s">
        <v>55</v>
      </c>
      <c r="E58" s="9" t="s">
        <v>56</v>
      </c>
      <c r="F58" s="33" t="s">
        <v>2120</v>
      </c>
      <c r="G58" s="11">
        <v>2024.0</v>
      </c>
      <c r="H58" s="9" t="s">
        <v>58</v>
      </c>
      <c r="I58" s="29" t="s">
        <v>680</v>
      </c>
      <c r="J58" s="13"/>
      <c r="K58" s="13" t="s">
        <v>23</v>
      </c>
      <c r="L58" s="32" t="s">
        <v>25</v>
      </c>
      <c r="M58" s="30" t="s">
        <v>654</v>
      </c>
      <c r="N58" s="30" t="s">
        <v>654</v>
      </c>
      <c r="O58" s="29" t="s">
        <v>681</v>
      </c>
      <c r="P58" s="14" t="s">
        <v>562</v>
      </c>
      <c r="Q58" s="14" t="s">
        <v>562</v>
      </c>
      <c r="R58" s="16" t="str">
        <f t="shared" si="1"/>
        <v>Igual</v>
      </c>
    </row>
    <row r="59">
      <c r="A59" s="7"/>
      <c r="B59" s="14"/>
      <c r="C59" s="17"/>
      <c r="D59" s="17"/>
      <c r="E59" s="9"/>
      <c r="F59" s="9"/>
      <c r="G59" s="11"/>
      <c r="H59" s="9"/>
      <c r="I59" s="31"/>
      <c r="J59" s="13"/>
      <c r="K59" s="13"/>
      <c r="L59" s="32" t="s">
        <v>31</v>
      </c>
      <c r="M59" s="30" t="s">
        <v>654</v>
      </c>
      <c r="N59" s="30" t="s">
        <v>654</v>
      </c>
      <c r="O59" s="29" t="s">
        <v>682</v>
      </c>
      <c r="P59" s="14" t="s">
        <v>533</v>
      </c>
      <c r="Q59" s="14" t="s">
        <v>533</v>
      </c>
      <c r="R59" s="16" t="str">
        <f t="shared" si="1"/>
        <v>Igual</v>
      </c>
    </row>
    <row r="60">
      <c r="A60" s="7"/>
      <c r="B60" s="14"/>
      <c r="C60" s="17"/>
      <c r="D60" s="17"/>
      <c r="E60" s="9"/>
      <c r="F60" s="9"/>
      <c r="G60" s="11"/>
      <c r="H60" s="9"/>
      <c r="I60" s="31"/>
      <c r="J60" s="13"/>
      <c r="K60" s="13"/>
      <c r="L60" s="32" t="s">
        <v>36</v>
      </c>
      <c r="M60" s="30" t="s">
        <v>654</v>
      </c>
      <c r="N60" s="30" t="s">
        <v>683</v>
      </c>
      <c r="O60" s="29" t="s">
        <v>684</v>
      </c>
      <c r="P60" s="14" t="s">
        <v>562</v>
      </c>
      <c r="Q60" s="14" t="s">
        <v>533</v>
      </c>
      <c r="R60" s="16" t="str">
        <f t="shared" si="1"/>
        <v>Diferente</v>
      </c>
    </row>
    <row r="61">
      <c r="A61" s="7"/>
      <c r="B61" s="14"/>
      <c r="C61" s="17"/>
      <c r="D61" s="17"/>
      <c r="E61" s="9"/>
      <c r="F61" s="9"/>
      <c r="G61" s="11"/>
      <c r="H61" s="9"/>
      <c r="I61" s="31"/>
      <c r="J61" s="13"/>
      <c r="K61" s="13"/>
      <c r="L61" s="32" t="s">
        <v>41</v>
      </c>
      <c r="M61" s="30" t="s">
        <v>654</v>
      </c>
      <c r="N61" s="30" t="s">
        <v>685</v>
      </c>
      <c r="O61" s="29" t="s">
        <v>686</v>
      </c>
      <c r="P61" s="14" t="s">
        <v>562</v>
      </c>
      <c r="Q61" s="14" t="s">
        <v>533</v>
      </c>
      <c r="R61" s="16" t="str">
        <f t="shared" si="1"/>
        <v>Diferente</v>
      </c>
    </row>
    <row r="62">
      <c r="A62" s="7"/>
      <c r="B62" s="14"/>
      <c r="C62" s="17"/>
      <c r="D62" s="17"/>
      <c r="E62" s="9"/>
      <c r="F62" s="9"/>
      <c r="G62" s="11"/>
      <c r="H62" s="9"/>
      <c r="I62" s="31"/>
      <c r="J62" s="13"/>
      <c r="K62" s="13"/>
      <c r="L62" s="32" t="s">
        <v>47</v>
      </c>
      <c r="M62" s="30" t="s">
        <v>654</v>
      </c>
      <c r="N62" s="30" t="s">
        <v>687</v>
      </c>
      <c r="O62" s="29" t="s">
        <v>688</v>
      </c>
      <c r="P62" s="14" t="s">
        <v>562</v>
      </c>
      <c r="Q62" s="14" t="s">
        <v>533</v>
      </c>
      <c r="R62" s="16" t="str">
        <f t="shared" si="1"/>
        <v>Diferente</v>
      </c>
    </row>
    <row r="63">
      <c r="A63" s="7"/>
      <c r="B63" s="14"/>
      <c r="C63" s="17"/>
      <c r="D63" s="17"/>
      <c r="E63" s="9"/>
      <c r="F63" s="9"/>
      <c r="G63" s="11"/>
      <c r="H63" s="9"/>
      <c r="I63" s="31"/>
      <c r="J63" s="13"/>
      <c r="K63" s="13"/>
      <c r="L63" s="32" t="s">
        <v>53</v>
      </c>
      <c r="M63" s="30" t="s">
        <v>654</v>
      </c>
      <c r="N63" s="30" t="s">
        <v>689</v>
      </c>
      <c r="O63" s="29" t="s">
        <v>690</v>
      </c>
      <c r="P63" s="14" t="s">
        <v>562</v>
      </c>
      <c r="Q63" s="14" t="s">
        <v>533</v>
      </c>
      <c r="R63" s="16" t="str">
        <f t="shared" si="1"/>
        <v>Diferente</v>
      </c>
    </row>
    <row r="64">
      <c r="A64" s="7"/>
      <c r="B64" s="14"/>
      <c r="C64" s="17"/>
      <c r="D64" s="17"/>
      <c r="E64" s="9"/>
      <c r="F64" s="9"/>
      <c r="G64" s="11"/>
      <c r="H64" s="9"/>
      <c r="I64" s="31"/>
      <c r="J64" s="13"/>
      <c r="K64" s="13"/>
      <c r="L64" s="32" t="s">
        <v>59</v>
      </c>
      <c r="M64" s="30" t="s">
        <v>654</v>
      </c>
      <c r="N64" s="30" t="s">
        <v>691</v>
      </c>
      <c r="O64" s="29" t="s">
        <v>692</v>
      </c>
      <c r="P64" s="14" t="s">
        <v>562</v>
      </c>
      <c r="Q64" s="14" t="s">
        <v>533</v>
      </c>
      <c r="R64" s="16" t="str">
        <f t="shared" si="1"/>
        <v>Diferente</v>
      </c>
    </row>
    <row r="65">
      <c r="A65" s="7"/>
      <c r="B65" s="14"/>
      <c r="C65" s="17"/>
      <c r="D65" s="17"/>
      <c r="E65" s="9"/>
      <c r="F65" s="9"/>
      <c r="G65" s="11"/>
      <c r="H65" s="9"/>
      <c r="I65" s="31"/>
      <c r="J65" s="13"/>
      <c r="K65" s="13"/>
      <c r="L65" s="32" t="s">
        <v>65</v>
      </c>
      <c r="M65" s="30" t="s">
        <v>654</v>
      </c>
      <c r="N65" s="30" t="s">
        <v>654</v>
      </c>
      <c r="O65" s="29" t="s">
        <v>693</v>
      </c>
      <c r="P65" s="14" t="s">
        <v>533</v>
      </c>
      <c r="Q65" s="14" t="s">
        <v>533</v>
      </c>
      <c r="R65" s="16" t="str">
        <f t="shared" si="1"/>
        <v>Igual</v>
      </c>
    </row>
    <row r="66">
      <c r="A66" s="7"/>
      <c r="B66" s="14"/>
      <c r="C66" s="17"/>
      <c r="D66" s="17"/>
      <c r="E66" s="9"/>
      <c r="F66" s="9"/>
      <c r="G66" s="11"/>
      <c r="H66" s="9"/>
      <c r="I66" s="31"/>
      <c r="J66" s="13"/>
      <c r="K66" s="13"/>
      <c r="L66" s="32" t="s">
        <v>71</v>
      </c>
      <c r="M66" s="30" t="s">
        <v>654</v>
      </c>
      <c r="N66" s="30" t="s">
        <v>694</v>
      </c>
      <c r="O66" s="29" t="s">
        <v>695</v>
      </c>
      <c r="P66" s="14" t="s">
        <v>562</v>
      </c>
      <c r="Q66" s="14" t="s">
        <v>533</v>
      </c>
      <c r="R66" s="16" t="str">
        <f t="shared" si="1"/>
        <v>Diferente</v>
      </c>
    </row>
    <row r="67">
      <c r="A67" s="7" t="s">
        <v>2121</v>
      </c>
      <c r="B67" s="14" t="s">
        <v>20</v>
      </c>
      <c r="C67" s="17" t="s">
        <v>696</v>
      </c>
      <c r="D67" s="17" t="s">
        <v>61</v>
      </c>
      <c r="E67" s="9" t="s">
        <v>62</v>
      </c>
      <c r="F67" s="33" t="s">
        <v>2122</v>
      </c>
      <c r="G67" s="11">
        <v>2023.0</v>
      </c>
      <c r="H67" s="9" t="s">
        <v>64</v>
      </c>
      <c r="I67" s="29" t="s">
        <v>698</v>
      </c>
      <c r="J67" s="13"/>
      <c r="K67" s="13" t="s">
        <v>23</v>
      </c>
      <c r="L67" s="32" t="s">
        <v>25</v>
      </c>
      <c r="M67" s="30" t="s">
        <v>654</v>
      </c>
      <c r="N67" s="30" t="s">
        <v>654</v>
      </c>
      <c r="O67" s="29" t="s">
        <v>699</v>
      </c>
      <c r="P67" s="14" t="s">
        <v>562</v>
      </c>
      <c r="Q67" s="14" t="s">
        <v>562</v>
      </c>
      <c r="R67" s="16" t="str">
        <f t="shared" si="1"/>
        <v>Igual</v>
      </c>
    </row>
    <row r="68">
      <c r="A68" s="7"/>
      <c r="B68" s="14"/>
      <c r="C68" s="17"/>
      <c r="D68" s="17"/>
      <c r="E68" s="9"/>
      <c r="F68" s="9"/>
      <c r="G68" s="11"/>
      <c r="H68" s="9"/>
      <c r="I68" s="31"/>
      <c r="J68" s="13"/>
      <c r="K68" s="13"/>
      <c r="L68" s="32" t="s">
        <v>31</v>
      </c>
      <c r="M68" s="30" t="s">
        <v>654</v>
      </c>
      <c r="N68" s="30" t="s">
        <v>700</v>
      </c>
      <c r="O68" s="29" t="s">
        <v>701</v>
      </c>
      <c r="P68" s="14" t="s">
        <v>542</v>
      </c>
      <c r="Q68" s="14" t="s">
        <v>533</v>
      </c>
      <c r="R68" s="16" t="str">
        <f t="shared" si="1"/>
        <v>Diferente</v>
      </c>
    </row>
    <row r="69">
      <c r="A69" s="7"/>
      <c r="B69" s="14"/>
      <c r="C69" s="17"/>
      <c r="D69" s="17"/>
      <c r="E69" s="9"/>
      <c r="F69" s="9"/>
      <c r="G69" s="11"/>
      <c r="H69" s="9"/>
      <c r="I69" s="31"/>
      <c r="J69" s="13"/>
      <c r="K69" s="13"/>
      <c r="L69" s="32" t="s">
        <v>36</v>
      </c>
      <c r="M69" s="30" t="s">
        <v>654</v>
      </c>
      <c r="N69" s="30" t="s">
        <v>702</v>
      </c>
      <c r="O69" s="29" t="s">
        <v>703</v>
      </c>
      <c r="P69" s="14" t="s">
        <v>562</v>
      </c>
      <c r="Q69" s="14" t="s">
        <v>533</v>
      </c>
      <c r="R69" s="16" t="str">
        <f t="shared" si="1"/>
        <v>Diferente</v>
      </c>
    </row>
    <row r="70">
      <c r="A70" s="7"/>
      <c r="B70" s="14"/>
      <c r="C70" s="17"/>
      <c r="D70" s="17"/>
      <c r="E70" s="9"/>
      <c r="F70" s="9"/>
      <c r="G70" s="11"/>
      <c r="H70" s="9"/>
      <c r="I70" s="31"/>
      <c r="J70" s="13"/>
      <c r="K70" s="13"/>
      <c r="L70" s="32" t="s">
        <v>41</v>
      </c>
      <c r="M70" s="30" t="s">
        <v>654</v>
      </c>
      <c r="N70" s="30" t="s">
        <v>704</v>
      </c>
      <c r="O70" s="29" t="s">
        <v>705</v>
      </c>
      <c r="P70" s="14" t="s">
        <v>562</v>
      </c>
      <c r="Q70" s="14" t="s">
        <v>533</v>
      </c>
      <c r="R70" s="16" t="str">
        <f t="shared" si="1"/>
        <v>Diferente</v>
      </c>
    </row>
    <row r="71">
      <c r="A71" s="7"/>
      <c r="B71" s="14"/>
      <c r="C71" s="17"/>
      <c r="D71" s="17"/>
      <c r="E71" s="9"/>
      <c r="F71" s="9"/>
      <c r="G71" s="11"/>
      <c r="H71" s="9"/>
      <c r="I71" s="31"/>
      <c r="J71" s="13"/>
      <c r="K71" s="13"/>
      <c r="L71" s="32" t="s">
        <v>47</v>
      </c>
      <c r="M71" s="30" t="s">
        <v>654</v>
      </c>
      <c r="N71" s="30" t="s">
        <v>706</v>
      </c>
      <c r="O71" s="29" t="s">
        <v>707</v>
      </c>
      <c r="P71" s="14" t="s">
        <v>562</v>
      </c>
      <c r="Q71" s="14" t="s">
        <v>542</v>
      </c>
      <c r="R71" s="16" t="str">
        <f t="shared" si="1"/>
        <v>Diferente</v>
      </c>
    </row>
    <row r="72">
      <c r="A72" s="7"/>
      <c r="B72" s="14"/>
      <c r="C72" s="17"/>
      <c r="D72" s="17"/>
      <c r="E72" s="9"/>
      <c r="F72" s="9"/>
      <c r="G72" s="11"/>
      <c r="H72" s="9"/>
      <c r="I72" s="31"/>
      <c r="J72" s="13"/>
      <c r="K72" s="13"/>
      <c r="L72" s="32" t="s">
        <v>53</v>
      </c>
      <c r="M72" s="30" t="s">
        <v>654</v>
      </c>
      <c r="N72" s="30" t="s">
        <v>654</v>
      </c>
      <c r="O72" s="29" t="s">
        <v>641</v>
      </c>
      <c r="P72" s="14" t="s">
        <v>533</v>
      </c>
      <c r="Q72" s="14" t="s">
        <v>533</v>
      </c>
      <c r="R72" s="16" t="str">
        <f t="shared" si="1"/>
        <v>Igual</v>
      </c>
    </row>
    <row r="73">
      <c r="A73" s="7"/>
      <c r="B73" s="14"/>
      <c r="C73" s="17"/>
      <c r="D73" s="17"/>
      <c r="E73" s="9"/>
      <c r="F73" s="9"/>
      <c r="G73" s="11"/>
      <c r="H73" s="9"/>
      <c r="I73" s="31"/>
      <c r="J73" s="13"/>
      <c r="K73" s="13"/>
      <c r="L73" s="32" t="s">
        <v>59</v>
      </c>
      <c r="M73" s="30" t="s">
        <v>654</v>
      </c>
      <c r="N73" s="30" t="s">
        <v>654</v>
      </c>
      <c r="O73" s="29" t="s">
        <v>708</v>
      </c>
      <c r="P73" s="14" t="s">
        <v>533</v>
      </c>
      <c r="Q73" s="14" t="s">
        <v>533</v>
      </c>
      <c r="R73" s="16" t="str">
        <f t="shared" si="1"/>
        <v>Igual</v>
      </c>
    </row>
    <row r="74">
      <c r="A74" s="7"/>
      <c r="B74" s="14"/>
      <c r="C74" s="17"/>
      <c r="D74" s="17"/>
      <c r="E74" s="9"/>
      <c r="F74" s="9"/>
      <c r="G74" s="11"/>
      <c r="H74" s="9"/>
      <c r="I74" s="31"/>
      <c r="J74" s="13"/>
      <c r="K74" s="13"/>
      <c r="L74" s="40" t="s">
        <v>65</v>
      </c>
      <c r="M74" s="30" t="s">
        <v>654</v>
      </c>
      <c r="N74" s="30" t="s">
        <v>654</v>
      </c>
      <c r="O74" s="29" t="s">
        <v>709</v>
      </c>
      <c r="P74" s="14" t="s">
        <v>533</v>
      </c>
      <c r="Q74" s="14" t="s">
        <v>533</v>
      </c>
      <c r="R74" s="16" t="str">
        <f t="shared" si="1"/>
        <v>Igual</v>
      </c>
    </row>
    <row r="75">
      <c r="A75" s="7"/>
      <c r="B75" s="14"/>
      <c r="C75" s="17"/>
      <c r="D75" s="17"/>
      <c r="E75" s="9"/>
      <c r="F75" s="9"/>
      <c r="G75" s="11"/>
      <c r="H75" s="9"/>
      <c r="I75" s="31"/>
      <c r="J75" s="13"/>
      <c r="K75" s="13"/>
      <c r="L75" s="40" t="s">
        <v>71</v>
      </c>
      <c r="M75" s="30" t="s">
        <v>654</v>
      </c>
      <c r="N75" s="30" t="s">
        <v>710</v>
      </c>
      <c r="O75" s="29" t="s">
        <v>711</v>
      </c>
      <c r="P75" s="14" t="s">
        <v>562</v>
      </c>
      <c r="Q75" s="14" t="s">
        <v>533</v>
      </c>
      <c r="R75" s="16" t="str">
        <f t="shared" si="1"/>
        <v>Diferente</v>
      </c>
    </row>
    <row r="76">
      <c r="A76" s="7" t="s">
        <v>2123</v>
      </c>
      <c r="B76" s="14" t="s">
        <v>20</v>
      </c>
      <c r="C76" s="41" t="s">
        <v>712</v>
      </c>
      <c r="D76" s="17" t="s">
        <v>713</v>
      </c>
      <c r="E76" s="9" t="s">
        <v>68</v>
      </c>
      <c r="F76" s="33" t="s">
        <v>2124</v>
      </c>
      <c r="G76" s="11">
        <v>2025.0</v>
      </c>
      <c r="H76" s="9" t="s">
        <v>70</v>
      </c>
      <c r="I76" s="29" t="s">
        <v>715</v>
      </c>
      <c r="J76" s="13"/>
      <c r="K76" s="13" t="s">
        <v>23</v>
      </c>
      <c r="L76" s="32" t="s">
        <v>25</v>
      </c>
      <c r="M76" s="30" t="s">
        <v>654</v>
      </c>
      <c r="N76" s="30" t="s">
        <v>654</v>
      </c>
      <c r="O76" s="42" t="s">
        <v>716</v>
      </c>
      <c r="P76" s="16"/>
      <c r="Q76" s="16"/>
      <c r="R76" s="16" t="str">
        <f t="shared" si="1"/>
        <v/>
      </c>
    </row>
    <row r="77">
      <c r="A77" s="7"/>
      <c r="B77" s="14"/>
      <c r="C77" s="17"/>
      <c r="D77" s="17"/>
      <c r="E77" s="18"/>
      <c r="F77" s="43"/>
      <c r="G77" s="20"/>
      <c r="H77" s="18"/>
      <c r="I77" s="31"/>
      <c r="J77" s="21"/>
      <c r="K77" s="21"/>
      <c r="L77" s="21" t="s">
        <v>31</v>
      </c>
      <c r="M77" s="30" t="s">
        <v>654</v>
      </c>
      <c r="N77" s="30" t="s">
        <v>654</v>
      </c>
      <c r="O77" s="31"/>
      <c r="P77" s="16"/>
      <c r="Q77" s="16"/>
      <c r="R77" s="16" t="str">
        <f t="shared" si="1"/>
        <v/>
      </c>
    </row>
    <row r="78">
      <c r="A78" s="7"/>
      <c r="B78" s="14"/>
      <c r="C78" s="17"/>
      <c r="D78" s="17"/>
      <c r="E78" s="18"/>
      <c r="F78" s="43"/>
      <c r="G78" s="20"/>
      <c r="H78" s="18"/>
      <c r="I78" s="31"/>
      <c r="J78" s="21"/>
      <c r="K78" s="21"/>
      <c r="L78" s="21" t="s">
        <v>36</v>
      </c>
      <c r="M78" s="30" t="s">
        <v>654</v>
      </c>
      <c r="N78" s="30" t="s">
        <v>654</v>
      </c>
      <c r="O78" s="31"/>
      <c r="P78" s="16"/>
      <c r="Q78" s="16"/>
      <c r="R78" s="16" t="str">
        <f t="shared" si="1"/>
        <v/>
      </c>
    </row>
    <row r="79">
      <c r="A79" s="7"/>
      <c r="B79" s="14"/>
      <c r="C79" s="17"/>
      <c r="D79" s="17"/>
      <c r="E79" s="18"/>
      <c r="F79" s="43"/>
      <c r="G79" s="20"/>
      <c r="H79" s="18"/>
      <c r="I79" s="31"/>
      <c r="J79" s="21"/>
      <c r="K79" s="21"/>
      <c r="L79" s="21" t="s">
        <v>41</v>
      </c>
      <c r="M79" s="30" t="s">
        <v>654</v>
      </c>
      <c r="N79" s="30" t="s">
        <v>654</v>
      </c>
      <c r="O79" s="31"/>
      <c r="P79" s="16"/>
      <c r="Q79" s="16"/>
      <c r="R79" s="16" t="str">
        <f t="shared" si="1"/>
        <v/>
      </c>
    </row>
    <row r="80">
      <c r="A80" s="7"/>
      <c r="B80" s="14"/>
      <c r="C80" s="17"/>
      <c r="D80" s="17"/>
      <c r="E80" s="18"/>
      <c r="F80" s="43"/>
      <c r="G80" s="20"/>
      <c r="H80" s="18"/>
      <c r="I80" s="31"/>
      <c r="J80" s="21"/>
      <c r="K80" s="21"/>
      <c r="L80" s="21" t="s">
        <v>47</v>
      </c>
      <c r="M80" s="30" t="s">
        <v>654</v>
      </c>
      <c r="N80" s="30" t="s">
        <v>654</v>
      </c>
      <c r="O80" s="31"/>
      <c r="P80" s="16"/>
      <c r="Q80" s="16"/>
      <c r="R80" s="16" t="str">
        <f t="shared" si="1"/>
        <v/>
      </c>
    </row>
    <row r="81">
      <c r="A81" s="7"/>
      <c r="B81" s="14"/>
      <c r="C81" s="17"/>
      <c r="D81" s="17"/>
      <c r="E81" s="18"/>
      <c r="F81" s="43"/>
      <c r="G81" s="20"/>
      <c r="H81" s="18"/>
      <c r="I81" s="31"/>
      <c r="J81" s="21"/>
      <c r="K81" s="21"/>
      <c r="L81" s="21" t="s">
        <v>53</v>
      </c>
      <c r="M81" s="30" t="s">
        <v>654</v>
      </c>
      <c r="N81" s="30" t="s">
        <v>654</v>
      </c>
      <c r="O81" s="31"/>
      <c r="P81" s="16"/>
      <c r="Q81" s="16"/>
      <c r="R81" s="16" t="str">
        <f t="shared" si="1"/>
        <v/>
      </c>
    </row>
    <row r="82">
      <c r="A82" s="7"/>
      <c r="B82" s="14"/>
      <c r="C82" s="17"/>
      <c r="D82" s="17"/>
      <c r="E82" s="18"/>
      <c r="F82" s="43"/>
      <c r="G82" s="20"/>
      <c r="H82" s="18"/>
      <c r="I82" s="31"/>
      <c r="J82" s="21"/>
      <c r="K82" s="21"/>
      <c r="L82" s="21" t="s">
        <v>59</v>
      </c>
      <c r="M82" s="30" t="s">
        <v>654</v>
      </c>
      <c r="N82" s="30" t="s">
        <v>654</v>
      </c>
      <c r="O82" s="31"/>
      <c r="P82" s="16"/>
      <c r="Q82" s="16"/>
      <c r="R82" s="16" t="str">
        <f t="shared" si="1"/>
        <v/>
      </c>
    </row>
    <row r="83">
      <c r="A83" s="7"/>
      <c r="B83" s="14"/>
      <c r="C83" s="17"/>
      <c r="D83" s="17"/>
      <c r="E83" s="18"/>
      <c r="F83" s="43"/>
      <c r="G83" s="20"/>
      <c r="H83" s="18"/>
      <c r="I83" s="31"/>
      <c r="J83" s="21"/>
      <c r="K83" s="21"/>
      <c r="L83" s="21" t="s">
        <v>65</v>
      </c>
      <c r="M83" s="30" t="s">
        <v>654</v>
      </c>
      <c r="N83" s="30" t="s">
        <v>654</v>
      </c>
      <c r="O83" s="31"/>
      <c r="P83" s="16"/>
      <c r="Q83" s="16"/>
      <c r="R83" s="16" t="str">
        <f t="shared" si="1"/>
        <v/>
      </c>
    </row>
    <row r="84">
      <c r="A84" s="7"/>
      <c r="B84" s="14"/>
      <c r="C84" s="17"/>
      <c r="D84" s="17"/>
      <c r="E84" s="18"/>
      <c r="F84" s="43"/>
      <c r="G84" s="20"/>
      <c r="H84" s="18"/>
      <c r="I84" s="31"/>
      <c r="J84" s="21"/>
      <c r="K84" s="21"/>
      <c r="L84" s="21" t="s">
        <v>71</v>
      </c>
      <c r="M84" s="30" t="s">
        <v>654</v>
      </c>
      <c r="N84" s="30" t="s">
        <v>654</v>
      </c>
      <c r="O84" s="31"/>
      <c r="P84" s="16"/>
      <c r="Q84" s="16"/>
      <c r="R84" s="16" t="str">
        <f t="shared" si="1"/>
        <v/>
      </c>
    </row>
    <row r="85">
      <c r="A85" s="7" t="s">
        <v>2125</v>
      </c>
      <c r="B85" s="14" t="s">
        <v>20</v>
      </c>
      <c r="C85" s="17" t="s">
        <v>737</v>
      </c>
      <c r="D85" s="17" t="s">
        <v>78</v>
      </c>
      <c r="E85" s="18" t="s">
        <v>79</v>
      </c>
      <c r="F85" s="44" t="s">
        <v>2126</v>
      </c>
      <c r="G85" s="20" t="s">
        <v>74</v>
      </c>
      <c r="H85" s="18" t="s">
        <v>81</v>
      </c>
      <c r="I85" s="29" t="s">
        <v>739</v>
      </c>
      <c r="J85" s="21"/>
      <c r="K85" s="21" t="s">
        <v>76</v>
      </c>
      <c r="L85" s="21" t="s">
        <v>25</v>
      </c>
      <c r="M85" s="30" t="s">
        <v>740</v>
      </c>
      <c r="N85" s="30" t="s">
        <v>741</v>
      </c>
      <c r="O85" s="29" t="s">
        <v>742</v>
      </c>
      <c r="P85" s="14" t="s">
        <v>533</v>
      </c>
      <c r="Q85" s="14" t="s">
        <v>533</v>
      </c>
      <c r="R85" s="16" t="str">
        <f t="shared" si="1"/>
        <v>Igual</v>
      </c>
    </row>
    <row r="86">
      <c r="A86" s="7"/>
      <c r="B86" s="14"/>
      <c r="C86" s="17"/>
      <c r="D86" s="17"/>
      <c r="E86" s="18"/>
      <c r="F86" s="43"/>
      <c r="G86" s="20"/>
      <c r="H86" s="18"/>
      <c r="I86" s="31"/>
      <c r="J86" s="21"/>
      <c r="K86" s="21"/>
      <c r="L86" s="21" t="s">
        <v>31</v>
      </c>
      <c r="M86" s="30" t="s">
        <v>743</v>
      </c>
      <c r="N86" s="30" t="s">
        <v>744</v>
      </c>
      <c r="O86" s="29" t="s">
        <v>745</v>
      </c>
      <c r="P86" s="14" t="s">
        <v>533</v>
      </c>
      <c r="Q86" s="14" t="s">
        <v>533</v>
      </c>
      <c r="R86" s="16" t="str">
        <f t="shared" si="1"/>
        <v>Igual</v>
      </c>
    </row>
    <row r="87">
      <c r="A87" s="7"/>
      <c r="B87" s="14"/>
      <c r="C87" s="17"/>
      <c r="D87" s="17"/>
      <c r="E87" s="18"/>
      <c r="F87" s="43"/>
      <c r="G87" s="20"/>
      <c r="H87" s="18"/>
      <c r="I87" s="31"/>
      <c r="J87" s="21"/>
      <c r="K87" s="21"/>
      <c r="L87" s="21" t="s">
        <v>36</v>
      </c>
      <c r="M87" s="30" t="s">
        <v>746</v>
      </c>
      <c r="N87" s="30" t="s">
        <v>747</v>
      </c>
      <c r="O87" s="29" t="s">
        <v>748</v>
      </c>
      <c r="P87" s="14" t="s">
        <v>533</v>
      </c>
      <c r="Q87" s="14" t="s">
        <v>533</v>
      </c>
      <c r="R87" s="16" t="str">
        <f t="shared" si="1"/>
        <v>Igual</v>
      </c>
    </row>
    <row r="88">
      <c r="A88" s="7"/>
      <c r="B88" s="14"/>
      <c r="C88" s="17"/>
      <c r="D88" s="17"/>
      <c r="E88" s="18"/>
      <c r="F88" s="43"/>
      <c r="G88" s="20"/>
      <c r="H88" s="18"/>
      <c r="I88" s="31"/>
      <c r="J88" s="21"/>
      <c r="K88" s="21"/>
      <c r="L88" s="21" t="s">
        <v>41</v>
      </c>
      <c r="M88" s="30" t="s">
        <v>749</v>
      </c>
      <c r="N88" s="30" t="s">
        <v>750</v>
      </c>
      <c r="O88" s="29" t="s">
        <v>751</v>
      </c>
      <c r="P88" s="14" t="s">
        <v>533</v>
      </c>
      <c r="Q88" s="14" t="s">
        <v>533</v>
      </c>
      <c r="R88" s="16" t="str">
        <f t="shared" si="1"/>
        <v>Igual</v>
      </c>
    </row>
    <row r="89">
      <c r="A89" s="7"/>
      <c r="B89" s="14"/>
      <c r="C89" s="17"/>
      <c r="D89" s="17"/>
      <c r="E89" s="18"/>
      <c r="F89" s="43"/>
      <c r="G89" s="20"/>
      <c r="H89" s="18"/>
      <c r="I89" s="31"/>
      <c r="J89" s="21"/>
      <c r="K89" s="21"/>
      <c r="L89" s="21" t="s">
        <v>47</v>
      </c>
      <c r="M89" s="30" t="s">
        <v>752</v>
      </c>
      <c r="N89" s="30" t="s">
        <v>654</v>
      </c>
      <c r="O89" s="29" t="s">
        <v>753</v>
      </c>
      <c r="P89" s="14" t="s">
        <v>533</v>
      </c>
      <c r="Q89" s="14" t="s">
        <v>562</v>
      </c>
      <c r="R89" s="16" t="str">
        <f t="shared" si="1"/>
        <v>Diferente</v>
      </c>
    </row>
    <row r="90">
      <c r="A90" s="7"/>
      <c r="B90" s="14"/>
      <c r="C90" s="17"/>
      <c r="D90" s="17"/>
      <c r="E90" s="18"/>
      <c r="F90" s="43"/>
      <c r="G90" s="20"/>
      <c r="H90" s="18"/>
      <c r="I90" s="31"/>
      <c r="J90" s="21"/>
      <c r="K90" s="21"/>
      <c r="L90" s="21" t="s">
        <v>53</v>
      </c>
      <c r="M90" s="30" t="s">
        <v>654</v>
      </c>
      <c r="N90" s="30" t="s">
        <v>654</v>
      </c>
      <c r="O90" s="29" t="s">
        <v>641</v>
      </c>
      <c r="P90" s="14" t="s">
        <v>533</v>
      </c>
      <c r="Q90" s="14" t="s">
        <v>533</v>
      </c>
      <c r="R90" s="16" t="str">
        <f t="shared" si="1"/>
        <v>Igual</v>
      </c>
    </row>
    <row r="91">
      <c r="A91" s="7"/>
      <c r="B91" s="14"/>
      <c r="C91" s="17"/>
      <c r="D91" s="17"/>
      <c r="E91" s="18"/>
      <c r="F91" s="43"/>
      <c r="G91" s="20"/>
      <c r="H91" s="18"/>
      <c r="I91" s="31"/>
      <c r="J91" s="21"/>
      <c r="K91" s="21"/>
      <c r="L91" s="21" t="s">
        <v>59</v>
      </c>
      <c r="M91" s="30" t="s">
        <v>654</v>
      </c>
      <c r="N91" s="30" t="s">
        <v>654</v>
      </c>
      <c r="O91" s="29" t="s">
        <v>754</v>
      </c>
      <c r="P91" s="14" t="s">
        <v>533</v>
      </c>
      <c r="Q91" s="14" t="s">
        <v>533</v>
      </c>
      <c r="R91" s="16" t="str">
        <f t="shared" si="1"/>
        <v>Igual</v>
      </c>
    </row>
    <row r="92">
      <c r="A92" s="7"/>
      <c r="B92" s="14"/>
      <c r="C92" s="17"/>
      <c r="D92" s="17"/>
      <c r="E92" s="18"/>
      <c r="F92" s="43"/>
      <c r="G92" s="20"/>
      <c r="H92" s="18"/>
      <c r="I92" s="31"/>
      <c r="J92" s="21"/>
      <c r="K92" s="21"/>
      <c r="L92" s="21" t="s">
        <v>65</v>
      </c>
      <c r="M92" s="30" t="s">
        <v>654</v>
      </c>
      <c r="N92" s="30" t="s">
        <v>654</v>
      </c>
      <c r="O92" s="29" t="s">
        <v>558</v>
      </c>
      <c r="P92" s="14" t="s">
        <v>533</v>
      </c>
      <c r="Q92" s="14" t="s">
        <v>533</v>
      </c>
      <c r="R92" s="16" t="str">
        <f t="shared" si="1"/>
        <v>Igual</v>
      </c>
    </row>
    <row r="93">
      <c r="A93" s="7"/>
      <c r="B93" s="14"/>
      <c r="C93" s="17"/>
      <c r="D93" s="17"/>
      <c r="E93" s="18"/>
      <c r="F93" s="43"/>
      <c r="G93" s="20"/>
      <c r="H93" s="18"/>
      <c r="I93" s="31"/>
      <c r="J93" s="21"/>
      <c r="K93" s="21"/>
      <c r="L93" s="21" t="s">
        <v>71</v>
      </c>
      <c r="M93" s="30" t="s">
        <v>755</v>
      </c>
      <c r="N93" s="30" t="s">
        <v>654</v>
      </c>
      <c r="O93" s="29" t="s">
        <v>756</v>
      </c>
      <c r="P93" s="14" t="s">
        <v>533</v>
      </c>
      <c r="Q93" s="14" t="s">
        <v>562</v>
      </c>
      <c r="R93" s="16" t="str">
        <f t="shared" si="1"/>
        <v>Diferente</v>
      </c>
    </row>
    <row r="94">
      <c r="A94" s="7" t="s">
        <v>2127</v>
      </c>
      <c r="B94" s="14" t="s">
        <v>20</v>
      </c>
      <c r="C94" s="17" t="s">
        <v>757</v>
      </c>
      <c r="D94" s="17" t="s">
        <v>83</v>
      </c>
      <c r="E94" s="18" t="s">
        <v>84</v>
      </c>
      <c r="F94" s="44" t="s">
        <v>2128</v>
      </c>
      <c r="G94" s="20" t="s">
        <v>86</v>
      </c>
      <c r="H94" s="18" t="s">
        <v>87</v>
      </c>
      <c r="I94" s="29" t="s">
        <v>680</v>
      </c>
      <c r="J94" s="21"/>
      <c r="K94" s="21" t="s">
        <v>76</v>
      </c>
      <c r="L94" s="21" t="s">
        <v>25</v>
      </c>
      <c r="M94" s="30" t="s">
        <v>759</v>
      </c>
      <c r="N94" s="30" t="s">
        <v>760</v>
      </c>
      <c r="O94" s="29" t="s">
        <v>761</v>
      </c>
      <c r="P94" s="14" t="s">
        <v>533</v>
      </c>
      <c r="Q94" s="14" t="s">
        <v>533</v>
      </c>
      <c r="R94" s="16" t="str">
        <f t="shared" si="1"/>
        <v>Igual</v>
      </c>
    </row>
    <row r="95">
      <c r="A95" s="7"/>
      <c r="B95" s="14"/>
      <c r="C95" s="17"/>
      <c r="D95" s="17"/>
      <c r="E95" s="18"/>
      <c r="F95" s="43"/>
      <c r="G95" s="20"/>
      <c r="H95" s="18"/>
      <c r="I95" s="31"/>
      <c r="J95" s="21"/>
      <c r="K95" s="21"/>
      <c r="L95" s="21" t="s">
        <v>31</v>
      </c>
      <c r="M95" s="30" t="s">
        <v>762</v>
      </c>
      <c r="N95" s="30" t="s">
        <v>763</v>
      </c>
      <c r="O95" s="29" t="s">
        <v>764</v>
      </c>
      <c r="P95" s="14" t="s">
        <v>533</v>
      </c>
      <c r="Q95" s="14" t="s">
        <v>533</v>
      </c>
      <c r="R95" s="16" t="str">
        <f t="shared" si="1"/>
        <v>Igual</v>
      </c>
    </row>
    <row r="96">
      <c r="A96" s="7"/>
      <c r="B96" s="14"/>
      <c r="C96" s="17"/>
      <c r="D96" s="17"/>
      <c r="E96" s="18"/>
      <c r="F96" s="43"/>
      <c r="G96" s="20"/>
      <c r="H96" s="18"/>
      <c r="I96" s="31"/>
      <c r="J96" s="21"/>
      <c r="K96" s="21"/>
      <c r="L96" s="21" t="s">
        <v>36</v>
      </c>
      <c r="M96" s="30" t="s">
        <v>765</v>
      </c>
      <c r="N96" s="30" t="s">
        <v>766</v>
      </c>
      <c r="O96" s="29" t="s">
        <v>767</v>
      </c>
      <c r="P96" s="14" t="s">
        <v>533</v>
      </c>
      <c r="Q96" s="14" t="s">
        <v>533</v>
      </c>
      <c r="R96" s="16" t="str">
        <f t="shared" si="1"/>
        <v>Igual</v>
      </c>
    </row>
    <row r="97">
      <c r="A97" s="7"/>
      <c r="B97" s="14"/>
      <c r="C97" s="17"/>
      <c r="D97" s="17"/>
      <c r="E97" s="18"/>
      <c r="F97" s="43"/>
      <c r="G97" s="20"/>
      <c r="H97" s="18"/>
      <c r="I97" s="31"/>
      <c r="J97" s="21"/>
      <c r="K97" s="21"/>
      <c r="L97" s="21" t="s">
        <v>41</v>
      </c>
      <c r="M97" s="30" t="s">
        <v>654</v>
      </c>
      <c r="N97" s="30" t="s">
        <v>768</v>
      </c>
      <c r="O97" s="29" t="s">
        <v>769</v>
      </c>
      <c r="P97" s="14" t="s">
        <v>533</v>
      </c>
      <c r="Q97" s="14" t="s">
        <v>533</v>
      </c>
      <c r="R97" s="16" t="str">
        <f t="shared" si="1"/>
        <v>Igual</v>
      </c>
    </row>
    <row r="98">
      <c r="A98" s="7"/>
      <c r="B98" s="14"/>
      <c r="C98" s="17"/>
      <c r="D98" s="17"/>
      <c r="E98" s="18"/>
      <c r="F98" s="43"/>
      <c r="G98" s="20"/>
      <c r="H98" s="18"/>
      <c r="I98" s="31"/>
      <c r="J98" s="21"/>
      <c r="K98" s="21"/>
      <c r="L98" s="21" t="s">
        <v>47</v>
      </c>
      <c r="M98" s="30" t="s">
        <v>770</v>
      </c>
      <c r="N98" s="30" t="s">
        <v>771</v>
      </c>
      <c r="O98" s="29" t="s">
        <v>772</v>
      </c>
      <c r="P98" s="14" t="s">
        <v>533</v>
      </c>
      <c r="Q98" s="14" t="s">
        <v>533</v>
      </c>
      <c r="R98" s="16" t="str">
        <f t="shared" si="1"/>
        <v>Igual</v>
      </c>
    </row>
    <row r="99">
      <c r="A99" s="7"/>
      <c r="B99" s="14"/>
      <c r="C99" s="17"/>
      <c r="D99" s="17"/>
      <c r="E99" s="18"/>
      <c r="F99" s="43"/>
      <c r="G99" s="20"/>
      <c r="H99" s="18"/>
      <c r="I99" s="31"/>
      <c r="J99" s="21"/>
      <c r="K99" s="21"/>
      <c r="L99" s="21" t="s">
        <v>53</v>
      </c>
      <c r="M99" s="30" t="s">
        <v>654</v>
      </c>
      <c r="N99" s="30" t="s">
        <v>654</v>
      </c>
      <c r="O99" s="29" t="s">
        <v>641</v>
      </c>
      <c r="P99" s="14" t="s">
        <v>533</v>
      </c>
      <c r="Q99" s="14" t="s">
        <v>533</v>
      </c>
      <c r="R99" s="16" t="str">
        <f t="shared" si="1"/>
        <v>Igual</v>
      </c>
    </row>
    <row r="100">
      <c r="A100" s="7"/>
      <c r="B100" s="14"/>
      <c r="C100" s="17"/>
      <c r="D100" s="17"/>
      <c r="E100" s="18"/>
      <c r="F100" s="43"/>
      <c r="G100" s="20"/>
      <c r="H100" s="18"/>
      <c r="I100" s="31"/>
      <c r="J100" s="21"/>
      <c r="K100" s="21"/>
      <c r="L100" s="21" t="s">
        <v>59</v>
      </c>
      <c r="M100" s="30" t="s">
        <v>773</v>
      </c>
      <c r="N100" s="30" t="s">
        <v>774</v>
      </c>
      <c r="O100" s="29" t="s">
        <v>775</v>
      </c>
      <c r="P100" s="14" t="s">
        <v>533</v>
      </c>
      <c r="Q100" s="14" t="s">
        <v>533</v>
      </c>
      <c r="R100" s="16" t="str">
        <f t="shared" si="1"/>
        <v>Igual</v>
      </c>
    </row>
    <row r="101">
      <c r="A101" s="7"/>
      <c r="B101" s="14"/>
      <c r="C101" s="17"/>
      <c r="D101" s="17"/>
      <c r="E101" s="18"/>
      <c r="F101" s="43"/>
      <c r="G101" s="20"/>
      <c r="H101" s="18"/>
      <c r="I101" s="31"/>
      <c r="J101" s="21"/>
      <c r="K101" s="21"/>
      <c r="L101" s="21" t="s">
        <v>65</v>
      </c>
      <c r="M101" s="30" t="s">
        <v>654</v>
      </c>
      <c r="N101" s="30" t="s">
        <v>654</v>
      </c>
      <c r="O101" s="29" t="s">
        <v>558</v>
      </c>
      <c r="P101" s="14" t="s">
        <v>533</v>
      </c>
      <c r="Q101" s="14" t="s">
        <v>533</v>
      </c>
      <c r="R101" s="16" t="str">
        <f t="shared" si="1"/>
        <v>Igual</v>
      </c>
    </row>
    <row r="102">
      <c r="A102" s="7"/>
      <c r="B102" s="14"/>
      <c r="C102" s="17"/>
      <c r="D102" s="17"/>
      <c r="E102" s="18"/>
      <c r="F102" s="43"/>
      <c r="G102" s="20"/>
      <c r="H102" s="18"/>
      <c r="I102" s="31"/>
      <c r="J102" s="21"/>
      <c r="K102" s="21"/>
      <c r="L102" s="21" t="s">
        <v>71</v>
      </c>
      <c r="M102" s="30" t="s">
        <v>776</v>
      </c>
      <c r="N102" s="30" t="s">
        <v>777</v>
      </c>
      <c r="O102" s="29" t="s">
        <v>778</v>
      </c>
      <c r="P102" s="14" t="s">
        <v>533</v>
      </c>
      <c r="Q102" s="14" t="s">
        <v>533</v>
      </c>
      <c r="R102" s="16" t="str">
        <f t="shared" si="1"/>
        <v>Igual</v>
      </c>
    </row>
    <row r="103">
      <c r="A103" s="7" t="s">
        <v>2129</v>
      </c>
      <c r="B103" s="14" t="s">
        <v>20</v>
      </c>
      <c r="C103" s="17" t="s">
        <v>779</v>
      </c>
      <c r="D103" s="17" t="s">
        <v>55</v>
      </c>
      <c r="E103" s="18" t="s">
        <v>89</v>
      </c>
      <c r="F103" s="44" t="s">
        <v>2130</v>
      </c>
      <c r="G103" s="20" t="s">
        <v>91</v>
      </c>
      <c r="H103" s="18" t="s">
        <v>92</v>
      </c>
      <c r="I103" s="29" t="s">
        <v>680</v>
      </c>
      <c r="J103" s="21"/>
      <c r="K103" s="21" t="s">
        <v>76</v>
      </c>
      <c r="L103" s="21" t="s">
        <v>25</v>
      </c>
      <c r="M103" s="30" t="s">
        <v>781</v>
      </c>
      <c r="N103" s="30" t="s">
        <v>654</v>
      </c>
      <c r="O103" s="45" t="s">
        <v>782</v>
      </c>
      <c r="P103" s="14" t="s">
        <v>562</v>
      </c>
      <c r="Q103" s="14" t="s">
        <v>562</v>
      </c>
      <c r="R103" s="16" t="str">
        <f t="shared" si="1"/>
        <v>Igual</v>
      </c>
    </row>
    <row r="104">
      <c r="A104" s="7"/>
      <c r="B104" s="14"/>
      <c r="C104" s="17"/>
      <c r="D104" s="17"/>
      <c r="E104" s="18"/>
      <c r="F104" s="43"/>
      <c r="G104" s="20"/>
      <c r="H104" s="18"/>
      <c r="I104" s="31"/>
      <c r="J104" s="21"/>
      <c r="K104" s="21"/>
      <c r="L104" s="21" t="s">
        <v>31</v>
      </c>
      <c r="M104" s="30" t="s">
        <v>783</v>
      </c>
      <c r="N104" s="30" t="s">
        <v>654</v>
      </c>
      <c r="O104" s="29" t="s">
        <v>784</v>
      </c>
      <c r="P104" s="14" t="s">
        <v>562</v>
      </c>
      <c r="Q104" s="14" t="s">
        <v>562</v>
      </c>
      <c r="R104" s="16" t="str">
        <f t="shared" si="1"/>
        <v>Igual</v>
      </c>
    </row>
    <row r="105">
      <c r="A105" s="7"/>
      <c r="B105" s="14"/>
      <c r="C105" s="17"/>
      <c r="D105" s="17"/>
      <c r="E105" s="18"/>
      <c r="F105" s="43"/>
      <c r="G105" s="20"/>
      <c r="H105" s="18"/>
      <c r="I105" s="31"/>
      <c r="J105" s="21"/>
      <c r="K105" s="21"/>
      <c r="L105" s="21" t="s">
        <v>36</v>
      </c>
      <c r="M105" s="30" t="s">
        <v>785</v>
      </c>
      <c r="N105" s="30" t="s">
        <v>786</v>
      </c>
      <c r="O105" s="29" t="s">
        <v>684</v>
      </c>
      <c r="P105" s="16"/>
      <c r="Q105" s="16"/>
      <c r="R105" s="16" t="str">
        <f t="shared" si="1"/>
        <v/>
      </c>
    </row>
    <row r="106">
      <c r="A106" s="7"/>
      <c r="B106" s="14"/>
      <c r="C106" s="17"/>
      <c r="D106" s="17"/>
      <c r="E106" s="18"/>
      <c r="F106" s="43"/>
      <c r="G106" s="20"/>
      <c r="H106" s="18"/>
      <c r="I106" s="31"/>
      <c r="J106" s="21"/>
      <c r="K106" s="21"/>
      <c r="L106" s="21" t="s">
        <v>41</v>
      </c>
      <c r="M106" s="30" t="s">
        <v>654</v>
      </c>
      <c r="N106" s="30" t="s">
        <v>787</v>
      </c>
      <c r="O106" s="29" t="s">
        <v>788</v>
      </c>
      <c r="P106" s="14" t="s">
        <v>562</v>
      </c>
      <c r="Q106" s="14" t="s">
        <v>562</v>
      </c>
      <c r="R106" s="16" t="str">
        <f t="shared" si="1"/>
        <v>Igual</v>
      </c>
    </row>
    <row r="107">
      <c r="A107" s="7"/>
      <c r="B107" s="14"/>
      <c r="C107" s="17"/>
      <c r="D107" s="17"/>
      <c r="E107" s="18"/>
      <c r="F107" s="43"/>
      <c r="G107" s="20"/>
      <c r="H107" s="18"/>
      <c r="I107" s="31"/>
      <c r="J107" s="21"/>
      <c r="K107" s="21"/>
      <c r="L107" s="21" t="s">
        <v>47</v>
      </c>
      <c r="M107" s="30" t="s">
        <v>789</v>
      </c>
      <c r="N107" s="30" t="s">
        <v>790</v>
      </c>
      <c r="O107" s="29" t="s">
        <v>791</v>
      </c>
      <c r="P107" s="16"/>
      <c r="Q107" s="16"/>
      <c r="R107" s="16" t="str">
        <f t="shared" si="1"/>
        <v/>
      </c>
    </row>
    <row r="108">
      <c r="A108" s="7"/>
      <c r="B108" s="14"/>
      <c r="C108" s="17"/>
      <c r="D108" s="17"/>
      <c r="E108" s="18"/>
      <c r="F108" s="43"/>
      <c r="G108" s="20"/>
      <c r="H108" s="18"/>
      <c r="I108" s="31"/>
      <c r="J108" s="21"/>
      <c r="K108" s="21"/>
      <c r="L108" s="21" t="s">
        <v>53</v>
      </c>
      <c r="M108" s="30" t="s">
        <v>654</v>
      </c>
      <c r="N108" s="30" t="s">
        <v>792</v>
      </c>
      <c r="O108" s="29" t="s">
        <v>793</v>
      </c>
      <c r="P108" s="14" t="s">
        <v>562</v>
      </c>
      <c r="Q108" s="14" t="s">
        <v>562</v>
      </c>
      <c r="R108" s="16" t="str">
        <f t="shared" si="1"/>
        <v>Igual</v>
      </c>
    </row>
    <row r="109">
      <c r="A109" s="7"/>
      <c r="B109" s="14"/>
      <c r="C109" s="17"/>
      <c r="D109" s="17"/>
      <c r="E109" s="18"/>
      <c r="F109" s="43"/>
      <c r="G109" s="20"/>
      <c r="H109" s="18"/>
      <c r="I109" s="31"/>
      <c r="J109" s="21"/>
      <c r="K109" s="21"/>
      <c r="L109" s="21" t="s">
        <v>59</v>
      </c>
      <c r="M109" s="30" t="s">
        <v>794</v>
      </c>
      <c r="N109" s="30" t="s">
        <v>795</v>
      </c>
      <c r="O109" s="31"/>
      <c r="P109" s="16"/>
      <c r="Q109" s="16"/>
      <c r="R109" s="16" t="str">
        <f t="shared" si="1"/>
        <v/>
      </c>
    </row>
    <row r="110">
      <c r="A110" s="7"/>
      <c r="B110" s="14"/>
      <c r="C110" s="17"/>
      <c r="D110" s="17"/>
      <c r="E110" s="18"/>
      <c r="F110" s="43"/>
      <c r="G110" s="20"/>
      <c r="H110" s="18"/>
      <c r="I110" s="31"/>
      <c r="J110" s="21"/>
      <c r="K110" s="21"/>
      <c r="L110" s="21" t="s">
        <v>65</v>
      </c>
      <c r="M110" s="30" t="s">
        <v>654</v>
      </c>
      <c r="N110" s="30" t="s">
        <v>654</v>
      </c>
      <c r="O110" s="31"/>
      <c r="P110" s="14" t="s">
        <v>562</v>
      </c>
      <c r="Q110" s="14" t="s">
        <v>562</v>
      </c>
      <c r="R110" s="16" t="str">
        <f t="shared" si="1"/>
        <v>Igual</v>
      </c>
    </row>
    <row r="111">
      <c r="A111" s="7"/>
      <c r="B111" s="14"/>
      <c r="C111" s="17"/>
      <c r="D111" s="17"/>
      <c r="E111" s="18"/>
      <c r="F111" s="43"/>
      <c r="G111" s="20"/>
      <c r="H111" s="18"/>
      <c r="I111" s="31"/>
      <c r="J111" s="21"/>
      <c r="K111" s="21"/>
      <c r="L111" s="21" t="s">
        <v>71</v>
      </c>
      <c r="M111" s="30" t="s">
        <v>796</v>
      </c>
      <c r="N111" s="30" t="s">
        <v>797</v>
      </c>
      <c r="O111" s="31"/>
      <c r="P111" s="16"/>
      <c r="Q111" s="16"/>
      <c r="R111" s="16" t="str">
        <f t="shared" si="1"/>
        <v/>
      </c>
    </row>
    <row r="112">
      <c r="A112" s="7" t="s">
        <v>2131</v>
      </c>
      <c r="B112" s="14" t="s">
        <v>20</v>
      </c>
      <c r="C112" s="17" t="s">
        <v>798</v>
      </c>
      <c r="D112" s="17" t="s">
        <v>94</v>
      </c>
      <c r="E112" s="18" t="s">
        <v>95</v>
      </c>
      <c r="F112" s="44" t="s">
        <v>2132</v>
      </c>
      <c r="G112" s="20" t="s">
        <v>97</v>
      </c>
      <c r="H112" s="18" t="s">
        <v>98</v>
      </c>
      <c r="I112" s="29" t="s">
        <v>680</v>
      </c>
      <c r="J112" s="21"/>
      <c r="K112" s="21" t="s">
        <v>76</v>
      </c>
      <c r="L112" s="21" t="s">
        <v>25</v>
      </c>
      <c r="M112" s="30" t="s">
        <v>800</v>
      </c>
      <c r="N112" s="30" t="s">
        <v>801</v>
      </c>
      <c r="O112" s="29" t="s">
        <v>802</v>
      </c>
      <c r="P112" s="14" t="s">
        <v>533</v>
      </c>
      <c r="Q112" s="14" t="s">
        <v>533</v>
      </c>
      <c r="R112" s="16" t="str">
        <f t="shared" si="1"/>
        <v>Igual</v>
      </c>
    </row>
    <row r="113">
      <c r="A113" s="7"/>
      <c r="B113" s="16"/>
      <c r="C113" s="12"/>
      <c r="D113" s="12"/>
      <c r="E113" s="18"/>
      <c r="F113" s="43"/>
      <c r="G113" s="20"/>
      <c r="H113" s="18"/>
      <c r="I113" s="31"/>
      <c r="J113" s="21"/>
      <c r="K113" s="21"/>
      <c r="L113" s="21" t="s">
        <v>31</v>
      </c>
      <c r="M113" s="30" t="s">
        <v>803</v>
      </c>
      <c r="N113" s="30" t="s">
        <v>804</v>
      </c>
      <c r="O113" s="29" t="s">
        <v>805</v>
      </c>
      <c r="P113" s="14" t="s">
        <v>533</v>
      </c>
      <c r="Q113" s="14" t="s">
        <v>533</v>
      </c>
      <c r="R113" s="16" t="str">
        <f t="shared" si="1"/>
        <v>Igual</v>
      </c>
    </row>
    <row r="114">
      <c r="A114" s="7"/>
      <c r="B114" s="16"/>
      <c r="C114" s="12"/>
      <c r="D114" s="12"/>
      <c r="E114" s="18"/>
      <c r="F114" s="43"/>
      <c r="G114" s="20"/>
      <c r="H114" s="18"/>
      <c r="I114" s="31"/>
      <c r="J114" s="21"/>
      <c r="K114" s="21"/>
      <c r="L114" s="21" t="s">
        <v>36</v>
      </c>
      <c r="M114" s="30" t="s">
        <v>806</v>
      </c>
      <c r="N114" s="30" t="s">
        <v>807</v>
      </c>
      <c r="O114" s="29" t="s">
        <v>808</v>
      </c>
      <c r="P114" s="14" t="s">
        <v>533</v>
      </c>
      <c r="Q114" s="14" t="s">
        <v>533</v>
      </c>
      <c r="R114" s="16" t="str">
        <f t="shared" si="1"/>
        <v>Igual</v>
      </c>
    </row>
    <row r="115">
      <c r="A115" s="7"/>
      <c r="B115" s="16"/>
      <c r="C115" s="12"/>
      <c r="D115" s="12"/>
      <c r="E115" s="18"/>
      <c r="F115" s="43"/>
      <c r="G115" s="20"/>
      <c r="H115" s="18"/>
      <c r="I115" s="31"/>
      <c r="J115" s="21"/>
      <c r="K115" s="21"/>
      <c r="L115" s="21" t="s">
        <v>41</v>
      </c>
      <c r="M115" s="30" t="s">
        <v>809</v>
      </c>
      <c r="N115" s="30" t="s">
        <v>654</v>
      </c>
      <c r="O115" s="29" t="s">
        <v>810</v>
      </c>
      <c r="P115" s="14" t="s">
        <v>542</v>
      </c>
      <c r="Q115" s="14" t="s">
        <v>562</v>
      </c>
      <c r="R115" s="16" t="str">
        <f t="shared" si="1"/>
        <v>Diferente</v>
      </c>
    </row>
    <row r="116">
      <c r="A116" s="7"/>
      <c r="B116" s="16"/>
      <c r="C116" s="12"/>
      <c r="D116" s="12"/>
      <c r="E116" s="18"/>
      <c r="F116" s="43"/>
      <c r="G116" s="20"/>
      <c r="H116" s="18"/>
      <c r="I116" s="31"/>
      <c r="J116" s="21"/>
      <c r="K116" s="21"/>
      <c r="L116" s="21" t="s">
        <v>47</v>
      </c>
      <c r="M116" s="30" t="s">
        <v>811</v>
      </c>
      <c r="N116" s="30" t="s">
        <v>812</v>
      </c>
      <c r="O116" s="29" t="s">
        <v>813</v>
      </c>
      <c r="P116" s="14" t="s">
        <v>542</v>
      </c>
      <c r="Q116" s="14" t="s">
        <v>542</v>
      </c>
      <c r="R116" s="16" t="str">
        <f t="shared" si="1"/>
        <v>Igual</v>
      </c>
    </row>
    <row r="117">
      <c r="A117" s="7"/>
      <c r="B117" s="16"/>
      <c r="C117" s="12"/>
      <c r="D117" s="12"/>
      <c r="E117" s="18"/>
      <c r="F117" s="43"/>
      <c r="G117" s="20"/>
      <c r="H117" s="18"/>
      <c r="I117" s="31"/>
      <c r="J117" s="21"/>
      <c r="K117" s="21"/>
      <c r="L117" s="21" t="s">
        <v>53</v>
      </c>
      <c r="M117" s="30" t="s">
        <v>654</v>
      </c>
      <c r="N117" s="30" t="s">
        <v>654</v>
      </c>
      <c r="O117" s="29" t="s">
        <v>641</v>
      </c>
      <c r="P117" s="14" t="s">
        <v>533</v>
      </c>
      <c r="Q117" s="14" t="s">
        <v>533</v>
      </c>
      <c r="R117" s="16" t="str">
        <f t="shared" si="1"/>
        <v>Igual</v>
      </c>
    </row>
    <row r="118">
      <c r="A118" s="7"/>
      <c r="B118" s="16"/>
      <c r="C118" s="12"/>
      <c r="D118" s="12"/>
      <c r="E118" s="18"/>
      <c r="F118" s="43"/>
      <c r="G118" s="20"/>
      <c r="H118" s="18"/>
      <c r="I118" s="31"/>
      <c r="J118" s="21"/>
      <c r="K118" s="21"/>
      <c r="L118" s="21" t="s">
        <v>59</v>
      </c>
      <c r="M118" s="30" t="s">
        <v>814</v>
      </c>
      <c r="N118" s="30" t="s">
        <v>815</v>
      </c>
      <c r="O118" s="29" t="s">
        <v>816</v>
      </c>
      <c r="P118" s="14" t="s">
        <v>533</v>
      </c>
      <c r="Q118" s="14" t="s">
        <v>533</v>
      </c>
      <c r="R118" s="16" t="str">
        <f t="shared" si="1"/>
        <v>Igual</v>
      </c>
    </row>
    <row r="119">
      <c r="A119" s="7"/>
      <c r="B119" s="16"/>
      <c r="C119" s="12"/>
      <c r="D119" s="12"/>
      <c r="E119" s="18"/>
      <c r="F119" s="43"/>
      <c r="G119" s="20"/>
      <c r="H119" s="18"/>
      <c r="I119" s="31"/>
      <c r="J119" s="21"/>
      <c r="K119" s="21"/>
      <c r="L119" s="21" t="s">
        <v>65</v>
      </c>
      <c r="M119" s="30" t="s">
        <v>654</v>
      </c>
      <c r="N119" s="30" t="s">
        <v>654</v>
      </c>
      <c r="O119" s="29" t="s">
        <v>558</v>
      </c>
      <c r="P119" s="14" t="s">
        <v>533</v>
      </c>
      <c r="Q119" s="14" t="s">
        <v>533</v>
      </c>
      <c r="R119" s="16" t="str">
        <f t="shared" si="1"/>
        <v>Igual</v>
      </c>
    </row>
    <row r="120">
      <c r="A120" s="7"/>
      <c r="B120" s="16"/>
      <c r="C120" s="12"/>
      <c r="D120" s="12"/>
      <c r="E120" s="18"/>
      <c r="F120" s="43"/>
      <c r="G120" s="20"/>
      <c r="H120" s="18"/>
      <c r="I120" s="31"/>
      <c r="J120" s="21"/>
      <c r="K120" s="21"/>
      <c r="L120" s="21" t="s">
        <v>71</v>
      </c>
      <c r="M120" s="30" t="s">
        <v>817</v>
      </c>
      <c r="N120" s="30" t="s">
        <v>818</v>
      </c>
      <c r="O120" s="29" t="s">
        <v>819</v>
      </c>
      <c r="P120" s="14" t="s">
        <v>533</v>
      </c>
      <c r="Q120" s="14" t="s">
        <v>533</v>
      </c>
      <c r="R120" s="16" t="str">
        <f t="shared" si="1"/>
        <v>Igual</v>
      </c>
    </row>
    <row r="121">
      <c r="A121" s="7" t="s">
        <v>2133</v>
      </c>
      <c r="B121" s="14" t="s">
        <v>20</v>
      </c>
      <c r="C121" s="17" t="s">
        <v>820</v>
      </c>
      <c r="D121" s="17" t="s">
        <v>821</v>
      </c>
      <c r="E121" s="18" t="s">
        <v>100</v>
      </c>
      <c r="F121" s="44" t="s">
        <v>2134</v>
      </c>
      <c r="G121" s="20" t="s">
        <v>97</v>
      </c>
      <c r="H121" s="18" t="s">
        <v>102</v>
      </c>
      <c r="I121" s="29" t="s">
        <v>823</v>
      </c>
      <c r="J121" s="21"/>
      <c r="K121" s="21" t="s">
        <v>76</v>
      </c>
      <c r="L121" s="21" t="s">
        <v>25</v>
      </c>
      <c r="M121" s="30" t="s">
        <v>824</v>
      </c>
      <c r="N121" s="30" t="s">
        <v>825</v>
      </c>
      <c r="O121" s="29" t="s">
        <v>826</v>
      </c>
      <c r="P121" s="14" t="s">
        <v>533</v>
      </c>
      <c r="Q121" s="14" t="s">
        <v>533</v>
      </c>
      <c r="R121" s="16" t="str">
        <f t="shared" si="1"/>
        <v>Igual</v>
      </c>
    </row>
    <row r="122">
      <c r="A122" s="7"/>
      <c r="B122" s="16"/>
      <c r="C122" s="12"/>
      <c r="D122" s="12"/>
      <c r="E122" s="18"/>
      <c r="F122" s="43"/>
      <c r="G122" s="20"/>
      <c r="H122" s="18"/>
      <c r="I122" s="29" t="s">
        <v>565</v>
      </c>
      <c r="J122" s="21"/>
      <c r="K122" s="21"/>
      <c r="L122" s="21" t="s">
        <v>31</v>
      </c>
      <c r="M122" s="30" t="s">
        <v>827</v>
      </c>
      <c r="N122" s="30" t="s">
        <v>828</v>
      </c>
      <c r="O122" s="29" t="s">
        <v>829</v>
      </c>
      <c r="P122" s="14" t="s">
        <v>533</v>
      </c>
      <c r="Q122" s="14" t="s">
        <v>533</v>
      </c>
      <c r="R122" s="16" t="str">
        <f t="shared" si="1"/>
        <v>Igual</v>
      </c>
    </row>
    <row r="123">
      <c r="A123" s="7"/>
      <c r="B123" s="16"/>
      <c r="C123" s="12"/>
      <c r="D123" s="12"/>
      <c r="E123" s="18"/>
      <c r="F123" s="43"/>
      <c r="G123" s="20"/>
      <c r="H123" s="18"/>
      <c r="I123" s="31"/>
      <c r="J123" s="21"/>
      <c r="K123" s="21"/>
      <c r="L123" s="21" t="s">
        <v>36</v>
      </c>
      <c r="M123" s="30" t="s">
        <v>830</v>
      </c>
      <c r="N123" s="30" t="s">
        <v>831</v>
      </c>
      <c r="O123" s="29" t="s">
        <v>832</v>
      </c>
      <c r="P123" s="14" t="s">
        <v>533</v>
      </c>
      <c r="Q123" s="14" t="s">
        <v>533</v>
      </c>
      <c r="R123" s="16" t="str">
        <f t="shared" si="1"/>
        <v>Igual</v>
      </c>
    </row>
    <row r="124">
      <c r="A124" s="7"/>
      <c r="B124" s="16"/>
      <c r="C124" s="12"/>
      <c r="D124" s="12"/>
      <c r="E124" s="18"/>
      <c r="F124" s="43"/>
      <c r="G124" s="20"/>
      <c r="H124" s="18"/>
      <c r="I124" s="31"/>
      <c r="J124" s="21"/>
      <c r="K124" s="21"/>
      <c r="L124" s="21" t="s">
        <v>41</v>
      </c>
      <c r="M124" s="30" t="s">
        <v>833</v>
      </c>
      <c r="N124" s="30" t="s">
        <v>834</v>
      </c>
      <c r="O124" s="29" t="s">
        <v>835</v>
      </c>
      <c r="P124" s="14" t="s">
        <v>542</v>
      </c>
      <c r="Q124" s="14" t="s">
        <v>533</v>
      </c>
      <c r="R124" s="16" t="str">
        <f t="shared" si="1"/>
        <v>Diferente</v>
      </c>
    </row>
    <row r="125">
      <c r="A125" s="7"/>
      <c r="B125" s="16"/>
      <c r="C125" s="12"/>
      <c r="D125" s="12"/>
      <c r="E125" s="18"/>
      <c r="F125" s="43"/>
      <c r="G125" s="20"/>
      <c r="H125" s="18"/>
      <c r="I125" s="31"/>
      <c r="J125" s="21"/>
      <c r="K125" s="21"/>
      <c r="L125" s="21" t="s">
        <v>47</v>
      </c>
      <c r="M125" s="30" t="s">
        <v>836</v>
      </c>
      <c r="N125" s="30" t="s">
        <v>837</v>
      </c>
      <c r="O125" s="29" t="s">
        <v>838</v>
      </c>
      <c r="P125" s="14" t="s">
        <v>533</v>
      </c>
      <c r="Q125" s="14" t="s">
        <v>533</v>
      </c>
      <c r="R125" s="16" t="str">
        <f t="shared" si="1"/>
        <v>Igual</v>
      </c>
    </row>
    <row r="126">
      <c r="A126" s="7"/>
      <c r="B126" s="16"/>
      <c r="C126" s="12"/>
      <c r="D126" s="12"/>
      <c r="E126" s="18"/>
      <c r="F126" s="43"/>
      <c r="G126" s="20"/>
      <c r="H126" s="18"/>
      <c r="I126" s="31"/>
      <c r="J126" s="21"/>
      <c r="K126" s="21"/>
      <c r="L126" s="21" t="s">
        <v>53</v>
      </c>
      <c r="M126" s="30" t="s">
        <v>654</v>
      </c>
      <c r="N126" s="30" t="s">
        <v>839</v>
      </c>
      <c r="O126" s="29" t="s">
        <v>840</v>
      </c>
      <c r="P126" s="14" t="s">
        <v>562</v>
      </c>
      <c r="Q126" s="14" t="s">
        <v>533</v>
      </c>
      <c r="R126" s="16" t="str">
        <f t="shared" si="1"/>
        <v>Diferente</v>
      </c>
    </row>
    <row r="127">
      <c r="A127" s="7"/>
      <c r="B127" s="16"/>
      <c r="C127" s="12"/>
      <c r="D127" s="12"/>
      <c r="E127" s="18"/>
      <c r="F127" s="43"/>
      <c r="G127" s="20"/>
      <c r="H127" s="18"/>
      <c r="I127" s="31"/>
      <c r="J127" s="21"/>
      <c r="K127" s="21"/>
      <c r="L127" s="21" t="s">
        <v>59</v>
      </c>
      <c r="M127" s="30" t="s">
        <v>654</v>
      </c>
      <c r="N127" s="30" t="s">
        <v>841</v>
      </c>
      <c r="O127" s="29" t="s">
        <v>842</v>
      </c>
      <c r="P127" s="14" t="s">
        <v>562</v>
      </c>
      <c r="Q127" s="14" t="s">
        <v>533</v>
      </c>
      <c r="R127" s="16" t="str">
        <f t="shared" si="1"/>
        <v>Diferente</v>
      </c>
    </row>
    <row r="128">
      <c r="A128" s="7"/>
      <c r="B128" s="16"/>
      <c r="C128" s="12"/>
      <c r="D128" s="12"/>
      <c r="E128" s="18"/>
      <c r="F128" s="43"/>
      <c r="G128" s="20"/>
      <c r="H128" s="18"/>
      <c r="I128" s="31"/>
      <c r="J128" s="21"/>
      <c r="K128" s="21"/>
      <c r="L128" s="21" t="s">
        <v>65</v>
      </c>
      <c r="M128" s="30" t="s">
        <v>654</v>
      </c>
      <c r="N128" s="30" t="s">
        <v>654</v>
      </c>
      <c r="O128" s="29" t="s">
        <v>693</v>
      </c>
      <c r="P128" s="14" t="s">
        <v>533</v>
      </c>
      <c r="Q128" s="14" t="s">
        <v>533</v>
      </c>
      <c r="R128" s="16" t="str">
        <f t="shared" si="1"/>
        <v>Igual</v>
      </c>
    </row>
    <row r="129">
      <c r="A129" s="7"/>
      <c r="B129" s="16"/>
      <c r="C129" s="12"/>
      <c r="D129" s="12"/>
      <c r="E129" s="18"/>
      <c r="F129" s="43"/>
      <c r="G129" s="20"/>
      <c r="H129" s="18"/>
      <c r="I129" s="31"/>
      <c r="J129" s="21"/>
      <c r="K129" s="21"/>
      <c r="L129" s="21" t="s">
        <v>71</v>
      </c>
      <c r="M129" s="30" t="s">
        <v>843</v>
      </c>
      <c r="N129" s="30" t="s">
        <v>844</v>
      </c>
      <c r="O129" s="29" t="s">
        <v>845</v>
      </c>
      <c r="P129" s="14" t="s">
        <v>533</v>
      </c>
      <c r="Q129" s="14" t="s">
        <v>542</v>
      </c>
      <c r="R129" s="16" t="str">
        <f t="shared" si="1"/>
        <v>Diferente</v>
      </c>
    </row>
    <row r="130">
      <c r="A130" s="7" t="s">
        <v>2135</v>
      </c>
      <c r="B130" s="16"/>
      <c r="C130" s="17" t="s">
        <v>846</v>
      </c>
      <c r="D130" s="17" t="s">
        <v>847</v>
      </c>
      <c r="E130" s="18" t="s">
        <v>104</v>
      </c>
      <c r="F130" s="44" t="s">
        <v>2136</v>
      </c>
      <c r="G130" s="20" t="s">
        <v>97</v>
      </c>
      <c r="H130" s="18" t="s">
        <v>106</v>
      </c>
      <c r="I130" s="29" t="s">
        <v>849</v>
      </c>
      <c r="J130" s="21"/>
      <c r="K130" s="21" t="s">
        <v>76</v>
      </c>
      <c r="L130" s="21" t="s">
        <v>25</v>
      </c>
      <c r="M130" s="30" t="s">
        <v>654</v>
      </c>
      <c r="N130" s="30" t="s">
        <v>850</v>
      </c>
      <c r="O130" s="29" t="s">
        <v>851</v>
      </c>
      <c r="P130" s="14" t="s">
        <v>562</v>
      </c>
      <c r="Q130" s="14" t="s">
        <v>542</v>
      </c>
      <c r="R130" s="16" t="str">
        <f t="shared" si="1"/>
        <v>Diferente</v>
      </c>
    </row>
    <row r="131">
      <c r="A131" s="7"/>
      <c r="B131" s="16"/>
      <c r="C131" s="12"/>
      <c r="D131" s="12"/>
      <c r="E131" s="18"/>
      <c r="F131" s="43"/>
      <c r="G131" s="20"/>
      <c r="H131" s="18"/>
      <c r="I131" s="31"/>
      <c r="J131" s="21"/>
      <c r="K131" s="21"/>
      <c r="L131" s="21" t="s">
        <v>31</v>
      </c>
      <c r="M131" s="30" t="s">
        <v>852</v>
      </c>
      <c r="N131" s="30" t="s">
        <v>853</v>
      </c>
      <c r="O131" s="29" t="s">
        <v>854</v>
      </c>
      <c r="P131" s="14" t="s">
        <v>533</v>
      </c>
      <c r="Q131" s="14" t="s">
        <v>533</v>
      </c>
      <c r="R131" s="16" t="str">
        <f t="shared" si="1"/>
        <v>Igual</v>
      </c>
    </row>
    <row r="132">
      <c r="A132" s="7"/>
      <c r="B132" s="16"/>
      <c r="C132" s="12"/>
      <c r="D132" s="12"/>
      <c r="E132" s="18"/>
      <c r="F132" s="43"/>
      <c r="G132" s="20"/>
      <c r="H132" s="18"/>
      <c r="I132" s="31"/>
      <c r="J132" s="21"/>
      <c r="K132" s="21"/>
      <c r="L132" s="21" t="s">
        <v>36</v>
      </c>
      <c r="M132" s="30" t="s">
        <v>855</v>
      </c>
      <c r="N132" s="30" t="s">
        <v>856</v>
      </c>
      <c r="O132" s="29" t="s">
        <v>857</v>
      </c>
      <c r="P132" s="14" t="s">
        <v>533</v>
      </c>
      <c r="Q132" s="14" t="s">
        <v>533</v>
      </c>
      <c r="R132" s="16" t="str">
        <f t="shared" si="1"/>
        <v>Igual</v>
      </c>
    </row>
    <row r="133">
      <c r="A133" s="7"/>
      <c r="B133" s="16"/>
      <c r="C133" s="12"/>
      <c r="D133" s="12"/>
      <c r="E133" s="18"/>
      <c r="F133" s="43"/>
      <c r="G133" s="20"/>
      <c r="H133" s="18"/>
      <c r="I133" s="31"/>
      <c r="J133" s="21"/>
      <c r="K133" s="21"/>
      <c r="L133" s="21" t="s">
        <v>41</v>
      </c>
      <c r="M133" s="30" t="s">
        <v>858</v>
      </c>
      <c r="N133" s="30" t="s">
        <v>859</v>
      </c>
      <c r="O133" s="29" t="s">
        <v>860</v>
      </c>
      <c r="P133" s="14" t="s">
        <v>533</v>
      </c>
      <c r="Q133" s="14" t="s">
        <v>542</v>
      </c>
      <c r="R133" s="16" t="str">
        <f t="shared" si="1"/>
        <v>Diferente</v>
      </c>
    </row>
    <row r="134">
      <c r="A134" s="7"/>
      <c r="B134" s="16"/>
      <c r="C134" s="12"/>
      <c r="D134" s="12"/>
      <c r="E134" s="18"/>
      <c r="F134" s="43"/>
      <c r="G134" s="20"/>
      <c r="H134" s="18"/>
      <c r="I134" s="31"/>
      <c r="J134" s="21"/>
      <c r="K134" s="21"/>
      <c r="L134" s="21" t="s">
        <v>47</v>
      </c>
      <c r="M134" s="30" t="s">
        <v>861</v>
      </c>
      <c r="N134" s="30" t="s">
        <v>862</v>
      </c>
      <c r="O134" s="29" t="s">
        <v>863</v>
      </c>
      <c r="P134" s="14" t="s">
        <v>533</v>
      </c>
      <c r="Q134" s="14" t="s">
        <v>533</v>
      </c>
      <c r="R134" s="16" t="str">
        <f t="shared" si="1"/>
        <v>Igual</v>
      </c>
    </row>
    <row r="135">
      <c r="A135" s="7"/>
      <c r="B135" s="16"/>
      <c r="C135" s="12"/>
      <c r="D135" s="12"/>
      <c r="E135" s="18"/>
      <c r="F135" s="43"/>
      <c r="G135" s="20"/>
      <c r="H135" s="18"/>
      <c r="I135" s="31"/>
      <c r="J135" s="21"/>
      <c r="K135" s="21"/>
      <c r="L135" s="21" t="s">
        <v>53</v>
      </c>
      <c r="M135" s="30" t="s">
        <v>654</v>
      </c>
      <c r="N135" s="30" t="s">
        <v>864</v>
      </c>
      <c r="O135" s="29" t="s">
        <v>865</v>
      </c>
      <c r="P135" s="14" t="s">
        <v>562</v>
      </c>
      <c r="Q135" s="14" t="s">
        <v>533</v>
      </c>
      <c r="R135" s="16" t="str">
        <f t="shared" si="1"/>
        <v>Diferente</v>
      </c>
    </row>
    <row r="136">
      <c r="A136" s="7"/>
      <c r="B136" s="16"/>
      <c r="C136" s="12"/>
      <c r="D136" s="12"/>
      <c r="E136" s="18"/>
      <c r="F136" s="43"/>
      <c r="G136" s="20"/>
      <c r="H136" s="18"/>
      <c r="I136" s="31"/>
      <c r="J136" s="21"/>
      <c r="K136" s="21"/>
      <c r="L136" s="21" t="s">
        <v>59</v>
      </c>
      <c r="M136" s="30" t="s">
        <v>866</v>
      </c>
      <c r="N136" s="30" t="s">
        <v>867</v>
      </c>
      <c r="O136" s="29" t="s">
        <v>868</v>
      </c>
      <c r="P136" s="14" t="s">
        <v>533</v>
      </c>
      <c r="Q136" s="14" t="s">
        <v>533</v>
      </c>
      <c r="R136" s="16" t="str">
        <f t="shared" si="1"/>
        <v>Igual</v>
      </c>
    </row>
    <row r="137">
      <c r="A137" s="7"/>
      <c r="B137" s="16"/>
      <c r="C137" s="12"/>
      <c r="D137" s="12"/>
      <c r="E137" s="18"/>
      <c r="F137" s="43"/>
      <c r="G137" s="20"/>
      <c r="H137" s="18"/>
      <c r="I137" s="31"/>
      <c r="J137" s="21"/>
      <c r="K137" s="21"/>
      <c r="L137" s="21" t="s">
        <v>65</v>
      </c>
      <c r="M137" s="30" t="s">
        <v>654</v>
      </c>
      <c r="N137" s="30" t="s">
        <v>654</v>
      </c>
      <c r="O137" s="29" t="s">
        <v>693</v>
      </c>
      <c r="P137" s="14" t="s">
        <v>533</v>
      </c>
      <c r="Q137" s="14" t="s">
        <v>533</v>
      </c>
      <c r="R137" s="16" t="str">
        <f t="shared" si="1"/>
        <v>Igual</v>
      </c>
    </row>
    <row r="138">
      <c r="A138" s="7"/>
      <c r="B138" s="16"/>
      <c r="C138" s="12"/>
      <c r="D138" s="12"/>
      <c r="E138" s="18"/>
      <c r="F138" s="43"/>
      <c r="G138" s="20"/>
      <c r="H138" s="18"/>
      <c r="I138" s="31"/>
      <c r="J138" s="21"/>
      <c r="K138" s="21"/>
      <c r="L138" s="21" t="s">
        <v>71</v>
      </c>
      <c r="M138" s="30" t="s">
        <v>869</v>
      </c>
      <c r="N138" s="30" t="s">
        <v>870</v>
      </c>
      <c r="O138" s="29" t="s">
        <v>871</v>
      </c>
      <c r="P138" s="14" t="s">
        <v>533</v>
      </c>
      <c r="Q138" s="14" t="s">
        <v>533</v>
      </c>
      <c r="R138" s="16" t="str">
        <f t="shared" si="1"/>
        <v>Igual</v>
      </c>
    </row>
    <row r="139">
      <c r="A139" s="7" t="s">
        <v>2137</v>
      </c>
      <c r="B139" s="14" t="s">
        <v>20</v>
      </c>
      <c r="C139" s="12"/>
      <c r="D139" s="17" t="s">
        <v>872</v>
      </c>
      <c r="E139" s="18" t="s">
        <v>108</v>
      </c>
      <c r="F139" s="44" t="s">
        <v>2138</v>
      </c>
      <c r="G139" s="20" t="s">
        <v>110</v>
      </c>
      <c r="H139" s="18" t="s">
        <v>111</v>
      </c>
      <c r="I139" s="29" t="s">
        <v>680</v>
      </c>
      <c r="J139" s="21"/>
      <c r="K139" s="21" t="s">
        <v>76</v>
      </c>
      <c r="L139" s="21" t="s">
        <v>25</v>
      </c>
      <c r="M139" s="30" t="s">
        <v>654</v>
      </c>
      <c r="N139" s="30" t="s">
        <v>874</v>
      </c>
      <c r="O139" s="29" t="s">
        <v>2139</v>
      </c>
      <c r="P139" s="14" t="s">
        <v>562</v>
      </c>
      <c r="Q139" s="14" t="s">
        <v>533</v>
      </c>
      <c r="R139" s="16" t="str">
        <f t="shared" si="1"/>
        <v>Diferente</v>
      </c>
    </row>
    <row r="140">
      <c r="A140" s="7"/>
      <c r="B140" s="16"/>
      <c r="C140" s="12"/>
      <c r="D140" s="12"/>
      <c r="E140" s="18"/>
      <c r="F140" s="43"/>
      <c r="G140" s="20"/>
      <c r="H140" s="18"/>
      <c r="I140" s="31"/>
      <c r="J140" s="21"/>
      <c r="K140" s="21"/>
      <c r="L140" s="21" t="s">
        <v>31</v>
      </c>
      <c r="M140" s="30" t="s">
        <v>876</v>
      </c>
      <c r="N140" s="30" t="s">
        <v>877</v>
      </c>
      <c r="O140" s="29" t="s">
        <v>878</v>
      </c>
      <c r="P140" s="14" t="s">
        <v>562</v>
      </c>
      <c r="Q140" s="14" t="s">
        <v>562</v>
      </c>
      <c r="R140" s="16" t="str">
        <f t="shared" si="1"/>
        <v>Igual</v>
      </c>
    </row>
    <row r="141">
      <c r="A141" s="7"/>
      <c r="B141" s="16"/>
      <c r="C141" s="12"/>
      <c r="D141" s="12"/>
      <c r="E141" s="18"/>
      <c r="F141" s="43"/>
      <c r="G141" s="20"/>
      <c r="H141" s="18"/>
      <c r="I141" s="31"/>
      <c r="J141" s="21"/>
      <c r="K141" s="21"/>
      <c r="L141" s="21" t="s">
        <v>36</v>
      </c>
      <c r="M141" s="30" t="s">
        <v>879</v>
      </c>
      <c r="N141" s="30" t="s">
        <v>880</v>
      </c>
      <c r="O141" s="29" t="s">
        <v>881</v>
      </c>
      <c r="P141" s="14" t="s">
        <v>542</v>
      </c>
      <c r="Q141" s="14" t="s">
        <v>542</v>
      </c>
      <c r="R141" s="16" t="str">
        <f t="shared" si="1"/>
        <v>Igual</v>
      </c>
    </row>
    <row r="142">
      <c r="A142" s="7"/>
      <c r="B142" s="16"/>
      <c r="C142" s="12"/>
      <c r="D142" s="12"/>
      <c r="E142" s="18"/>
      <c r="F142" s="43"/>
      <c r="G142" s="20"/>
      <c r="H142" s="18"/>
      <c r="I142" s="31"/>
      <c r="J142" s="21"/>
      <c r="K142" s="21"/>
      <c r="L142" s="21" t="s">
        <v>41</v>
      </c>
      <c r="M142" s="30" t="s">
        <v>654</v>
      </c>
      <c r="N142" s="30" t="s">
        <v>882</v>
      </c>
      <c r="O142" s="29" t="s">
        <v>883</v>
      </c>
      <c r="P142" s="14" t="s">
        <v>562</v>
      </c>
      <c r="Q142" s="14" t="s">
        <v>562</v>
      </c>
      <c r="R142" s="16" t="str">
        <f t="shared" si="1"/>
        <v>Igual</v>
      </c>
    </row>
    <row r="143">
      <c r="A143" s="7"/>
      <c r="B143" s="16"/>
      <c r="C143" s="12"/>
      <c r="D143" s="12"/>
      <c r="E143" s="18"/>
      <c r="F143" s="43"/>
      <c r="G143" s="20"/>
      <c r="H143" s="18"/>
      <c r="I143" s="31"/>
      <c r="J143" s="21"/>
      <c r="K143" s="21"/>
      <c r="L143" s="21" t="s">
        <v>47</v>
      </c>
      <c r="M143" s="30" t="s">
        <v>654</v>
      </c>
      <c r="N143" s="30" t="s">
        <v>884</v>
      </c>
      <c r="O143" s="29" t="s">
        <v>885</v>
      </c>
      <c r="P143" s="14" t="s">
        <v>562</v>
      </c>
      <c r="Q143" s="14" t="s">
        <v>533</v>
      </c>
      <c r="R143" s="16" t="str">
        <f t="shared" si="1"/>
        <v>Diferente</v>
      </c>
    </row>
    <row r="144">
      <c r="A144" s="7"/>
      <c r="B144" s="16"/>
      <c r="C144" s="12"/>
      <c r="D144" s="12"/>
      <c r="E144" s="18"/>
      <c r="F144" s="43"/>
      <c r="G144" s="20"/>
      <c r="H144" s="18"/>
      <c r="I144" s="31"/>
      <c r="J144" s="21"/>
      <c r="K144" s="21"/>
      <c r="L144" s="21" t="s">
        <v>53</v>
      </c>
      <c r="M144" s="30" t="s">
        <v>654</v>
      </c>
      <c r="N144" s="30" t="s">
        <v>654</v>
      </c>
      <c r="O144" s="29" t="s">
        <v>886</v>
      </c>
      <c r="P144" s="14" t="s">
        <v>533</v>
      </c>
      <c r="Q144" s="14" t="s">
        <v>533</v>
      </c>
      <c r="R144" s="16" t="str">
        <f t="shared" si="1"/>
        <v>Igual</v>
      </c>
    </row>
    <row r="145">
      <c r="A145" s="7"/>
      <c r="B145" s="16"/>
      <c r="C145" s="12"/>
      <c r="D145" s="12"/>
      <c r="E145" s="18"/>
      <c r="F145" s="43"/>
      <c r="G145" s="20"/>
      <c r="H145" s="18"/>
      <c r="I145" s="31"/>
      <c r="J145" s="21"/>
      <c r="K145" s="21"/>
      <c r="L145" s="21" t="s">
        <v>59</v>
      </c>
      <c r="M145" s="30" t="s">
        <v>654</v>
      </c>
      <c r="N145" s="30" t="s">
        <v>654</v>
      </c>
      <c r="O145" s="29" t="s">
        <v>887</v>
      </c>
      <c r="P145" s="14" t="s">
        <v>562</v>
      </c>
      <c r="Q145" s="14" t="s">
        <v>562</v>
      </c>
      <c r="R145" s="16" t="str">
        <f t="shared" si="1"/>
        <v>Igual</v>
      </c>
    </row>
    <row r="146">
      <c r="A146" s="7"/>
      <c r="B146" s="16"/>
      <c r="C146" s="12"/>
      <c r="D146" s="12"/>
      <c r="E146" s="18"/>
      <c r="F146" s="43"/>
      <c r="G146" s="20"/>
      <c r="H146" s="18"/>
      <c r="I146" s="31"/>
      <c r="J146" s="21"/>
      <c r="K146" s="21"/>
      <c r="L146" s="21" t="s">
        <v>65</v>
      </c>
      <c r="M146" s="30" t="s">
        <v>654</v>
      </c>
      <c r="N146" s="30" t="s">
        <v>888</v>
      </c>
      <c r="O146" s="29" t="s">
        <v>889</v>
      </c>
      <c r="P146" s="14" t="s">
        <v>533</v>
      </c>
      <c r="Q146" s="14" t="s">
        <v>562</v>
      </c>
      <c r="R146" s="16" t="str">
        <f t="shared" si="1"/>
        <v>Diferente</v>
      </c>
    </row>
    <row r="147">
      <c r="A147" s="7"/>
      <c r="B147" s="16"/>
      <c r="C147" s="12"/>
      <c r="D147" s="12"/>
      <c r="E147" s="18"/>
      <c r="F147" s="43"/>
      <c r="G147" s="20"/>
      <c r="H147" s="18"/>
      <c r="I147" s="31"/>
      <c r="J147" s="21"/>
      <c r="K147" s="21"/>
      <c r="L147" s="21" t="s">
        <v>71</v>
      </c>
      <c r="M147" s="30" t="s">
        <v>890</v>
      </c>
      <c r="N147" s="30" t="s">
        <v>891</v>
      </c>
      <c r="O147" s="29" t="s">
        <v>892</v>
      </c>
      <c r="P147" s="14" t="s">
        <v>533</v>
      </c>
      <c r="Q147" s="14" t="s">
        <v>562</v>
      </c>
      <c r="R147" s="16" t="str">
        <f t="shared" si="1"/>
        <v>Diferente</v>
      </c>
    </row>
    <row r="148">
      <c r="A148" s="7" t="s">
        <v>2140</v>
      </c>
      <c r="B148" s="14" t="s">
        <v>20</v>
      </c>
      <c r="C148" s="17" t="s">
        <v>893</v>
      </c>
      <c r="D148" s="17" t="s">
        <v>894</v>
      </c>
      <c r="E148" s="18" t="s">
        <v>113</v>
      </c>
      <c r="F148" s="44" t="s">
        <v>2141</v>
      </c>
      <c r="G148" s="20" t="s">
        <v>115</v>
      </c>
      <c r="H148" s="18" t="s">
        <v>116</v>
      </c>
      <c r="I148" s="29" t="s">
        <v>528</v>
      </c>
      <c r="J148" s="21"/>
      <c r="K148" s="21" t="s">
        <v>76</v>
      </c>
      <c r="L148" s="21" t="s">
        <v>25</v>
      </c>
      <c r="M148" s="30" t="s">
        <v>896</v>
      </c>
      <c r="N148" s="46"/>
      <c r="O148" s="29" t="s">
        <v>897</v>
      </c>
      <c r="P148" s="14" t="s">
        <v>533</v>
      </c>
      <c r="Q148" s="14" t="s">
        <v>562</v>
      </c>
      <c r="R148" s="16" t="str">
        <f t="shared" si="1"/>
        <v>Diferente</v>
      </c>
    </row>
    <row r="149">
      <c r="A149" s="7"/>
      <c r="B149" s="16"/>
      <c r="C149" s="12"/>
      <c r="D149" s="12"/>
      <c r="E149" s="18"/>
      <c r="F149" s="43"/>
      <c r="G149" s="20"/>
      <c r="H149" s="18"/>
      <c r="I149" s="29" t="s">
        <v>898</v>
      </c>
      <c r="J149" s="21"/>
      <c r="K149" s="21"/>
      <c r="L149" s="21" t="s">
        <v>31</v>
      </c>
      <c r="M149" s="30" t="s">
        <v>899</v>
      </c>
      <c r="N149" s="30" t="s">
        <v>900</v>
      </c>
      <c r="O149" s="29" t="s">
        <v>901</v>
      </c>
      <c r="P149" s="14" t="s">
        <v>542</v>
      </c>
      <c r="Q149" s="14" t="s">
        <v>533</v>
      </c>
      <c r="R149" s="16" t="str">
        <f t="shared" si="1"/>
        <v>Diferente</v>
      </c>
    </row>
    <row r="150">
      <c r="A150" s="7"/>
      <c r="B150" s="16"/>
      <c r="C150" s="12"/>
      <c r="D150" s="12"/>
      <c r="E150" s="18"/>
      <c r="F150" s="43"/>
      <c r="G150" s="20"/>
      <c r="H150" s="18"/>
      <c r="I150" s="31"/>
      <c r="J150" s="21"/>
      <c r="K150" s="21"/>
      <c r="L150" s="21" t="s">
        <v>36</v>
      </c>
      <c r="M150" s="30" t="s">
        <v>902</v>
      </c>
      <c r="N150" s="30" t="s">
        <v>903</v>
      </c>
      <c r="O150" s="29" t="s">
        <v>904</v>
      </c>
      <c r="P150" s="14" t="s">
        <v>542</v>
      </c>
      <c r="Q150" s="14" t="s">
        <v>533</v>
      </c>
      <c r="R150" s="16" t="str">
        <f t="shared" si="1"/>
        <v>Diferente</v>
      </c>
    </row>
    <row r="151">
      <c r="A151" s="7"/>
      <c r="B151" s="16"/>
      <c r="C151" s="12"/>
      <c r="D151" s="12"/>
      <c r="E151" s="18"/>
      <c r="F151" s="43"/>
      <c r="G151" s="20"/>
      <c r="H151" s="18"/>
      <c r="I151" s="31"/>
      <c r="J151" s="21"/>
      <c r="K151" s="21"/>
      <c r="L151" s="21" t="s">
        <v>41</v>
      </c>
      <c r="M151" s="30" t="s">
        <v>905</v>
      </c>
      <c r="N151" s="30" t="s">
        <v>654</v>
      </c>
      <c r="O151" s="29" t="s">
        <v>906</v>
      </c>
      <c r="P151" s="14" t="s">
        <v>562</v>
      </c>
      <c r="Q151" s="14" t="s">
        <v>533</v>
      </c>
      <c r="R151" s="16" t="str">
        <f t="shared" si="1"/>
        <v>Diferente</v>
      </c>
    </row>
    <row r="152">
      <c r="A152" s="7"/>
      <c r="B152" s="16"/>
      <c r="C152" s="12"/>
      <c r="D152" s="12"/>
      <c r="E152" s="18"/>
      <c r="F152" s="43"/>
      <c r="G152" s="20"/>
      <c r="H152" s="18"/>
      <c r="I152" s="31"/>
      <c r="J152" s="21"/>
      <c r="K152" s="21"/>
      <c r="L152" s="21" t="s">
        <v>47</v>
      </c>
      <c r="M152" s="30" t="s">
        <v>907</v>
      </c>
      <c r="N152" s="30" t="s">
        <v>908</v>
      </c>
      <c r="O152" s="29" t="s">
        <v>909</v>
      </c>
      <c r="P152" s="14" t="s">
        <v>533</v>
      </c>
      <c r="Q152" s="14" t="s">
        <v>533</v>
      </c>
      <c r="R152" s="16" t="str">
        <f t="shared" si="1"/>
        <v>Igual</v>
      </c>
    </row>
    <row r="153">
      <c r="A153" s="7"/>
      <c r="B153" s="16"/>
      <c r="C153" s="12"/>
      <c r="D153" s="12"/>
      <c r="E153" s="18"/>
      <c r="F153" s="43"/>
      <c r="G153" s="20"/>
      <c r="H153" s="18"/>
      <c r="I153" s="31"/>
      <c r="J153" s="21"/>
      <c r="K153" s="21"/>
      <c r="L153" s="21" t="s">
        <v>53</v>
      </c>
      <c r="M153" s="30" t="s">
        <v>654</v>
      </c>
      <c r="N153" s="30" t="s">
        <v>910</v>
      </c>
      <c r="O153" s="29" t="s">
        <v>911</v>
      </c>
      <c r="P153" s="14" t="s">
        <v>542</v>
      </c>
      <c r="Q153" s="14" t="s">
        <v>542</v>
      </c>
      <c r="R153" s="16" t="str">
        <f t="shared" si="1"/>
        <v>Igual</v>
      </c>
    </row>
    <row r="154">
      <c r="A154" s="7"/>
      <c r="B154" s="16"/>
      <c r="C154" s="12"/>
      <c r="D154" s="12"/>
      <c r="E154" s="18"/>
      <c r="F154" s="43"/>
      <c r="G154" s="20"/>
      <c r="H154" s="18"/>
      <c r="I154" s="31"/>
      <c r="J154" s="21"/>
      <c r="K154" s="21"/>
      <c r="L154" s="21" t="s">
        <v>59</v>
      </c>
      <c r="M154" s="30" t="s">
        <v>654</v>
      </c>
      <c r="N154" s="30" t="s">
        <v>912</v>
      </c>
      <c r="O154" s="29" t="s">
        <v>913</v>
      </c>
      <c r="P154" s="14" t="s">
        <v>562</v>
      </c>
      <c r="Q154" s="14" t="s">
        <v>562</v>
      </c>
      <c r="R154" s="16" t="str">
        <f t="shared" si="1"/>
        <v>Igual</v>
      </c>
    </row>
    <row r="155">
      <c r="A155" s="7"/>
      <c r="B155" s="16"/>
      <c r="C155" s="12"/>
      <c r="D155" s="12"/>
      <c r="E155" s="18"/>
      <c r="F155" s="43"/>
      <c r="G155" s="20"/>
      <c r="H155" s="18"/>
      <c r="I155" s="31"/>
      <c r="J155" s="21"/>
      <c r="K155" s="21"/>
      <c r="L155" s="21" t="s">
        <v>65</v>
      </c>
      <c r="M155" s="30" t="s">
        <v>654</v>
      </c>
      <c r="N155" s="30" t="s">
        <v>654</v>
      </c>
      <c r="O155" s="29" t="s">
        <v>693</v>
      </c>
      <c r="P155" s="14" t="s">
        <v>533</v>
      </c>
      <c r="Q155" s="14" t="s">
        <v>533</v>
      </c>
      <c r="R155" s="16" t="str">
        <f t="shared" si="1"/>
        <v>Igual</v>
      </c>
    </row>
    <row r="156">
      <c r="A156" s="7"/>
      <c r="B156" s="16"/>
      <c r="C156" s="12"/>
      <c r="D156" s="12"/>
      <c r="E156" s="18"/>
      <c r="F156" s="43"/>
      <c r="G156" s="20"/>
      <c r="H156" s="18"/>
      <c r="I156" s="31"/>
      <c r="J156" s="21"/>
      <c r="K156" s="21"/>
      <c r="L156" s="21" t="s">
        <v>71</v>
      </c>
      <c r="M156" s="30" t="s">
        <v>914</v>
      </c>
      <c r="N156" s="30" t="s">
        <v>915</v>
      </c>
      <c r="O156" s="29" t="s">
        <v>916</v>
      </c>
      <c r="P156" s="14" t="s">
        <v>533</v>
      </c>
      <c r="Q156" s="14" t="s">
        <v>542</v>
      </c>
      <c r="R156" s="16" t="str">
        <f t="shared" si="1"/>
        <v>Diferente</v>
      </c>
    </row>
    <row r="157">
      <c r="A157" s="7" t="s">
        <v>2142</v>
      </c>
      <c r="B157" s="14" t="s">
        <v>20</v>
      </c>
      <c r="C157" s="17" t="s">
        <v>917</v>
      </c>
      <c r="D157" s="17" t="s">
        <v>918</v>
      </c>
      <c r="E157" s="18" t="s">
        <v>118</v>
      </c>
      <c r="F157" s="44" t="s">
        <v>2143</v>
      </c>
      <c r="G157" s="20" t="s">
        <v>91</v>
      </c>
      <c r="H157" s="18" t="s">
        <v>120</v>
      </c>
      <c r="I157" s="29" t="s">
        <v>528</v>
      </c>
      <c r="J157" s="21"/>
      <c r="K157" s="21" t="s">
        <v>76</v>
      </c>
      <c r="L157" s="21" t="s">
        <v>25</v>
      </c>
      <c r="M157" s="30" t="s">
        <v>920</v>
      </c>
      <c r="N157" s="30" t="s">
        <v>654</v>
      </c>
      <c r="O157" s="29" t="s">
        <v>921</v>
      </c>
      <c r="P157" s="14" t="s">
        <v>533</v>
      </c>
      <c r="Q157" s="14" t="s">
        <v>562</v>
      </c>
      <c r="R157" s="16" t="str">
        <f t="shared" si="1"/>
        <v>Diferente</v>
      </c>
    </row>
    <row r="158">
      <c r="A158" s="7"/>
      <c r="B158" s="16"/>
      <c r="C158" s="12"/>
      <c r="D158" s="12"/>
      <c r="E158" s="18"/>
      <c r="F158" s="43"/>
      <c r="G158" s="20"/>
      <c r="H158" s="18"/>
      <c r="I158" s="31"/>
      <c r="J158" s="21"/>
      <c r="K158" s="21"/>
      <c r="L158" s="21" t="s">
        <v>31</v>
      </c>
      <c r="M158" s="30" t="s">
        <v>922</v>
      </c>
      <c r="N158" s="30" t="s">
        <v>654</v>
      </c>
      <c r="O158" s="29" t="s">
        <v>923</v>
      </c>
      <c r="P158" s="14" t="s">
        <v>542</v>
      </c>
      <c r="Q158" s="14" t="s">
        <v>562</v>
      </c>
      <c r="R158" s="16" t="str">
        <f t="shared" si="1"/>
        <v>Diferente</v>
      </c>
    </row>
    <row r="159">
      <c r="A159" s="7"/>
      <c r="B159" s="16"/>
      <c r="C159" s="12"/>
      <c r="D159" s="12"/>
      <c r="E159" s="18"/>
      <c r="F159" s="43"/>
      <c r="G159" s="20"/>
      <c r="H159" s="18"/>
      <c r="I159" s="31"/>
      <c r="J159" s="21"/>
      <c r="K159" s="21"/>
      <c r="L159" s="21" t="s">
        <v>36</v>
      </c>
      <c r="M159" s="30" t="s">
        <v>924</v>
      </c>
      <c r="N159" s="30" t="s">
        <v>925</v>
      </c>
      <c r="O159" s="29" t="s">
        <v>926</v>
      </c>
      <c r="P159" s="14" t="s">
        <v>533</v>
      </c>
      <c r="Q159" s="14" t="s">
        <v>533</v>
      </c>
      <c r="R159" s="16" t="str">
        <f t="shared" si="1"/>
        <v>Igual</v>
      </c>
    </row>
    <row r="160">
      <c r="A160" s="7"/>
      <c r="B160" s="16"/>
      <c r="C160" s="12"/>
      <c r="D160" s="12"/>
      <c r="E160" s="18"/>
      <c r="F160" s="43"/>
      <c r="G160" s="20"/>
      <c r="H160" s="18"/>
      <c r="I160" s="31"/>
      <c r="J160" s="21"/>
      <c r="K160" s="21"/>
      <c r="L160" s="21" t="s">
        <v>41</v>
      </c>
      <c r="M160" s="30" t="s">
        <v>927</v>
      </c>
      <c r="N160" s="30" t="s">
        <v>654</v>
      </c>
      <c r="O160" s="29" t="s">
        <v>928</v>
      </c>
      <c r="P160" s="14" t="s">
        <v>562</v>
      </c>
      <c r="Q160" s="14" t="s">
        <v>562</v>
      </c>
      <c r="R160" s="16" t="str">
        <f t="shared" si="1"/>
        <v>Igual</v>
      </c>
    </row>
    <row r="161">
      <c r="A161" s="7"/>
      <c r="B161" s="16"/>
      <c r="C161" s="12"/>
      <c r="D161" s="12"/>
      <c r="E161" s="18"/>
      <c r="F161" s="43"/>
      <c r="G161" s="20"/>
      <c r="H161" s="18"/>
      <c r="I161" s="31"/>
      <c r="J161" s="21"/>
      <c r="K161" s="21"/>
      <c r="L161" s="21" t="s">
        <v>47</v>
      </c>
      <c r="M161" s="30" t="s">
        <v>929</v>
      </c>
      <c r="N161" s="30" t="s">
        <v>654</v>
      </c>
      <c r="O161" s="29" t="s">
        <v>930</v>
      </c>
      <c r="P161" s="14" t="s">
        <v>533</v>
      </c>
      <c r="Q161" s="14" t="s">
        <v>562</v>
      </c>
      <c r="R161" s="16" t="str">
        <f t="shared" si="1"/>
        <v>Diferente</v>
      </c>
    </row>
    <row r="162">
      <c r="A162" s="7"/>
      <c r="B162" s="16"/>
      <c r="C162" s="12"/>
      <c r="D162" s="12"/>
      <c r="E162" s="18"/>
      <c r="F162" s="43"/>
      <c r="G162" s="20"/>
      <c r="H162" s="18"/>
      <c r="I162" s="31"/>
      <c r="J162" s="21"/>
      <c r="K162" s="21"/>
      <c r="L162" s="21" t="s">
        <v>53</v>
      </c>
      <c r="M162" s="30" t="s">
        <v>654</v>
      </c>
      <c r="N162" s="30" t="s">
        <v>654</v>
      </c>
      <c r="O162" s="29" t="s">
        <v>931</v>
      </c>
      <c r="P162" s="14" t="s">
        <v>562</v>
      </c>
      <c r="Q162" s="14" t="s">
        <v>562</v>
      </c>
      <c r="R162" s="16" t="str">
        <f t="shared" si="1"/>
        <v>Igual</v>
      </c>
    </row>
    <row r="163">
      <c r="A163" s="7"/>
      <c r="B163" s="16"/>
      <c r="C163" s="12"/>
      <c r="D163" s="12"/>
      <c r="E163" s="18"/>
      <c r="F163" s="43"/>
      <c r="G163" s="20"/>
      <c r="H163" s="18"/>
      <c r="I163" s="31"/>
      <c r="J163" s="21"/>
      <c r="K163" s="21"/>
      <c r="L163" s="21" t="s">
        <v>59</v>
      </c>
      <c r="M163" s="30" t="s">
        <v>654</v>
      </c>
      <c r="N163" s="30" t="s">
        <v>654</v>
      </c>
      <c r="O163" s="29" t="s">
        <v>932</v>
      </c>
      <c r="P163" s="14" t="s">
        <v>533</v>
      </c>
      <c r="Q163" s="14" t="s">
        <v>533</v>
      </c>
      <c r="R163" s="16" t="str">
        <f t="shared" si="1"/>
        <v>Igual</v>
      </c>
    </row>
    <row r="164">
      <c r="A164" s="7"/>
      <c r="B164" s="16"/>
      <c r="C164" s="12"/>
      <c r="D164" s="12"/>
      <c r="E164" s="18"/>
      <c r="F164" s="43"/>
      <c r="G164" s="20"/>
      <c r="H164" s="18"/>
      <c r="I164" s="31"/>
      <c r="J164" s="21"/>
      <c r="K164" s="21"/>
      <c r="L164" s="21" t="s">
        <v>65</v>
      </c>
      <c r="M164" s="30" t="s">
        <v>654</v>
      </c>
      <c r="N164" s="30" t="s">
        <v>654</v>
      </c>
      <c r="O164" s="29" t="s">
        <v>693</v>
      </c>
      <c r="P164" s="14" t="s">
        <v>533</v>
      </c>
      <c r="Q164" s="14" t="s">
        <v>533</v>
      </c>
      <c r="R164" s="16" t="str">
        <f t="shared" si="1"/>
        <v>Igual</v>
      </c>
    </row>
    <row r="165">
      <c r="A165" s="7"/>
      <c r="B165" s="16"/>
      <c r="C165" s="12"/>
      <c r="D165" s="12"/>
      <c r="E165" s="18"/>
      <c r="F165" s="43"/>
      <c r="G165" s="20"/>
      <c r="H165" s="18"/>
      <c r="I165" s="31"/>
      <c r="J165" s="21"/>
      <c r="K165" s="21"/>
      <c r="L165" s="21" t="s">
        <v>71</v>
      </c>
      <c r="M165" s="30" t="s">
        <v>933</v>
      </c>
      <c r="N165" s="30" t="s">
        <v>934</v>
      </c>
      <c r="O165" s="29" t="s">
        <v>935</v>
      </c>
      <c r="P165" s="14" t="s">
        <v>533</v>
      </c>
      <c r="Q165" s="14" t="s">
        <v>533</v>
      </c>
      <c r="R165" s="16" t="str">
        <f t="shared" si="1"/>
        <v>Igual</v>
      </c>
    </row>
    <row r="166">
      <c r="A166" s="7" t="s">
        <v>2144</v>
      </c>
      <c r="B166" s="14" t="s">
        <v>20</v>
      </c>
      <c r="C166" s="17" t="s">
        <v>936</v>
      </c>
      <c r="D166" s="17" t="s">
        <v>937</v>
      </c>
      <c r="E166" s="18" t="s">
        <v>122</v>
      </c>
      <c r="F166" s="44" t="s">
        <v>2145</v>
      </c>
      <c r="G166" s="20" t="s">
        <v>97</v>
      </c>
      <c r="H166" s="18" t="s">
        <v>124</v>
      </c>
      <c r="I166" s="29" t="s">
        <v>715</v>
      </c>
      <c r="J166" s="21"/>
      <c r="K166" s="21" t="s">
        <v>76</v>
      </c>
      <c r="L166" s="21" t="s">
        <v>25</v>
      </c>
      <c r="M166" s="30" t="s">
        <v>939</v>
      </c>
      <c r="N166" s="30" t="s">
        <v>940</v>
      </c>
      <c r="O166" s="29" t="s">
        <v>941</v>
      </c>
      <c r="P166" s="14" t="s">
        <v>533</v>
      </c>
      <c r="Q166" s="14" t="s">
        <v>533</v>
      </c>
      <c r="R166" s="16" t="str">
        <f t="shared" si="1"/>
        <v>Igual</v>
      </c>
    </row>
    <row r="167">
      <c r="A167" s="7"/>
      <c r="B167" s="16"/>
      <c r="C167" s="12"/>
      <c r="D167" s="12"/>
      <c r="E167" s="18"/>
      <c r="F167" s="43"/>
      <c r="G167" s="20"/>
      <c r="H167" s="18"/>
      <c r="I167" s="29" t="s">
        <v>668</v>
      </c>
      <c r="J167" s="21"/>
      <c r="K167" s="21"/>
      <c r="L167" s="21" t="s">
        <v>31</v>
      </c>
      <c r="M167" s="30" t="s">
        <v>942</v>
      </c>
      <c r="N167" s="30" t="s">
        <v>943</v>
      </c>
      <c r="O167" s="29" t="s">
        <v>944</v>
      </c>
      <c r="P167" s="14" t="s">
        <v>533</v>
      </c>
      <c r="Q167" s="14" t="s">
        <v>533</v>
      </c>
      <c r="R167" s="16" t="str">
        <f t="shared" si="1"/>
        <v>Igual</v>
      </c>
    </row>
    <row r="168">
      <c r="A168" s="7"/>
      <c r="B168" s="16"/>
      <c r="C168" s="12"/>
      <c r="D168" s="12"/>
      <c r="E168" s="18"/>
      <c r="F168" s="43"/>
      <c r="G168" s="20"/>
      <c r="H168" s="18"/>
      <c r="I168" s="31"/>
      <c r="J168" s="21"/>
      <c r="K168" s="21"/>
      <c r="L168" s="21" t="s">
        <v>36</v>
      </c>
      <c r="M168" s="30" t="s">
        <v>945</v>
      </c>
      <c r="N168" s="30" t="s">
        <v>946</v>
      </c>
      <c r="O168" s="29" t="s">
        <v>947</v>
      </c>
      <c r="P168" s="14" t="s">
        <v>533</v>
      </c>
      <c r="Q168" s="14" t="s">
        <v>533</v>
      </c>
      <c r="R168" s="16" t="str">
        <f t="shared" si="1"/>
        <v>Igual</v>
      </c>
    </row>
    <row r="169">
      <c r="A169" s="7"/>
      <c r="B169" s="16"/>
      <c r="C169" s="12"/>
      <c r="D169" s="12"/>
      <c r="E169" s="18"/>
      <c r="F169" s="43"/>
      <c r="G169" s="20"/>
      <c r="H169" s="18"/>
      <c r="I169" s="31"/>
      <c r="J169" s="21"/>
      <c r="K169" s="21"/>
      <c r="L169" s="21" t="s">
        <v>41</v>
      </c>
      <c r="M169" s="30" t="s">
        <v>948</v>
      </c>
      <c r="N169" s="30" t="s">
        <v>949</v>
      </c>
      <c r="O169" s="29" t="s">
        <v>950</v>
      </c>
      <c r="P169" s="14" t="s">
        <v>542</v>
      </c>
      <c r="Q169" s="14" t="s">
        <v>533</v>
      </c>
      <c r="R169" s="16" t="str">
        <f t="shared" si="1"/>
        <v>Diferente</v>
      </c>
    </row>
    <row r="170">
      <c r="A170" s="7"/>
      <c r="B170" s="16"/>
      <c r="C170" s="12"/>
      <c r="D170" s="12"/>
      <c r="E170" s="18"/>
      <c r="F170" s="43"/>
      <c r="G170" s="20"/>
      <c r="H170" s="18"/>
      <c r="I170" s="31"/>
      <c r="J170" s="21"/>
      <c r="K170" s="21"/>
      <c r="L170" s="21" t="s">
        <v>47</v>
      </c>
      <c r="M170" s="30" t="s">
        <v>951</v>
      </c>
      <c r="N170" s="30" t="s">
        <v>952</v>
      </c>
      <c r="O170" s="29" t="s">
        <v>953</v>
      </c>
      <c r="P170" s="14" t="s">
        <v>533</v>
      </c>
      <c r="Q170" s="14" t="s">
        <v>533</v>
      </c>
      <c r="R170" s="16" t="str">
        <f t="shared" si="1"/>
        <v>Igual</v>
      </c>
    </row>
    <row r="171">
      <c r="A171" s="7"/>
      <c r="B171" s="16"/>
      <c r="C171" s="12"/>
      <c r="D171" s="12"/>
      <c r="E171" s="18"/>
      <c r="F171" s="43"/>
      <c r="G171" s="20"/>
      <c r="H171" s="18"/>
      <c r="I171" s="31"/>
      <c r="J171" s="21"/>
      <c r="K171" s="21"/>
      <c r="L171" s="21" t="s">
        <v>53</v>
      </c>
      <c r="M171" s="30" t="s">
        <v>954</v>
      </c>
      <c r="N171" s="30" t="s">
        <v>955</v>
      </c>
      <c r="O171" s="29" t="s">
        <v>956</v>
      </c>
      <c r="P171" s="14" t="s">
        <v>533</v>
      </c>
      <c r="Q171" s="14" t="s">
        <v>533</v>
      </c>
      <c r="R171" s="16" t="str">
        <f t="shared" si="1"/>
        <v>Igual</v>
      </c>
    </row>
    <row r="172">
      <c r="A172" s="7"/>
      <c r="B172" s="16"/>
      <c r="C172" s="12"/>
      <c r="D172" s="12"/>
      <c r="E172" s="18"/>
      <c r="F172" s="43"/>
      <c r="G172" s="20"/>
      <c r="H172" s="18"/>
      <c r="I172" s="31"/>
      <c r="J172" s="21"/>
      <c r="K172" s="21"/>
      <c r="L172" s="21" t="s">
        <v>59</v>
      </c>
      <c r="M172" s="30" t="s">
        <v>957</v>
      </c>
      <c r="N172" s="30" t="s">
        <v>958</v>
      </c>
      <c r="O172" s="29" t="s">
        <v>959</v>
      </c>
      <c r="P172" s="14" t="s">
        <v>533</v>
      </c>
      <c r="Q172" s="14" t="s">
        <v>533</v>
      </c>
      <c r="R172" s="16" t="str">
        <f t="shared" si="1"/>
        <v>Igual</v>
      </c>
    </row>
    <row r="173">
      <c r="A173" s="7"/>
      <c r="B173" s="16"/>
      <c r="C173" s="12"/>
      <c r="D173" s="12"/>
      <c r="E173" s="18"/>
      <c r="F173" s="43"/>
      <c r="G173" s="20"/>
      <c r="H173" s="18"/>
      <c r="I173" s="31"/>
      <c r="J173" s="21"/>
      <c r="K173" s="21"/>
      <c r="L173" s="21" t="s">
        <v>65</v>
      </c>
      <c r="M173" s="30" t="s">
        <v>960</v>
      </c>
      <c r="N173" s="30" t="s">
        <v>961</v>
      </c>
      <c r="O173" s="29" t="s">
        <v>962</v>
      </c>
      <c r="P173" s="14" t="s">
        <v>562</v>
      </c>
      <c r="Q173" s="14" t="s">
        <v>533</v>
      </c>
      <c r="R173" s="16" t="str">
        <f t="shared" si="1"/>
        <v>Diferente</v>
      </c>
    </row>
    <row r="174">
      <c r="A174" s="7"/>
      <c r="B174" s="16"/>
      <c r="C174" s="12"/>
      <c r="D174" s="12"/>
      <c r="E174" s="18"/>
      <c r="F174" s="43"/>
      <c r="G174" s="20"/>
      <c r="H174" s="18"/>
      <c r="I174" s="31"/>
      <c r="J174" s="21"/>
      <c r="K174" s="21"/>
      <c r="L174" s="21" t="s">
        <v>71</v>
      </c>
      <c r="M174" s="30" t="s">
        <v>963</v>
      </c>
      <c r="N174" s="30" t="s">
        <v>964</v>
      </c>
      <c r="O174" s="29" t="s">
        <v>965</v>
      </c>
      <c r="P174" s="14" t="s">
        <v>533</v>
      </c>
      <c r="Q174" s="14" t="s">
        <v>533</v>
      </c>
      <c r="R174" s="16" t="str">
        <f t="shared" si="1"/>
        <v>Igual</v>
      </c>
    </row>
    <row r="175">
      <c r="A175" s="7" t="s">
        <v>2146</v>
      </c>
      <c r="B175" s="16"/>
      <c r="C175" s="17" t="s">
        <v>966</v>
      </c>
      <c r="D175" s="17" t="s">
        <v>967</v>
      </c>
      <c r="E175" s="18" t="s">
        <v>126</v>
      </c>
      <c r="F175" s="44" t="s">
        <v>2147</v>
      </c>
      <c r="G175" s="20" t="s">
        <v>91</v>
      </c>
      <c r="H175" s="18" t="s">
        <v>128</v>
      </c>
      <c r="I175" s="29" t="s">
        <v>528</v>
      </c>
      <c r="J175" s="21"/>
      <c r="K175" s="21" t="s">
        <v>76</v>
      </c>
      <c r="L175" s="21" t="s">
        <v>25</v>
      </c>
      <c r="M175" s="30" t="s">
        <v>969</v>
      </c>
      <c r="N175" s="30" t="s">
        <v>970</v>
      </c>
      <c r="O175" s="29" t="s">
        <v>971</v>
      </c>
      <c r="P175" s="14" t="s">
        <v>533</v>
      </c>
      <c r="Q175" s="14" t="s">
        <v>533</v>
      </c>
      <c r="R175" s="16" t="str">
        <f t="shared" si="1"/>
        <v>Igual</v>
      </c>
    </row>
    <row r="176">
      <c r="A176" s="7"/>
      <c r="B176" s="16"/>
      <c r="C176" s="12"/>
      <c r="D176" s="12"/>
      <c r="E176" s="18"/>
      <c r="F176" s="43"/>
      <c r="G176" s="20"/>
      <c r="H176" s="18"/>
      <c r="I176" s="29" t="s">
        <v>972</v>
      </c>
      <c r="J176" s="21"/>
      <c r="K176" s="21"/>
      <c r="L176" s="21" t="s">
        <v>31</v>
      </c>
      <c r="M176" s="30" t="s">
        <v>973</v>
      </c>
      <c r="N176" s="30" t="s">
        <v>974</v>
      </c>
      <c r="O176" s="29" t="s">
        <v>975</v>
      </c>
      <c r="P176" s="14" t="s">
        <v>533</v>
      </c>
      <c r="Q176" s="14" t="s">
        <v>533</v>
      </c>
      <c r="R176" s="16" t="str">
        <f t="shared" si="1"/>
        <v>Igual</v>
      </c>
    </row>
    <row r="177">
      <c r="A177" s="7"/>
      <c r="B177" s="16"/>
      <c r="C177" s="12"/>
      <c r="D177" s="12"/>
      <c r="E177" s="18"/>
      <c r="F177" s="43"/>
      <c r="G177" s="20"/>
      <c r="H177" s="18"/>
      <c r="I177" s="31"/>
      <c r="J177" s="21"/>
      <c r="K177" s="21"/>
      <c r="L177" s="21" t="s">
        <v>36</v>
      </c>
      <c r="M177" s="30" t="s">
        <v>976</v>
      </c>
      <c r="N177" s="30" t="s">
        <v>977</v>
      </c>
      <c r="O177" s="29" t="s">
        <v>978</v>
      </c>
      <c r="P177" s="14" t="s">
        <v>533</v>
      </c>
      <c r="Q177" s="14" t="s">
        <v>533</v>
      </c>
      <c r="R177" s="16" t="str">
        <f t="shared" si="1"/>
        <v>Igual</v>
      </c>
    </row>
    <row r="178">
      <c r="A178" s="7"/>
      <c r="B178" s="16"/>
      <c r="C178" s="12"/>
      <c r="D178" s="12"/>
      <c r="E178" s="18"/>
      <c r="F178" s="43"/>
      <c r="G178" s="20"/>
      <c r="H178" s="18"/>
      <c r="I178" s="31"/>
      <c r="J178" s="21"/>
      <c r="K178" s="21"/>
      <c r="L178" s="21" t="s">
        <v>41</v>
      </c>
      <c r="M178" s="30" t="s">
        <v>979</v>
      </c>
      <c r="N178" s="30" t="s">
        <v>980</v>
      </c>
      <c r="O178" s="29" t="s">
        <v>981</v>
      </c>
      <c r="P178" s="14" t="s">
        <v>533</v>
      </c>
      <c r="Q178" s="14" t="s">
        <v>533</v>
      </c>
      <c r="R178" s="16" t="str">
        <f t="shared" si="1"/>
        <v>Igual</v>
      </c>
    </row>
    <row r="179">
      <c r="A179" s="7"/>
      <c r="B179" s="16"/>
      <c r="C179" s="12"/>
      <c r="D179" s="12"/>
      <c r="E179" s="18"/>
      <c r="F179" s="43"/>
      <c r="G179" s="20"/>
      <c r="H179" s="18"/>
      <c r="I179" s="31"/>
      <c r="J179" s="21"/>
      <c r="K179" s="21"/>
      <c r="L179" s="21" t="s">
        <v>47</v>
      </c>
      <c r="M179" s="30" t="s">
        <v>982</v>
      </c>
      <c r="N179" s="30" t="s">
        <v>983</v>
      </c>
      <c r="O179" s="29" t="s">
        <v>984</v>
      </c>
      <c r="P179" s="14" t="s">
        <v>533</v>
      </c>
      <c r="Q179" s="14" t="s">
        <v>533</v>
      </c>
      <c r="R179" s="16" t="str">
        <f t="shared" si="1"/>
        <v>Igual</v>
      </c>
    </row>
    <row r="180">
      <c r="A180" s="7"/>
      <c r="B180" s="16"/>
      <c r="C180" s="12"/>
      <c r="D180" s="12"/>
      <c r="E180" s="18"/>
      <c r="F180" s="43"/>
      <c r="G180" s="20"/>
      <c r="H180" s="18"/>
      <c r="I180" s="31"/>
      <c r="J180" s="21"/>
      <c r="K180" s="21"/>
      <c r="L180" s="21" t="s">
        <v>53</v>
      </c>
      <c r="M180" s="30" t="s">
        <v>985</v>
      </c>
      <c r="N180" s="30" t="s">
        <v>654</v>
      </c>
      <c r="O180" s="29" t="s">
        <v>986</v>
      </c>
      <c r="P180" s="14" t="s">
        <v>542</v>
      </c>
      <c r="Q180" s="14" t="s">
        <v>562</v>
      </c>
      <c r="R180" s="16" t="str">
        <f t="shared" si="1"/>
        <v>Diferente</v>
      </c>
    </row>
    <row r="181">
      <c r="A181" s="7"/>
      <c r="B181" s="16"/>
      <c r="C181" s="12"/>
      <c r="D181" s="12"/>
      <c r="E181" s="18"/>
      <c r="F181" s="43"/>
      <c r="G181" s="20"/>
      <c r="H181" s="18"/>
      <c r="I181" s="31"/>
      <c r="J181" s="21"/>
      <c r="K181" s="21"/>
      <c r="L181" s="21" t="s">
        <v>59</v>
      </c>
      <c r="M181" s="30" t="s">
        <v>987</v>
      </c>
      <c r="N181" s="30" t="s">
        <v>988</v>
      </c>
      <c r="O181" s="29" t="s">
        <v>989</v>
      </c>
      <c r="P181" s="14" t="s">
        <v>533</v>
      </c>
      <c r="Q181" s="14" t="s">
        <v>533</v>
      </c>
      <c r="R181" s="16" t="str">
        <f t="shared" si="1"/>
        <v>Igual</v>
      </c>
    </row>
    <row r="182">
      <c r="A182" s="7"/>
      <c r="B182" s="16"/>
      <c r="C182" s="12"/>
      <c r="D182" s="12"/>
      <c r="E182" s="18"/>
      <c r="F182" s="43"/>
      <c r="G182" s="20"/>
      <c r="H182" s="18"/>
      <c r="I182" s="31"/>
      <c r="J182" s="21"/>
      <c r="K182" s="21"/>
      <c r="L182" s="21" t="s">
        <v>65</v>
      </c>
      <c r="M182" s="30" t="s">
        <v>990</v>
      </c>
      <c r="N182" s="30" t="s">
        <v>654</v>
      </c>
      <c r="O182" s="29" t="s">
        <v>991</v>
      </c>
      <c r="P182" s="14" t="s">
        <v>542</v>
      </c>
      <c r="Q182" s="14" t="s">
        <v>533</v>
      </c>
      <c r="R182" s="16" t="str">
        <f t="shared" si="1"/>
        <v>Diferente</v>
      </c>
    </row>
    <row r="183">
      <c r="A183" s="7"/>
      <c r="B183" s="16"/>
      <c r="C183" s="12"/>
      <c r="D183" s="12"/>
      <c r="E183" s="18"/>
      <c r="F183" s="43"/>
      <c r="G183" s="20"/>
      <c r="H183" s="18"/>
      <c r="I183" s="31"/>
      <c r="J183" s="21"/>
      <c r="K183" s="21"/>
      <c r="L183" s="21" t="s">
        <v>71</v>
      </c>
      <c r="M183" s="30" t="s">
        <v>992</v>
      </c>
      <c r="N183" s="30" t="s">
        <v>993</v>
      </c>
      <c r="O183" s="29" t="s">
        <v>994</v>
      </c>
      <c r="P183" s="14" t="s">
        <v>533</v>
      </c>
      <c r="Q183" s="14" t="s">
        <v>533</v>
      </c>
      <c r="R183" s="16" t="str">
        <f t="shared" si="1"/>
        <v>Igual</v>
      </c>
    </row>
    <row r="184">
      <c r="A184" s="7" t="s">
        <v>2148</v>
      </c>
      <c r="B184" s="14" t="s">
        <v>20</v>
      </c>
      <c r="C184" s="17" t="s">
        <v>995</v>
      </c>
      <c r="D184" s="17" t="s">
        <v>996</v>
      </c>
      <c r="E184" s="18" t="s">
        <v>130</v>
      </c>
      <c r="F184" s="44" t="s">
        <v>2149</v>
      </c>
      <c r="G184" s="20" t="s">
        <v>97</v>
      </c>
      <c r="H184" s="18" t="s">
        <v>132</v>
      </c>
      <c r="I184" s="29" t="s">
        <v>998</v>
      </c>
      <c r="J184" s="21"/>
      <c r="K184" s="21" t="s">
        <v>76</v>
      </c>
      <c r="L184" s="21" t="s">
        <v>25</v>
      </c>
      <c r="M184" s="30" t="s">
        <v>999</v>
      </c>
      <c r="N184" s="30" t="s">
        <v>654</v>
      </c>
      <c r="O184" s="29" t="s">
        <v>1000</v>
      </c>
      <c r="P184" s="14" t="s">
        <v>533</v>
      </c>
      <c r="Q184" s="14" t="s">
        <v>562</v>
      </c>
      <c r="R184" s="16" t="str">
        <f t="shared" si="1"/>
        <v>Diferente</v>
      </c>
    </row>
    <row r="185">
      <c r="A185" s="7"/>
      <c r="B185" s="16"/>
      <c r="C185" s="12"/>
      <c r="D185" s="12"/>
      <c r="E185" s="18"/>
      <c r="F185" s="43"/>
      <c r="G185" s="20"/>
      <c r="H185" s="18"/>
      <c r="I185" s="31"/>
      <c r="J185" s="21"/>
      <c r="K185" s="21"/>
      <c r="L185" s="21" t="s">
        <v>31</v>
      </c>
      <c r="M185" s="30" t="s">
        <v>1001</v>
      </c>
      <c r="N185" s="30" t="s">
        <v>1002</v>
      </c>
      <c r="O185" s="29" t="s">
        <v>1003</v>
      </c>
      <c r="P185" s="14" t="s">
        <v>533</v>
      </c>
      <c r="Q185" s="14" t="s">
        <v>533</v>
      </c>
      <c r="R185" s="16" t="str">
        <f t="shared" si="1"/>
        <v>Igual</v>
      </c>
    </row>
    <row r="186">
      <c r="A186" s="7"/>
      <c r="B186" s="16"/>
      <c r="C186" s="12"/>
      <c r="D186" s="12"/>
      <c r="E186" s="18"/>
      <c r="F186" s="43"/>
      <c r="G186" s="20"/>
      <c r="H186" s="18"/>
      <c r="I186" s="31"/>
      <c r="J186" s="21"/>
      <c r="K186" s="21"/>
      <c r="L186" s="21" t="s">
        <v>36</v>
      </c>
      <c r="M186" s="30" t="s">
        <v>1004</v>
      </c>
      <c r="N186" s="30" t="s">
        <v>1005</v>
      </c>
      <c r="O186" s="29" t="s">
        <v>1006</v>
      </c>
      <c r="P186" s="14" t="s">
        <v>533</v>
      </c>
      <c r="Q186" s="14" t="s">
        <v>533</v>
      </c>
      <c r="R186" s="16" t="str">
        <f t="shared" si="1"/>
        <v>Igual</v>
      </c>
    </row>
    <row r="187">
      <c r="A187" s="7"/>
      <c r="B187" s="16"/>
      <c r="C187" s="12"/>
      <c r="D187" s="12"/>
      <c r="E187" s="18"/>
      <c r="F187" s="43"/>
      <c r="G187" s="20"/>
      <c r="H187" s="18"/>
      <c r="I187" s="31"/>
      <c r="J187" s="21"/>
      <c r="K187" s="21"/>
      <c r="L187" s="21" t="s">
        <v>41</v>
      </c>
      <c r="M187" s="30" t="s">
        <v>1007</v>
      </c>
      <c r="N187" s="30" t="s">
        <v>654</v>
      </c>
      <c r="O187" s="29" t="s">
        <v>1008</v>
      </c>
      <c r="P187" s="14" t="s">
        <v>542</v>
      </c>
      <c r="Q187" s="14" t="s">
        <v>562</v>
      </c>
      <c r="R187" s="16" t="str">
        <f t="shared" si="1"/>
        <v>Diferente</v>
      </c>
    </row>
    <row r="188">
      <c r="A188" s="7"/>
      <c r="B188" s="16"/>
      <c r="C188" s="12"/>
      <c r="D188" s="12"/>
      <c r="E188" s="18"/>
      <c r="F188" s="43"/>
      <c r="G188" s="20"/>
      <c r="H188" s="18"/>
      <c r="I188" s="31"/>
      <c r="J188" s="21"/>
      <c r="K188" s="21"/>
      <c r="L188" s="21" t="s">
        <v>47</v>
      </c>
      <c r="M188" s="30" t="s">
        <v>1009</v>
      </c>
      <c r="N188" s="30" t="s">
        <v>1010</v>
      </c>
      <c r="O188" s="29" t="s">
        <v>1011</v>
      </c>
      <c r="P188" s="14" t="s">
        <v>533</v>
      </c>
      <c r="Q188" s="14" t="s">
        <v>533</v>
      </c>
      <c r="R188" s="16" t="str">
        <f t="shared" si="1"/>
        <v>Igual</v>
      </c>
    </row>
    <row r="189">
      <c r="A189" s="7"/>
      <c r="B189" s="16"/>
      <c r="C189" s="12"/>
      <c r="D189" s="12"/>
      <c r="E189" s="18"/>
      <c r="F189" s="43"/>
      <c r="G189" s="20"/>
      <c r="H189" s="18"/>
      <c r="I189" s="31"/>
      <c r="J189" s="21"/>
      <c r="K189" s="21"/>
      <c r="L189" s="21" t="s">
        <v>53</v>
      </c>
      <c r="M189" s="30" t="s">
        <v>654</v>
      </c>
      <c r="N189" s="30" t="s">
        <v>1012</v>
      </c>
      <c r="O189" s="29" t="s">
        <v>1013</v>
      </c>
      <c r="P189" s="14" t="s">
        <v>562</v>
      </c>
      <c r="Q189" s="14" t="s">
        <v>533</v>
      </c>
      <c r="R189" s="16" t="str">
        <f t="shared" si="1"/>
        <v>Diferente</v>
      </c>
    </row>
    <row r="190">
      <c r="A190" s="7"/>
      <c r="B190" s="16"/>
      <c r="C190" s="12"/>
      <c r="D190" s="12"/>
      <c r="E190" s="18"/>
      <c r="F190" s="43"/>
      <c r="G190" s="20"/>
      <c r="H190" s="18"/>
      <c r="I190" s="31"/>
      <c r="J190" s="21"/>
      <c r="K190" s="21"/>
      <c r="L190" s="21" t="s">
        <v>59</v>
      </c>
      <c r="M190" s="30" t="s">
        <v>654</v>
      </c>
      <c r="N190" s="30" t="s">
        <v>654</v>
      </c>
      <c r="O190" s="29" t="s">
        <v>1014</v>
      </c>
      <c r="P190" s="14" t="s">
        <v>562</v>
      </c>
      <c r="Q190" s="14" t="s">
        <v>562</v>
      </c>
      <c r="R190" s="16" t="str">
        <f t="shared" si="1"/>
        <v>Igual</v>
      </c>
    </row>
    <row r="191">
      <c r="A191" s="7"/>
      <c r="B191" s="16"/>
      <c r="C191" s="12"/>
      <c r="D191" s="12"/>
      <c r="E191" s="18"/>
      <c r="F191" s="43"/>
      <c r="G191" s="20"/>
      <c r="H191" s="18"/>
      <c r="I191" s="31"/>
      <c r="J191" s="21"/>
      <c r="K191" s="21"/>
      <c r="L191" s="21" t="s">
        <v>65</v>
      </c>
      <c r="M191" s="30" t="s">
        <v>654</v>
      </c>
      <c r="N191" s="30" t="s">
        <v>654</v>
      </c>
      <c r="O191" s="29" t="s">
        <v>693</v>
      </c>
      <c r="P191" s="14" t="s">
        <v>533</v>
      </c>
      <c r="Q191" s="14" t="s">
        <v>533</v>
      </c>
      <c r="R191" s="16" t="str">
        <f t="shared" si="1"/>
        <v>Igual</v>
      </c>
    </row>
    <row r="192">
      <c r="A192" s="7"/>
      <c r="B192" s="16"/>
      <c r="C192" s="12"/>
      <c r="D192" s="12"/>
      <c r="E192" s="18"/>
      <c r="F192" s="43"/>
      <c r="G192" s="20"/>
      <c r="H192" s="18"/>
      <c r="I192" s="31"/>
      <c r="J192" s="21"/>
      <c r="K192" s="21"/>
      <c r="L192" s="21" t="s">
        <v>71</v>
      </c>
      <c r="M192" s="30" t="s">
        <v>1015</v>
      </c>
      <c r="N192" s="30" t="s">
        <v>1016</v>
      </c>
      <c r="O192" s="29" t="s">
        <v>1017</v>
      </c>
      <c r="P192" s="14" t="s">
        <v>533</v>
      </c>
      <c r="Q192" s="14" t="s">
        <v>533</v>
      </c>
      <c r="R192" s="16" t="str">
        <f t="shared" si="1"/>
        <v>Igual</v>
      </c>
    </row>
    <row r="193">
      <c r="A193" s="7" t="s">
        <v>2150</v>
      </c>
      <c r="B193" s="14" t="s">
        <v>20</v>
      </c>
      <c r="C193" s="17" t="s">
        <v>1018</v>
      </c>
      <c r="D193" s="17" t="s">
        <v>1019</v>
      </c>
      <c r="E193" s="18" t="s">
        <v>134</v>
      </c>
      <c r="F193" s="44" t="s">
        <v>2151</v>
      </c>
      <c r="G193" s="20" t="s">
        <v>97</v>
      </c>
      <c r="H193" s="18" t="s">
        <v>136</v>
      </c>
      <c r="I193" s="29" t="s">
        <v>1021</v>
      </c>
      <c r="J193" s="21"/>
      <c r="K193" s="21" t="s">
        <v>76</v>
      </c>
      <c r="L193" s="21" t="s">
        <v>25</v>
      </c>
      <c r="M193" s="30" t="s">
        <v>654</v>
      </c>
      <c r="N193" s="30" t="s">
        <v>654</v>
      </c>
      <c r="O193" s="29" t="s">
        <v>1022</v>
      </c>
      <c r="P193" s="14" t="s">
        <v>562</v>
      </c>
      <c r="Q193" s="14" t="s">
        <v>562</v>
      </c>
      <c r="R193" s="16" t="str">
        <f t="shared" si="1"/>
        <v>Igual</v>
      </c>
    </row>
    <row r="194">
      <c r="A194" s="7"/>
      <c r="B194" s="16"/>
      <c r="C194" s="12"/>
      <c r="D194" s="12"/>
      <c r="E194" s="18"/>
      <c r="F194" s="43"/>
      <c r="G194" s="20"/>
      <c r="H194" s="18"/>
      <c r="I194" s="31"/>
      <c r="J194" s="21"/>
      <c r="K194" s="21"/>
      <c r="L194" s="21" t="s">
        <v>31</v>
      </c>
      <c r="M194" s="30" t="s">
        <v>654</v>
      </c>
      <c r="N194" s="30" t="s">
        <v>654</v>
      </c>
      <c r="O194" s="29" t="s">
        <v>1023</v>
      </c>
      <c r="P194" s="14" t="s">
        <v>562</v>
      </c>
      <c r="Q194" s="14" t="s">
        <v>562</v>
      </c>
      <c r="R194" s="16" t="str">
        <f t="shared" si="1"/>
        <v>Igual</v>
      </c>
    </row>
    <row r="195">
      <c r="A195" s="7"/>
      <c r="B195" s="16"/>
      <c r="C195" s="12"/>
      <c r="D195" s="12"/>
      <c r="E195" s="18"/>
      <c r="F195" s="43"/>
      <c r="G195" s="20"/>
      <c r="H195" s="18"/>
      <c r="I195" s="31"/>
      <c r="J195" s="21"/>
      <c r="K195" s="21"/>
      <c r="L195" s="21" t="s">
        <v>36</v>
      </c>
      <c r="M195" s="30" t="s">
        <v>1024</v>
      </c>
      <c r="N195" s="30" t="s">
        <v>1025</v>
      </c>
      <c r="O195" s="29" t="s">
        <v>1026</v>
      </c>
      <c r="P195" s="14" t="s">
        <v>533</v>
      </c>
      <c r="Q195" s="14" t="s">
        <v>533</v>
      </c>
      <c r="R195" s="16" t="str">
        <f t="shared" si="1"/>
        <v>Igual</v>
      </c>
    </row>
    <row r="196">
      <c r="A196" s="7"/>
      <c r="B196" s="16"/>
      <c r="C196" s="12"/>
      <c r="D196" s="12"/>
      <c r="E196" s="18"/>
      <c r="F196" s="43"/>
      <c r="G196" s="20"/>
      <c r="H196" s="18"/>
      <c r="I196" s="31"/>
      <c r="J196" s="21"/>
      <c r="K196" s="21"/>
      <c r="L196" s="21" t="s">
        <v>41</v>
      </c>
      <c r="M196" s="30" t="s">
        <v>654</v>
      </c>
      <c r="N196" s="30" t="s">
        <v>1027</v>
      </c>
      <c r="O196" s="29" t="s">
        <v>1028</v>
      </c>
      <c r="P196" s="14" t="s">
        <v>562</v>
      </c>
      <c r="Q196" s="14" t="s">
        <v>533</v>
      </c>
      <c r="R196" s="16" t="str">
        <f t="shared" si="1"/>
        <v>Diferente</v>
      </c>
    </row>
    <row r="197">
      <c r="A197" s="7"/>
      <c r="B197" s="16"/>
      <c r="C197" s="12"/>
      <c r="D197" s="12"/>
      <c r="E197" s="18"/>
      <c r="F197" s="43"/>
      <c r="G197" s="20"/>
      <c r="H197" s="18"/>
      <c r="I197" s="31"/>
      <c r="J197" s="21"/>
      <c r="K197" s="21"/>
      <c r="L197" s="21" t="s">
        <v>47</v>
      </c>
      <c r="M197" s="30" t="s">
        <v>654</v>
      </c>
      <c r="N197" s="30" t="s">
        <v>654</v>
      </c>
      <c r="O197" s="29" t="s">
        <v>1029</v>
      </c>
      <c r="P197" s="14" t="s">
        <v>562</v>
      </c>
      <c r="Q197" s="14" t="s">
        <v>562</v>
      </c>
      <c r="R197" s="16" t="str">
        <f t="shared" si="1"/>
        <v>Igual</v>
      </c>
    </row>
    <row r="198">
      <c r="A198" s="7"/>
      <c r="B198" s="16"/>
      <c r="C198" s="12"/>
      <c r="D198" s="12"/>
      <c r="E198" s="18"/>
      <c r="F198" s="43"/>
      <c r="G198" s="20"/>
      <c r="H198" s="18"/>
      <c r="I198" s="31"/>
      <c r="J198" s="21"/>
      <c r="K198" s="21"/>
      <c r="L198" s="21" t="s">
        <v>53</v>
      </c>
      <c r="M198" s="30" t="s">
        <v>654</v>
      </c>
      <c r="N198" s="30" t="s">
        <v>654</v>
      </c>
      <c r="O198" s="29" t="s">
        <v>1030</v>
      </c>
      <c r="P198" s="14" t="s">
        <v>562</v>
      </c>
      <c r="Q198" s="14" t="s">
        <v>562</v>
      </c>
      <c r="R198" s="16" t="str">
        <f t="shared" si="1"/>
        <v>Igual</v>
      </c>
    </row>
    <row r="199">
      <c r="A199" s="7"/>
      <c r="B199" s="16"/>
      <c r="C199" s="12"/>
      <c r="D199" s="12"/>
      <c r="E199" s="18"/>
      <c r="F199" s="43"/>
      <c r="G199" s="20"/>
      <c r="H199" s="18"/>
      <c r="I199" s="31"/>
      <c r="J199" s="21"/>
      <c r="K199" s="21"/>
      <c r="L199" s="21" t="s">
        <v>59</v>
      </c>
      <c r="M199" s="30" t="s">
        <v>654</v>
      </c>
      <c r="N199" s="30" t="s">
        <v>1031</v>
      </c>
      <c r="O199" s="29" t="s">
        <v>1032</v>
      </c>
      <c r="P199" s="14" t="s">
        <v>562</v>
      </c>
      <c r="Q199" s="14" t="s">
        <v>542</v>
      </c>
      <c r="R199" s="16" t="str">
        <f t="shared" si="1"/>
        <v>Diferente</v>
      </c>
    </row>
    <row r="200">
      <c r="A200" s="7"/>
      <c r="B200" s="16"/>
      <c r="C200" s="12"/>
      <c r="D200" s="12"/>
      <c r="E200" s="18"/>
      <c r="F200" s="43"/>
      <c r="G200" s="20"/>
      <c r="H200" s="18"/>
      <c r="I200" s="31"/>
      <c r="J200" s="21"/>
      <c r="K200" s="21"/>
      <c r="L200" s="21" t="s">
        <v>65</v>
      </c>
      <c r="M200" s="30" t="s">
        <v>654</v>
      </c>
      <c r="N200" s="30" t="s">
        <v>654</v>
      </c>
      <c r="O200" s="29" t="s">
        <v>1033</v>
      </c>
      <c r="P200" s="14" t="s">
        <v>533</v>
      </c>
      <c r="Q200" s="14" t="s">
        <v>533</v>
      </c>
      <c r="R200" s="16" t="str">
        <f t="shared" si="1"/>
        <v>Igual</v>
      </c>
    </row>
    <row r="201">
      <c r="A201" s="7"/>
      <c r="B201" s="16"/>
      <c r="C201" s="12"/>
      <c r="D201" s="12"/>
      <c r="E201" s="18"/>
      <c r="F201" s="43"/>
      <c r="G201" s="20"/>
      <c r="H201" s="18"/>
      <c r="I201" s="31"/>
      <c r="J201" s="21"/>
      <c r="K201" s="21"/>
      <c r="L201" s="21" t="s">
        <v>71</v>
      </c>
      <c r="M201" s="30" t="s">
        <v>1034</v>
      </c>
      <c r="N201" s="30" t="s">
        <v>654</v>
      </c>
      <c r="O201" s="29" t="s">
        <v>1035</v>
      </c>
      <c r="P201" s="14" t="s">
        <v>533</v>
      </c>
      <c r="Q201" s="14" t="s">
        <v>562</v>
      </c>
      <c r="R201" s="16" t="str">
        <f t="shared" si="1"/>
        <v>Diferente</v>
      </c>
    </row>
    <row r="202">
      <c r="A202" s="7" t="s">
        <v>2152</v>
      </c>
      <c r="B202" s="14" t="s">
        <v>20</v>
      </c>
      <c r="C202" s="17" t="s">
        <v>1036</v>
      </c>
      <c r="D202" s="17" t="s">
        <v>1037</v>
      </c>
      <c r="E202" s="18" t="s">
        <v>138</v>
      </c>
      <c r="F202" s="44" t="s">
        <v>2153</v>
      </c>
      <c r="G202" s="20" t="s">
        <v>91</v>
      </c>
      <c r="H202" s="18" t="s">
        <v>140</v>
      </c>
      <c r="I202" s="29" t="s">
        <v>680</v>
      </c>
      <c r="J202" s="21"/>
      <c r="K202" s="21" t="s">
        <v>76</v>
      </c>
      <c r="L202" s="21" t="s">
        <v>25</v>
      </c>
      <c r="M202" s="30" t="s">
        <v>654</v>
      </c>
      <c r="N202" s="30" t="s">
        <v>654</v>
      </c>
      <c r="O202" s="29" t="s">
        <v>1039</v>
      </c>
      <c r="P202" s="14" t="s">
        <v>562</v>
      </c>
      <c r="Q202" s="14" t="s">
        <v>562</v>
      </c>
      <c r="R202" s="16" t="str">
        <f t="shared" si="1"/>
        <v>Igual</v>
      </c>
    </row>
    <row r="203">
      <c r="A203" s="7"/>
      <c r="B203" s="16"/>
      <c r="C203" s="12"/>
      <c r="D203" s="12"/>
      <c r="E203" s="18"/>
      <c r="F203" s="43"/>
      <c r="G203" s="20"/>
      <c r="H203" s="18"/>
      <c r="I203" s="31"/>
      <c r="J203" s="21"/>
      <c r="K203" s="21"/>
      <c r="L203" s="21" t="s">
        <v>31</v>
      </c>
      <c r="M203" s="30" t="s">
        <v>654</v>
      </c>
      <c r="N203" s="30" t="s">
        <v>1040</v>
      </c>
      <c r="O203" s="29" t="s">
        <v>1041</v>
      </c>
      <c r="P203" s="14" t="s">
        <v>562</v>
      </c>
      <c r="Q203" s="14" t="s">
        <v>533</v>
      </c>
      <c r="R203" s="16" t="str">
        <f t="shared" si="1"/>
        <v>Diferente</v>
      </c>
    </row>
    <row r="204">
      <c r="A204" s="7"/>
      <c r="B204" s="16"/>
      <c r="C204" s="12"/>
      <c r="D204" s="12"/>
      <c r="E204" s="18"/>
      <c r="F204" s="43"/>
      <c r="G204" s="20"/>
      <c r="H204" s="18"/>
      <c r="I204" s="31"/>
      <c r="J204" s="21"/>
      <c r="K204" s="21"/>
      <c r="L204" s="21" t="s">
        <v>36</v>
      </c>
      <c r="M204" s="30" t="s">
        <v>654</v>
      </c>
      <c r="N204" s="30" t="s">
        <v>1042</v>
      </c>
      <c r="O204" s="29" t="s">
        <v>1043</v>
      </c>
      <c r="P204" s="14" t="s">
        <v>562</v>
      </c>
      <c r="Q204" s="14" t="s">
        <v>533</v>
      </c>
      <c r="R204" s="16" t="str">
        <f t="shared" si="1"/>
        <v>Diferente</v>
      </c>
    </row>
    <row r="205">
      <c r="A205" s="7"/>
      <c r="B205" s="16"/>
      <c r="C205" s="12"/>
      <c r="D205" s="12"/>
      <c r="E205" s="18"/>
      <c r="F205" s="43"/>
      <c r="G205" s="20"/>
      <c r="H205" s="18"/>
      <c r="I205" s="31"/>
      <c r="J205" s="21"/>
      <c r="K205" s="21"/>
      <c r="L205" s="21" t="s">
        <v>41</v>
      </c>
      <c r="M205" s="30" t="s">
        <v>654</v>
      </c>
      <c r="N205" s="30" t="s">
        <v>1044</v>
      </c>
      <c r="O205" s="29" t="s">
        <v>1045</v>
      </c>
      <c r="P205" s="14" t="s">
        <v>562</v>
      </c>
      <c r="Q205" s="14" t="s">
        <v>533</v>
      </c>
      <c r="R205" s="16" t="str">
        <f t="shared" si="1"/>
        <v>Diferente</v>
      </c>
    </row>
    <row r="206">
      <c r="A206" s="7"/>
      <c r="B206" s="16"/>
      <c r="C206" s="12"/>
      <c r="D206" s="12"/>
      <c r="E206" s="18"/>
      <c r="F206" s="43"/>
      <c r="G206" s="20"/>
      <c r="H206" s="18"/>
      <c r="I206" s="31"/>
      <c r="J206" s="21"/>
      <c r="K206" s="21"/>
      <c r="L206" s="21" t="s">
        <v>47</v>
      </c>
      <c r="M206" s="30" t="s">
        <v>654</v>
      </c>
      <c r="N206" s="30" t="s">
        <v>1046</v>
      </c>
      <c r="O206" s="29" t="s">
        <v>1047</v>
      </c>
      <c r="P206" s="14" t="s">
        <v>562</v>
      </c>
      <c r="Q206" s="14" t="s">
        <v>533</v>
      </c>
      <c r="R206" s="16" t="str">
        <f t="shared" si="1"/>
        <v>Diferente</v>
      </c>
    </row>
    <row r="207">
      <c r="A207" s="7"/>
      <c r="B207" s="16"/>
      <c r="C207" s="12"/>
      <c r="D207" s="12"/>
      <c r="E207" s="18"/>
      <c r="F207" s="43"/>
      <c r="G207" s="20"/>
      <c r="H207" s="18"/>
      <c r="I207" s="31"/>
      <c r="J207" s="21"/>
      <c r="K207" s="21"/>
      <c r="L207" s="21" t="s">
        <v>53</v>
      </c>
      <c r="M207" s="30" t="s">
        <v>654</v>
      </c>
      <c r="N207" s="30" t="s">
        <v>654</v>
      </c>
      <c r="O207" s="29" t="s">
        <v>1048</v>
      </c>
      <c r="P207" s="14" t="s">
        <v>562</v>
      </c>
      <c r="Q207" s="14" t="s">
        <v>562</v>
      </c>
      <c r="R207" s="16" t="str">
        <f t="shared" si="1"/>
        <v>Igual</v>
      </c>
    </row>
    <row r="208">
      <c r="A208" s="7"/>
      <c r="B208" s="16"/>
      <c r="C208" s="12"/>
      <c r="D208" s="12"/>
      <c r="E208" s="18"/>
      <c r="F208" s="43"/>
      <c r="G208" s="20"/>
      <c r="H208" s="18"/>
      <c r="I208" s="31"/>
      <c r="J208" s="21"/>
      <c r="K208" s="21"/>
      <c r="L208" s="21" t="s">
        <v>59</v>
      </c>
      <c r="M208" s="30" t="s">
        <v>1049</v>
      </c>
      <c r="N208" s="30" t="s">
        <v>654</v>
      </c>
      <c r="O208" s="29" t="s">
        <v>1050</v>
      </c>
      <c r="P208" s="14" t="s">
        <v>533</v>
      </c>
      <c r="Q208" s="14" t="s">
        <v>562</v>
      </c>
      <c r="R208" s="16" t="str">
        <f t="shared" si="1"/>
        <v>Diferente</v>
      </c>
    </row>
    <row r="209">
      <c r="A209" s="7"/>
      <c r="B209" s="16"/>
      <c r="C209" s="12"/>
      <c r="D209" s="12"/>
      <c r="E209" s="18"/>
      <c r="F209" s="43"/>
      <c r="G209" s="20"/>
      <c r="H209" s="18"/>
      <c r="I209" s="31"/>
      <c r="J209" s="21"/>
      <c r="K209" s="21"/>
      <c r="L209" s="21" t="s">
        <v>65</v>
      </c>
      <c r="M209" s="30" t="s">
        <v>654</v>
      </c>
      <c r="N209" s="30" t="s">
        <v>654</v>
      </c>
      <c r="O209" s="29" t="s">
        <v>1051</v>
      </c>
      <c r="P209" s="14" t="s">
        <v>533</v>
      </c>
      <c r="Q209" s="14" t="s">
        <v>533</v>
      </c>
      <c r="R209" s="16" t="str">
        <f t="shared" si="1"/>
        <v>Igual</v>
      </c>
    </row>
    <row r="210">
      <c r="A210" s="7"/>
      <c r="B210" s="16"/>
      <c r="C210" s="12"/>
      <c r="D210" s="12"/>
      <c r="E210" s="18"/>
      <c r="F210" s="43"/>
      <c r="G210" s="20"/>
      <c r="H210" s="18"/>
      <c r="I210" s="31"/>
      <c r="J210" s="21"/>
      <c r="K210" s="21"/>
      <c r="L210" s="21" t="s">
        <v>71</v>
      </c>
      <c r="M210" s="30" t="s">
        <v>654</v>
      </c>
      <c r="N210" s="30" t="s">
        <v>1052</v>
      </c>
      <c r="O210" s="29" t="s">
        <v>1053</v>
      </c>
      <c r="P210" s="14" t="s">
        <v>562</v>
      </c>
      <c r="Q210" s="14" t="s">
        <v>533</v>
      </c>
      <c r="R210" s="16" t="str">
        <f t="shared" si="1"/>
        <v>Diferente</v>
      </c>
    </row>
    <row r="211">
      <c r="A211" s="7" t="s">
        <v>141</v>
      </c>
      <c r="B211" s="14" t="s">
        <v>20</v>
      </c>
      <c r="C211" s="12"/>
      <c r="D211" s="17" t="s">
        <v>1054</v>
      </c>
      <c r="E211" s="18" t="s">
        <v>142</v>
      </c>
      <c r="F211" s="44" t="s">
        <v>2154</v>
      </c>
      <c r="G211" s="20" t="s">
        <v>91</v>
      </c>
      <c r="H211" s="18" t="s">
        <v>144</v>
      </c>
      <c r="I211" s="29" t="s">
        <v>680</v>
      </c>
      <c r="J211" s="21"/>
      <c r="K211" s="21" t="s">
        <v>76</v>
      </c>
      <c r="L211" s="21" t="s">
        <v>25</v>
      </c>
      <c r="M211" s="30" t="s">
        <v>654</v>
      </c>
      <c r="N211" s="30" t="s">
        <v>654</v>
      </c>
      <c r="O211" s="29" t="s">
        <v>654</v>
      </c>
      <c r="P211" s="14" t="s">
        <v>533</v>
      </c>
      <c r="Q211" s="14" t="s">
        <v>533</v>
      </c>
      <c r="R211" s="16" t="str">
        <f t="shared" si="1"/>
        <v>Igual</v>
      </c>
    </row>
    <row r="212">
      <c r="A212" s="7"/>
      <c r="B212" s="16"/>
      <c r="C212" s="12"/>
      <c r="D212" s="12"/>
      <c r="E212" s="18"/>
      <c r="F212" s="43"/>
      <c r="G212" s="20"/>
      <c r="H212" s="18"/>
      <c r="I212" s="31"/>
      <c r="J212" s="21"/>
      <c r="K212" s="21"/>
      <c r="L212" s="21" t="s">
        <v>31</v>
      </c>
      <c r="M212" s="30" t="s">
        <v>654</v>
      </c>
      <c r="N212" s="30" t="s">
        <v>654</v>
      </c>
      <c r="O212" s="29" t="s">
        <v>654</v>
      </c>
      <c r="P212" s="14" t="s">
        <v>533</v>
      </c>
      <c r="Q212" s="14" t="s">
        <v>533</v>
      </c>
      <c r="R212" s="16" t="str">
        <f t="shared" si="1"/>
        <v>Igual</v>
      </c>
    </row>
    <row r="213">
      <c r="A213" s="7"/>
      <c r="B213" s="16"/>
      <c r="C213" s="12"/>
      <c r="D213" s="12"/>
      <c r="E213" s="18"/>
      <c r="F213" s="43"/>
      <c r="G213" s="20"/>
      <c r="H213" s="18"/>
      <c r="I213" s="31"/>
      <c r="J213" s="21"/>
      <c r="K213" s="21"/>
      <c r="L213" s="21" t="s">
        <v>36</v>
      </c>
      <c r="M213" s="30" t="s">
        <v>654</v>
      </c>
      <c r="N213" s="30" t="s">
        <v>654</v>
      </c>
      <c r="O213" s="29" t="s">
        <v>654</v>
      </c>
      <c r="P213" s="14" t="s">
        <v>533</v>
      </c>
      <c r="Q213" s="14" t="s">
        <v>533</v>
      </c>
      <c r="R213" s="16" t="str">
        <f t="shared" si="1"/>
        <v>Igual</v>
      </c>
    </row>
    <row r="214">
      <c r="A214" s="7"/>
      <c r="B214" s="16"/>
      <c r="C214" s="12"/>
      <c r="D214" s="12"/>
      <c r="E214" s="18"/>
      <c r="F214" s="43"/>
      <c r="G214" s="20"/>
      <c r="H214" s="18"/>
      <c r="I214" s="31"/>
      <c r="J214" s="21"/>
      <c r="K214" s="21"/>
      <c r="L214" s="21" t="s">
        <v>41</v>
      </c>
      <c r="M214" s="30" t="s">
        <v>654</v>
      </c>
      <c r="N214" s="30" t="s">
        <v>654</v>
      </c>
      <c r="O214" s="29" t="s">
        <v>654</v>
      </c>
      <c r="P214" s="14" t="s">
        <v>533</v>
      </c>
      <c r="Q214" s="14" t="s">
        <v>533</v>
      </c>
      <c r="R214" s="16" t="str">
        <f t="shared" si="1"/>
        <v>Igual</v>
      </c>
    </row>
    <row r="215">
      <c r="A215" s="7"/>
      <c r="B215" s="16"/>
      <c r="C215" s="12"/>
      <c r="D215" s="12"/>
      <c r="E215" s="18"/>
      <c r="F215" s="43"/>
      <c r="G215" s="20"/>
      <c r="H215" s="18"/>
      <c r="I215" s="31"/>
      <c r="J215" s="21"/>
      <c r="K215" s="21"/>
      <c r="L215" s="21" t="s">
        <v>47</v>
      </c>
      <c r="M215" s="30" t="s">
        <v>654</v>
      </c>
      <c r="N215" s="30" t="s">
        <v>654</v>
      </c>
      <c r="O215" s="29" t="s">
        <v>654</v>
      </c>
      <c r="P215" s="14" t="s">
        <v>533</v>
      </c>
      <c r="Q215" s="14" t="s">
        <v>533</v>
      </c>
      <c r="R215" s="16" t="str">
        <f t="shared" si="1"/>
        <v>Igual</v>
      </c>
    </row>
    <row r="216">
      <c r="A216" s="7"/>
      <c r="B216" s="16"/>
      <c r="C216" s="12"/>
      <c r="D216" s="12"/>
      <c r="E216" s="18"/>
      <c r="F216" s="43"/>
      <c r="G216" s="20"/>
      <c r="H216" s="18"/>
      <c r="I216" s="31"/>
      <c r="J216" s="21"/>
      <c r="K216" s="21"/>
      <c r="L216" s="21" t="s">
        <v>53</v>
      </c>
      <c r="M216" s="30" t="s">
        <v>654</v>
      </c>
      <c r="N216" s="30" t="s">
        <v>654</v>
      </c>
      <c r="O216" s="29" t="s">
        <v>654</v>
      </c>
      <c r="P216" s="14" t="s">
        <v>533</v>
      </c>
      <c r="Q216" s="14" t="s">
        <v>533</v>
      </c>
      <c r="R216" s="16" t="str">
        <f t="shared" si="1"/>
        <v>Igual</v>
      </c>
    </row>
    <row r="217">
      <c r="A217" s="7"/>
      <c r="B217" s="16"/>
      <c r="C217" s="12"/>
      <c r="D217" s="12"/>
      <c r="E217" s="18"/>
      <c r="F217" s="43"/>
      <c r="G217" s="20"/>
      <c r="H217" s="18"/>
      <c r="I217" s="31"/>
      <c r="J217" s="21"/>
      <c r="K217" s="21"/>
      <c r="L217" s="21" t="s">
        <v>59</v>
      </c>
      <c r="M217" s="30" t="s">
        <v>654</v>
      </c>
      <c r="N217" s="30" t="s">
        <v>654</v>
      </c>
      <c r="O217" s="29" t="s">
        <v>654</v>
      </c>
      <c r="P217" s="14" t="s">
        <v>533</v>
      </c>
      <c r="Q217" s="14" t="s">
        <v>533</v>
      </c>
      <c r="R217" s="16" t="str">
        <f t="shared" si="1"/>
        <v>Igual</v>
      </c>
    </row>
    <row r="218">
      <c r="A218" s="7"/>
      <c r="B218" s="16"/>
      <c r="C218" s="12"/>
      <c r="D218" s="12"/>
      <c r="E218" s="18"/>
      <c r="F218" s="43"/>
      <c r="G218" s="20"/>
      <c r="H218" s="18"/>
      <c r="I218" s="31"/>
      <c r="J218" s="21"/>
      <c r="K218" s="21"/>
      <c r="L218" s="21" t="s">
        <v>65</v>
      </c>
      <c r="M218" s="30" t="s">
        <v>654</v>
      </c>
      <c r="N218" s="30" t="s">
        <v>654</v>
      </c>
      <c r="O218" s="29" t="s">
        <v>654</v>
      </c>
      <c r="P218" s="14" t="s">
        <v>533</v>
      </c>
      <c r="Q218" s="14" t="s">
        <v>533</v>
      </c>
      <c r="R218" s="16" t="str">
        <f t="shared" si="1"/>
        <v>Igual</v>
      </c>
    </row>
    <row r="219">
      <c r="A219" s="7"/>
      <c r="B219" s="16"/>
      <c r="C219" s="12"/>
      <c r="D219" s="12"/>
      <c r="E219" s="18"/>
      <c r="F219" s="43"/>
      <c r="G219" s="20"/>
      <c r="H219" s="18"/>
      <c r="I219" s="31"/>
      <c r="J219" s="21"/>
      <c r="K219" s="21"/>
      <c r="L219" s="21" t="s">
        <v>71</v>
      </c>
      <c r="M219" s="30" t="s">
        <v>654</v>
      </c>
      <c r="N219" s="30" t="s">
        <v>654</v>
      </c>
      <c r="O219" s="29" t="s">
        <v>654</v>
      </c>
      <c r="P219" s="14" t="s">
        <v>533</v>
      </c>
      <c r="Q219" s="14" t="s">
        <v>533</v>
      </c>
      <c r="R219" s="16" t="str">
        <f t="shared" si="1"/>
        <v>Igual</v>
      </c>
    </row>
    <row r="220">
      <c r="A220" s="7" t="s">
        <v>148</v>
      </c>
      <c r="B220" s="14" t="s">
        <v>1057</v>
      </c>
      <c r="C220" s="12"/>
      <c r="D220" s="17" t="s">
        <v>1058</v>
      </c>
      <c r="E220" s="9" t="s">
        <v>149</v>
      </c>
      <c r="F220" s="10" t="s">
        <v>150</v>
      </c>
      <c r="G220" s="11">
        <v>2020.0</v>
      </c>
      <c r="H220" s="9" t="s">
        <v>151</v>
      </c>
      <c r="I220" s="29" t="s">
        <v>1059</v>
      </c>
      <c r="J220" s="9"/>
      <c r="K220" s="9" t="s">
        <v>152</v>
      </c>
      <c r="L220" s="21" t="s">
        <v>25</v>
      </c>
      <c r="M220" s="30" t="s">
        <v>1060</v>
      </c>
      <c r="N220" s="30" t="s">
        <v>1061</v>
      </c>
      <c r="O220" s="29" t="s">
        <v>2155</v>
      </c>
      <c r="P220" s="14" t="s">
        <v>533</v>
      </c>
      <c r="Q220" s="14" t="s">
        <v>562</v>
      </c>
      <c r="R220" s="16" t="str">
        <f t="shared" si="1"/>
        <v>Diferente</v>
      </c>
      <c r="S220" s="14" t="s">
        <v>1063</v>
      </c>
    </row>
    <row r="221">
      <c r="A221" s="7"/>
      <c r="B221" s="16"/>
      <c r="C221" s="12"/>
      <c r="D221" s="12"/>
      <c r="E221" s="9"/>
      <c r="F221" s="10"/>
      <c r="G221" s="11"/>
      <c r="H221" s="9"/>
      <c r="I221" s="31"/>
      <c r="J221" s="9"/>
      <c r="K221" s="9"/>
      <c r="L221" s="21" t="s">
        <v>31</v>
      </c>
      <c r="M221" s="30" t="s">
        <v>1064</v>
      </c>
      <c r="N221" s="30" t="s">
        <v>1065</v>
      </c>
      <c r="O221" s="29" t="s">
        <v>1066</v>
      </c>
      <c r="P221" s="14" t="s">
        <v>533</v>
      </c>
      <c r="Q221" s="14" t="s">
        <v>533</v>
      </c>
      <c r="R221" s="16" t="str">
        <f t="shared" si="1"/>
        <v>Igual</v>
      </c>
    </row>
    <row r="222">
      <c r="A222" s="7"/>
      <c r="B222" s="16"/>
      <c r="C222" s="12"/>
      <c r="D222" s="12"/>
      <c r="E222" s="9"/>
      <c r="F222" s="10"/>
      <c r="G222" s="11"/>
      <c r="H222" s="9"/>
      <c r="I222" s="31"/>
      <c r="J222" s="9"/>
      <c r="K222" s="9"/>
      <c r="L222" s="21" t="s">
        <v>36</v>
      </c>
      <c r="M222" s="30" t="s">
        <v>1067</v>
      </c>
      <c r="N222" s="30" t="s">
        <v>1068</v>
      </c>
      <c r="O222" s="29" t="s">
        <v>1069</v>
      </c>
      <c r="P222" s="14" t="s">
        <v>533</v>
      </c>
      <c r="Q222" s="14" t="s">
        <v>533</v>
      </c>
      <c r="R222" s="16" t="str">
        <f t="shared" si="1"/>
        <v>Igual</v>
      </c>
    </row>
    <row r="223">
      <c r="A223" s="7"/>
      <c r="B223" s="16"/>
      <c r="C223" s="12"/>
      <c r="D223" s="12"/>
      <c r="E223" s="9"/>
      <c r="F223" s="10"/>
      <c r="G223" s="11"/>
      <c r="H223" s="9"/>
      <c r="I223" s="31"/>
      <c r="J223" s="9"/>
      <c r="K223" s="9"/>
      <c r="L223" s="21" t="s">
        <v>41</v>
      </c>
      <c r="M223" s="30" t="s">
        <v>1070</v>
      </c>
      <c r="N223" s="30" t="s">
        <v>1071</v>
      </c>
      <c r="O223" s="29" t="s">
        <v>1072</v>
      </c>
      <c r="P223" s="14" t="s">
        <v>533</v>
      </c>
      <c r="Q223" s="14" t="s">
        <v>533</v>
      </c>
      <c r="R223" s="16" t="str">
        <f t="shared" si="1"/>
        <v>Igual</v>
      </c>
    </row>
    <row r="224">
      <c r="A224" s="7"/>
      <c r="B224" s="16"/>
      <c r="C224" s="12"/>
      <c r="D224" s="12"/>
      <c r="E224" s="9"/>
      <c r="F224" s="10"/>
      <c r="G224" s="11"/>
      <c r="H224" s="9"/>
      <c r="I224" s="31"/>
      <c r="J224" s="9"/>
      <c r="K224" s="9"/>
      <c r="L224" s="21" t="s">
        <v>47</v>
      </c>
      <c r="M224" s="30" t="s">
        <v>1073</v>
      </c>
      <c r="N224" s="30" t="s">
        <v>1073</v>
      </c>
      <c r="O224" s="29" t="s">
        <v>1073</v>
      </c>
      <c r="P224" s="14" t="s">
        <v>533</v>
      </c>
      <c r="Q224" s="14" t="s">
        <v>533</v>
      </c>
      <c r="R224" s="16" t="str">
        <f t="shared" si="1"/>
        <v>Igual</v>
      </c>
    </row>
    <row r="225">
      <c r="A225" s="7"/>
      <c r="B225" s="16"/>
      <c r="C225" s="12"/>
      <c r="D225" s="12"/>
      <c r="E225" s="9"/>
      <c r="F225" s="10"/>
      <c r="G225" s="11"/>
      <c r="H225" s="9"/>
      <c r="I225" s="31"/>
      <c r="J225" s="9"/>
      <c r="K225" s="9"/>
      <c r="L225" s="21" t="s">
        <v>53</v>
      </c>
      <c r="M225" s="30" t="s">
        <v>1073</v>
      </c>
      <c r="N225" s="30" t="s">
        <v>1073</v>
      </c>
      <c r="O225" s="29" t="s">
        <v>1073</v>
      </c>
      <c r="P225" s="14" t="s">
        <v>533</v>
      </c>
      <c r="Q225" s="14" t="s">
        <v>533</v>
      </c>
      <c r="R225" s="14" t="s">
        <v>1074</v>
      </c>
    </row>
    <row r="226">
      <c r="A226" s="7"/>
      <c r="B226" s="16"/>
      <c r="C226" s="12"/>
      <c r="D226" s="12"/>
      <c r="E226" s="9"/>
      <c r="F226" s="10"/>
      <c r="G226" s="11"/>
      <c r="H226" s="9"/>
      <c r="I226" s="31"/>
      <c r="J226" s="9"/>
      <c r="K226" s="9"/>
      <c r="L226" s="21" t="s">
        <v>59</v>
      </c>
      <c r="M226" s="30" t="s">
        <v>1073</v>
      </c>
      <c r="N226" s="30" t="s">
        <v>1073</v>
      </c>
      <c r="O226" s="29" t="s">
        <v>1073</v>
      </c>
      <c r="P226" s="14" t="s">
        <v>533</v>
      </c>
      <c r="Q226" s="14" t="s">
        <v>533</v>
      </c>
      <c r="R226" s="14" t="s">
        <v>1074</v>
      </c>
    </row>
    <row r="227">
      <c r="A227" s="7"/>
      <c r="B227" s="16"/>
      <c r="C227" s="12"/>
      <c r="D227" s="12"/>
      <c r="E227" s="9"/>
      <c r="F227" s="10"/>
      <c r="G227" s="11"/>
      <c r="H227" s="9"/>
      <c r="I227" s="31"/>
      <c r="J227" s="9"/>
      <c r="K227" s="9"/>
      <c r="L227" s="21" t="s">
        <v>65</v>
      </c>
      <c r="M227" s="30" t="s">
        <v>1073</v>
      </c>
      <c r="N227" s="30" t="s">
        <v>1073</v>
      </c>
      <c r="O227" s="29" t="s">
        <v>1073</v>
      </c>
      <c r="P227" s="14" t="s">
        <v>533</v>
      </c>
      <c r="Q227" s="14" t="s">
        <v>533</v>
      </c>
      <c r="R227" s="14" t="s">
        <v>1074</v>
      </c>
    </row>
    <row r="228">
      <c r="A228" s="7"/>
      <c r="B228" s="16"/>
      <c r="C228" s="12"/>
      <c r="D228" s="12"/>
      <c r="E228" s="9"/>
      <c r="F228" s="10"/>
      <c r="G228" s="11"/>
      <c r="H228" s="9"/>
      <c r="I228" s="31"/>
      <c r="J228" s="9"/>
      <c r="K228" s="9"/>
      <c r="L228" s="21" t="s">
        <v>71</v>
      </c>
      <c r="M228" s="30" t="s">
        <v>1075</v>
      </c>
      <c r="N228" s="30" t="s">
        <v>1073</v>
      </c>
      <c r="O228" s="29" t="s">
        <v>1073</v>
      </c>
      <c r="P228" s="14" t="s">
        <v>562</v>
      </c>
      <c r="Q228" s="14" t="s">
        <v>533</v>
      </c>
      <c r="R228" s="14" t="s">
        <v>1076</v>
      </c>
    </row>
    <row r="229">
      <c r="A229" s="7" t="s">
        <v>153</v>
      </c>
      <c r="B229" s="14" t="s">
        <v>1057</v>
      </c>
      <c r="C229" s="12"/>
      <c r="D229" s="17" t="s">
        <v>1077</v>
      </c>
      <c r="E229" s="9" t="s">
        <v>154</v>
      </c>
      <c r="F229" s="10" t="s">
        <v>155</v>
      </c>
      <c r="G229" s="11">
        <v>2024.0</v>
      </c>
      <c r="H229" s="9" t="s">
        <v>156</v>
      </c>
      <c r="I229" s="29" t="s">
        <v>528</v>
      </c>
      <c r="J229" s="9"/>
      <c r="K229" s="9" t="s">
        <v>152</v>
      </c>
      <c r="L229" s="21" t="s">
        <v>25</v>
      </c>
      <c r="M229" s="30" t="s">
        <v>1078</v>
      </c>
      <c r="N229" s="30" t="s">
        <v>1079</v>
      </c>
      <c r="O229" s="29" t="s">
        <v>1080</v>
      </c>
      <c r="P229" s="14" t="s">
        <v>533</v>
      </c>
      <c r="Q229" s="14" t="s">
        <v>533</v>
      </c>
      <c r="R229" s="16" t="str">
        <f>IF(OR(P229="",Q229=""),"",IF(P229=Q229,"Igual","Diferente"))</f>
        <v>Igual</v>
      </c>
    </row>
    <row r="230">
      <c r="A230" s="7"/>
      <c r="B230" s="16"/>
      <c r="C230" s="12"/>
      <c r="D230" s="12"/>
      <c r="E230" s="9"/>
      <c r="F230" s="10"/>
      <c r="G230" s="11"/>
      <c r="H230" s="9"/>
      <c r="I230" s="31"/>
      <c r="J230" s="9"/>
      <c r="K230" s="9"/>
      <c r="L230" s="21" t="s">
        <v>31</v>
      </c>
      <c r="M230" s="30" t="s">
        <v>1081</v>
      </c>
      <c r="N230" s="30" t="s">
        <v>1082</v>
      </c>
      <c r="O230" s="29" t="s">
        <v>1083</v>
      </c>
      <c r="P230" s="14" t="s">
        <v>533</v>
      </c>
      <c r="Q230" s="14" t="s">
        <v>533</v>
      </c>
      <c r="R230" s="14" t="s">
        <v>1076</v>
      </c>
    </row>
    <row r="231">
      <c r="A231" s="7"/>
      <c r="B231" s="16"/>
      <c r="C231" s="12"/>
      <c r="D231" s="12"/>
      <c r="E231" s="9"/>
      <c r="F231" s="10"/>
      <c r="G231" s="11"/>
      <c r="H231" s="9"/>
      <c r="I231" s="31"/>
      <c r="J231" s="9"/>
      <c r="K231" s="9"/>
      <c r="L231" s="21" t="s">
        <v>36</v>
      </c>
      <c r="M231" s="30" t="s">
        <v>1084</v>
      </c>
      <c r="N231" s="30" t="s">
        <v>1085</v>
      </c>
      <c r="O231" s="29" t="s">
        <v>1086</v>
      </c>
      <c r="P231" s="14" t="s">
        <v>533</v>
      </c>
      <c r="Q231" s="14" t="s">
        <v>562</v>
      </c>
      <c r="R231" s="14" t="s">
        <v>1076</v>
      </c>
    </row>
    <row r="232">
      <c r="A232" s="7"/>
      <c r="B232" s="16"/>
      <c r="C232" s="12"/>
      <c r="D232" s="12"/>
      <c r="E232" s="9"/>
      <c r="F232" s="10"/>
      <c r="G232" s="11"/>
      <c r="H232" s="9"/>
      <c r="I232" s="31"/>
      <c r="J232" s="9"/>
      <c r="K232" s="9"/>
      <c r="L232" s="21" t="s">
        <v>41</v>
      </c>
      <c r="M232" s="30" t="s">
        <v>1087</v>
      </c>
      <c r="N232" s="30" t="s">
        <v>1088</v>
      </c>
      <c r="O232" s="29" t="s">
        <v>1089</v>
      </c>
      <c r="P232" s="14" t="s">
        <v>562</v>
      </c>
      <c r="Q232" s="14" t="s">
        <v>533</v>
      </c>
      <c r="R232" s="14" t="s">
        <v>1076</v>
      </c>
    </row>
    <row r="233">
      <c r="A233" s="7"/>
      <c r="B233" s="16"/>
      <c r="C233" s="12"/>
      <c r="D233" s="12"/>
      <c r="E233" s="9"/>
      <c r="F233" s="10"/>
      <c r="G233" s="11"/>
      <c r="H233" s="9"/>
      <c r="I233" s="31"/>
      <c r="J233" s="9"/>
      <c r="K233" s="9"/>
      <c r="L233" s="21" t="s">
        <v>47</v>
      </c>
      <c r="M233" s="30" t="s">
        <v>1073</v>
      </c>
      <c r="N233" s="30" t="s">
        <v>1090</v>
      </c>
      <c r="O233" s="29" t="s">
        <v>1091</v>
      </c>
      <c r="P233" s="14" t="s">
        <v>562</v>
      </c>
      <c r="Q233" s="14" t="s">
        <v>533</v>
      </c>
      <c r="R233" s="14" t="s">
        <v>1076</v>
      </c>
    </row>
    <row r="234">
      <c r="A234" s="7"/>
      <c r="B234" s="16"/>
      <c r="C234" s="12"/>
      <c r="D234" s="12"/>
      <c r="E234" s="9"/>
      <c r="F234" s="10"/>
      <c r="G234" s="11"/>
      <c r="H234" s="9"/>
      <c r="I234" s="31"/>
      <c r="J234" s="9"/>
      <c r="K234" s="9"/>
      <c r="L234" s="21" t="s">
        <v>53</v>
      </c>
      <c r="M234" s="30" t="s">
        <v>1073</v>
      </c>
      <c r="N234" s="30" t="s">
        <v>1092</v>
      </c>
      <c r="O234" s="29" t="s">
        <v>1073</v>
      </c>
      <c r="P234" s="14" t="s">
        <v>533</v>
      </c>
      <c r="Q234" s="14" t="s">
        <v>533</v>
      </c>
      <c r="R234" s="14" t="s">
        <v>1074</v>
      </c>
    </row>
    <row r="235">
      <c r="A235" s="7"/>
      <c r="B235" s="16"/>
      <c r="C235" s="12"/>
      <c r="D235" s="12"/>
      <c r="E235" s="9"/>
      <c r="F235" s="10"/>
      <c r="G235" s="11"/>
      <c r="H235" s="9"/>
      <c r="I235" s="31"/>
      <c r="J235" s="9"/>
      <c r="K235" s="9"/>
      <c r="L235" s="21" t="s">
        <v>59</v>
      </c>
      <c r="M235" s="30" t="s">
        <v>1093</v>
      </c>
      <c r="N235" s="30" t="s">
        <v>1094</v>
      </c>
      <c r="O235" s="29" t="s">
        <v>1095</v>
      </c>
      <c r="P235" s="14" t="s">
        <v>533</v>
      </c>
      <c r="Q235" s="14" t="s">
        <v>562</v>
      </c>
      <c r="R235" s="14" t="s">
        <v>1076</v>
      </c>
    </row>
    <row r="236">
      <c r="A236" s="7"/>
      <c r="B236" s="16"/>
      <c r="C236" s="12"/>
      <c r="D236" s="12"/>
      <c r="E236" s="9"/>
      <c r="F236" s="10"/>
      <c r="G236" s="11"/>
      <c r="H236" s="9"/>
      <c r="I236" s="31"/>
      <c r="J236" s="9"/>
      <c r="K236" s="9"/>
      <c r="L236" s="21" t="s">
        <v>65</v>
      </c>
      <c r="M236" s="30" t="s">
        <v>1073</v>
      </c>
      <c r="N236" s="30" t="s">
        <v>1096</v>
      </c>
      <c r="O236" s="29" t="s">
        <v>1073</v>
      </c>
      <c r="P236" s="14" t="s">
        <v>533</v>
      </c>
      <c r="Q236" s="14" t="s">
        <v>533</v>
      </c>
      <c r="R236" s="14" t="s">
        <v>1074</v>
      </c>
    </row>
    <row r="237">
      <c r="A237" s="7"/>
      <c r="B237" s="16"/>
      <c r="C237" s="12"/>
      <c r="D237" s="12"/>
      <c r="E237" s="9"/>
      <c r="F237" s="10"/>
      <c r="G237" s="11"/>
      <c r="H237" s="9"/>
      <c r="I237" s="31"/>
      <c r="J237" s="9"/>
      <c r="K237" s="9"/>
      <c r="L237" s="21" t="s">
        <v>71</v>
      </c>
      <c r="M237" s="30" t="s">
        <v>1097</v>
      </c>
      <c r="N237" s="30" t="s">
        <v>1098</v>
      </c>
      <c r="O237" s="29" t="s">
        <v>1099</v>
      </c>
      <c r="P237" s="14" t="s">
        <v>533</v>
      </c>
      <c r="Q237" s="14" t="s">
        <v>533</v>
      </c>
      <c r="R237" s="14" t="s">
        <v>1074</v>
      </c>
    </row>
    <row r="238">
      <c r="A238" s="7" t="s">
        <v>157</v>
      </c>
      <c r="B238" s="14" t="s">
        <v>1057</v>
      </c>
      <c r="C238" s="12"/>
      <c r="D238" s="17" t="s">
        <v>1100</v>
      </c>
      <c r="E238" s="9" t="s">
        <v>158</v>
      </c>
      <c r="F238" s="10" t="s">
        <v>159</v>
      </c>
      <c r="G238" s="11">
        <v>2025.0</v>
      </c>
      <c r="H238" s="9" t="s">
        <v>160</v>
      </c>
      <c r="I238" s="29" t="s">
        <v>1021</v>
      </c>
      <c r="J238" s="9"/>
      <c r="K238" s="9" t="s">
        <v>152</v>
      </c>
      <c r="L238" s="21" t="s">
        <v>25</v>
      </c>
      <c r="M238" s="30" t="s">
        <v>1101</v>
      </c>
      <c r="N238" s="30" t="s">
        <v>1102</v>
      </c>
      <c r="O238" s="29" t="s">
        <v>1103</v>
      </c>
      <c r="P238" s="14" t="s">
        <v>533</v>
      </c>
      <c r="Q238" s="14" t="s">
        <v>533</v>
      </c>
      <c r="R238" s="16" t="str">
        <f>IF(OR(P238="",Q238=""),"",IF(P238=Q238,"Igual","Diferente"))</f>
        <v>Igual</v>
      </c>
    </row>
    <row r="239">
      <c r="A239" s="7"/>
      <c r="B239" s="16"/>
      <c r="C239" s="12"/>
      <c r="D239" s="12"/>
      <c r="E239" s="9"/>
      <c r="F239" s="10"/>
      <c r="G239" s="11"/>
      <c r="H239" s="9"/>
      <c r="I239" s="31"/>
      <c r="J239" s="9"/>
      <c r="K239" s="9"/>
      <c r="L239" s="21" t="s">
        <v>31</v>
      </c>
      <c r="M239" s="30" t="s">
        <v>1104</v>
      </c>
      <c r="N239" s="30" t="s">
        <v>1105</v>
      </c>
      <c r="O239" s="29" t="s">
        <v>1106</v>
      </c>
      <c r="P239" s="14" t="s">
        <v>533</v>
      </c>
      <c r="Q239" s="14" t="s">
        <v>533</v>
      </c>
      <c r="R239" s="14" t="s">
        <v>1074</v>
      </c>
    </row>
    <row r="240">
      <c r="A240" s="7"/>
      <c r="B240" s="16"/>
      <c r="C240" s="12"/>
      <c r="D240" s="12"/>
      <c r="E240" s="9"/>
      <c r="F240" s="10"/>
      <c r="G240" s="11"/>
      <c r="H240" s="9"/>
      <c r="I240" s="31"/>
      <c r="J240" s="9"/>
      <c r="K240" s="9"/>
      <c r="L240" s="21" t="s">
        <v>36</v>
      </c>
      <c r="M240" s="30" t="s">
        <v>1107</v>
      </c>
      <c r="N240" s="30" t="s">
        <v>1108</v>
      </c>
      <c r="O240" s="29" t="s">
        <v>1073</v>
      </c>
      <c r="P240" s="14" t="s">
        <v>533</v>
      </c>
      <c r="Q240" s="14" t="s">
        <v>533</v>
      </c>
      <c r="R240" s="14" t="s">
        <v>1074</v>
      </c>
    </row>
    <row r="241">
      <c r="A241" s="7"/>
      <c r="B241" s="16"/>
      <c r="C241" s="12"/>
      <c r="D241" s="12"/>
      <c r="E241" s="9"/>
      <c r="F241" s="10"/>
      <c r="G241" s="11"/>
      <c r="H241" s="9"/>
      <c r="I241" s="31"/>
      <c r="J241" s="9"/>
      <c r="K241" s="9"/>
      <c r="L241" s="21" t="s">
        <v>41</v>
      </c>
      <c r="M241" s="30" t="s">
        <v>1109</v>
      </c>
      <c r="N241" s="30" t="s">
        <v>1110</v>
      </c>
      <c r="O241" s="29" t="s">
        <v>1111</v>
      </c>
      <c r="P241" s="14" t="s">
        <v>562</v>
      </c>
      <c r="Q241" s="14" t="s">
        <v>533</v>
      </c>
      <c r="R241" s="14" t="s">
        <v>1076</v>
      </c>
    </row>
    <row r="242">
      <c r="A242" s="7"/>
      <c r="B242" s="16"/>
      <c r="C242" s="12"/>
      <c r="D242" s="12"/>
      <c r="E242" s="9"/>
      <c r="F242" s="10"/>
      <c r="G242" s="11"/>
      <c r="H242" s="9"/>
      <c r="I242" s="31"/>
      <c r="J242" s="9"/>
      <c r="K242" s="9"/>
      <c r="L242" s="21" t="s">
        <v>47</v>
      </c>
      <c r="M242" s="30" t="s">
        <v>1112</v>
      </c>
      <c r="N242" s="30" t="s">
        <v>1113</v>
      </c>
      <c r="O242" s="29" t="s">
        <v>1114</v>
      </c>
      <c r="P242" s="14" t="s">
        <v>533</v>
      </c>
      <c r="Q242" s="14" t="s">
        <v>533</v>
      </c>
      <c r="R242" s="14" t="s">
        <v>1074</v>
      </c>
    </row>
    <row r="243">
      <c r="A243" s="7"/>
      <c r="B243" s="16"/>
      <c r="C243" s="12"/>
      <c r="D243" s="12"/>
      <c r="E243" s="9"/>
      <c r="F243" s="10"/>
      <c r="G243" s="11"/>
      <c r="H243" s="9"/>
      <c r="I243" s="31"/>
      <c r="J243" s="9"/>
      <c r="K243" s="9"/>
      <c r="L243" s="21" t="s">
        <v>53</v>
      </c>
      <c r="M243" s="30" t="s">
        <v>1115</v>
      </c>
      <c r="N243" s="30" t="s">
        <v>1116</v>
      </c>
      <c r="O243" s="29" t="s">
        <v>1117</v>
      </c>
      <c r="P243" s="14" t="s">
        <v>533</v>
      </c>
      <c r="Q243" s="14" t="s">
        <v>562</v>
      </c>
      <c r="R243" s="14" t="s">
        <v>1076</v>
      </c>
    </row>
    <row r="244">
      <c r="A244" s="7"/>
      <c r="B244" s="16"/>
      <c r="C244" s="12"/>
      <c r="D244" s="12"/>
      <c r="E244" s="9"/>
      <c r="F244" s="10"/>
      <c r="G244" s="11"/>
      <c r="H244" s="9"/>
      <c r="I244" s="31"/>
      <c r="J244" s="9"/>
      <c r="K244" s="9"/>
      <c r="L244" s="21" t="s">
        <v>59</v>
      </c>
      <c r="M244" s="30" t="s">
        <v>1118</v>
      </c>
      <c r="N244" s="30" t="s">
        <v>1119</v>
      </c>
      <c r="O244" s="29" t="s">
        <v>1120</v>
      </c>
      <c r="P244" s="14" t="s">
        <v>533</v>
      </c>
      <c r="Q244" s="14" t="s">
        <v>533</v>
      </c>
      <c r="R244" s="14" t="s">
        <v>1074</v>
      </c>
    </row>
    <row r="245">
      <c r="A245" s="7"/>
      <c r="B245" s="16"/>
      <c r="C245" s="12"/>
      <c r="D245" s="12"/>
      <c r="E245" s="9"/>
      <c r="F245" s="10"/>
      <c r="G245" s="11"/>
      <c r="H245" s="9"/>
      <c r="I245" s="31"/>
      <c r="J245" s="9"/>
      <c r="K245" s="9"/>
      <c r="L245" s="21" t="s">
        <v>65</v>
      </c>
      <c r="M245" s="30" t="s">
        <v>1121</v>
      </c>
      <c r="N245" s="30" t="s">
        <v>1122</v>
      </c>
      <c r="O245" s="29" t="s">
        <v>1117</v>
      </c>
      <c r="P245" s="14" t="s">
        <v>533</v>
      </c>
      <c r="Q245" s="14" t="s">
        <v>533</v>
      </c>
      <c r="R245" s="14" t="s">
        <v>1074</v>
      </c>
    </row>
    <row r="246">
      <c r="A246" s="7"/>
      <c r="B246" s="16"/>
      <c r="C246" s="12"/>
      <c r="D246" s="12"/>
      <c r="E246" s="9"/>
      <c r="F246" s="10"/>
      <c r="G246" s="11"/>
      <c r="H246" s="9"/>
      <c r="I246" s="31"/>
      <c r="J246" s="9"/>
      <c r="K246" s="9"/>
      <c r="L246" s="21" t="s">
        <v>71</v>
      </c>
      <c r="M246" s="30" t="s">
        <v>1123</v>
      </c>
      <c r="N246" s="30" t="s">
        <v>1124</v>
      </c>
      <c r="O246" s="29" t="s">
        <v>1125</v>
      </c>
      <c r="P246" s="14" t="s">
        <v>533</v>
      </c>
      <c r="Q246" s="14" t="s">
        <v>533</v>
      </c>
      <c r="R246" s="14" t="s">
        <v>1074</v>
      </c>
    </row>
    <row r="247">
      <c r="A247" s="7" t="s">
        <v>161</v>
      </c>
      <c r="B247" s="14" t="s">
        <v>1057</v>
      </c>
      <c r="C247" s="12"/>
      <c r="D247" s="17" t="s">
        <v>1126</v>
      </c>
      <c r="E247" s="9" t="s">
        <v>162</v>
      </c>
      <c r="F247" s="10" t="s">
        <v>163</v>
      </c>
      <c r="G247" s="11">
        <v>2021.0</v>
      </c>
      <c r="H247" s="9" t="s">
        <v>164</v>
      </c>
      <c r="I247" s="29" t="s">
        <v>1021</v>
      </c>
      <c r="J247" s="9"/>
      <c r="K247" s="9" t="s">
        <v>152</v>
      </c>
      <c r="L247" s="21" t="s">
        <v>25</v>
      </c>
      <c r="M247" s="30" t="s">
        <v>1127</v>
      </c>
      <c r="N247" s="30" t="s">
        <v>1128</v>
      </c>
      <c r="O247" s="29" t="s">
        <v>1129</v>
      </c>
      <c r="P247" s="14" t="s">
        <v>533</v>
      </c>
      <c r="Q247" s="14" t="s">
        <v>533</v>
      </c>
      <c r="R247" s="16" t="str">
        <f>IF(OR(P247="",Q247=""),"",IF(P247=Q247,"Igual","Diferente"))</f>
        <v>Igual</v>
      </c>
    </row>
    <row r="248">
      <c r="A248" s="7"/>
      <c r="B248" s="16"/>
      <c r="C248" s="12"/>
      <c r="D248" s="12"/>
      <c r="E248" s="9"/>
      <c r="F248" s="10"/>
      <c r="G248" s="11"/>
      <c r="H248" s="9"/>
      <c r="I248" s="31"/>
      <c r="J248" s="9"/>
      <c r="K248" s="9"/>
      <c r="L248" s="21" t="s">
        <v>31</v>
      </c>
      <c r="M248" s="30" t="s">
        <v>1130</v>
      </c>
      <c r="N248" s="30" t="s">
        <v>1131</v>
      </c>
      <c r="O248" s="29" t="s">
        <v>1132</v>
      </c>
      <c r="P248" s="14" t="s">
        <v>533</v>
      </c>
      <c r="Q248" s="14" t="s">
        <v>533</v>
      </c>
      <c r="R248" s="14" t="s">
        <v>1074</v>
      </c>
    </row>
    <row r="249">
      <c r="A249" s="7"/>
      <c r="B249" s="16"/>
      <c r="C249" s="12"/>
      <c r="D249" s="12"/>
      <c r="E249" s="9"/>
      <c r="F249" s="10"/>
      <c r="G249" s="11"/>
      <c r="H249" s="9"/>
      <c r="I249" s="31"/>
      <c r="J249" s="9"/>
      <c r="K249" s="9"/>
      <c r="L249" s="21" t="s">
        <v>36</v>
      </c>
      <c r="M249" s="30" t="s">
        <v>1133</v>
      </c>
      <c r="N249" s="30" t="s">
        <v>1134</v>
      </c>
      <c r="O249" s="29" t="s">
        <v>1135</v>
      </c>
      <c r="P249" s="14" t="s">
        <v>533</v>
      </c>
      <c r="Q249" s="14" t="s">
        <v>533</v>
      </c>
      <c r="R249" s="14" t="s">
        <v>1074</v>
      </c>
    </row>
    <row r="250">
      <c r="A250" s="7"/>
      <c r="B250" s="16"/>
      <c r="C250" s="12"/>
      <c r="D250" s="12"/>
      <c r="E250" s="9"/>
      <c r="F250" s="10"/>
      <c r="G250" s="11"/>
      <c r="H250" s="9"/>
      <c r="I250" s="31"/>
      <c r="J250" s="9"/>
      <c r="K250" s="9"/>
      <c r="L250" s="21" t="s">
        <v>41</v>
      </c>
      <c r="M250" s="30" t="s">
        <v>1136</v>
      </c>
      <c r="N250" s="30" t="s">
        <v>1137</v>
      </c>
      <c r="O250" s="29" t="s">
        <v>1138</v>
      </c>
      <c r="P250" s="14" t="s">
        <v>533</v>
      </c>
      <c r="Q250" s="14" t="s">
        <v>533</v>
      </c>
      <c r="R250" s="14" t="s">
        <v>1074</v>
      </c>
    </row>
    <row r="251">
      <c r="A251" s="7"/>
      <c r="B251" s="16"/>
      <c r="C251" s="12"/>
      <c r="D251" s="12"/>
      <c r="E251" s="9"/>
      <c r="F251" s="10"/>
      <c r="G251" s="11"/>
      <c r="H251" s="9"/>
      <c r="I251" s="31"/>
      <c r="J251" s="9"/>
      <c r="K251" s="9"/>
      <c r="L251" s="21" t="s">
        <v>47</v>
      </c>
      <c r="M251" s="30" t="s">
        <v>1139</v>
      </c>
      <c r="N251" s="30" t="s">
        <v>1140</v>
      </c>
      <c r="O251" s="29" t="s">
        <v>1135</v>
      </c>
      <c r="P251" s="14" t="s">
        <v>562</v>
      </c>
      <c r="Q251" s="14" t="s">
        <v>533</v>
      </c>
      <c r="R251" s="14" t="s">
        <v>1076</v>
      </c>
    </row>
    <row r="252">
      <c r="A252" s="7"/>
      <c r="B252" s="16"/>
      <c r="C252" s="12"/>
      <c r="D252" s="12"/>
      <c r="E252" s="9"/>
      <c r="F252" s="10"/>
      <c r="G252" s="11"/>
      <c r="H252" s="9"/>
      <c r="I252" s="31"/>
      <c r="J252" s="9"/>
      <c r="K252" s="9"/>
      <c r="L252" s="21" t="s">
        <v>53</v>
      </c>
      <c r="M252" s="30" t="s">
        <v>1141</v>
      </c>
      <c r="N252" s="30" t="s">
        <v>1142</v>
      </c>
      <c r="O252" s="29" t="s">
        <v>1135</v>
      </c>
      <c r="P252" s="14" t="s">
        <v>533</v>
      </c>
      <c r="Q252" s="14" t="s">
        <v>533</v>
      </c>
      <c r="R252" s="14" t="s">
        <v>1074</v>
      </c>
    </row>
    <row r="253">
      <c r="A253" s="7"/>
      <c r="B253" s="16"/>
      <c r="C253" s="12"/>
      <c r="D253" s="12"/>
      <c r="E253" s="9"/>
      <c r="F253" s="10"/>
      <c r="G253" s="11"/>
      <c r="H253" s="9"/>
      <c r="I253" s="31"/>
      <c r="J253" s="9"/>
      <c r="K253" s="9"/>
      <c r="L253" s="21" t="s">
        <v>59</v>
      </c>
      <c r="M253" s="30" t="s">
        <v>1143</v>
      </c>
      <c r="N253" s="30" t="s">
        <v>1144</v>
      </c>
      <c r="O253" s="29" t="s">
        <v>1145</v>
      </c>
      <c r="P253" s="14" t="s">
        <v>542</v>
      </c>
      <c r="Q253" s="14" t="s">
        <v>533</v>
      </c>
      <c r="R253" s="14" t="s">
        <v>1076</v>
      </c>
    </row>
    <row r="254">
      <c r="A254" s="7"/>
      <c r="B254" s="16"/>
      <c r="C254" s="12"/>
      <c r="D254" s="12"/>
      <c r="E254" s="9"/>
      <c r="F254" s="10"/>
      <c r="G254" s="11"/>
      <c r="H254" s="9"/>
      <c r="I254" s="31"/>
      <c r="J254" s="9"/>
      <c r="K254" s="9"/>
      <c r="L254" s="21" t="s">
        <v>65</v>
      </c>
      <c r="M254" s="30" t="s">
        <v>1146</v>
      </c>
      <c r="N254" s="30" t="s">
        <v>1147</v>
      </c>
      <c r="O254" s="29" t="s">
        <v>1135</v>
      </c>
      <c r="P254" s="14" t="s">
        <v>533</v>
      </c>
      <c r="Q254" s="14" t="s">
        <v>533</v>
      </c>
      <c r="R254" s="14" t="s">
        <v>1074</v>
      </c>
    </row>
    <row r="255">
      <c r="A255" s="7"/>
      <c r="B255" s="16"/>
      <c r="C255" s="12"/>
      <c r="D255" s="12"/>
      <c r="E255" s="9"/>
      <c r="F255" s="10"/>
      <c r="G255" s="11"/>
      <c r="H255" s="9"/>
      <c r="I255" s="31"/>
      <c r="J255" s="9"/>
      <c r="K255" s="9"/>
      <c r="L255" s="21" t="s">
        <v>71</v>
      </c>
      <c r="M255" s="30" t="s">
        <v>1148</v>
      </c>
      <c r="N255" s="30" t="s">
        <v>1149</v>
      </c>
      <c r="O255" s="29" t="s">
        <v>1135</v>
      </c>
      <c r="P255" s="14" t="s">
        <v>562</v>
      </c>
      <c r="Q255" s="14" t="s">
        <v>533</v>
      </c>
      <c r="R255" s="14" t="s">
        <v>1076</v>
      </c>
    </row>
    <row r="256">
      <c r="A256" s="7" t="s">
        <v>165</v>
      </c>
      <c r="B256" s="14" t="s">
        <v>1057</v>
      </c>
      <c r="C256" s="12"/>
      <c r="D256" s="17" t="s">
        <v>1150</v>
      </c>
      <c r="E256" s="9" t="s">
        <v>166</v>
      </c>
      <c r="F256" s="10" t="s">
        <v>167</v>
      </c>
      <c r="G256" s="11">
        <v>2025.0</v>
      </c>
      <c r="H256" s="9" t="s">
        <v>168</v>
      </c>
      <c r="I256" s="29" t="s">
        <v>1021</v>
      </c>
      <c r="J256" s="9"/>
      <c r="K256" s="9" t="s">
        <v>152</v>
      </c>
      <c r="L256" s="21" t="s">
        <v>25</v>
      </c>
      <c r="M256" s="30" t="s">
        <v>1151</v>
      </c>
      <c r="N256" s="30" t="s">
        <v>1152</v>
      </c>
      <c r="O256" s="29" t="s">
        <v>1129</v>
      </c>
      <c r="P256" s="14" t="s">
        <v>533</v>
      </c>
      <c r="Q256" s="14" t="s">
        <v>533</v>
      </c>
      <c r="R256" s="16" t="str">
        <f>IF(OR(P256="",Q256=""),"",IF(P256=Q256,"Igual","Diferente"))</f>
        <v>Igual</v>
      </c>
    </row>
    <row r="257">
      <c r="A257" s="7"/>
      <c r="B257" s="16"/>
      <c r="C257" s="12"/>
      <c r="D257" s="12"/>
      <c r="E257" s="9"/>
      <c r="F257" s="10"/>
      <c r="G257" s="11"/>
      <c r="H257" s="9"/>
      <c r="I257" s="31"/>
      <c r="J257" s="9"/>
      <c r="K257" s="9"/>
      <c r="L257" s="21" t="s">
        <v>31</v>
      </c>
      <c r="M257" s="30" t="s">
        <v>1153</v>
      </c>
      <c r="N257" s="30" t="s">
        <v>1154</v>
      </c>
      <c r="O257" s="29" t="s">
        <v>1155</v>
      </c>
      <c r="P257" s="14" t="s">
        <v>533</v>
      </c>
      <c r="Q257" s="14" t="s">
        <v>533</v>
      </c>
      <c r="R257" s="14" t="s">
        <v>1074</v>
      </c>
    </row>
    <row r="258">
      <c r="A258" s="7"/>
      <c r="B258" s="16"/>
      <c r="C258" s="12"/>
      <c r="D258" s="12"/>
      <c r="E258" s="9"/>
      <c r="F258" s="10"/>
      <c r="G258" s="11"/>
      <c r="H258" s="9"/>
      <c r="I258" s="31"/>
      <c r="J258" s="9"/>
      <c r="K258" s="9"/>
      <c r="L258" s="21" t="s">
        <v>36</v>
      </c>
      <c r="M258" s="30" t="s">
        <v>1156</v>
      </c>
      <c r="N258" s="30" t="s">
        <v>1157</v>
      </c>
      <c r="O258" s="29" t="s">
        <v>1158</v>
      </c>
      <c r="P258" s="14" t="s">
        <v>533</v>
      </c>
      <c r="Q258" s="14" t="s">
        <v>533</v>
      </c>
      <c r="R258" s="14" t="s">
        <v>1074</v>
      </c>
    </row>
    <row r="259">
      <c r="A259" s="7"/>
      <c r="B259" s="16"/>
      <c r="C259" s="12"/>
      <c r="D259" s="12"/>
      <c r="E259" s="9"/>
      <c r="F259" s="10"/>
      <c r="G259" s="11"/>
      <c r="H259" s="9"/>
      <c r="I259" s="31"/>
      <c r="J259" s="9"/>
      <c r="K259" s="9"/>
      <c r="L259" s="21" t="s">
        <v>41</v>
      </c>
      <c r="M259" s="30" t="s">
        <v>1159</v>
      </c>
      <c r="N259" s="30" t="s">
        <v>1160</v>
      </c>
      <c r="O259" s="29" t="s">
        <v>1161</v>
      </c>
      <c r="P259" s="14" t="s">
        <v>542</v>
      </c>
      <c r="Q259" s="14" t="s">
        <v>533</v>
      </c>
      <c r="R259" s="14" t="s">
        <v>1076</v>
      </c>
    </row>
    <row r="260">
      <c r="A260" s="7"/>
      <c r="B260" s="16"/>
      <c r="C260" s="12"/>
      <c r="D260" s="12"/>
      <c r="E260" s="9"/>
      <c r="F260" s="10"/>
      <c r="G260" s="11"/>
      <c r="H260" s="9"/>
      <c r="I260" s="31"/>
      <c r="J260" s="9"/>
      <c r="K260" s="9"/>
      <c r="L260" s="21" t="s">
        <v>47</v>
      </c>
      <c r="M260" s="30" t="s">
        <v>1162</v>
      </c>
      <c r="N260" s="30" t="s">
        <v>1163</v>
      </c>
      <c r="O260" s="29" t="s">
        <v>1164</v>
      </c>
      <c r="P260" s="14" t="s">
        <v>533</v>
      </c>
      <c r="Q260" s="14" t="s">
        <v>533</v>
      </c>
      <c r="R260" s="14" t="s">
        <v>1074</v>
      </c>
    </row>
    <row r="261">
      <c r="A261" s="7"/>
      <c r="B261" s="16"/>
      <c r="C261" s="12"/>
      <c r="D261" s="12"/>
      <c r="E261" s="9"/>
      <c r="F261" s="12"/>
      <c r="G261" s="11"/>
      <c r="H261" s="9"/>
      <c r="I261" s="31"/>
      <c r="J261" s="9"/>
      <c r="K261" s="9"/>
      <c r="L261" s="21" t="s">
        <v>53</v>
      </c>
      <c r="M261" s="30" t="s">
        <v>1165</v>
      </c>
      <c r="N261" s="30" t="s">
        <v>1166</v>
      </c>
      <c r="O261" s="29" t="s">
        <v>1135</v>
      </c>
      <c r="P261" s="14" t="s">
        <v>533</v>
      </c>
      <c r="Q261" s="14" t="s">
        <v>533</v>
      </c>
      <c r="R261" s="14" t="s">
        <v>1074</v>
      </c>
    </row>
    <row r="262">
      <c r="A262" s="7"/>
      <c r="B262" s="16"/>
      <c r="C262" s="12"/>
      <c r="D262" s="12"/>
      <c r="E262" s="9"/>
      <c r="F262" s="10"/>
      <c r="G262" s="10"/>
      <c r="H262" s="9"/>
      <c r="I262" s="31"/>
      <c r="J262" s="9"/>
      <c r="K262" s="9"/>
      <c r="L262" s="21" t="s">
        <v>59</v>
      </c>
      <c r="M262" s="30" t="s">
        <v>1167</v>
      </c>
      <c r="N262" s="30" t="s">
        <v>1168</v>
      </c>
      <c r="O262" s="29" t="s">
        <v>1135</v>
      </c>
      <c r="P262" s="14" t="s">
        <v>533</v>
      </c>
      <c r="Q262" s="14" t="s">
        <v>542</v>
      </c>
      <c r="R262" s="14" t="s">
        <v>1076</v>
      </c>
    </row>
    <row r="263">
      <c r="A263" s="7"/>
      <c r="B263" s="16"/>
      <c r="C263" s="12"/>
      <c r="D263" s="12"/>
      <c r="E263" s="9"/>
      <c r="F263" s="10"/>
      <c r="G263" s="11"/>
      <c r="H263" s="9"/>
      <c r="I263" s="31"/>
      <c r="J263" s="9"/>
      <c r="K263" s="9"/>
      <c r="L263" s="21" t="s">
        <v>65</v>
      </c>
      <c r="M263" s="30" t="s">
        <v>1073</v>
      </c>
      <c r="N263" s="30" t="s">
        <v>1169</v>
      </c>
      <c r="O263" s="29" t="s">
        <v>1135</v>
      </c>
      <c r="P263" s="14" t="s">
        <v>533</v>
      </c>
      <c r="Q263" s="14" t="s">
        <v>533</v>
      </c>
      <c r="R263" s="14" t="s">
        <v>1074</v>
      </c>
    </row>
    <row r="264">
      <c r="A264" s="7"/>
      <c r="B264" s="16"/>
      <c r="C264" s="12"/>
      <c r="D264" s="12"/>
      <c r="E264" s="9"/>
      <c r="F264" s="10"/>
      <c r="G264" s="11"/>
      <c r="H264" s="9"/>
      <c r="I264" s="31"/>
      <c r="J264" s="9"/>
      <c r="K264" s="9"/>
      <c r="L264" s="21" t="s">
        <v>71</v>
      </c>
      <c r="M264" s="30" t="s">
        <v>1170</v>
      </c>
      <c r="N264" s="30" t="s">
        <v>1171</v>
      </c>
      <c r="O264" s="29" t="s">
        <v>1172</v>
      </c>
      <c r="P264" s="14" t="s">
        <v>533</v>
      </c>
      <c r="Q264" s="14" t="s">
        <v>562</v>
      </c>
      <c r="R264" s="14" t="s">
        <v>1076</v>
      </c>
    </row>
    <row r="265">
      <c r="A265" s="7" t="s">
        <v>169</v>
      </c>
      <c r="B265" s="14" t="s">
        <v>1057</v>
      </c>
      <c r="C265" s="12"/>
      <c r="D265" s="17" t="s">
        <v>1173</v>
      </c>
      <c r="E265" s="9" t="s">
        <v>170</v>
      </c>
      <c r="F265" s="33" t="s">
        <v>171</v>
      </c>
      <c r="G265" s="11">
        <v>2025.0</v>
      </c>
      <c r="H265" s="9" t="s">
        <v>172</v>
      </c>
      <c r="I265" s="29" t="s">
        <v>680</v>
      </c>
      <c r="J265" s="9"/>
      <c r="K265" s="9" t="s">
        <v>152</v>
      </c>
      <c r="L265" s="21" t="s">
        <v>25</v>
      </c>
      <c r="M265" s="30" t="s">
        <v>1174</v>
      </c>
      <c r="N265" s="30" t="s">
        <v>1175</v>
      </c>
      <c r="O265" s="29" t="s">
        <v>1129</v>
      </c>
      <c r="P265" s="14" t="s">
        <v>533</v>
      </c>
      <c r="Q265" s="14" t="s">
        <v>533</v>
      </c>
      <c r="R265" s="16" t="str">
        <f>IF(OR(P265="",Q265=""),"",IF(P265=Q265,"Igual","Diferente"))</f>
        <v>Igual</v>
      </c>
    </row>
    <row r="266">
      <c r="A266" s="7"/>
      <c r="B266" s="16"/>
      <c r="C266" s="12"/>
      <c r="D266" s="12"/>
      <c r="E266" s="9"/>
      <c r="F266" s="10"/>
      <c r="G266" s="11"/>
      <c r="H266" s="9"/>
      <c r="I266" s="31"/>
      <c r="J266" s="9"/>
      <c r="K266" s="9"/>
      <c r="L266" s="21" t="s">
        <v>31</v>
      </c>
      <c r="M266" s="30" t="s">
        <v>1176</v>
      </c>
      <c r="N266" s="30" t="s">
        <v>1177</v>
      </c>
      <c r="O266" s="29" t="s">
        <v>2156</v>
      </c>
      <c r="P266" s="14" t="s">
        <v>562</v>
      </c>
      <c r="Q266" s="14" t="s">
        <v>562</v>
      </c>
      <c r="R266" s="14" t="s">
        <v>1074</v>
      </c>
    </row>
    <row r="267">
      <c r="A267" s="7"/>
      <c r="B267" s="16"/>
      <c r="C267" s="12"/>
      <c r="D267" s="12"/>
      <c r="E267" s="9"/>
      <c r="F267" s="10"/>
      <c r="G267" s="11"/>
      <c r="H267" s="9"/>
      <c r="I267" s="31"/>
      <c r="J267" s="9"/>
      <c r="K267" s="9"/>
      <c r="L267" s="21" t="s">
        <v>36</v>
      </c>
      <c r="M267" s="30" t="s">
        <v>1179</v>
      </c>
      <c r="N267" s="30" t="s">
        <v>1180</v>
      </c>
      <c r="O267" s="29" t="s">
        <v>1181</v>
      </c>
      <c r="P267" s="14" t="s">
        <v>533</v>
      </c>
      <c r="Q267" s="14" t="s">
        <v>533</v>
      </c>
      <c r="R267" s="14" t="s">
        <v>1074</v>
      </c>
    </row>
    <row r="268">
      <c r="A268" s="7"/>
      <c r="B268" s="16"/>
      <c r="C268" s="12"/>
      <c r="D268" s="12"/>
      <c r="E268" s="9"/>
      <c r="F268" s="10"/>
      <c r="G268" s="11"/>
      <c r="H268" s="9"/>
      <c r="I268" s="31"/>
      <c r="J268" s="9"/>
      <c r="K268" s="9"/>
      <c r="L268" s="21" t="s">
        <v>41</v>
      </c>
      <c r="M268" s="30" t="s">
        <v>1182</v>
      </c>
      <c r="N268" s="30" t="s">
        <v>1183</v>
      </c>
      <c r="O268" s="29" t="s">
        <v>1184</v>
      </c>
      <c r="P268" s="14" t="s">
        <v>562</v>
      </c>
      <c r="Q268" s="14" t="s">
        <v>562</v>
      </c>
      <c r="R268" s="14" t="s">
        <v>1074</v>
      </c>
    </row>
    <row r="269">
      <c r="A269" s="7"/>
      <c r="B269" s="16"/>
      <c r="C269" s="12"/>
      <c r="D269" s="12"/>
      <c r="E269" s="9"/>
      <c r="F269" s="10"/>
      <c r="G269" s="11"/>
      <c r="H269" s="9"/>
      <c r="I269" s="31"/>
      <c r="J269" s="9"/>
      <c r="K269" s="9"/>
      <c r="L269" s="21" t="s">
        <v>47</v>
      </c>
      <c r="M269" s="30" t="s">
        <v>1185</v>
      </c>
      <c r="N269" s="30" t="s">
        <v>1186</v>
      </c>
      <c r="O269" s="29" t="s">
        <v>1187</v>
      </c>
      <c r="P269" s="14" t="s">
        <v>533</v>
      </c>
      <c r="Q269" s="14" t="s">
        <v>562</v>
      </c>
      <c r="R269" s="14" t="s">
        <v>1076</v>
      </c>
    </row>
    <row r="270">
      <c r="A270" s="7"/>
      <c r="B270" s="16"/>
      <c r="C270" s="12"/>
      <c r="D270" s="12"/>
      <c r="E270" s="9"/>
      <c r="F270" s="10"/>
      <c r="G270" s="11"/>
      <c r="H270" s="9"/>
      <c r="I270" s="31"/>
      <c r="J270" s="9"/>
      <c r="K270" s="9"/>
      <c r="L270" s="21" t="s">
        <v>53</v>
      </c>
      <c r="M270" s="30" t="s">
        <v>1188</v>
      </c>
      <c r="N270" s="30" t="s">
        <v>1189</v>
      </c>
      <c r="O270" s="29" t="s">
        <v>1135</v>
      </c>
      <c r="P270" s="14" t="s">
        <v>533</v>
      </c>
      <c r="Q270" s="14" t="s">
        <v>533</v>
      </c>
      <c r="R270" s="14" t="s">
        <v>1074</v>
      </c>
    </row>
    <row r="271">
      <c r="A271" s="7"/>
      <c r="B271" s="16"/>
      <c r="C271" s="12"/>
      <c r="D271" s="12"/>
      <c r="E271" s="9"/>
      <c r="F271" s="10"/>
      <c r="G271" s="11"/>
      <c r="H271" s="9"/>
      <c r="I271" s="31"/>
      <c r="J271" s="9"/>
      <c r="K271" s="9"/>
      <c r="L271" s="21" t="s">
        <v>59</v>
      </c>
      <c r="M271" s="30" t="s">
        <v>1190</v>
      </c>
      <c r="N271" s="30" t="s">
        <v>1191</v>
      </c>
      <c r="O271" s="29" t="s">
        <v>1192</v>
      </c>
      <c r="P271" s="14" t="s">
        <v>533</v>
      </c>
      <c r="Q271" s="14" t="s">
        <v>533</v>
      </c>
      <c r="R271" s="14" t="s">
        <v>1074</v>
      </c>
    </row>
    <row r="272">
      <c r="A272" s="7"/>
      <c r="B272" s="16"/>
      <c r="C272" s="12"/>
      <c r="D272" s="12"/>
      <c r="E272" s="9"/>
      <c r="F272" s="10"/>
      <c r="G272" s="11"/>
      <c r="H272" s="9"/>
      <c r="I272" s="31"/>
      <c r="J272" s="9"/>
      <c r="K272" s="9"/>
      <c r="L272" s="21" t="s">
        <v>65</v>
      </c>
      <c r="M272" s="30" t="s">
        <v>1193</v>
      </c>
      <c r="N272" s="30" t="s">
        <v>1194</v>
      </c>
      <c r="O272" s="29" t="s">
        <v>1135</v>
      </c>
      <c r="P272" s="14" t="s">
        <v>533</v>
      </c>
      <c r="Q272" s="14" t="s">
        <v>533</v>
      </c>
      <c r="R272" s="14" t="s">
        <v>1074</v>
      </c>
    </row>
    <row r="273">
      <c r="A273" s="7"/>
      <c r="B273" s="16"/>
      <c r="C273" s="12"/>
      <c r="D273" s="12"/>
      <c r="E273" s="9"/>
      <c r="F273" s="10"/>
      <c r="G273" s="11"/>
      <c r="H273" s="9"/>
      <c r="I273" s="31"/>
      <c r="J273" s="9"/>
      <c r="K273" s="9"/>
      <c r="L273" s="21" t="s">
        <v>71</v>
      </c>
      <c r="M273" s="30" t="s">
        <v>1195</v>
      </c>
      <c r="N273" s="30" t="s">
        <v>1196</v>
      </c>
      <c r="O273" s="29" t="s">
        <v>1197</v>
      </c>
      <c r="P273" s="14" t="s">
        <v>533</v>
      </c>
      <c r="Q273" s="14" t="s">
        <v>562</v>
      </c>
      <c r="R273" s="14" t="s">
        <v>1076</v>
      </c>
    </row>
    <row r="274">
      <c r="A274" s="7" t="s">
        <v>176</v>
      </c>
      <c r="B274" s="14" t="s">
        <v>1057</v>
      </c>
      <c r="C274" s="12"/>
      <c r="D274" s="17" t="s">
        <v>1223</v>
      </c>
      <c r="E274" s="9" t="s">
        <v>177</v>
      </c>
      <c r="F274" s="10" t="s">
        <v>178</v>
      </c>
      <c r="G274" s="11">
        <v>2024.0</v>
      </c>
      <c r="H274" s="9" t="s">
        <v>179</v>
      </c>
      <c r="I274" s="29" t="s">
        <v>528</v>
      </c>
      <c r="J274" s="9"/>
      <c r="K274" s="9" t="s">
        <v>152</v>
      </c>
      <c r="L274" s="21" t="s">
        <v>25</v>
      </c>
      <c r="M274" s="30" t="s">
        <v>1224</v>
      </c>
      <c r="N274" s="30" t="s">
        <v>1225</v>
      </c>
      <c r="O274" s="29" t="s">
        <v>1129</v>
      </c>
      <c r="P274" s="14" t="s">
        <v>533</v>
      </c>
      <c r="Q274" s="14" t="s">
        <v>533</v>
      </c>
      <c r="R274" s="16" t="str">
        <f>IF(OR(P274="",Q274=""),"",IF(P274=Q274,"Igual","Diferente"))</f>
        <v>Igual</v>
      </c>
    </row>
    <row r="275">
      <c r="A275" s="7"/>
      <c r="B275" s="16"/>
      <c r="C275" s="12"/>
      <c r="D275" s="12"/>
      <c r="E275" s="9"/>
      <c r="F275" s="10"/>
      <c r="G275" s="11"/>
      <c r="H275" s="9"/>
      <c r="I275" s="31"/>
      <c r="J275" s="9"/>
      <c r="K275" s="9"/>
      <c r="L275" s="21" t="s">
        <v>31</v>
      </c>
      <c r="M275" s="30" t="s">
        <v>1226</v>
      </c>
      <c r="N275" s="30" t="s">
        <v>1227</v>
      </c>
      <c r="O275" s="29" t="s">
        <v>1241</v>
      </c>
      <c r="P275" s="14" t="s">
        <v>562</v>
      </c>
      <c r="Q275" s="14" t="s">
        <v>562</v>
      </c>
      <c r="R275" s="14" t="s">
        <v>1074</v>
      </c>
    </row>
    <row r="276">
      <c r="A276" s="7"/>
      <c r="B276" s="16"/>
      <c r="C276" s="12"/>
      <c r="D276" s="12"/>
      <c r="E276" s="9"/>
      <c r="F276" s="10"/>
      <c r="G276" s="11"/>
      <c r="H276" s="9"/>
      <c r="I276" s="31"/>
      <c r="J276" s="9"/>
      <c r="K276" s="9"/>
      <c r="L276" s="21" t="s">
        <v>36</v>
      </c>
      <c r="M276" s="30" t="s">
        <v>1229</v>
      </c>
      <c r="N276" s="30" t="s">
        <v>1230</v>
      </c>
      <c r="O276" s="29" t="s">
        <v>1231</v>
      </c>
      <c r="P276" s="14" t="s">
        <v>533</v>
      </c>
      <c r="Q276" s="14" t="s">
        <v>533</v>
      </c>
      <c r="R276" s="14" t="s">
        <v>1074</v>
      </c>
    </row>
    <row r="277">
      <c r="A277" s="7"/>
      <c r="B277" s="16"/>
      <c r="C277" s="12"/>
      <c r="D277" s="12"/>
      <c r="E277" s="9"/>
      <c r="F277" s="10"/>
      <c r="G277" s="11"/>
      <c r="H277" s="9"/>
      <c r="I277" s="31"/>
      <c r="J277" s="9"/>
      <c r="K277" s="9"/>
      <c r="L277" s="21" t="s">
        <v>41</v>
      </c>
      <c r="M277" s="30" t="s">
        <v>1232</v>
      </c>
      <c r="N277" s="30" t="s">
        <v>1233</v>
      </c>
      <c r="O277" s="29" t="s">
        <v>1234</v>
      </c>
      <c r="P277" s="14" t="s">
        <v>533</v>
      </c>
      <c r="Q277" s="14" t="s">
        <v>533</v>
      </c>
      <c r="R277" s="14" t="s">
        <v>1074</v>
      </c>
    </row>
    <row r="278">
      <c r="A278" s="7"/>
      <c r="B278" s="16"/>
      <c r="C278" s="12"/>
      <c r="D278" s="12"/>
      <c r="E278" s="9"/>
      <c r="F278" s="10"/>
      <c r="G278" s="11"/>
      <c r="H278" s="9"/>
      <c r="I278" s="31"/>
      <c r="J278" s="9"/>
      <c r="K278" s="9"/>
      <c r="L278" s="21" t="s">
        <v>47</v>
      </c>
      <c r="M278" s="30" t="s">
        <v>1073</v>
      </c>
      <c r="N278" s="30" t="s">
        <v>1235</v>
      </c>
      <c r="O278" s="29" t="s">
        <v>1135</v>
      </c>
      <c r="P278" s="14" t="s">
        <v>533</v>
      </c>
      <c r="Q278" s="14" t="s">
        <v>533</v>
      </c>
      <c r="R278" s="14" t="s">
        <v>1074</v>
      </c>
    </row>
    <row r="279">
      <c r="A279" s="7"/>
      <c r="B279" s="16"/>
      <c r="C279" s="12"/>
      <c r="D279" s="12"/>
      <c r="E279" s="9"/>
      <c r="F279" s="10"/>
      <c r="G279" s="11"/>
      <c r="H279" s="9"/>
      <c r="I279" s="31"/>
      <c r="J279" s="9"/>
      <c r="K279" s="9"/>
      <c r="L279" s="21" t="s">
        <v>53</v>
      </c>
      <c r="M279" s="30" t="s">
        <v>1073</v>
      </c>
      <c r="N279" s="30" t="s">
        <v>1236</v>
      </c>
      <c r="O279" s="29" t="s">
        <v>1135</v>
      </c>
      <c r="P279" s="14" t="s">
        <v>533</v>
      </c>
      <c r="Q279" s="14" t="s">
        <v>533</v>
      </c>
      <c r="R279" s="14" t="s">
        <v>1074</v>
      </c>
    </row>
    <row r="280">
      <c r="A280" s="7"/>
      <c r="B280" s="16"/>
      <c r="C280" s="12"/>
      <c r="D280" s="12"/>
      <c r="E280" s="9"/>
      <c r="F280" s="10"/>
      <c r="G280" s="11"/>
      <c r="H280" s="9"/>
      <c r="I280" s="31"/>
      <c r="J280" s="9"/>
      <c r="K280" s="9"/>
      <c r="L280" s="21" t="s">
        <v>59</v>
      </c>
      <c r="M280" s="30" t="s">
        <v>1237</v>
      </c>
      <c r="N280" s="30" t="s">
        <v>1238</v>
      </c>
      <c r="O280" s="29" t="s">
        <v>1239</v>
      </c>
      <c r="P280" s="14" t="s">
        <v>533</v>
      </c>
      <c r="Q280" s="14" t="s">
        <v>533</v>
      </c>
      <c r="R280" s="14" t="s">
        <v>1074</v>
      </c>
    </row>
    <row r="281">
      <c r="A281" s="7"/>
      <c r="B281" s="16"/>
      <c r="C281" s="12"/>
      <c r="D281" s="12"/>
      <c r="E281" s="9"/>
      <c r="F281" s="10"/>
      <c r="G281" s="11"/>
      <c r="H281" s="9"/>
      <c r="I281" s="31"/>
      <c r="J281" s="9"/>
      <c r="K281" s="9"/>
      <c r="L281" s="21" t="s">
        <v>65</v>
      </c>
      <c r="M281" s="30" t="s">
        <v>1073</v>
      </c>
      <c r="N281" s="30" t="s">
        <v>1240</v>
      </c>
      <c r="O281" s="29" t="s">
        <v>1241</v>
      </c>
      <c r="P281" s="14" t="s">
        <v>533</v>
      </c>
      <c r="Q281" s="14" t="s">
        <v>533</v>
      </c>
      <c r="R281" s="14" t="s">
        <v>1074</v>
      </c>
    </row>
    <row r="282">
      <c r="A282" s="7"/>
      <c r="B282" s="16"/>
      <c r="C282" s="12"/>
      <c r="D282" s="12"/>
      <c r="E282" s="9"/>
      <c r="F282" s="10"/>
      <c r="G282" s="11"/>
      <c r="H282" s="9"/>
      <c r="I282" s="31"/>
      <c r="J282" s="9"/>
      <c r="K282" s="9"/>
      <c r="L282" s="21" t="s">
        <v>71</v>
      </c>
      <c r="M282" s="30" t="s">
        <v>1242</v>
      </c>
      <c r="N282" s="30" t="s">
        <v>1243</v>
      </c>
      <c r="O282" s="29" t="s">
        <v>1135</v>
      </c>
      <c r="P282" s="14" t="s">
        <v>562</v>
      </c>
      <c r="Q282" s="14" t="s">
        <v>533</v>
      </c>
      <c r="R282" s="14" t="s">
        <v>1076</v>
      </c>
    </row>
    <row r="283">
      <c r="A283" s="7" t="s">
        <v>183</v>
      </c>
      <c r="B283" s="14" t="s">
        <v>20</v>
      </c>
      <c r="C283" s="12"/>
      <c r="D283" s="17" t="s">
        <v>1260</v>
      </c>
      <c r="E283" s="9" t="s">
        <v>184</v>
      </c>
      <c r="F283" s="10" t="s">
        <v>185</v>
      </c>
      <c r="G283" s="11">
        <v>2025.0</v>
      </c>
      <c r="H283" s="9" t="s">
        <v>186</v>
      </c>
      <c r="I283" s="29" t="s">
        <v>528</v>
      </c>
      <c r="J283" s="9"/>
      <c r="K283" s="9" t="s">
        <v>152</v>
      </c>
      <c r="L283" s="21" t="s">
        <v>25</v>
      </c>
      <c r="M283" s="30" t="s">
        <v>1261</v>
      </c>
      <c r="N283" s="30" t="s">
        <v>1262</v>
      </c>
      <c r="O283" s="29" t="s">
        <v>2155</v>
      </c>
      <c r="P283" s="14" t="s">
        <v>542</v>
      </c>
      <c r="Q283" s="14" t="s">
        <v>533</v>
      </c>
      <c r="R283" s="16" t="str">
        <f t="shared" ref="R283:R1893" si="2">IF(OR(P283="",Q283=""),"",IF(P283=Q283,"Igual","Diferente"))</f>
        <v>Diferente</v>
      </c>
    </row>
    <row r="284">
      <c r="A284" s="7"/>
      <c r="B284" s="16"/>
      <c r="C284" s="12"/>
      <c r="D284" s="12"/>
      <c r="E284" s="9"/>
      <c r="F284" s="10"/>
      <c r="G284" s="11"/>
      <c r="H284" s="9"/>
      <c r="I284" s="31"/>
      <c r="J284" s="9"/>
      <c r="K284" s="9"/>
      <c r="L284" s="21" t="s">
        <v>31</v>
      </c>
      <c r="M284" s="30" t="s">
        <v>1263</v>
      </c>
      <c r="N284" s="30" t="s">
        <v>1264</v>
      </c>
      <c r="O284" s="29" t="s">
        <v>2157</v>
      </c>
      <c r="P284" s="14" t="s">
        <v>533</v>
      </c>
      <c r="Q284" s="14" t="s">
        <v>562</v>
      </c>
      <c r="R284" s="16" t="str">
        <f t="shared" si="2"/>
        <v>Diferente</v>
      </c>
    </row>
    <row r="285">
      <c r="A285" s="7"/>
      <c r="B285" s="16"/>
      <c r="C285" s="12"/>
      <c r="D285" s="12"/>
      <c r="E285" s="9"/>
      <c r="F285" s="10"/>
      <c r="G285" s="11"/>
      <c r="H285" s="9"/>
      <c r="I285" s="31"/>
      <c r="J285" s="9"/>
      <c r="K285" s="9"/>
      <c r="L285" s="21" t="s">
        <v>36</v>
      </c>
      <c r="M285" s="30" t="s">
        <v>1265</v>
      </c>
      <c r="N285" s="30" t="s">
        <v>1266</v>
      </c>
      <c r="O285" s="29" t="s">
        <v>2158</v>
      </c>
      <c r="P285" s="14" t="s">
        <v>533</v>
      </c>
      <c r="Q285" s="14" t="s">
        <v>562</v>
      </c>
      <c r="R285" s="16" t="str">
        <f t="shared" si="2"/>
        <v>Diferente</v>
      </c>
    </row>
    <row r="286">
      <c r="A286" s="7"/>
      <c r="B286" s="16"/>
      <c r="C286" s="12"/>
      <c r="D286" s="12"/>
      <c r="E286" s="9"/>
      <c r="F286" s="10"/>
      <c r="G286" s="11"/>
      <c r="H286" s="9"/>
      <c r="I286" s="31"/>
      <c r="J286" s="9"/>
      <c r="K286" s="9"/>
      <c r="L286" s="21" t="s">
        <v>41</v>
      </c>
      <c r="M286" s="30" t="s">
        <v>1267</v>
      </c>
      <c r="N286" s="30" t="s">
        <v>1268</v>
      </c>
      <c r="O286" s="29" t="s">
        <v>2159</v>
      </c>
      <c r="P286" s="14" t="s">
        <v>562</v>
      </c>
      <c r="Q286" s="14" t="s">
        <v>533</v>
      </c>
      <c r="R286" s="16" t="str">
        <f t="shared" si="2"/>
        <v>Diferente</v>
      </c>
    </row>
    <row r="287">
      <c r="A287" s="7"/>
      <c r="B287" s="16"/>
      <c r="C287" s="12"/>
      <c r="D287" s="12"/>
      <c r="E287" s="9"/>
      <c r="F287" s="10"/>
      <c r="G287" s="11"/>
      <c r="H287" s="9"/>
      <c r="I287" s="31"/>
      <c r="J287" s="9"/>
      <c r="K287" s="9"/>
      <c r="L287" s="21" t="s">
        <v>47</v>
      </c>
      <c r="M287" s="30" t="s">
        <v>1269</v>
      </c>
      <c r="N287" s="30" t="s">
        <v>1270</v>
      </c>
      <c r="O287" s="29" t="s">
        <v>2160</v>
      </c>
      <c r="P287" s="14" t="s">
        <v>542</v>
      </c>
      <c r="Q287" s="14" t="s">
        <v>533</v>
      </c>
      <c r="R287" s="16" t="str">
        <f t="shared" si="2"/>
        <v>Diferente</v>
      </c>
    </row>
    <row r="288">
      <c r="A288" s="7"/>
      <c r="B288" s="16"/>
      <c r="C288" s="12"/>
      <c r="D288" s="12"/>
      <c r="E288" s="9"/>
      <c r="F288" s="10"/>
      <c r="G288" s="11"/>
      <c r="H288" s="9"/>
      <c r="I288" s="31"/>
      <c r="J288" s="9"/>
      <c r="K288" s="9"/>
      <c r="L288" s="21" t="s">
        <v>53</v>
      </c>
      <c r="M288" s="30" t="s">
        <v>1254</v>
      </c>
      <c r="N288" s="30" t="s">
        <v>1271</v>
      </c>
      <c r="O288" s="29" t="s">
        <v>1135</v>
      </c>
      <c r="P288" s="14" t="s">
        <v>562</v>
      </c>
      <c r="Q288" s="14" t="s">
        <v>562</v>
      </c>
      <c r="R288" s="16" t="str">
        <f t="shared" si="2"/>
        <v>Igual</v>
      </c>
    </row>
    <row r="289">
      <c r="A289" s="7"/>
      <c r="B289" s="16"/>
      <c r="C289" s="12"/>
      <c r="D289" s="12"/>
      <c r="E289" s="9"/>
      <c r="F289" s="10"/>
      <c r="G289" s="11"/>
      <c r="H289" s="9"/>
      <c r="I289" s="31"/>
      <c r="J289" s="9"/>
      <c r="K289" s="9"/>
      <c r="L289" s="21" t="s">
        <v>59</v>
      </c>
      <c r="M289" s="30" t="s">
        <v>1272</v>
      </c>
      <c r="N289" s="30" t="s">
        <v>1273</v>
      </c>
      <c r="O289" s="29" t="s">
        <v>1135</v>
      </c>
      <c r="P289" s="14" t="s">
        <v>562</v>
      </c>
      <c r="Q289" s="14" t="s">
        <v>562</v>
      </c>
      <c r="R289" s="16" t="str">
        <f t="shared" si="2"/>
        <v>Igual</v>
      </c>
    </row>
    <row r="290">
      <c r="A290" s="7"/>
      <c r="B290" s="16"/>
      <c r="C290" s="12"/>
      <c r="D290" s="12"/>
      <c r="E290" s="9"/>
      <c r="F290" s="10"/>
      <c r="G290" s="11"/>
      <c r="H290" s="9"/>
      <c r="I290" s="31"/>
      <c r="J290" s="9"/>
      <c r="K290" s="9"/>
      <c r="L290" s="21" t="s">
        <v>65</v>
      </c>
      <c r="M290" s="30" t="s">
        <v>1274</v>
      </c>
      <c r="N290" s="30" t="s">
        <v>1275</v>
      </c>
      <c r="O290" s="29" t="s">
        <v>1135</v>
      </c>
      <c r="P290" s="14" t="s">
        <v>562</v>
      </c>
      <c r="Q290" s="14" t="s">
        <v>562</v>
      </c>
      <c r="R290" s="16" t="str">
        <f t="shared" si="2"/>
        <v>Igual</v>
      </c>
    </row>
    <row r="291">
      <c r="A291" s="7"/>
      <c r="B291" s="16"/>
      <c r="C291" s="12"/>
      <c r="D291" s="12"/>
      <c r="E291" s="9"/>
      <c r="F291" s="10"/>
      <c r="G291" s="11"/>
      <c r="H291" s="9"/>
      <c r="I291" s="31"/>
      <c r="J291" s="9"/>
      <c r="K291" s="9"/>
      <c r="L291" s="21" t="s">
        <v>71</v>
      </c>
      <c r="M291" s="30" t="s">
        <v>1276</v>
      </c>
      <c r="N291" s="30" t="s">
        <v>1277</v>
      </c>
      <c r="O291" s="29" t="s">
        <v>2161</v>
      </c>
      <c r="P291" s="14" t="s">
        <v>562</v>
      </c>
      <c r="Q291" s="14" t="s">
        <v>533</v>
      </c>
      <c r="R291" s="16" t="str">
        <f t="shared" si="2"/>
        <v>Diferente</v>
      </c>
    </row>
    <row r="292">
      <c r="A292" s="7" t="s">
        <v>187</v>
      </c>
      <c r="B292" s="14" t="s">
        <v>1057</v>
      </c>
      <c r="C292" s="12"/>
      <c r="D292" s="17" t="s">
        <v>1278</v>
      </c>
      <c r="E292" s="9" t="s">
        <v>188</v>
      </c>
      <c r="F292" s="10" t="s">
        <v>189</v>
      </c>
      <c r="G292" s="11">
        <v>2024.0</v>
      </c>
      <c r="H292" s="9" t="s">
        <v>190</v>
      </c>
      <c r="I292" s="29" t="s">
        <v>1279</v>
      </c>
      <c r="J292" s="9"/>
      <c r="K292" s="9" t="s">
        <v>152</v>
      </c>
      <c r="L292" s="21" t="s">
        <v>25</v>
      </c>
      <c r="M292" s="30" t="s">
        <v>1280</v>
      </c>
      <c r="N292" s="30" t="s">
        <v>1281</v>
      </c>
      <c r="O292" s="29" t="s">
        <v>2162</v>
      </c>
      <c r="P292" s="14" t="s">
        <v>562</v>
      </c>
      <c r="Q292" s="14" t="s">
        <v>533</v>
      </c>
      <c r="R292" s="16" t="str">
        <f t="shared" si="2"/>
        <v>Diferente</v>
      </c>
    </row>
    <row r="293">
      <c r="A293" s="7"/>
      <c r="B293" s="16"/>
      <c r="C293" s="12"/>
      <c r="D293" s="12"/>
      <c r="E293" s="9"/>
      <c r="F293" s="10"/>
      <c r="G293" s="11"/>
      <c r="H293" s="9"/>
      <c r="I293" s="31"/>
      <c r="J293" s="9"/>
      <c r="K293" s="9"/>
      <c r="L293" s="21" t="s">
        <v>31</v>
      </c>
      <c r="M293" s="30" t="s">
        <v>1282</v>
      </c>
      <c r="N293" s="30" t="s">
        <v>1283</v>
      </c>
      <c r="O293" s="29" t="s">
        <v>2163</v>
      </c>
      <c r="P293" s="14" t="s">
        <v>562</v>
      </c>
      <c r="Q293" s="14" t="s">
        <v>533</v>
      </c>
      <c r="R293" s="16" t="str">
        <f t="shared" si="2"/>
        <v>Diferente</v>
      </c>
    </row>
    <row r="294">
      <c r="A294" s="7"/>
      <c r="B294" s="16"/>
      <c r="C294" s="12"/>
      <c r="D294" s="12"/>
      <c r="E294" s="9"/>
      <c r="F294" s="10"/>
      <c r="G294" s="11"/>
      <c r="H294" s="9"/>
      <c r="I294" s="31"/>
      <c r="J294" s="9"/>
      <c r="K294" s="9"/>
      <c r="L294" s="21" t="s">
        <v>36</v>
      </c>
      <c r="M294" s="30" t="s">
        <v>1284</v>
      </c>
      <c r="N294" s="30" t="s">
        <v>1285</v>
      </c>
      <c r="O294" s="29" t="s">
        <v>2164</v>
      </c>
      <c r="P294" s="14" t="s">
        <v>562</v>
      </c>
      <c r="Q294" s="14" t="s">
        <v>533</v>
      </c>
      <c r="R294" s="16" t="str">
        <f t="shared" si="2"/>
        <v>Diferente</v>
      </c>
    </row>
    <row r="295">
      <c r="A295" s="7"/>
      <c r="B295" s="16"/>
      <c r="C295" s="12"/>
      <c r="D295" s="12"/>
      <c r="E295" s="9"/>
      <c r="F295" s="10"/>
      <c r="G295" s="11"/>
      <c r="H295" s="9"/>
      <c r="I295" s="31"/>
      <c r="J295" s="9"/>
      <c r="K295" s="9"/>
      <c r="L295" s="21" t="s">
        <v>41</v>
      </c>
      <c r="M295" s="30" t="s">
        <v>1286</v>
      </c>
      <c r="N295" s="30" t="s">
        <v>1287</v>
      </c>
      <c r="O295" s="29" t="s">
        <v>2165</v>
      </c>
      <c r="P295" s="14" t="s">
        <v>533</v>
      </c>
      <c r="Q295" s="14" t="s">
        <v>562</v>
      </c>
      <c r="R295" s="16" t="str">
        <f t="shared" si="2"/>
        <v>Diferente</v>
      </c>
    </row>
    <row r="296">
      <c r="A296" s="7"/>
      <c r="B296" s="16"/>
      <c r="C296" s="12"/>
      <c r="D296" s="12"/>
      <c r="E296" s="9"/>
      <c r="F296" s="10"/>
      <c r="G296" s="11"/>
      <c r="H296" s="9"/>
      <c r="I296" s="31"/>
      <c r="J296" s="9"/>
      <c r="K296" s="9"/>
      <c r="L296" s="21" t="s">
        <v>47</v>
      </c>
      <c r="M296" s="30" t="s">
        <v>1288</v>
      </c>
      <c r="N296" s="30" t="s">
        <v>1289</v>
      </c>
      <c r="O296" s="29" t="s">
        <v>1135</v>
      </c>
      <c r="P296" s="14" t="s">
        <v>562</v>
      </c>
      <c r="Q296" s="14" t="s">
        <v>562</v>
      </c>
      <c r="R296" s="16" t="str">
        <f t="shared" si="2"/>
        <v>Igual</v>
      </c>
    </row>
    <row r="297">
      <c r="A297" s="7"/>
      <c r="B297" s="16"/>
      <c r="C297" s="12"/>
      <c r="D297" s="12"/>
      <c r="E297" s="9"/>
      <c r="F297" s="10"/>
      <c r="G297" s="11"/>
      <c r="H297" s="9"/>
      <c r="I297" s="31"/>
      <c r="J297" s="9"/>
      <c r="K297" s="9"/>
      <c r="L297" s="21" t="s">
        <v>53</v>
      </c>
      <c r="M297" s="30" t="s">
        <v>1290</v>
      </c>
      <c r="N297" s="30" t="s">
        <v>1291</v>
      </c>
      <c r="O297" s="29" t="s">
        <v>2166</v>
      </c>
      <c r="P297" s="14" t="s">
        <v>562</v>
      </c>
      <c r="Q297" s="14" t="s">
        <v>562</v>
      </c>
      <c r="R297" s="16" t="str">
        <f t="shared" si="2"/>
        <v>Igual</v>
      </c>
    </row>
    <row r="298">
      <c r="A298" s="7"/>
      <c r="B298" s="16"/>
      <c r="C298" s="12"/>
      <c r="D298" s="12"/>
      <c r="E298" s="9"/>
      <c r="F298" s="10"/>
      <c r="G298" s="11"/>
      <c r="H298" s="9"/>
      <c r="I298" s="31"/>
      <c r="J298" s="9"/>
      <c r="K298" s="9"/>
      <c r="L298" s="21" t="s">
        <v>59</v>
      </c>
      <c r="M298" s="30" t="s">
        <v>1292</v>
      </c>
      <c r="N298" s="30" t="s">
        <v>1293</v>
      </c>
      <c r="O298" s="29" t="s">
        <v>2166</v>
      </c>
      <c r="P298" s="14" t="s">
        <v>562</v>
      </c>
      <c r="Q298" s="14" t="s">
        <v>562</v>
      </c>
      <c r="R298" s="16" t="str">
        <f t="shared" si="2"/>
        <v>Igual</v>
      </c>
    </row>
    <row r="299">
      <c r="A299" s="7"/>
      <c r="B299" s="16"/>
      <c r="C299" s="12"/>
      <c r="D299" s="12"/>
      <c r="E299" s="9"/>
      <c r="F299" s="10"/>
      <c r="G299" s="11"/>
      <c r="H299" s="9"/>
      <c r="I299" s="31"/>
      <c r="J299" s="9"/>
      <c r="K299" s="9"/>
      <c r="L299" s="21" t="s">
        <v>65</v>
      </c>
      <c r="M299" s="30" t="s">
        <v>1274</v>
      </c>
      <c r="N299" s="30" t="s">
        <v>1294</v>
      </c>
      <c r="O299" s="29" t="s">
        <v>2166</v>
      </c>
      <c r="P299" s="14" t="s">
        <v>562</v>
      </c>
      <c r="Q299" s="14" t="s">
        <v>562</v>
      </c>
      <c r="R299" s="16" t="str">
        <f t="shared" si="2"/>
        <v>Igual</v>
      </c>
    </row>
    <row r="300">
      <c r="A300" s="7"/>
      <c r="B300" s="16"/>
      <c r="C300" s="12"/>
      <c r="D300" s="12"/>
      <c r="E300" s="9"/>
      <c r="F300" s="10"/>
      <c r="G300" s="11"/>
      <c r="H300" s="9"/>
      <c r="I300" s="31"/>
      <c r="J300" s="9"/>
      <c r="K300" s="9"/>
      <c r="L300" s="21" t="s">
        <v>71</v>
      </c>
      <c r="M300" s="30" t="s">
        <v>1295</v>
      </c>
      <c r="N300" s="30" t="s">
        <v>1296</v>
      </c>
      <c r="O300" s="29" t="s">
        <v>2167</v>
      </c>
      <c r="P300" s="14" t="s">
        <v>562</v>
      </c>
      <c r="Q300" s="14" t="s">
        <v>533</v>
      </c>
      <c r="R300" s="16" t="str">
        <f t="shared" si="2"/>
        <v>Diferente</v>
      </c>
    </row>
    <row r="301">
      <c r="A301" s="7" t="s">
        <v>191</v>
      </c>
      <c r="B301" s="14" t="s">
        <v>1057</v>
      </c>
      <c r="C301" s="12"/>
      <c r="D301" s="17" t="s">
        <v>1297</v>
      </c>
      <c r="E301" s="9" t="s">
        <v>192</v>
      </c>
      <c r="F301" s="10" t="s">
        <v>193</v>
      </c>
      <c r="G301" s="11">
        <v>2021.0</v>
      </c>
      <c r="H301" s="9" t="s">
        <v>194</v>
      </c>
      <c r="I301" s="29" t="s">
        <v>528</v>
      </c>
      <c r="J301" s="9"/>
      <c r="K301" s="9" t="s">
        <v>152</v>
      </c>
      <c r="L301" s="21" t="s">
        <v>25</v>
      </c>
      <c r="M301" s="30" t="s">
        <v>1298</v>
      </c>
      <c r="N301" s="30" t="s">
        <v>1299</v>
      </c>
      <c r="O301" s="29" t="s">
        <v>2166</v>
      </c>
      <c r="P301" s="14" t="s">
        <v>562</v>
      </c>
      <c r="Q301" s="14" t="s">
        <v>562</v>
      </c>
      <c r="R301" s="16" t="str">
        <f t="shared" si="2"/>
        <v>Igual</v>
      </c>
    </row>
    <row r="302">
      <c r="A302" s="7"/>
      <c r="B302" s="16"/>
      <c r="C302" s="12"/>
      <c r="D302" s="12"/>
      <c r="E302" s="9"/>
      <c r="F302" s="10"/>
      <c r="G302" s="11"/>
      <c r="H302" s="9"/>
      <c r="I302" s="31"/>
      <c r="J302" s="9"/>
      <c r="K302" s="9"/>
      <c r="L302" s="21" t="s">
        <v>31</v>
      </c>
      <c r="M302" s="30" t="s">
        <v>1300</v>
      </c>
      <c r="N302" s="30" t="s">
        <v>1301</v>
      </c>
      <c r="O302" s="29" t="s">
        <v>2168</v>
      </c>
      <c r="P302" s="14" t="s">
        <v>562</v>
      </c>
      <c r="Q302" s="14" t="s">
        <v>562</v>
      </c>
      <c r="R302" s="16" t="str">
        <f t="shared" si="2"/>
        <v>Igual</v>
      </c>
    </row>
    <row r="303">
      <c r="A303" s="7"/>
      <c r="B303" s="16"/>
      <c r="C303" s="12"/>
      <c r="D303" s="12"/>
      <c r="E303" s="9"/>
      <c r="F303" s="10"/>
      <c r="G303" s="11"/>
      <c r="H303" s="9"/>
      <c r="I303" s="31"/>
      <c r="J303" s="9"/>
      <c r="K303" s="9"/>
      <c r="L303" s="21" t="s">
        <v>36</v>
      </c>
      <c r="M303" s="30" t="s">
        <v>1302</v>
      </c>
      <c r="N303" s="30" t="s">
        <v>1303</v>
      </c>
      <c r="O303" s="29" t="s">
        <v>2169</v>
      </c>
      <c r="P303" s="14" t="s">
        <v>533</v>
      </c>
      <c r="Q303" s="14" t="s">
        <v>562</v>
      </c>
      <c r="R303" s="16" t="str">
        <f t="shared" si="2"/>
        <v>Diferente</v>
      </c>
    </row>
    <row r="304">
      <c r="A304" s="7"/>
      <c r="B304" s="16"/>
      <c r="C304" s="12"/>
      <c r="D304" s="12"/>
      <c r="E304" s="9"/>
      <c r="F304" s="10"/>
      <c r="G304" s="11"/>
      <c r="H304" s="9"/>
      <c r="I304" s="31"/>
      <c r="J304" s="9"/>
      <c r="K304" s="9"/>
      <c r="L304" s="21" t="s">
        <v>41</v>
      </c>
      <c r="M304" s="30" t="s">
        <v>1304</v>
      </c>
      <c r="N304" s="30" t="s">
        <v>1305</v>
      </c>
      <c r="O304" s="29" t="s">
        <v>2159</v>
      </c>
      <c r="P304" s="14" t="s">
        <v>562</v>
      </c>
      <c r="Q304" s="14" t="s">
        <v>533</v>
      </c>
      <c r="R304" s="16" t="str">
        <f t="shared" si="2"/>
        <v>Diferente</v>
      </c>
    </row>
    <row r="305">
      <c r="A305" s="7"/>
      <c r="B305" s="16"/>
      <c r="C305" s="12"/>
      <c r="D305" s="12"/>
      <c r="E305" s="9"/>
      <c r="F305" s="10"/>
      <c r="G305" s="11"/>
      <c r="H305" s="9"/>
      <c r="I305" s="31"/>
      <c r="J305" s="9"/>
      <c r="K305" s="9"/>
      <c r="L305" s="21" t="s">
        <v>47</v>
      </c>
      <c r="M305" s="30" t="s">
        <v>1306</v>
      </c>
      <c r="N305" s="30" t="s">
        <v>1307</v>
      </c>
      <c r="O305" s="29" t="s">
        <v>2166</v>
      </c>
      <c r="P305" s="14" t="s">
        <v>562</v>
      </c>
      <c r="Q305" s="14" t="s">
        <v>562</v>
      </c>
      <c r="R305" s="16" t="str">
        <f t="shared" si="2"/>
        <v>Igual</v>
      </c>
    </row>
    <row r="306">
      <c r="A306" s="7"/>
      <c r="B306" s="16"/>
      <c r="C306" s="12"/>
      <c r="D306" s="12"/>
      <c r="E306" s="9"/>
      <c r="F306" s="10"/>
      <c r="G306" s="11"/>
      <c r="H306" s="9"/>
      <c r="I306" s="31"/>
      <c r="J306" s="9"/>
      <c r="K306" s="9"/>
      <c r="L306" s="21" t="s">
        <v>53</v>
      </c>
      <c r="M306" s="30" t="s">
        <v>1308</v>
      </c>
      <c r="N306" s="30" t="s">
        <v>1309</v>
      </c>
      <c r="O306" s="29" t="s">
        <v>2166</v>
      </c>
      <c r="P306" s="14" t="s">
        <v>562</v>
      </c>
      <c r="Q306" s="14" t="s">
        <v>562</v>
      </c>
      <c r="R306" s="16" t="str">
        <f t="shared" si="2"/>
        <v>Igual</v>
      </c>
    </row>
    <row r="307">
      <c r="A307" s="7"/>
      <c r="B307" s="16"/>
      <c r="C307" s="12"/>
      <c r="D307" s="12"/>
      <c r="E307" s="9"/>
      <c r="F307" s="10"/>
      <c r="G307" s="11"/>
      <c r="H307" s="9"/>
      <c r="I307" s="31"/>
      <c r="J307" s="9"/>
      <c r="K307" s="9"/>
      <c r="L307" s="21" t="s">
        <v>59</v>
      </c>
      <c r="M307" s="30" t="s">
        <v>1308</v>
      </c>
      <c r="N307" s="30" t="s">
        <v>1310</v>
      </c>
      <c r="O307" s="29" t="s">
        <v>2166</v>
      </c>
      <c r="P307" s="14" t="s">
        <v>562</v>
      </c>
      <c r="Q307" s="14" t="s">
        <v>562</v>
      </c>
      <c r="R307" s="16" t="str">
        <f t="shared" si="2"/>
        <v>Igual</v>
      </c>
    </row>
    <row r="308">
      <c r="A308" s="7"/>
      <c r="B308" s="16"/>
      <c r="C308" s="12"/>
      <c r="D308" s="12"/>
      <c r="E308" s="9"/>
      <c r="F308" s="10"/>
      <c r="G308" s="11"/>
      <c r="H308" s="9"/>
      <c r="I308" s="31"/>
      <c r="J308" s="9"/>
      <c r="K308" s="9"/>
      <c r="L308" s="21" t="s">
        <v>65</v>
      </c>
      <c r="M308" s="30" t="s">
        <v>1311</v>
      </c>
      <c r="N308" s="30" t="s">
        <v>1312</v>
      </c>
      <c r="O308" s="29" t="s">
        <v>2166</v>
      </c>
      <c r="P308" s="14" t="s">
        <v>562</v>
      </c>
      <c r="Q308" s="14" t="s">
        <v>562</v>
      </c>
      <c r="R308" s="16" t="str">
        <f t="shared" si="2"/>
        <v>Igual</v>
      </c>
    </row>
    <row r="309">
      <c r="A309" s="7"/>
      <c r="B309" s="16"/>
      <c r="C309" s="12"/>
      <c r="D309" s="12"/>
      <c r="E309" s="9"/>
      <c r="F309" s="10"/>
      <c r="G309" s="11"/>
      <c r="H309" s="9"/>
      <c r="I309" s="31"/>
      <c r="J309" s="9"/>
      <c r="K309" s="9"/>
      <c r="L309" s="21" t="s">
        <v>71</v>
      </c>
      <c r="M309" s="30" t="s">
        <v>1313</v>
      </c>
      <c r="N309" s="30" t="s">
        <v>1314</v>
      </c>
      <c r="O309" s="29" t="s">
        <v>2161</v>
      </c>
      <c r="P309" s="14" t="s">
        <v>562</v>
      </c>
      <c r="Q309" s="14" t="s">
        <v>533</v>
      </c>
      <c r="R309" s="16" t="str">
        <f t="shared" si="2"/>
        <v>Diferente</v>
      </c>
    </row>
    <row r="310">
      <c r="A310" s="7" t="s">
        <v>195</v>
      </c>
      <c r="B310" s="14" t="s">
        <v>1057</v>
      </c>
      <c r="C310" s="12"/>
      <c r="D310" s="17" t="s">
        <v>1315</v>
      </c>
      <c r="E310" s="9" t="s">
        <v>196</v>
      </c>
      <c r="F310" s="10" t="s">
        <v>197</v>
      </c>
      <c r="G310" s="11">
        <v>2024.0</v>
      </c>
      <c r="H310" s="9" t="s">
        <v>198</v>
      </c>
      <c r="I310" s="29" t="s">
        <v>1279</v>
      </c>
      <c r="J310" s="9"/>
      <c r="K310" s="9" t="s">
        <v>152</v>
      </c>
      <c r="L310" s="21" t="s">
        <v>25</v>
      </c>
      <c r="M310" s="30" t="s">
        <v>1316</v>
      </c>
      <c r="N310" s="30" t="s">
        <v>1317</v>
      </c>
      <c r="O310" s="29" t="s">
        <v>2155</v>
      </c>
      <c r="P310" s="14" t="s">
        <v>562</v>
      </c>
      <c r="Q310" s="14" t="s">
        <v>533</v>
      </c>
      <c r="R310" s="16" t="str">
        <f t="shared" si="2"/>
        <v>Diferente</v>
      </c>
    </row>
    <row r="311">
      <c r="A311" s="7"/>
      <c r="B311" s="16"/>
      <c r="C311" s="12"/>
      <c r="D311" s="12"/>
      <c r="E311" s="9"/>
      <c r="F311" s="10"/>
      <c r="G311" s="11"/>
      <c r="H311" s="9"/>
      <c r="I311" s="31"/>
      <c r="J311" s="9"/>
      <c r="K311" s="9"/>
      <c r="L311" s="21" t="s">
        <v>31</v>
      </c>
      <c r="M311" s="30" t="s">
        <v>1318</v>
      </c>
      <c r="N311" s="30" t="s">
        <v>1319</v>
      </c>
      <c r="O311" s="29" t="s">
        <v>2170</v>
      </c>
      <c r="P311" s="14" t="s">
        <v>562</v>
      </c>
      <c r="Q311" s="14" t="s">
        <v>533</v>
      </c>
      <c r="R311" s="16" t="str">
        <f t="shared" si="2"/>
        <v>Diferente</v>
      </c>
    </row>
    <row r="312">
      <c r="A312" s="7"/>
      <c r="B312" s="16"/>
      <c r="C312" s="12"/>
      <c r="D312" s="12"/>
      <c r="E312" s="9"/>
      <c r="F312" s="10"/>
      <c r="G312" s="11"/>
      <c r="H312" s="9"/>
      <c r="I312" s="31"/>
      <c r="J312" s="9"/>
      <c r="K312" s="9"/>
      <c r="L312" s="21" t="s">
        <v>36</v>
      </c>
      <c r="M312" s="30" t="s">
        <v>1320</v>
      </c>
      <c r="N312" s="30" t="s">
        <v>1321</v>
      </c>
      <c r="O312" s="29" t="s">
        <v>2171</v>
      </c>
      <c r="P312" s="14" t="s">
        <v>533</v>
      </c>
      <c r="Q312" s="14" t="s">
        <v>533</v>
      </c>
      <c r="R312" s="16" t="str">
        <f t="shared" si="2"/>
        <v>Igual</v>
      </c>
    </row>
    <row r="313">
      <c r="A313" s="7"/>
      <c r="B313" s="16"/>
      <c r="C313" s="12"/>
      <c r="D313" s="12"/>
      <c r="E313" s="9"/>
      <c r="F313" s="10"/>
      <c r="G313" s="11"/>
      <c r="H313" s="9"/>
      <c r="I313" s="31"/>
      <c r="J313" s="9"/>
      <c r="K313" s="9"/>
      <c r="L313" s="21" t="s">
        <v>41</v>
      </c>
      <c r="M313" s="30" t="s">
        <v>1322</v>
      </c>
      <c r="N313" s="30" t="s">
        <v>1323</v>
      </c>
      <c r="O313" s="29" t="s">
        <v>2159</v>
      </c>
      <c r="P313" s="14" t="s">
        <v>562</v>
      </c>
      <c r="Q313" s="14" t="s">
        <v>533</v>
      </c>
      <c r="R313" s="16" t="str">
        <f t="shared" si="2"/>
        <v>Diferente</v>
      </c>
    </row>
    <row r="314">
      <c r="A314" s="7"/>
      <c r="B314" s="16"/>
      <c r="C314" s="12"/>
      <c r="D314" s="12"/>
      <c r="E314" s="9"/>
      <c r="F314" s="10"/>
      <c r="G314" s="11"/>
      <c r="H314" s="9"/>
      <c r="I314" s="31"/>
      <c r="J314" s="9"/>
      <c r="K314" s="9"/>
      <c r="L314" s="21" t="s">
        <v>47</v>
      </c>
      <c r="M314" s="30" t="s">
        <v>1306</v>
      </c>
      <c r="N314" s="30" t="s">
        <v>1324</v>
      </c>
      <c r="O314" s="29" t="s">
        <v>2166</v>
      </c>
      <c r="P314" s="14" t="s">
        <v>562</v>
      </c>
      <c r="Q314" s="14" t="s">
        <v>562</v>
      </c>
      <c r="R314" s="16" t="str">
        <f t="shared" si="2"/>
        <v>Igual</v>
      </c>
    </row>
    <row r="315">
      <c r="A315" s="7"/>
      <c r="B315" s="16"/>
      <c r="C315" s="12"/>
      <c r="D315" s="12"/>
      <c r="E315" s="9"/>
      <c r="F315" s="10"/>
      <c r="G315" s="11"/>
      <c r="H315" s="9"/>
      <c r="I315" s="31"/>
      <c r="J315" s="9"/>
      <c r="K315" s="9"/>
      <c r="L315" s="21" t="s">
        <v>53</v>
      </c>
      <c r="M315" s="30" t="s">
        <v>1325</v>
      </c>
      <c r="N315" s="30" t="s">
        <v>1291</v>
      </c>
      <c r="O315" s="29" t="s">
        <v>2166</v>
      </c>
      <c r="P315" s="14" t="s">
        <v>562</v>
      </c>
      <c r="Q315" s="14" t="s">
        <v>562</v>
      </c>
      <c r="R315" s="16" t="str">
        <f t="shared" si="2"/>
        <v>Igual</v>
      </c>
    </row>
    <row r="316">
      <c r="A316" s="7"/>
      <c r="B316" s="16"/>
      <c r="C316" s="12"/>
      <c r="D316" s="12"/>
      <c r="E316" s="9"/>
      <c r="F316" s="10"/>
      <c r="G316" s="11"/>
      <c r="H316" s="9"/>
      <c r="I316" s="31"/>
      <c r="J316" s="9"/>
      <c r="K316" s="9"/>
      <c r="L316" s="21" t="s">
        <v>59</v>
      </c>
      <c r="M316" s="30" t="s">
        <v>1326</v>
      </c>
      <c r="N316" s="30" t="s">
        <v>1327</v>
      </c>
      <c r="O316" s="29" t="s">
        <v>2166</v>
      </c>
      <c r="P316" s="14" t="s">
        <v>562</v>
      </c>
      <c r="Q316" s="14" t="s">
        <v>562</v>
      </c>
      <c r="R316" s="16" t="str">
        <f t="shared" si="2"/>
        <v>Igual</v>
      </c>
    </row>
    <row r="317">
      <c r="A317" s="7"/>
      <c r="B317" s="16"/>
      <c r="C317" s="12"/>
      <c r="D317" s="12"/>
      <c r="E317" s="9"/>
      <c r="F317" s="10"/>
      <c r="G317" s="11"/>
      <c r="H317" s="9"/>
      <c r="I317" s="31"/>
      <c r="J317" s="9"/>
      <c r="K317" s="9"/>
      <c r="L317" s="21" t="s">
        <v>65</v>
      </c>
      <c r="M317" s="30" t="s">
        <v>1328</v>
      </c>
      <c r="N317" s="30" t="s">
        <v>1329</v>
      </c>
      <c r="O317" s="29" t="s">
        <v>2166</v>
      </c>
      <c r="P317" s="14" t="s">
        <v>562</v>
      </c>
      <c r="Q317" s="14" t="s">
        <v>562</v>
      </c>
      <c r="R317" s="16" t="str">
        <f t="shared" si="2"/>
        <v>Igual</v>
      </c>
    </row>
    <row r="318">
      <c r="A318" s="7"/>
      <c r="B318" s="16"/>
      <c r="C318" s="12"/>
      <c r="D318" s="12"/>
      <c r="E318" s="9"/>
      <c r="F318" s="10"/>
      <c r="G318" s="11"/>
      <c r="H318" s="9"/>
      <c r="I318" s="31"/>
      <c r="J318" s="9"/>
      <c r="K318" s="9"/>
      <c r="L318" s="21" t="s">
        <v>71</v>
      </c>
      <c r="M318" s="30" t="s">
        <v>1330</v>
      </c>
      <c r="N318" s="30" t="s">
        <v>1331</v>
      </c>
      <c r="O318" s="29" t="s">
        <v>2172</v>
      </c>
      <c r="P318" s="14" t="s">
        <v>562</v>
      </c>
      <c r="Q318" s="14" t="s">
        <v>533</v>
      </c>
      <c r="R318" s="16" t="str">
        <f t="shared" si="2"/>
        <v>Diferente</v>
      </c>
    </row>
    <row r="319">
      <c r="A319" s="7" t="s">
        <v>199</v>
      </c>
      <c r="B319" s="14" t="s">
        <v>1057</v>
      </c>
      <c r="C319" s="12"/>
      <c r="D319" s="17" t="s">
        <v>1332</v>
      </c>
      <c r="E319" s="9" t="s">
        <v>200</v>
      </c>
      <c r="F319" s="10" t="s">
        <v>201</v>
      </c>
      <c r="G319" s="11">
        <v>2023.0</v>
      </c>
      <c r="H319" s="9" t="s">
        <v>202</v>
      </c>
      <c r="I319" s="29" t="s">
        <v>1333</v>
      </c>
      <c r="J319" s="9"/>
      <c r="K319" s="9" t="s">
        <v>152</v>
      </c>
      <c r="L319" s="21" t="s">
        <v>25</v>
      </c>
      <c r="M319" s="30" t="s">
        <v>1334</v>
      </c>
      <c r="N319" s="30" t="s">
        <v>1335</v>
      </c>
      <c r="O319" s="29" t="s">
        <v>2155</v>
      </c>
      <c r="P319" s="14" t="s">
        <v>562</v>
      </c>
      <c r="Q319" s="14" t="s">
        <v>533</v>
      </c>
      <c r="R319" s="16" t="str">
        <f t="shared" si="2"/>
        <v>Diferente</v>
      </c>
    </row>
    <row r="320">
      <c r="A320" s="7"/>
      <c r="B320" s="16"/>
      <c r="C320" s="12"/>
      <c r="D320" s="12"/>
      <c r="E320" s="9"/>
      <c r="F320" s="10"/>
      <c r="G320" s="11"/>
      <c r="H320" s="9"/>
      <c r="I320" s="29" t="s">
        <v>1279</v>
      </c>
      <c r="J320" s="9"/>
      <c r="K320" s="9"/>
      <c r="L320" s="21" t="s">
        <v>31</v>
      </c>
      <c r="M320" s="30" t="s">
        <v>1336</v>
      </c>
      <c r="N320" s="30" t="s">
        <v>1337</v>
      </c>
      <c r="O320" s="29" t="s">
        <v>2173</v>
      </c>
      <c r="P320" s="14" t="s">
        <v>562</v>
      </c>
      <c r="Q320" s="14" t="s">
        <v>533</v>
      </c>
      <c r="R320" s="16" t="str">
        <f t="shared" si="2"/>
        <v>Diferente</v>
      </c>
    </row>
    <row r="321">
      <c r="A321" s="7"/>
      <c r="B321" s="16"/>
      <c r="C321" s="12"/>
      <c r="D321" s="12"/>
      <c r="E321" s="9"/>
      <c r="F321" s="10"/>
      <c r="G321" s="11"/>
      <c r="H321" s="9"/>
      <c r="I321" s="31"/>
      <c r="J321" s="9"/>
      <c r="K321" s="9"/>
      <c r="L321" s="21" t="s">
        <v>36</v>
      </c>
      <c r="M321" s="30" t="s">
        <v>1338</v>
      </c>
      <c r="N321" s="30" t="s">
        <v>1339</v>
      </c>
      <c r="O321" s="29" t="s">
        <v>2174</v>
      </c>
      <c r="P321" s="14" t="s">
        <v>562</v>
      </c>
      <c r="Q321" s="14" t="s">
        <v>533</v>
      </c>
      <c r="R321" s="16" t="str">
        <f t="shared" si="2"/>
        <v>Diferente</v>
      </c>
    </row>
    <row r="322">
      <c r="A322" s="7"/>
      <c r="B322" s="16"/>
      <c r="C322" s="12"/>
      <c r="D322" s="12"/>
      <c r="E322" s="9"/>
      <c r="F322" s="10"/>
      <c r="G322" s="11"/>
      <c r="H322" s="9"/>
      <c r="I322" s="31"/>
      <c r="J322" s="9"/>
      <c r="K322" s="9"/>
      <c r="L322" s="21" t="s">
        <v>41</v>
      </c>
      <c r="M322" s="30" t="s">
        <v>1340</v>
      </c>
      <c r="N322" s="30" t="s">
        <v>1341</v>
      </c>
      <c r="O322" s="29" t="s">
        <v>2174</v>
      </c>
      <c r="P322" s="14" t="s">
        <v>533</v>
      </c>
      <c r="Q322" s="14" t="s">
        <v>562</v>
      </c>
      <c r="R322" s="16" t="str">
        <f t="shared" si="2"/>
        <v>Diferente</v>
      </c>
    </row>
    <row r="323">
      <c r="A323" s="7"/>
      <c r="B323" s="16"/>
      <c r="C323" s="12"/>
      <c r="D323" s="12"/>
      <c r="E323" s="9"/>
      <c r="F323" s="10"/>
      <c r="G323" s="11"/>
      <c r="H323" s="9"/>
      <c r="I323" s="31"/>
      <c r="J323" s="9"/>
      <c r="K323" s="9"/>
      <c r="L323" s="21" t="s">
        <v>47</v>
      </c>
      <c r="M323" s="30" t="s">
        <v>1306</v>
      </c>
      <c r="N323" s="30" t="s">
        <v>1342</v>
      </c>
      <c r="O323" s="29" t="s">
        <v>2166</v>
      </c>
      <c r="P323" s="14" t="s">
        <v>562</v>
      </c>
      <c r="Q323" s="14" t="s">
        <v>562</v>
      </c>
      <c r="R323" s="16" t="str">
        <f t="shared" si="2"/>
        <v>Igual</v>
      </c>
    </row>
    <row r="324">
      <c r="A324" s="7"/>
      <c r="B324" s="16"/>
      <c r="C324" s="12"/>
      <c r="D324" s="12"/>
      <c r="E324" s="9"/>
      <c r="F324" s="10"/>
      <c r="G324" s="11"/>
      <c r="H324" s="9"/>
      <c r="I324" s="31"/>
      <c r="J324" s="9"/>
      <c r="K324" s="9"/>
      <c r="L324" s="21" t="s">
        <v>53</v>
      </c>
      <c r="M324" s="30" t="s">
        <v>1343</v>
      </c>
      <c r="N324" s="30" t="s">
        <v>1344</v>
      </c>
      <c r="O324" s="29" t="s">
        <v>2166</v>
      </c>
      <c r="P324" s="14" t="s">
        <v>562</v>
      </c>
      <c r="Q324" s="14" t="s">
        <v>562</v>
      </c>
      <c r="R324" s="16" t="str">
        <f t="shared" si="2"/>
        <v>Igual</v>
      </c>
    </row>
    <row r="325">
      <c r="A325" s="7"/>
      <c r="B325" s="16"/>
      <c r="C325" s="12"/>
      <c r="D325" s="12"/>
      <c r="E325" s="9"/>
      <c r="F325" s="10"/>
      <c r="G325" s="11"/>
      <c r="H325" s="9"/>
      <c r="I325" s="31"/>
      <c r="J325" s="9"/>
      <c r="K325" s="9"/>
      <c r="L325" s="21" t="s">
        <v>59</v>
      </c>
      <c r="M325" s="30" t="s">
        <v>1345</v>
      </c>
      <c r="N325" s="30" t="s">
        <v>1346</v>
      </c>
      <c r="O325" s="29" t="s">
        <v>2175</v>
      </c>
      <c r="P325" s="14" t="s">
        <v>562</v>
      </c>
      <c r="Q325" s="14" t="s">
        <v>533</v>
      </c>
      <c r="R325" s="16" t="str">
        <f t="shared" si="2"/>
        <v>Diferente</v>
      </c>
    </row>
    <row r="326">
      <c r="A326" s="7"/>
      <c r="B326" s="16"/>
      <c r="C326" s="12"/>
      <c r="D326" s="12"/>
      <c r="E326" s="9"/>
      <c r="F326" s="10"/>
      <c r="G326" s="11"/>
      <c r="H326" s="9"/>
      <c r="I326" s="31"/>
      <c r="J326" s="9"/>
      <c r="K326" s="9"/>
      <c r="L326" s="21" t="s">
        <v>65</v>
      </c>
      <c r="M326" s="30" t="s">
        <v>1347</v>
      </c>
      <c r="N326" s="30" t="s">
        <v>1348</v>
      </c>
      <c r="O326" s="29" t="s">
        <v>2166</v>
      </c>
      <c r="P326" s="14" t="s">
        <v>562</v>
      </c>
      <c r="Q326" s="14" t="s">
        <v>562</v>
      </c>
      <c r="R326" s="16" t="str">
        <f t="shared" si="2"/>
        <v>Igual</v>
      </c>
    </row>
    <row r="327">
      <c r="A327" s="7"/>
      <c r="B327" s="16"/>
      <c r="C327" s="12"/>
      <c r="D327" s="12"/>
      <c r="E327" s="9"/>
      <c r="F327" s="10"/>
      <c r="G327" s="11"/>
      <c r="H327" s="9"/>
      <c r="I327" s="31"/>
      <c r="J327" s="9"/>
      <c r="K327" s="9"/>
      <c r="L327" s="21" t="s">
        <v>71</v>
      </c>
      <c r="M327" s="30" t="s">
        <v>1349</v>
      </c>
      <c r="N327" s="30" t="s">
        <v>1350</v>
      </c>
      <c r="O327" s="29" t="s">
        <v>2166</v>
      </c>
      <c r="P327" s="14" t="s">
        <v>562</v>
      </c>
      <c r="Q327" s="14" t="s">
        <v>562</v>
      </c>
      <c r="R327" s="16" t="str">
        <f t="shared" si="2"/>
        <v>Igual</v>
      </c>
    </row>
    <row r="328">
      <c r="A328" s="7" t="s">
        <v>203</v>
      </c>
      <c r="B328" s="14" t="s">
        <v>1057</v>
      </c>
      <c r="C328" s="12"/>
      <c r="D328" s="17" t="s">
        <v>1350</v>
      </c>
      <c r="E328" s="9" t="s">
        <v>204</v>
      </c>
      <c r="F328" s="10" t="s">
        <v>205</v>
      </c>
      <c r="G328" s="11">
        <v>2025.0</v>
      </c>
      <c r="H328" s="9" t="s">
        <v>206</v>
      </c>
      <c r="I328" s="29" t="s">
        <v>680</v>
      </c>
      <c r="J328" s="9"/>
      <c r="K328" s="9" t="s">
        <v>152</v>
      </c>
      <c r="L328" s="21" t="s">
        <v>25</v>
      </c>
      <c r="M328" s="30" t="s">
        <v>1351</v>
      </c>
      <c r="N328" s="30" t="s">
        <v>1352</v>
      </c>
      <c r="O328" s="29" t="s">
        <v>2155</v>
      </c>
      <c r="P328" s="14" t="s">
        <v>562</v>
      </c>
      <c r="Q328" s="14" t="s">
        <v>533</v>
      </c>
      <c r="R328" s="16" t="str">
        <f t="shared" si="2"/>
        <v>Diferente</v>
      </c>
    </row>
    <row r="329">
      <c r="A329" s="7"/>
      <c r="B329" s="16"/>
      <c r="C329" s="12"/>
      <c r="D329" s="12"/>
      <c r="E329" s="9"/>
      <c r="F329" s="10"/>
      <c r="G329" s="11"/>
      <c r="H329" s="9"/>
      <c r="I329" s="29" t="s">
        <v>1021</v>
      </c>
      <c r="J329" s="9"/>
      <c r="K329" s="9"/>
      <c r="L329" s="21" t="s">
        <v>31</v>
      </c>
      <c r="M329" s="30" t="s">
        <v>1353</v>
      </c>
      <c r="N329" s="30" t="s">
        <v>1354</v>
      </c>
      <c r="O329" s="29" t="s">
        <v>2176</v>
      </c>
      <c r="P329" s="14" t="s">
        <v>562</v>
      </c>
      <c r="Q329" s="14" t="s">
        <v>533</v>
      </c>
      <c r="R329" s="16" t="str">
        <f t="shared" si="2"/>
        <v>Diferente</v>
      </c>
    </row>
    <row r="330">
      <c r="A330" s="7"/>
      <c r="B330" s="16"/>
      <c r="C330" s="12"/>
      <c r="D330" s="12"/>
      <c r="E330" s="9"/>
      <c r="F330" s="10"/>
      <c r="G330" s="11"/>
      <c r="H330" s="9"/>
      <c r="I330" s="29" t="s">
        <v>1355</v>
      </c>
      <c r="J330" s="9"/>
      <c r="K330" s="9"/>
      <c r="L330" s="21" t="s">
        <v>36</v>
      </c>
      <c r="M330" s="30" t="s">
        <v>1356</v>
      </c>
      <c r="N330" s="30" t="s">
        <v>1357</v>
      </c>
      <c r="O330" s="29" t="s">
        <v>2177</v>
      </c>
      <c r="P330" s="14" t="s">
        <v>562</v>
      </c>
      <c r="Q330" s="14" t="s">
        <v>533</v>
      </c>
      <c r="R330" s="16" t="str">
        <f t="shared" si="2"/>
        <v>Diferente</v>
      </c>
    </row>
    <row r="331">
      <c r="A331" s="7"/>
      <c r="B331" s="16"/>
      <c r="C331" s="12"/>
      <c r="D331" s="12"/>
      <c r="E331" s="9"/>
      <c r="F331" s="10"/>
      <c r="G331" s="11"/>
      <c r="H331" s="9"/>
      <c r="I331" s="29"/>
      <c r="J331" s="9"/>
      <c r="K331" s="9"/>
      <c r="L331" s="21" t="s">
        <v>41</v>
      </c>
      <c r="M331" s="30" t="s">
        <v>1358</v>
      </c>
      <c r="N331" s="30" t="s">
        <v>1359</v>
      </c>
      <c r="O331" s="29" t="s">
        <v>2178</v>
      </c>
      <c r="P331" s="14" t="s">
        <v>562</v>
      </c>
      <c r="Q331" s="14" t="s">
        <v>533</v>
      </c>
      <c r="R331" s="16" t="str">
        <f t="shared" si="2"/>
        <v>Diferente</v>
      </c>
    </row>
    <row r="332">
      <c r="A332" s="7"/>
      <c r="B332" s="16"/>
      <c r="C332" s="12"/>
      <c r="D332" s="12"/>
      <c r="E332" s="9"/>
      <c r="F332" s="10"/>
      <c r="G332" s="11"/>
      <c r="H332" s="9"/>
      <c r="I332" s="31"/>
      <c r="J332" s="9"/>
      <c r="K332" s="9"/>
      <c r="L332" s="21" t="s">
        <v>47</v>
      </c>
      <c r="M332" s="30" t="s">
        <v>1360</v>
      </c>
      <c r="N332" s="30" t="s">
        <v>1361</v>
      </c>
      <c r="O332" s="29" t="s">
        <v>2179</v>
      </c>
      <c r="P332" s="14" t="s">
        <v>562</v>
      </c>
      <c r="Q332" s="14" t="s">
        <v>533</v>
      </c>
      <c r="R332" s="16" t="str">
        <f t="shared" si="2"/>
        <v>Diferente</v>
      </c>
    </row>
    <row r="333">
      <c r="A333" s="7"/>
      <c r="B333" s="16"/>
      <c r="C333" s="12"/>
      <c r="D333" s="12"/>
      <c r="E333" s="9"/>
      <c r="F333" s="10"/>
      <c r="G333" s="11"/>
      <c r="H333" s="9"/>
      <c r="I333" s="31"/>
      <c r="J333" s="9"/>
      <c r="K333" s="9"/>
      <c r="L333" s="21" t="s">
        <v>53</v>
      </c>
      <c r="M333" s="30" t="s">
        <v>1362</v>
      </c>
      <c r="N333" s="30" t="s">
        <v>1363</v>
      </c>
      <c r="O333" s="29" t="s">
        <v>2166</v>
      </c>
      <c r="P333" s="14" t="s">
        <v>562</v>
      </c>
      <c r="Q333" s="14" t="s">
        <v>562</v>
      </c>
      <c r="R333" s="16" t="str">
        <f t="shared" si="2"/>
        <v>Igual</v>
      </c>
    </row>
    <row r="334">
      <c r="A334" s="7"/>
      <c r="B334" s="16"/>
      <c r="C334" s="12"/>
      <c r="D334" s="12"/>
      <c r="E334" s="9"/>
      <c r="F334" s="10"/>
      <c r="G334" s="11"/>
      <c r="H334" s="9"/>
      <c r="I334" s="31"/>
      <c r="J334" s="9"/>
      <c r="K334" s="9"/>
      <c r="L334" s="21" t="s">
        <v>59</v>
      </c>
      <c r="M334" s="30" t="s">
        <v>1364</v>
      </c>
      <c r="N334" s="30" t="s">
        <v>1365</v>
      </c>
      <c r="O334" s="29" t="s">
        <v>2180</v>
      </c>
      <c r="P334" s="14" t="s">
        <v>533</v>
      </c>
      <c r="Q334" s="14" t="s">
        <v>533</v>
      </c>
      <c r="R334" s="16" t="str">
        <f t="shared" si="2"/>
        <v>Igual</v>
      </c>
    </row>
    <row r="335">
      <c r="A335" s="7"/>
      <c r="B335" s="16"/>
      <c r="C335" s="12"/>
      <c r="D335" s="12"/>
      <c r="E335" s="9"/>
      <c r="F335" s="10"/>
      <c r="G335" s="11"/>
      <c r="H335" s="9"/>
      <c r="I335" s="31"/>
      <c r="J335" s="9"/>
      <c r="K335" s="9"/>
      <c r="L335" s="21" t="s">
        <v>65</v>
      </c>
      <c r="M335" s="30" t="s">
        <v>1366</v>
      </c>
      <c r="N335" s="30" t="s">
        <v>1367</v>
      </c>
      <c r="O335" s="29" t="s">
        <v>2166</v>
      </c>
      <c r="P335" s="14" t="s">
        <v>562</v>
      </c>
      <c r="Q335" s="14" t="s">
        <v>562</v>
      </c>
      <c r="R335" s="16" t="str">
        <f t="shared" si="2"/>
        <v>Igual</v>
      </c>
    </row>
    <row r="336">
      <c r="A336" s="7"/>
      <c r="B336" s="16"/>
      <c r="C336" s="12"/>
      <c r="D336" s="12"/>
      <c r="E336" s="9"/>
      <c r="F336" s="10"/>
      <c r="G336" s="11"/>
      <c r="H336" s="9"/>
      <c r="I336" s="31"/>
      <c r="J336" s="9"/>
      <c r="K336" s="9"/>
      <c r="L336" s="21" t="s">
        <v>71</v>
      </c>
      <c r="M336" s="30" t="s">
        <v>1368</v>
      </c>
      <c r="N336" s="30" t="s">
        <v>1369</v>
      </c>
      <c r="O336" s="29" t="s">
        <v>2181</v>
      </c>
      <c r="P336" s="14" t="s">
        <v>542</v>
      </c>
      <c r="Q336" s="14" t="s">
        <v>533</v>
      </c>
      <c r="R336" s="16" t="str">
        <f t="shared" si="2"/>
        <v>Diferente</v>
      </c>
    </row>
    <row r="337">
      <c r="A337" s="7" t="s">
        <v>207</v>
      </c>
      <c r="B337" s="14" t="s">
        <v>1057</v>
      </c>
      <c r="C337" s="12"/>
      <c r="D337" s="17" t="s">
        <v>1370</v>
      </c>
      <c r="E337" s="9" t="s">
        <v>208</v>
      </c>
      <c r="F337" s="10" t="s">
        <v>209</v>
      </c>
      <c r="G337" s="11">
        <v>2024.0</v>
      </c>
      <c r="H337" s="9" t="s">
        <v>210</v>
      </c>
      <c r="I337" s="29" t="s">
        <v>1371</v>
      </c>
      <c r="J337" s="9"/>
      <c r="K337" s="9" t="s">
        <v>152</v>
      </c>
      <c r="L337" s="21" t="s">
        <v>25</v>
      </c>
      <c r="M337" s="30" t="s">
        <v>1372</v>
      </c>
      <c r="N337" s="30" t="s">
        <v>1373</v>
      </c>
      <c r="O337" s="29" t="s">
        <v>2155</v>
      </c>
      <c r="P337" s="14" t="s">
        <v>562</v>
      </c>
      <c r="Q337" s="14" t="s">
        <v>533</v>
      </c>
      <c r="R337" s="16" t="str">
        <f t="shared" si="2"/>
        <v>Diferente</v>
      </c>
    </row>
    <row r="338">
      <c r="A338" s="7"/>
      <c r="B338" s="16"/>
      <c r="C338" s="12"/>
      <c r="D338" s="12"/>
      <c r="E338" s="9"/>
      <c r="F338" s="10"/>
      <c r="G338" s="11"/>
      <c r="H338" s="9"/>
      <c r="I338" s="31"/>
      <c r="J338" s="9"/>
      <c r="K338" s="9"/>
      <c r="L338" s="21" t="s">
        <v>31</v>
      </c>
      <c r="M338" s="30" t="s">
        <v>1374</v>
      </c>
      <c r="N338" s="30" t="s">
        <v>1375</v>
      </c>
      <c r="O338" s="29" t="s">
        <v>2182</v>
      </c>
      <c r="P338" s="14" t="s">
        <v>562</v>
      </c>
      <c r="Q338" s="14" t="s">
        <v>533</v>
      </c>
      <c r="R338" s="16" t="str">
        <f t="shared" si="2"/>
        <v>Diferente</v>
      </c>
    </row>
    <row r="339">
      <c r="A339" s="7"/>
      <c r="B339" s="16"/>
      <c r="C339" s="12"/>
      <c r="D339" s="12"/>
      <c r="E339" s="9"/>
      <c r="F339" s="10"/>
      <c r="G339" s="11"/>
      <c r="H339" s="9"/>
      <c r="I339" s="31"/>
      <c r="J339" s="9"/>
      <c r="K339" s="9"/>
      <c r="L339" s="21" t="s">
        <v>36</v>
      </c>
      <c r="M339" s="30" t="s">
        <v>1376</v>
      </c>
      <c r="N339" s="30" t="s">
        <v>1377</v>
      </c>
      <c r="O339" s="29" t="s">
        <v>2183</v>
      </c>
      <c r="P339" s="14" t="s">
        <v>562</v>
      </c>
      <c r="Q339" s="14" t="s">
        <v>533</v>
      </c>
      <c r="R339" s="16" t="str">
        <f t="shared" si="2"/>
        <v>Diferente</v>
      </c>
    </row>
    <row r="340">
      <c r="A340" s="7"/>
      <c r="B340" s="16"/>
      <c r="C340" s="12"/>
      <c r="D340" s="12"/>
      <c r="E340" s="9"/>
      <c r="F340" s="10"/>
      <c r="G340" s="11"/>
      <c r="H340" s="9"/>
      <c r="I340" s="31"/>
      <c r="J340" s="9"/>
      <c r="K340" s="9"/>
      <c r="L340" s="21" t="s">
        <v>41</v>
      </c>
      <c r="M340" s="30" t="s">
        <v>1378</v>
      </c>
      <c r="N340" s="30" t="s">
        <v>1379</v>
      </c>
      <c r="O340" s="29" t="s">
        <v>2184</v>
      </c>
      <c r="P340" s="14" t="s">
        <v>533</v>
      </c>
      <c r="Q340" s="14" t="s">
        <v>533</v>
      </c>
      <c r="R340" s="16" t="str">
        <f t="shared" si="2"/>
        <v>Igual</v>
      </c>
    </row>
    <row r="341">
      <c r="A341" s="7"/>
      <c r="B341" s="16"/>
      <c r="C341" s="12"/>
      <c r="D341" s="12"/>
      <c r="E341" s="9"/>
      <c r="F341" s="10"/>
      <c r="G341" s="11"/>
      <c r="H341" s="9"/>
      <c r="I341" s="31"/>
      <c r="J341" s="9"/>
      <c r="K341" s="9"/>
      <c r="L341" s="21" t="s">
        <v>47</v>
      </c>
      <c r="M341" s="30" t="s">
        <v>1380</v>
      </c>
      <c r="N341" s="30" t="s">
        <v>1381</v>
      </c>
      <c r="O341" s="29" t="s">
        <v>2166</v>
      </c>
      <c r="P341" s="14" t="s">
        <v>562</v>
      </c>
      <c r="Q341" s="14" t="s">
        <v>562</v>
      </c>
      <c r="R341" s="16" t="str">
        <f t="shared" si="2"/>
        <v>Igual</v>
      </c>
    </row>
    <row r="342">
      <c r="A342" s="7"/>
      <c r="B342" s="16"/>
      <c r="C342" s="12"/>
      <c r="D342" s="12"/>
      <c r="E342" s="9"/>
      <c r="F342" s="10"/>
      <c r="G342" s="11"/>
      <c r="H342" s="9"/>
      <c r="I342" s="31"/>
      <c r="J342" s="9"/>
      <c r="K342" s="9"/>
      <c r="L342" s="21" t="s">
        <v>53</v>
      </c>
      <c r="M342" s="30" t="s">
        <v>1382</v>
      </c>
      <c r="N342" s="30" t="s">
        <v>1383</v>
      </c>
      <c r="O342" s="29" t="s">
        <v>2166</v>
      </c>
      <c r="P342" s="14" t="s">
        <v>562</v>
      </c>
      <c r="Q342" s="14" t="s">
        <v>562</v>
      </c>
      <c r="R342" s="16" t="str">
        <f t="shared" si="2"/>
        <v>Igual</v>
      </c>
    </row>
    <row r="343">
      <c r="A343" s="7"/>
      <c r="B343" s="16"/>
      <c r="C343" s="12"/>
      <c r="D343" s="12"/>
      <c r="E343" s="9"/>
      <c r="F343" s="10"/>
      <c r="G343" s="11"/>
      <c r="H343" s="9"/>
      <c r="I343" s="31"/>
      <c r="J343" s="9"/>
      <c r="K343" s="9"/>
      <c r="L343" s="21" t="s">
        <v>59</v>
      </c>
      <c r="M343" s="30" t="s">
        <v>1384</v>
      </c>
      <c r="N343" s="30" t="s">
        <v>1385</v>
      </c>
      <c r="O343" s="29" t="s">
        <v>2185</v>
      </c>
      <c r="P343" s="14" t="s">
        <v>562</v>
      </c>
      <c r="Q343" s="14" t="s">
        <v>533</v>
      </c>
      <c r="R343" s="16" t="str">
        <f t="shared" si="2"/>
        <v>Diferente</v>
      </c>
    </row>
    <row r="344">
      <c r="A344" s="7"/>
      <c r="B344" s="16"/>
      <c r="C344" s="12"/>
      <c r="D344" s="12"/>
      <c r="E344" s="9"/>
      <c r="F344" s="10"/>
      <c r="G344" s="11"/>
      <c r="H344" s="9"/>
      <c r="I344" s="31"/>
      <c r="J344" s="9"/>
      <c r="K344" s="9"/>
      <c r="L344" s="21" t="s">
        <v>65</v>
      </c>
      <c r="M344" s="30" t="s">
        <v>1386</v>
      </c>
      <c r="N344" s="30" t="s">
        <v>1387</v>
      </c>
      <c r="O344" s="29" t="s">
        <v>2166</v>
      </c>
      <c r="P344" s="14" t="s">
        <v>562</v>
      </c>
      <c r="Q344" s="14" t="s">
        <v>562</v>
      </c>
      <c r="R344" s="16" t="str">
        <f t="shared" si="2"/>
        <v>Igual</v>
      </c>
    </row>
    <row r="345">
      <c r="A345" s="7"/>
      <c r="B345" s="16"/>
      <c r="C345" s="12"/>
      <c r="D345" s="12"/>
      <c r="E345" s="9"/>
      <c r="F345" s="10"/>
      <c r="G345" s="11"/>
      <c r="H345" s="9"/>
      <c r="I345" s="31"/>
      <c r="J345" s="9"/>
      <c r="K345" s="9"/>
      <c r="L345" s="21" t="s">
        <v>71</v>
      </c>
      <c r="M345" s="30" t="s">
        <v>1388</v>
      </c>
      <c r="N345" s="30" t="s">
        <v>1389</v>
      </c>
      <c r="O345" s="29" t="s">
        <v>2186</v>
      </c>
      <c r="P345" s="14" t="s">
        <v>533</v>
      </c>
      <c r="Q345" s="14" t="s">
        <v>562</v>
      </c>
      <c r="R345" s="16" t="str">
        <f t="shared" si="2"/>
        <v>Diferente</v>
      </c>
    </row>
    <row r="346">
      <c r="A346" s="7" t="s">
        <v>211</v>
      </c>
      <c r="B346" s="14" t="s">
        <v>1057</v>
      </c>
      <c r="C346" s="12"/>
      <c r="D346" s="17" t="s">
        <v>1390</v>
      </c>
      <c r="E346" s="9" t="s">
        <v>212</v>
      </c>
      <c r="F346" s="10" t="s">
        <v>213</v>
      </c>
      <c r="G346" s="11">
        <v>2024.0</v>
      </c>
      <c r="H346" s="9" t="s">
        <v>214</v>
      </c>
      <c r="I346" s="29" t="s">
        <v>680</v>
      </c>
      <c r="J346" s="9"/>
      <c r="K346" s="9" t="s">
        <v>152</v>
      </c>
      <c r="L346" s="21" t="s">
        <v>25</v>
      </c>
      <c r="M346" s="30" t="s">
        <v>1391</v>
      </c>
      <c r="N346" s="30" t="s">
        <v>1392</v>
      </c>
      <c r="O346" s="29" t="s">
        <v>2155</v>
      </c>
      <c r="P346" s="14" t="s">
        <v>533</v>
      </c>
      <c r="Q346" s="14" t="s">
        <v>533</v>
      </c>
      <c r="R346" s="16" t="str">
        <f t="shared" si="2"/>
        <v>Igual</v>
      </c>
    </row>
    <row r="347">
      <c r="A347" s="7"/>
      <c r="B347" s="16"/>
      <c r="C347" s="12"/>
      <c r="D347" s="12"/>
      <c r="E347" s="9"/>
      <c r="F347" s="10"/>
      <c r="G347" s="11"/>
      <c r="H347" s="9"/>
      <c r="I347" s="31"/>
      <c r="J347" s="9"/>
      <c r="K347" s="9"/>
      <c r="L347" s="21" t="s">
        <v>31</v>
      </c>
      <c r="M347" s="30" t="s">
        <v>1393</v>
      </c>
      <c r="N347" s="30" t="s">
        <v>1394</v>
      </c>
      <c r="O347" s="29" t="s">
        <v>2166</v>
      </c>
      <c r="P347" s="14" t="s">
        <v>533</v>
      </c>
      <c r="Q347" s="14" t="s">
        <v>562</v>
      </c>
      <c r="R347" s="16" t="str">
        <f t="shared" si="2"/>
        <v>Diferente</v>
      </c>
    </row>
    <row r="348">
      <c r="A348" s="7"/>
      <c r="B348" s="16"/>
      <c r="C348" s="12"/>
      <c r="D348" s="12"/>
      <c r="E348" s="9"/>
      <c r="F348" s="10"/>
      <c r="G348" s="11"/>
      <c r="H348" s="9"/>
      <c r="I348" s="31"/>
      <c r="J348" s="9"/>
      <c r="K348" s="9"/>
      <c r="L348" s="21" t="s">
        <v>36</v>
      </c>
      <c r="M348" s="30" t="s">
        <v>1395</v>
      </c>
      <c r="N348" s="30" t="s">
        <v>1396</v>
      </c>
      <c r="O348" s="29" t="s">
        <v>2187</v>
      </c>
      <c r="P348" s="14" t="s">
        <v>533</v>
      </c>
      <c r="Q348" s="14" t="s">
        <v>533</v>
      </c>
      <c r="R348" s="16" t="str">
        <f t="shared" si="2"/>
        <v>Igual</v>
      </c>
    </row>
    <row r="349">
      <c r="A349" s="7"/>
      <c r="B349" s="16"/>
      <c r="C349" s="12"/>
      <c r="D349" s="12"/>
      <c r="E349" s="9"/>
      <c r="F349" s="10"/>
      <c r="G349" s="11"/>
      <c r="H349" s="9"/>
      <c r="I349" s="31"/>
      <c r="J349" s="9"/>
      <c r="K349" s="9"/>
      <c r="L349" s="21" t="s">
        <v>41</v>
      </c>
      <c r="M349" s="30" t="s">
        <v>1397</v>
      </c>
      <c r="N349" s="30" t="s">
        <v>1398</v>
      </c>
      <c r="O349" s="29" t="s">
        <v>2188</v>
      </c>
      <c r="P349" s="14" t="s">
        <v>533</v>
      </c>
      <c r="Q349" s="14" t="s">
        <v>533</v>
      </c>
      <c r="R349" s="16" t="str">
        <f t="shared" si="2"/>
        <v>Igual</v>
      </c>
    </row>
    <row r="350">
      <c r="A350" s="7"/>
      <c r="B350" s="16"/>
      <c r="C350" s="12"/>
      <c r="D350" s="12"/>
      <c r="E350" s="9"/>
      <c r="F350" s="10"/>
      <c r="G350" s="11"/>
      <c r="H350" s="9"/>
      <c r="I350" s="31"/>
      <c r="J350" s="9"/>
      <c r="K350" s="9"/>
      <c r="L350" s="21" t="s">
        <v>47</v>
      </c>
      <c r="M350" s="30" t="s">
        <v>1073</v>
      </c>
      <c r="N350" s="30" t="s">
        <v>1399</v>
      </c>
      <c r="O350" s="29" t="s">
        <v>1135</v>
      </c>
      <c r="P350" s="14" t="s">
        <v>533</v>
      </c>
      <c r="Q350" s="14" t="s">
        <v>533</v>
      </c>
      <c r="R350" s="16" t="str">
        <f t="shared" si="2"/>
        <v>Igual</v>
      </c>
    </row>
    <row r="351">
      <c r="A351" s="7"/>
      <c r="B351" s="16"/>
      <c r="C351" s="12"/>
      <c r="D351" s="12"/>
      <c r="E351" s="9"/>
      <c r="F351" s="10"/>
      <c r="G351" s="11"/>
      <c r="H351" s="9"/>
      <c r="I351" s="31"/>
      <c r="J351" s="9"/>
      <c r="K351" s="9"/>
      <c r="L351" s="21" t="s">
        <v>53</v>
      </c>
      <c r="M351" s="30" t="s">
        <v>1073</v>
      </c>
      <c r="N351" s="30" t="s">
        <v>1400</v>
      </c>
      <c r="O351" s="29" t="s">
        <v>1135</v>
      </c>
      <c r="P351" s="14" t="s">
        <v>533</v>
      </c>
      <c r="Q351" s="14" t="s">
        <v>533</v>
      </c>
      <c r="R351" s="16" t="str">
        <f t="shared" si="2"/>
        <v>Igual</v>
      </c>
    </row>
    <row r="352">
      <c r="A352" s="7"/>
      <c r="B352" s="16"/>
      <c r="C352" s="12"/>
      <c r="D352" s="12"/>
      <c r="E352" s="9"/>
      <c r="F352" s="10"/>
      <c r="G352" s="11"/>
      <c r="H352" s="9"/>
      <c r="I352" s="31"/>
      <c r="J352" s="9"/>
      <c r="K352" s="9"/>
      <c r="L352" s="21" t="s">
        <v>59</v>
      </c>
      <c r="M352" s="30" t="s">
        <v>1073</v>
      </c>
      <c r="N352" s="30" t="s">
        <v>1401</v>
      </c>
      <c r="O352" s="29" t="s">
        <v>1135</v>
      </c>
      <c r="P352" s="14" t="s">
        <v>533</v>
      </c>
      <c r="Q352" s="14" t="s">
        <v>533</v>
      </c>
      <c r="R352" s="16" t="str">
        <f t="shared" si="2"/>
        <v>Igual</v>
      </c>
    </row>
    <row r="353">
      <c r="A353" s="7"/>
      <c r="B353" s="16"/>
      <c r="C353" s="12"/>
      <c r="D353" s="12"/>
      <c r="E353" s="9"/>
      <c r="F353" s="10"/>
      <c r="G353" s="11"/>
      <c r="H353" s="9"/>
      <c r="I353" s="31"/>
      <c r="J353" s="9"/>
      <c r="K353" s="9"/>
      <c r="L353" s="21" t="s">
        <v>65</v>
      </c>
      <c r="M353" s="30" t="s">
        <v>1073</v>
      </c>
      <c r="N353" s="30" t="s">
        <v>1402</v>
      </c>
      <c r="O353" s="29" t="s">
        <v>2189</v>
      </c>
      <c r="P353" s="14" t="s">
        <v>533</v>
      </c>
      <c r="Q353" s="14" t="s">
        <v>533</v>
      </c>
      <c r="R353" s="16" t="str">
        <f t="shared" si="2"/>
        <v>Igual</v>
      </c>
    </row>
    <row r="354">
      <c r="A354" s="7"/>
      <c r="B354" s="16"/>
      <c r="C354" s="12"/>
      <c r="D354" s="12"/>
      <c r="E354" s="9"/>
      <c r="F354" s="10"/>
      <c r="G354" s="11"/>
      <c r="H354" s="9"/>
      <c r="I354" s="31"/>
      <c r="J354" s="9"/>
      <c r="K354" s="9"/>
      <c r="L354" s="21" t="s">
        <v>71</v>
      </c>
      <c r="M354" s="30" t="s">
        <v>1403</v>
      </c>
      <c r="N354" s="30" t="s">
        <v>1404</v>
      </c>
      <c r="O354" s="29" t="s">
        <v>2190</v>
      </c>
      <c r="P354" s="14" t="s">
        <v>533</v>
      </c>
      <c r="Q354" s="14" t="s">
        <v>533</v>
      </c>
      <c r="R354" s="16" t="str">
        <f t="shared" si="2"/>
        <v>Igual</v>
      </c>
    </row>
    <row r="355">
      <c r="A355" s="7" t="s">
        <v>215</v>
      </c>
      <c r="B355" s="14" t="s">
        <v>20</v>
      </c>
      <c r="C355" s="12"/>
      <c r="D355" s="17" t="s">
        <v>1405</v>
      </c>
      <c r="E355" s="9" t="s">
        <v>216</v>
      </c>
      <c r="F355" s="10" t="s">
        <v>217</v>
      </c>
      <c r="G355" s="11">
        <v>2023.0</v>
      </c>
      <c r="H355" s="9" t="s">
        <v>218</v>
      </c>
      <c r="I355" s="29" t="s">
        <v>1406</v>
      </c>
      <c r="J355" s="9"/>
      <c r="K355" s="9" t="s">
        <v>152</v>
      </c>
      <c r="L355" s="21" t="s">
        <v>25</v>
      </c>
      <c r="M355" s="30" t="s">
        <v>1407</v>
      </c>
      <c r="N355" s="30" t="s">
        <v>1408</v>
      </c>
      <c r="O355" s="29" t="s">
        <v>2155</v>
      </c>
      <c r="P355" s="14" t="s">
        <v>533</v>
      </c>
      <c r="Q355" s="14" t="s">
        <v>533</v>
      </c>
      <c r="R355" s="16" t="str">
        <f t="shared" si="2"/>
        <v>Igual</v>
      </c>
    </row>
    <row r="356">
      <c r="A356" s="7"/>
      <c r="B356" s="16"/>
      <c r="C356" s="12"/>
      <c r="D356" s="12"/>
      <c r="E356" s="9"/>
      <c r="F356" s="10"/>
      <c r="G356" s="11"/>
      <c r="H356" s="9"/>
      <c r="I356" s="31"/>
      <c r="J356" s="9"/>
      <c r="K356" s="9"/>
      <c r="L356" s="21" t="s">
        <v>31</v>
      </c>
      <c r="M356" s="30" t="s">
        <v>1409</v>
      </c>
      <c r="N356" s="30" t="s">
        <v>1410</v>
      </c>
      <c r="O356" s="29" t="s">
        <v>2191</v>
      </c>
      <c r="P356" s="14" t="s">
        <v>533</v>
      </c>
      <c r="Q356" s="14" t="s">
        <v>533</v>
      </c>
      <c r="R356" s="16" t="str">
        <f t="shared" si="2"/>
        <v>Igual</v>
      </c>
    </row>
    <row r="357">
      <c r="A357" s="7"/>
      <c r="B357" s="16"/>
      <c r="C357" s="12"/>
      <c r="D357" s="12"/>
      <c r="E357" s="9"/>
      <c r="F357" s="10"/>
      <c r="G357" s="11"/>
      <c r="H357" s="9"/>
      <c r="I357" s="31"/>
      <c r="J357" s="9"/>
      <c r="K357" s="9"/>
      <c r="L357" s="21" t="s">
        <v>36</v>
      </c>
      <c r="M357" s="30" t="s">
        <v>1411</v>
      </c>
      <c r="N357" s="30" t="s">
        <v>1412</v>
      </c>
      <c r="O357" s="29" t="s">
        <v>2192</v>
      </c>
      <c r="P357" s="14" t="s">
        <v>533</v>
      </c>
      <c r="Q357" s="14" t="s">
        <v>533</v>
      </c>
      <c r="R357" s="16" t="str">
        <f t="shared" si="2"/>
        <v>Igual</v>
      </c>
    </row>
    <row r="358">
      <c r="A358" s="7"/>
      <c r="B358" s="16"/>
      <c r="C358" s="12"/>
      <c r="D358" s="12"/>
      <c r="E358" s="9"/>
      <c r="F358" s="10"/>
      <c r="G358" s="11"/>
      <c r="H358" s="9"/>
      <c r="I358" s="31"/>
      <c r="J358" s="9"/>
      <c r="K358" s="9"/>
      <c r="L358" s="21" t="s">
        <v>41</v>
      </c>
      <c r="M358" s="30" t="s">
        <v>1413</v>
      </c>
      <c r="N358" s="30" t="s">
        <v>1414</v>
      </c>
      <c r="O358" s="29" t="s">
        <v>1135</v>
      </c>
      <c r="P358" s="14" t="s">
        <v>533</v>
      </c>
      <c r="Q358" s="14" t="s">
        <v>533</v>
      </c>
      <c r="R358" s="16" t="str">
        <f t="shared" si="2"/>
        <v>Igual</v>
      </c>
    </row>
    <row r="359">
      <c r="A359" s="7"/>
      <c r="B359" s="16"/>
      <c r="C359" s="12"/>
      <c r="D359" s="12"/>
      <c r="E359" s="9"/>
      <c r="F359" s="10"/>
      <c r="G359" s="11"/>
      <c r="H359" s="9"/>
      <c r="I359" s="31"/>
      <c r="J359" s="9"/>
      <c r="K359" s="9"/>
      <c r="L359" s="21" t="s">
        <v>47</v>
      </c>
      <c r="M359" s="30" t="s">
        <v>1415</v>
      </c>
      <c r="N359" s="30" t="s">
        <v>1416</v>
      </c>
      <c r="O359" s="29" t="s">
        <v>1135</v>
      </c>
      <c r="P359" s="14" t="s">
        <v>533</v>
      </c>
      <c r="Q359" s="14" t="s">
        <v>533</v>
      </c>
      <c r="R359" s="16" t="str">
        <f t="shared" si="2"/>
        <v>Igual</v>
      </c>
    </row>
    <row r="360">
      <c r="A360" s="7"/>
      <c r="B360" s="16"/>
      <c r="C360" s="12"/>
      <c r="D360" s="12"/>
      <c r="E360" s="9"/>
      <c r="F360" s="10"/>
      <c r="G360" s="11"/>
      <c r="H360" s="9"/>
      <c r="I360" s="31"/>
      <c r="J360" s="9"/>
      <c r="K360" s="9"/>
      <c r="L360" s="21" t="s">
        <v>53</v>
      </c>
      <c r="M360" s="30" t="s">
        <v>1417</v>
      </c>
      <c r="N360" s="30" t="s">
        <v>1418</v>
      </c>
      <c r="O360" s="29" t="s">
        <v>1135</v>
      </c>
      <c r="P360" s="14" t="s">
        <v>533</v>
      </c>
      <c r="Q360" s="14" t="s">
        <v>533</v>
      </c>
      <c r="R360" s="16" t="str">
        <f t="shared" si="2"/>
        <v>Igual</v>
      </c>
    </row>
    <row r="361">
      <c r="A361" s="7"/>
      <c r="B361" s="16"/>
      <c r="C361" s="12"/>
      <c r="D361" s="12"/>
      <c r="E361" s="9"/>
      <c r="F361" s="10"/>
      <c r="G361" s="11"/>
      <c r="H361" s="9"/>
      <c r="I361" s="31"/>
      <c r="J361" s="9"/>
      <c r="K361" s="9"/>
      <c r="L361" s="21" t="s">
        <v>59</v>
      </c>
      <c r="M361" s="30" t="s">
        <v>1419</v>
      </c>
      <c r="N361" s="30" t="s">
        <v>1420</v>
      </c>
      <c r="O361" s="29" t="s">
        <v>2193</v>
      </c>
      <c r="P361" s="14" t="s">
        <v>533</v>
      </c>
      <c r="Q361" s="14" t="s">
        <v>533</v>
      </c>
      <c r="R361" s="16" t="str">
        <f t="shared" si="2"/>
        <v>Igual</v>
      </c>
    </row>
    <row r="362">
      <c r="A362" s="7"/>
      <c r="B362" s="16"/>
      <c r="C362" s="12"/>
      <c r="D362" s="12"/>
      <c r="E362" s="9"/>
      <c r="F362" s="10"/>
      <c r="G362" s="11"/>
      <c r="H362" s="9"/>
      <c r="I362" s="31"/>
      <c r="J362" s="9"/>
      <c r="K362" s="9"/>
      <c r="L362" s="21" t="s">
        <v>65</v>
      </c>
      <c r="M362" s="30" t="s">
        <v>1421</v>
      </c>
      <c r="N362" s="30" t="s">
        <v>1422</v>
      </c>
      <c r="O362" s="29" t="s">
        <v>1135</v>
      </c>
      <c r="P362" s="14" t="s">
        <v>533</v>
      </c>
      <c r="Q362" s="14" t="s">
        <v>533</v>
      </c>
      <c r="R362" s="16" t="str">
        <f t="shared" si="2"/>
        <v>Igual</v>
      </c>
    </row>
    <row r="363">
      <c r="A363" s="7"/>
      <c r="B363" s="16"/>
      <c r="C363" s="12"/>
      <c r="D363" s="12"/>
      <c r="E363" s="9"/>
      <c r="F363" s="10"/>
      <c r="G363" s="11"/>
      <c r="H363" s="9"/>
      <c r="I363" s="31"/>
      <c r="J363" s="9"/>
      <c r="K363" s="9"/>
      <c r="L363" s="21" t="s">
        <v>71</v>
      </c>
      <c r="M363" s="30" t="s">
        <v>1423</v>
      </c>
      <c r="N363" s="30" t="s">
        <v>1424</v>
      </c>
      <c r="O363" s="29" t="s">
        <v>2167</v>
      </c>
      <c r="P363" s="14" t="s">
        <v>562</v>
      </c>
      <c r="Q363" s="14" t="s">
        <v>533</v>
      </c>
      <c r="R363" s="16" t="str">
        <f t="shared" si="2"/>
        <v>Diferente</v>
      </c>
    </row>
    <row r="364">
      <c r="A364" s="7" t="s">
        <v>219</v>
      </c>
      <c r="B364" s="14" t="s">
        <v>1057</v>
      </c>
      <c r="C364" s="12"/>
      <c r="D364" s="17" t="s">
        <v>1425</v>
      </c>
      <c r="E364" s="9" t="s">
        <v>220</v>
      </c>
      <c r="F364" s="10" t="s">
        <v>221</v>
      </c>
      <c r="G364" s="11">
        <v>2025.0</v>
      </c>
      <c r="H364" s="9" t="s">
        <v>222</v>
      </c>
      <c r="I364" s="29" t="s">
        <v>1021</v>
      </c>
      <c r="J364" s="9"/>
      <c r="K364" s="9" t="s">
        <v>152</v>
      </c>
      <c r="L364" s="21" t="s">
        <v>25</v>
      </c>
      <c r="M364" s="30" t="s">
        <v>1426</v>
      </c>
      <c r="N364" s="30" t="s">
        <v>1427</v>
      </c>
      <c r="O364" s="29" t="s">
        <v>2155</v>
      </c>
      <c r="P364" s="14" t="s">
        <v>533</v>
      </c>
      <c r="Q364" s="14" t="s">
        <v>533</v>
      </c>
      <c r="R364" s="16" t="str">
        <f t="shared" si="2"/>
        <v>Igual</v>
      </c>
    </row>
    <row r="365">
      <c r="A365" s="7"/>
      <c r="B365" s="16"/>
      <c r="C365" s="12"/>
      <c r="D365" s="12"/>
      <c r="E365" s="9"/>
      <c r="F365" s="10"/>
      <c r="G365" s="11"/>
      <c r="H365" s="9"/>
      <c r="I365" s="31"/>
      <c r="J365" s="9"/>
      <c r="K365" s="9"/>
      <c r="L365" s="21" t="s">
        <v>31</v>
      </c>
      <c r="M365" s="30" t="s">
        <v>1428</v>
      </c>
      <c r="N365" s="30" t="s">
        <v>1429</v>
      </c>
      <c r="O365" s="29" t="s">
        <v>2194</v>
      </c>
      <c r="P365" s="14" t="s">
        <v>562</v>
      </c>
      <c r="Q365" s="14" t="s">
        <v>562</v>
      </c>
      <c r="R365" s="16" t="str">
        <f t="shared" si="2"/>
        <v>Igual</v>
      </c>
    </row>
    <row r="366">
      <c r="A366" s="7"/>
      <c r="B366" s="16"/>
      <c r="C366" s="12"/>
      <c r="D366" s="12"/>
      <c r="E366" s="9"/>
      <c r="F366" s="10"/>
      <c r="G366" s="11"/>
      <c r="H366" s="9"/>
      <c r="I366" s="31"/>
      <c r="J366" s="9"/>
      <c r="K366" s="9"/>
      <c r="L366" s="21" t="s">
        <v>36</v>
      </c>
      <c r="M366" s="30" t="s">
        <v>1430</v>
      </c>
      <c r="N366" s="30" t="s">
        <v>1431</v>
      </c>
      <c r="O366" s="29" t="s">
        <v>2195</v>
      </c>
      <c r="P366" s="14" t="s">
        <v>533</v>
      </c>
      <c r="Q366" s="14" t="s">
        <v>533</v>
      </c>
      <c r="R366" s="16" t="str">
        <f t="shared" si="2"/>
        <v>Igual</v>
      </c>
    </row>
    <row r="367">
      <c r="A367" s="7"/>
      <c r="B367" s="16"/>
      <c r="C367" s="12"/>
      <c r="D367" s="12"/>
      <c r="E367" s="9"/>
      <c r="F367" s="10"/>
      <c r="G367" s="11"/>
      <c r="H367" s="9"/>
      <c r="I367" s="31"/>
      <c r="J367" s="9"/>
      <c r="K367" s="9"/>
      <c r="L367" s="21" t="s">
        <v>41</v>
      </c>
      <c r="M367" s="30" t="s">
        <v>1432</v>
      </c>
      <c r="N367" s="30" t="s">
        <v>1433</v>
      </c>
      <c r="O367" s="29" t="s">
        <v>2196</v>
      </c>
      <c r="P367" s="14" t="s">
        <v>562</v>
      </c>
      <c r="Q367" s="14" t="s">
        <v>533</v>
      </c>
      <c r="R367" s="16" t="str">
        <f t="shared" si="2"/>
        <v>Diferente</v>
      </c>
    </row>
    <row r="368">
      <c r="A368" s="7"/>
      <c r="B368" s="16"/>
      <c r="C368" s="12"/>
      <c r="D368" s="12"/>
      <c r="E368" s="9"/>
      <c r="F368" s="10"/>
      <c r="G368" s="11"/>
      <c r="H368" s="9"/>
      <c r="I368" s="31"/>
      <c r="J368" s="9"/>
      <c r="K368" s="9"/>
      <c r="L368" s="21" t="s">
        <v>47</v>
      </c>
      <c r="M368" s="30" t="s">
        <v>1434</v>
      </c>
      <c r="N368" s="30" t="s">
        <v>1435</v>
      </c>
      <c r="O368" s="29" t="s">
        <v>2197</v>
      </c>
      <c r="P368" s="14" t="s">
        <v>533</v>
      </c>
      <c r="Q368" s="14" t="s">
        <v>562</v>
      </c>
      <c r="R368" s="16" t="str">
        <f t="shared" si="2"/>
        <v>Diferente</v>
      </c>
    </row>
    <row r="369">
      <c r="A369" s="7"/>
      <c r="B369" s="16"/>
      <c r="C369" s="12"/>
      <c r="D369" s="12"/>
      <c r="E369" s="9"/>
      <c r="F369" s="10"/>
      <c r="G369" s="11"/>
      <c r="H369" s="9"/>
      <c r="I369" s="31"/>
      <c r="J369" s="9"/>
      <c r="K369" s="9"/>
      <c r="L369" s="21" t="s">
        <v>53</v>
      </c>
      <c r="M369" s="30" t="s">
        <v>1436</v>
      </c>
      <c r="N369" s="30" t="s">
        <v>1291</v>
      </c>
      <c r="O369" s="29" t="s">
        <v>1135</v>
      </c>
      <c r="P369" s="14" t="s">
        <v>533</v>
      </c>
      <c r="Q369" s="14" t="s">
        <v>533</v>
      </c>
      <c r="R369" s="16" t="str">
        <f t="shared" si="2"/>
        <v>Igual</v>
      </c>
    </row>
    <row r="370">
      <c r="A370" s="7"/>
      <c r="B370" s="16"/>
      <c r="C370" s="12"/>
      <c r="D370" s="12"/>
      <c r="E370" s="9"/>
      <c r="F370" s="10"/>
      <c r="G370" s="11"/>
      <c r="H370" s="9"/>
      <c r="I370" s="31"/>
      <c r="J370" s="9"/>
      <c r="K370" s="9"/>
      <c r="L370" s="21" t="s">
        <v>59</v>
      </c>
      <c r="M370" s="30" t="s">
        <v>1437</v>
      </c>
      <c r="N370" s="30" t="s">
        <v>1438</v>
      </c>
      <c r="O370" s="29" t="s">
        <v>1135</v>
      </c>
      <c r="P370" s="14" t="s">
        <v>533</v>
      </c>
      <c r="Q370" s="14" t="s">
        <v>533</v>
      </c>
      <c r="R370" s="16" t="str">
        <f t="shared" si="2"/>
        <v>Igual</v>
      </c>
    </row>
    <row r="371">
      <c r="A371" s="7"/>
      <c r="B371" s="16"/>
      <c r="C371" s="12"/>
      <c r="D371" s="12"/>
      <c r="E371" s="9"/>
      <c r="F371" s="10"/>
      <c r="G371" s="11"/>
      <c r="H371" s="9"/>
      <c r="I371" s="31"/>
      <c r="J371" s="9"/>
      <c r="K371" s="9"/>
      <c r="L371" s="21" t="s">
        <v>65</v>
      </c>
      <c r="M371" s="30" t="s">
        <v>1439</v>
      </c>
      <c r="N371" s="30" t="s">
        <v>1440</v>
      </c>
      <c r="O371" s="29" t="s">
        <v>2189</v>
      </c>
      <c r="P371" s="14" t="s">
        <v>533</v>
      </c>
      <c r="Q371" s="14" t="s">
        <v>533</v>
      </c>
      <c r="R371" s="16" t="str">
        <f t="shared" si="2"/>
        <v>Igual</v>
      </c>
    </row>
    <row r="372">
      <c r="A372" s="7"/>
      <c r="B372" s="16"/>
      <c r="C372" s="12"/>
      <c r="D372" s="12"/>
      <c r="E372" s="9"/>
      <c r="F372" s="10"/>
      <c r="G372" s="11"/>
      <c r="H372" s="9"/>
      <c r="I372" s="31"/>
      <c r="J372" s="9"/>
      <c r="K372" s="9"/>
      <c r="L372" s="21" t="s">
        <v>71</v>
      </c>
      <c r="M372" s="30" t="s">
        <v>1441</v>
      </c>
      <c r="N372" s="30" t="s">
        <v>1442</v>
      </c>
      <c r="O372" s="29" t="s">
        <v>2198</v>
      </c>
      <c r="P372" s="14" t="s">
        <v>533</v>
      </c>
      <c r="Q372" s="14" t="s">
        <v>533</v>
      </c>
      <c r="R372" s="16" t="str">
        <f t="shared" si="2"/>
        <v>Igual</v>
      </c>
    </row>
    <row r="373">
      <c r="A373" s="7" t="s">
        <v>223</v>
      </c>
      <c r="B373" s="14" t="s">
        <v>1057</v>
      </c>
      <c r="C373" s="12"/>
      <c r="D373" s="17" t="s">
        <v>1443</v>
      </c>
      <c r="E373" s="9" t="s">
        <v>224</v>
      </c>
      <c r="F373" s="10" t="s">
        <v>225</v>
      </c>
      <c r="G373" s="11">
        <v>2021.0</v>
      </c>
      <c r="H373" s="9" t="s">
        <v>226</v>
      </c>
      <c r="I373" s="29" t="s">
        <v>998</v>
      </c>
      <c r="J373" s="9"/>
      <c r="K373" s="9" t="s">
        <v>152</v>
      </c>
      <c r="L373" s="21" t="s">
        <v>25</v>
      </c>
      <c r="M373" s="30" t="s">
        <v>1444</v>
      </c>
      <c r="N373" s="30" t="s">
        <v>1445</v>
      </c>
      <c r="O373" s="29" t="s">
        <v>2155</v>
      </c>
      <c r="P373" s="14" t="s">
        <v>562</v>
      </c>
      <c r="Q373" s="14" t="s">
        <v>533</v>
      </c>
      <c r="R373" s="16" t="str">
        <f t="shared" si="2"/>
        <v>Diferente</v>
      </c>
    </row>
    <row r="374">
      <c r="A374" s="7"/>
      <c r="B374" s="16"/>
      <c r="C374" s="12"/>
      <c r="D374" s="12"/>
      <c r="E374" s="9"/>
      <c r="F374" s="10"/>
      <c r="G374" s="11"/>
      <c r="H374" s="9"/>
      <c r="I374" s="31"/>
      <c r="J374" s="9"/>
      <c r="K374" s="9"/>
      <c r="L374" s="21" t="s">
        <v>31</v>
      </c>
      <c r="M374" s="30" t="s">
        <v>1446</v>
      </c>
      <c r="N374" s="30" t="s">
        <v>1447</v>
      </c>
      <c r="O374" s="29" t="s">
        <v>2199</v>
      </c>
      <c r="P374" s="14" t="s">
        <v>533</v>
      </c>
      <c r="Q374" s="14" t="s">
        <v>533</v>
      </c>
      <c r="R374" s="16" t="str">
        <f t="shared" si="2"/>
        <v>Igual</v>
      </c>
    </row>
    <row r="375">
      <c r="A375" s="7"/>
      <c r="B375" s="16"/>
      <c r="C375" s="12"/>
      <c r="D375" s="12"/>
      <c r="E375" s="9"/>
      <c r="F375" s="10"/>
      <c r="G375" s="11"/>
      <c r="H375" s="9"/>
      <c r="I375" s="31"/>
      <c r="J375" s="9"/>
      <c r="K375" s="9"/>
      <c r="L375" s="21" t="s">
        <v>36</v>
      </c>
      <c r="M375" s="30" t="s">
        <v>1448</v>
      </c>
      <c r="N375" s="30" t="s">
        <v>1449</v>
      </c>
      <c r="O375" s="29" t="s">
        <v>2200</v>
      </c>
      <c r="P375" s="14" t="s">
        <v>562</v>
      </c>
      <c r="Q375" s="14" t="s">
        <v>533</v>
      </c>
      <c r="R375" s="16" t="str">
        <f t="shared" si="2"/>
        <v>Diferente</v>
      </c>
    </row>
    <row r="376">
      <c r="A376" s="7"/>
      <c r="B376" s="16"/>
      <c r="C376" s="12"/>
      <c r="D376" s="12"/>
      <c r="E376" s="9"/>
      <c r="F376" s="10"/>
      <c r="G376" s="11"/>
      <c r="H376" s="9"/>
      <c r="I376" s="31"/>
      <c r="J376" s="9"/>
      <c r="K376" s="9"/>
      <c r="L376" s="21" t="s">
        <v>41</v>
      </c>
      <c r="M376" s="30" t="s">
        <v>1448</v>
      </c>
      <c r="N376" s="30" t="s">
        <v>1450</v>
      </c>
      <c r="O376" s="29" t="s">
        <v>2201</v>
      </c>
      <c r="P376" s="14" t="s">
        <v>533</v>
      </c>
      <c r="Q376" s="14" t="s">
        <v>533</v>
      </c>
      <c r="R376" s="16" t="str">
        <f t="shared" si="2"/>
        <v>Igual</v>
      </c>
    </row>
    <row r="377">
      <c r="A377" s="7"/>
      <c r="B377" s="16"/>
      <c r="C377" s="12"/>
      <c r="D377" s="12"/>
      <c r="E377" s="9"/>
      <c r="F377" s="10"/>
      <c r="G377" s="11"/>
      <c r="H377" s="9"/>
      <c r="I377" s="31"/>
      <c r="J377" s="9"/>
      <c r="K377" s="9"/>
      <c r="L377" s="21" t="s">
        <v>47</v>
      </c>
      <c r="M377" s="30" t="s">
        <v>1451</v>
      </c>
      <c r="N377" s="30" t="s">
        <v>1452</v>
      </c>
      <c r="O377" s="29" t="s">
        <v>2200</v>
      </c>
      <c r="P377" s="14" t="s">
        <v>533</v>
      </c>
      <c r="Q377" s="14" t="s">
        <v>562</v>
      </c>
      <c r="R377" s="16" t="str">
        <f t="shared" si="2"/>
        <v>Diferente</v>
      </c>
    </row>
    <row r="378">
      <c r="A378" s="7"/>
      <c r="B378" s="16"/>
      <c r="C378" s="12"/>
      <c r="D378" s="12"/>
      <c r="E378" s="9"/>
      <c r="F378" s="10"/>
      <c r="G378" s="11"/>
      <c r="H378" s="9"/>
      <c r="I378" s="31"/>
      <c r="J378" s="9"/>
      <c r="K378" s="9"/>
      <c r="L378" s="21" t="s">
        <v>53</v>
      </c>
      <c r="M378" s="30" t="s">
        <v>1453</v>
      </c>
      <c r="N378" s="30" t="s">
        <v>1454</v>
      </c>
      <c r="O378" s="29" t="s">
        <v>1135</v>
      </c>
      <c r="P378" s="14" t="s">
        <v>562</v>
      </c>
      <c r="Q378" s="14" t="s">
        <v>533</v>
      </c>
      <c r="R378" s="16" t="str">
        <f t="shared" si="2"/>
        <v>Diferente</v>
      </c>
    </row>
    <row r="379">
      <c r="A379" s="7"/>
      <c r="B379" s="16"/>
      <c r="C379" s="12"/>
      <c r="D379" s="12"/>
      <c r="E379" s="9"/>
      <c r="F379" s="10"/>
      <c r="G379" s="11"/>
      <c r="H379" s="9"/>
      <c r="I379" s="31"/>
      <c r="J379" s="9"/>
      <c r="K379" s="9"/>
      <c r="L379" s="21" t="s">
        <v>59</v>
      </c>
      <c r="M379" s="30" t="s">
        <v>1455</v>
      </c>
      <c r="N379" s="30" t="s">
        <v>1456</v>
      </c>
      <c r="O379" s="29" t="s">
        <v>1135</v>
      </c>
      <c r="P379" s="14" t="s">
        <v>533</v>
      </c>
      <c r="Q379" s="14" t="s">
        <v>533</v>
      </c>
      <c r="R379" s="16" t="str">
        <f t="shared" si="2"/>
        <v>Igual</v>
      </c>
    </row>
    <row r="380">
      <c r="A380" s="7"/>
      <c r="B380" s="16"/>
      <c r="C380" s="12"/>
      <c r="D380" s="12"/>
      <c r="E380" s="9"/>
      <c r="F380" s="10"/>
      <c r="G380" s="11"/>
      <c r="H380" s="9"/>
      <c r="I380" s="31"/>
      <c r="J380" s="9"/>
      <c r="K380" s="9"/>
      <c r="L380" s="21" t="s">
        <v>65</v>
      </c>
      <c r="M380" s="30" t="s">
        <v>1457</v>
      </c>
      <c r="N380" s="30" t="s">
        <v>1458</v>
      </c>
      <c r="O380" s="29" t="s">
        <v>2202</v>
      </c>
      <c r="P380" s="14" t="s">
        <v>533</v>
      </c>
      <c r="Q380" s="14" t="s">
        <v>533</v>
      </c>
      <c r="R380" s="16" t="str">
        <f t="shared" si="2"/>
        <v>Igual</v>
      </c>
    </row>
    <row r="381">
      <c r="A381" s="7"/>
      <c r="B381" s="16"/>
      <c r="C381" s="12"/>
      <c r="D381" s="12"/>
      <c r="E381" s="9"/>
      <c r="F381" s="10"/>
      <c r="G381" s="11"/>
      <c r="H381" s="9"/>
      <c r="I381" s="31"/>
      <c r="J381" s="9"/>
      <c r="K381" s="9"/>
      <c r="L381" s="21" t="s">
        <v>71</v>
      </c>
      <c r="M381" s="30" t="s">
        <v>1459</v>
      </c>
      <c r="N381" s="30" t="s">
        <v>1458</v>
      </c>
      <c r="O381" s="29" t="s">
        <v>1135</v>
      </c>
      <c r="P381" s="14" t="s">
        <v>533</v>
      </c>
      <c r="Q381" s="14" t="s">
        <v>533</v>
      </c>
      <c r="R381" s="16" t="str">
        <f t="shared" si="2"/>
        <v>Igual</v>
      </c>
    </row>
    <row r="382">
      <c r="A382" s="7" t="s">
        <v>227</v>
      </c>
      <c r="B382" s="14" t="s">
        <v>1057</v>
      </c>
      <c r="C382" s="12"/>
      <c r="D382" s="17" t="s">
        <v>1460</v>
      </c>
      <c r="E382" s="9" t="s">
        <v>228</v>
      </c>
      <c r="F382" s="10" t="s">
        <v>229</v>
      </c>
      <c r="G382" s="11">
        <v>2023.0</v>
      </c>
      <c r="H382" s="9" t="s">
        <v>230</v>
      </c>
      <c r="I382" s="29" t="s">
        <v>1021</v>
      </c>
      <c r="J382" s="9"/>
      <c r="K382" s="9" t="s">
        <v>152</v>
      </c>
      <c r="L382" s="21" t="s">
        <v>25</v>
      </c>
      <c r="M382" s="30" t="s">
        <v>1461</v>
      </c>
      <c r="N382" s="30" t="s">
        <v>1462</v>
      </c>
      <c r="O382" s="29" t="s">
        <v>2155</v>
      </c>
      <c r="P382" s="14" t="s">
        <v>533</v>
      </c>
      <c r="Q382" s="14" t="s">
        <v>533</v>
      </c>
      <c r="R382" s="16" t="str">
        <f t="shared" si="2"/>
        <v>Igual</v>
      </c>
    </row>
    <row r="383">
      <c r="A383" s="7"/>
      <c r="B383" s="16"/>
      <c r="C383" s="12"/>
      <c r="D383" s="12"/>
      <c r="E383" s="9"/>
      <c r="F383" s="10"/>
      <c r="G383" s="11"/>
      <c r="H383" s="9"/>
      <c r="I383" s="31"/>
      <c r="J383" s="9"/>
      <c r="K383" s="9"/>
      <c r="L383" s="21" t="s">
        <v>31</v>
      </c>
      <c r="M383" s="30" t="s">
        <v>1463</v>
      </c>
      <c r="N383" s="30" t="s">
        <v>1464</v>
      </c>
      <c r="O383" s="29" t="s">
        <v>2203</v>
      </c>
      <c r="P383" s="14" t="s">
        <v>533</v>
      </c>
      <c r="Q383" s="14" t="s">
        <v>562</v>
      </c>
      <c r="R383" s="16" t="str">
        <f t="shared" si="2"/>
        <v>Diferente</v>
      </c>
    </row>
    <row r="384">
      <c r="A384" s="7"/>
      <c r="B384" s="16"/>
      <c r="C384" s="12"/>
      <c r="D384" s="12"/>
      <c r="E384" s="9"/>
      <c r="F384" s="10"/>
      <c r="G384" s="11"/>
      <c r="H384" s="9"/>
      <c r="I384" s="31"/>
      <c r="J384" s="9"/>
      <c r="K384" s="9"/>
      <c r="L384" s="21" t="s">
        <v>36</v>
      </c>
      <c r="M384" s="30" t="s">
        <v>1465</v>
      </c>
      <c r="N384" s="30" t="s">
        <v>1466</v>
      </c>
      <c r="O384" s="29" t="s">
        <v>2204</v>
      </c>
      <c r="P384" s="14" t="s">
        <v>533</v>
      </c>
      <c r="Q384" s="14" t="s">
        <v>533</v>
      </c>
      <c r="R384" s="16" t="str">
        <f t="shared" si="2"/>
        <v>Igual</v>
      </c>
    </row>
    <row r="385">
      <c r="A385" s="7"/>
      <c r="B385" s="16"/>
      <c r="C385" s="12"/>
      <c r="D385" s="12"/>
      <c r="E385" s="9"/>
      <c r="F385" s="10"/>
      <c r="G385" s="11"/>
      <c r="H385" s="9"/>
      <c r="I385" s="31"/>
      <c r="J385" s="9"/>
      <c r="K385" s="9"/>
      <c r="L385" s="21" t="s">
        <v>41</v>
      </c>
      <c r="M385" s="30" t="s">
        <v>1467</v>
      </c>
      <c r="N385" s="30" t="s">
        <v>1468</v>
      </c>
      <c r="O385" s="29" t="s">
        <v>2205</v>
      </c>
      <c r="P385" s="14" t="s">
        <v>533</v>
      </c>
      <c r="Q385" s="14" t="s">
        <v>533</v>
      </c>
      <c r="R385" s="16" t="str">
        <f t="shared" si="2"/>
        <v>Igual</v>
      </c>
    </row>
    <row r="386">
      <c r="A386" s="7"/>
      <c r="B386" s="16"/>
      <c r="C386" s="12"/>
      <c r="D386" s="12"/>
      <c r="E386" s="9"/>
      <c r="F386" s="10"/>
      <c r="G386" s="11"/>
      <c r="H386" s="9"/>
      <c r="I386" s="31"/>
      <c r="J386" s="9"/>
      <c r="K386" s="9"/>
      <c r="L386" s="21" t="s">
        <v>47</v>
      </c>
      <c r="M386" s="30" t="s">
        <v>1469</v>
      </c>
      <c r="N386" s="30" t="s">
        <v>1470</v>
      </c>
      <c r="O386" s="29" t="s">
        <v>1135</v>
      </c>
      <c r="P386" s="14" t="s">
        <v>533</v>
      </c>
      <c r="Q386" s="14" t="s">
        <v>533</v>
      </c>
      <c r="R386" s="16" t="str">
        <f t="shared" si="2"/>
        <v>Igual</v>
      </c>
    </row>
    <row r="387">
      <c r="A387" s="7"/>
      <c r="B387" s="16"/>
      <c r="C387" s="12"/>
      <c r="D387" s="12"/>
      <c r="E387" s="9"/>
      <c r="F387" s="10"/>
      <c r="G387" s="11"/>
      <c r="H387" s="9"/>
      <c r="I387" s="31"/>
      <c r="J387" s="9"/>
      <c r="K387" s="9"/>
      <c r="L387" s="21" t="s">
        <v>53</v>
      </c>
      <c r="M387" s="30" t="s">
        <v>1471</v>
      </c>
      <c r="N387" s="30" t="s">
        <v>1472</v>
      </c>
      <c r="O387" s="29" t="s">
        <v>1135</v>
      </c>
      <c r="P387" s="14" t="s">
        <v>533</v>
      </c>
      <c r="Q387" s="14" t="s">
        <v>533</v>
      </c>
      <c r="R387" s="16" t="str">
        <f t="shared" si="2"/>
        <v>Igual</v>
      </c>
    </row>
    <row r="388">
      <c r="A388" s="7"/>
      <c r="B388" s="16"/>
      <c r="C388" s="12"/>
      <c r="D388" s="12"/>
      <c r="E388" s="9"/>
      <c r="F388" s="10"/>
      <c r="G388" s="11"/>
      <c r="H388" s="9"/>
      <c r="I388" s="31"/>
      <c r="J388" s="9"/>
      <c r="K388" s="9"/>
      <c r="L388" s="21" t="s">
        <v>59</v>
      </c>
      <c r="M388" s="30" t="s">
        <v>1473</v>
      </c>
      <c r="N388" s="30" t="s">
        <v>1474</v>
      </c>
      <c r="O388" s="29" t="s">
        <v>1135</v>
      </c>
      <c r="P388" s="14" t="s">
        <v>533</v>
      </c>
      <c r="Q388" s="14" t="s">
        <v>533</v>
      </c>
      <c r="R388" s="16" t="str">
        <f t="shared" si="2"/>
        <v>Igual</v>
      </c>
    </row>
    <row r="389">
      <c r="A389" s="7"/>
      <c r="B389" s="16"/>
      <c r="C389" s="12"/>
      <c r="D389" s="12"/>
      <c r="E389" s="9"/>
      <c r="F389" s="10"/>
      <c r="G389" s="11"/>
      <c r="H389" s="9"/>
      <c r="I389" s="31"/>
      <c r="J389" s="9"/>
      <c r="K389" s="9"/>
      <c r="L389" s="21" t="s">
        <v>65</v>
      </c>
      <c r="M389" s="30" t="s">
        <v>1475</v>
      </c>
      <c r="N389" s="30" t="s">
        <v>1476</v>
      </c>
      <c r="O389" s="29" t="s">
        <v>1135</v>
      </c>
      <c r="P389" s="14" t="s">
        <v>533</v>
      </c>
      <c r="Q389" s="14" t="s">
        <v>533</v>
      </c>
      <c r="R389" s="16" t="str">
        <f t="shared" si="2"/>
        <v>Igual</v>
      </c>
    </row>
    <row r="390">
      <c r="A390" s="7"/>
      <c r="B390" s="16"/>
      <c r="C390" s="12"/>
      <c r="D390" s="12"/>
      <c r="E390" s="9"/>
      <c r="F390" s="10"/>
      <c r="G390" s="11"/>
      <c r="H390" s="9"/>
      <c r="I390" s="31"/>
      <c r="J390" s="9"/>
      <c r="K390" s="9"/>
      <c r="L390" s="21" t="s">
        <v>71</v>
      </c>
      <c r="M390" s="30" t="s">
        <v>1477</v>
      </c>
      <c r="N390" s="30" t="s">
        <v>1478</v>
      </c>
      <c r="O390" s="29" t="s">
        <v>1135</v>
      </c>
      <c r="P390" s="14" t="s">
        <v>533</v>
      </c>
      <c r="Q390" s="14" t="s">
        <v>533</v>
      </c>
      <c r="R390" s="16" t="str">
        <f t="shared" si="2"/>
        <v>Igual</v>
      </c>
    </row>
    <row r="391">
      <c r="A391" s="7" t="s">
        <v>231</v>
      </c>
      <c r="B391" s="14" t="s">
        <v>1057</v>
      </c>
      <c r="C391" s="12"/>
      <c r="D391" s="17" t="s">
        <v>1479</v>
      </c>
      <c r="E391" s="9" t="s">
        <v>232</v>
      </c>
      <c r="F391" s="10" t="s">
        <v>233</v>
      </c>
      <c r="G391" s="11">
        <v>2023.0</v>
      </c>
      <c r="H391" s="9" t="s">
        <v>234</v>
      </c>
      <c r="I391" s="29" t="s">
        <v>680</v>
      </c>
      <c r="J391" s="9"/>
      <c r="K391" s="9" t="s">
        <v>152</v>
      </c>
      <c r="L391" s="21" t="s">
        <v>25</v>
      </c>
      <c r="M391" s="30" t="s">
        <v>1480</v>
      </c>
      <c r="N391" s="30" t="s">
        <v>1481</v>
      </c>
      <c r="O391" s="29" t="s">
        <v>2155</v>
      </c>
      <c r="P391" s="14" t="s">
        <v>562</v>
      </c>
      <c r="Q391" s="14" t="s">
        <v>533</v>
      </c>
      <c r="R391" s="16" t="str">
        <f t="shared" si="2"/>
        <v>Diferente</v>
      </c>
    </row>
    <row r="392">
      <c r="A392" s="7"/>
      <c r="B392" s="16"/>
      <c r="C392" s="12"/>
      <c r="D392" s="12"/>
      <c r="E392" s="9"/>
      <c r="F392" s="10"/>
      <c r="G392" s="11"/>
      <c r="H392" s="9"/>
      <c r="I392" s="31"/>
      <c r="J392" s="9"/>
      <c r="K392" s="9"/>
      <c r="L392" s="21" t="s">
        <v>31</v>
      </c>
      <c r="M392" s="30" t="s">
        <v>1482</v>
      </c>
      <c r="N392" s="30" t="s">
        <v>1483</v>
      </c>
      <c r="O392" s="29" t="s">
        <v>2206</v>
      </c>
      <c r="P392" s="14" t="s">
        <v>533</v>
      </c>
      <c r="Q392" s="14" t="s">
        <v>533</v>
      </c>
      <c r="R392" s="16" t="str">
        <f t="shared" si="2"/>
        <v>Igual</v>
      </c>
    </row>
    <row r="393">
      <c r="A393" s="7"/>
      <c r="B393" s="16"/>
      <c r="C393" s="12"/>
      <c r="D393" s="12"/>
      <c r="E393" s="9"/>
      <c r="F393" s="10"/>
      <c r="G393" s="11"/>
      <c r="H393" s="9"/>
      <c r="I393" s="31"/>
      <c r="J393" s="9"/>
      <c r="K393" s="9"/>
      <c r="L393" s="21" t="s">
        <v>36</v>
      </c>
      <c r="M393" s="30" t="s">
        <v>1484</v>
      </c>
      <c r="N393" s="30" t="s">
        <v>1485</v>
      </c>
      <c r="O393" s="29" t="s">
        <v>2207</v>
      </c>
      <c r="P393" s="14" t="s">
        <v>533</v>
      </c>
      <c r="Q393" s="14" t="s">
        <v>533</v>
      </c>
      <c r="R393" s="16" t="str">
        <f t="shared" si="2"/>
        <v>Igual</v>
      </c>
    </row>
    <row r="394">
      <c r="A394" s="7"/>
      <c r="B394" s="16"/>
      <c r="C394" s="12"/>
      <c r="D394" s="12"/>
      <c r="E394" s="9"/>
      <c r="F394" s="10"/>
      <c r="G394" s="11"/>
      <c r="H394" s="9"/>
      <c r="I394" s="31"/>
      <c r="J394" s="9"/>
      <c r="K394" s="9"/>
      <c r="L394" s="21" t="s">
        <v>41</v>
      </c>
      <c r="M394" s="30" t="s">
        <v>1486</v>
      </c>
      <c r="N394" s="30" t="s">
        <v>1487</v>
      </c>
      <c r="O394" s="29" t="s">
        <v>2208</v>
      </c>
      <c r="P394" s="14" t="s">
        <v>533</v>
      </c>
      <c r="Q394" s="14" t="s">
        <v>533</v>
      </c>
      <c r="R394" s="16" t="str">
        <f t="shared" si="2"/>
        <v>Igual</v>
      </c>
    </row>
    <row r="395">
      <c r="A395" s="7"/>
      <c r="B395" s="16"/>
      <c r="C395" s="12"/>
      <c r="D395" s="12"/>
      <c r="E395" s="9"/>
      <c r="F395" s="10"/>
      <c r="G395" s="11"/>
      <c r="H395" s="9"/>
      <c r="I395" s="31"/>
      <c r="J395" s="9"/>
      <c r="K395" s="9"/>
      <c r="L395" s="21" t="s">
        <v>47</v>
      </c>
      <c r="M395" s="30" t="s">
        <v>1488</v>
      </c>
      <c r="N395" s="30" t="s">
        <v>1489</v>
      </c>
      <c r="O395" s="29" t="s">
        <v>1135</v>
      </c>
      <c r="P395" s="14" t="s">
        <v>562</v>
      </c>
      <c r="Q395" s="14" t="s">
        <v>533</v>
      </c>
      <c r="R395" s="16" t="str">
        <f t="shared" si="2"/>
        <v>Diferente</v>
      </c>
    </row>
    <row r="396">
      <c r="A396" s="7"/>
      <c r="B396" s="16"/>
      <c r="C396" s="12"/>
      <c r="D396" s="12"/>
      <c r="E396" s="9"/>
      <c r="F396" s="10"/>
      <c r="G396" s="11"/>
      <c r="H396" s="9"/>
      <c r="I396" s="31"/>
      <c r="J396" s="9"/>
      <c r="K396" s="9"/>
      <c r="L396" s="21" t="s">
        <v>53</v>
      </c>
      <c r="M396" s="30" t="s">
        <v>1490</v>
      </c>
      <c r="N396" s="30" t="s">
        <v>1291</v>
      </c>
      <c r="O396" s="29" t="s">
        <v>1135</v>
      </c>
      <c r="P396" s="14" t="s">
        <v>533</v>
      </c>
      <c r="Q396" s="14" t="s">
        <v>533</v>
      </c>
      <c r="R396" s="16" t="str">
        <f t="shared" si="2"/>
        <v>Igual</v>
      </c>
    </row>
    <row r="397">
      <c r="A397" s="7"/>
      <c r="B397" s="16"/>
      <c r="C397" s="12"/>
      <c r="D397" s="12"/>
      <c r="E397" s="9"/>
      <c r="F397" s="10"/>
      <c r="G397" s="11"/>
      <c r="H397" s="9"/>
      <c r="I397" s="31"/>
      <c r="J397" s="9"/>
      <c r="K397" s="9"/>
      <c r="L397" s="21" t="s">
        <v>59</v>
      </c>
      <c r="M397" s="30" t="s">
        <v>1491</v>
      </c>
      <c r="N397" s="30" t="s">
        <v>1492</v>
      </c>
      <c r="O397" s="29" t="s">
        <v>1135</v>
      </c>
      <c r="P397" s="14" t="s">
        <v>533</v>
      </c>
      <c r="Q397" s="14" t="s">
        <v>533</v>
      </c>
      <c r="R397" s="16" t="str">
        <f t="shared" si="2"/>
        <v>Igual</v>
      </c>
    </row>
    <row r="398">
      <c r="A398" s="7"/>
      <c r="B398" s="16"/>
      <c r="C398" s="12"/>
      <c r="D398" s="12"/>
      <c r="E398" s="9"/>
      <c r="F398" s="10"/>
      <c r="G398" s="11"/>
      <c r="H398" s="9"/>
      <c r="I398" s="31"/>
      <c r="J398" s="9"/>
      <c r="K398" s="9"/>
      <c r="L398" s="21" t="s">
        <v>65</v>
      </c>
      <c r="M398" s="30" t="s">
        <v>1493</v>
      </c>
      <c r="N398" s="30" t="s">
        <v>1494</v>
      </c>
      <c r="O398" s="29" t="s">
        <v>1135</v>
      </c>
      <c r="P398" s="14" t="s">
        <v>533</v>
      </c>
      <c r="Q398" s="14" t="s">
        <v>533</v>
      </c>
      <c r="R398" s="16" t="str">
        <f t="shared" si="2"/>
        <v>Igual</v>
      </c>
    </row>
    <row r="399">
      <c r="A399" s="7"/>
      <c r="B399" s="16"/>
      <c r="C399" s="12"/>
      <c r="D399" s="12"/>
      <c r="E399" s="9"/>
      <c r="F399" s="10"/>
      <c r="G399" s="11"/>
      <c r="H399" s="9"/>
      <c r="I399" s="31"/>
      <c r="J399" s="9"/>
      <c r="K399" s="9"/>
      <c r="L399" s="21" t="s">
        <v>71</v>
      </c>
      <c r="M399" s="30" t="s">
        <v>1495</v>
      </c>
      <c r="N399" s="30" t="s">
        <v>1496</v>
      </c>
      <c r="O399" s="29" t="s">
        <v>2209</v>
      </c>
      <c r="P399" s="14" t="s">
        <v>562</v>
      </c>
      <c r="Q399" s="14" t="s">
        <v>562</v>
      </c>
      <c r="R399" s="16" t="str">
        <f t="shared" si="2"/>
        <v>Igual</v>
      </c>
    </row>
    <row r="400">
      <c r="A400" s="7" t="s">
        <v>235</v>
      </c>
      <c r="B400" s="14" t="s">
        <v>1057</v>
      </c>
      <c r="C400" s="12"/>
      <c r="D400" s="17" t="s">
        <v>1497</v>
      </c>
      <c r="E400" s="9" t="s">
        <v>236</v>
      </c>
      <c r="F400" s="10" t="s">
        <v>237</v>
      </c>
      <c r="G400" s="11">
        <v>2023.0</v>
      </c>
      <c r="H400" s="9" t="s">
        <v>238</v>
      </c>
      <c r="I400" s="29" t="s">
        <v>680</v>
      </c>
      <c r="J400" s="9"/>
      <c r="K400" s="9" t="s">
        <v>152</v>
      </c>
      <c r="L400" s="21" t="s">
        <v>25</v>
      </c>
      <c r="M400" s="30" t="s">
        <v>1498</v>
      </c>
      <c r="N400" s="30" t="s">
        <v>1499</v>
      </c>
      <c r="O400" s="29" t="s">
        <v>2155</v>
      </c>
      <c r="P400" s="14" t="s">
        <v>533</v>
      </c>
      <c r="Q400" s="14" t="s">
        <v>533</v>
      </c>
      <c r="R400" s="16" t="str">
        <f t="shared" si="2"/>
        <v>Igual</v>
      </c>
    </row>
    <row r="401">
      <c r="A401" s="7"/>
      <c r="B401" s="16"/>
      <c r="C401" s="12"/>
      <c r="D401" s="12"/>
      <c r="E401" s="9"/>
      <c r="F401" s="10"/>
      <c r="G401" s="11"/>
      <c r="H401" s="9"/>
      <c r="I401" s="31"/>
      <c r="J401" s="9"/>
      <c r="K401" s="9"/>
      <c r="L401" s="21" t="s">
        <v>31</v>
      </c>
      <c r="M401" s="30" t="s">
        <v>1500</v>
      </c>
      <c r="N401" s="30" t="s">
        <v>1501</v>
      </c>
      <c r="O401" s="29" t="s">
        <v>1135</v>
      </c>
      <c r="P401" s="14" t="s">
        <v>533</v>
      </c>
      <c r="Q401" s="14" t="s">
        <v>533</v>
      </c>
      <c r="R401" s="16" t="str">
        <f t="shared" si="2"/>
        <v>Igual</v>
      </c>
    </row>
    <row r="402">
      <c r="A402" s="7"/>
      <c r="B402" s="16"/>
      <c r="C402" s="12"/>
      <c r="D402" s="12"/>
      <c r="E402" s="9"/>
      <c r="F402" s="10"/>
      <c r="G402" s="11"/>
      <c r="H402" s="9"/>
      <c r="I402" s="31"/>
      <c r="J402" s="9"/>
      <c r="K402" s="9"/>
      <c r="L402" s="21" t="s">
        <v>36</v>
      </c>
      <c r="M402" s="30" t="s">
        <v>1502</v>
      </c>
      <c r="N402" s="30" t="s">
        <v>1503</v>
      </c>
      <c r="O402" s="29" t="s">
        <v>2210</v>
      </c>
      <c r="P402" s="14" t="s">
        <v>533</v>
      </c>
      <c r="Q402" s="14" t="s">
        <v>533</v>
      </c>
      <c r="R402" s="16" t="str">
        <f t="shared" si="2"/>
        <v>Igual</v>
      </c>
    </row>
    <row r="403">
      <c r="A403" s="7"/>
      <c r="B403" s="16"/>
      <c r="C403" s="12"/>
      <c r="D403" s="12"/>
      <c r="E403" s="9"/>
      <c r="F403" s="10"/>
      <c r="G403" s="11"/>
      <c r="H403" s="9"/>
      <c r="I403" s="31"/>
      <c r="J403" s="9"/>
      <c r="K403" s="9"/>
      <c r="L403" s="21" t="s">
        <v>41</v>
      </c>
      <c r="M403" s="30" t="s">
        <v>1504</v>
      </c>
      <c r="N403" s="30" t="s">
        <v>1505</v>
      </c>
      <c r="O403" s="29" t="s">
        <v>2211</v>
      </c>
      <c r="P403" s="14" t="s">
        <v>533</v>
      </c>
      <c r="Q403" s="14" t="s">
        <v>533</v>
      </c>
      <c r="R403" s="16" t="str">
        <f t="shared" si="2"/>
        <v>Igual</v>
      </c>
    </row>
    <row r="404">
      <c r="A404" s="7"/>
      <c r="B404" s="16"/>
      <c r="C404" s="12"/>
      <c r="D404" s="12"/>
      <c r="E404" s="9"/>
      <c r="F404" s="10"/>
      <c r="G404" s="11"/>
      <c r="H404" s="9"/>
      <c r="I404" s="31"/>
      <c r="J404" s="9"/>
      <c r="K404" s="9"/>
      <c r="L404" s="21" t="s">
        <v>47</v>
      </c>
      <c r="M404" s="30" t="s">
        <v>1506</v>
      </c>
      <c r="N404" s="30" t="s">
        <v>1507</v>
      </c>
      <c r="O404" s="29" t="s">
        <v>1135</v>
      </c>
      <c r="P404" s="14" t="s">
        <v>533</v>
      </c>
      <c r="Q404" s="14" t="s">
        <v>533</v>
      </c>
      <c r="R404" s="16" t="str">
        <f t="shared" si="2"/>
        <v>Igual</v>
      </c>
    </row>
    <row r="405">
      <c r="A405" s="7"/>
      <c r="B405" s="16"/>
      <c r="C405" s="12"/>
      <c r="D405" s="12"/>
      <c r="E405" s="9"/>
      <c r="F405" s="10"/>
      <c r="G405" s="11"/>
      <c r="H405" s="9"/>
      <c r="I405" s="31"/>
      <c r="J405" s="9"/>
      <c r="K405" s="9"/>
      <c r="L405" s="21" t="s">
        <v>53</v>
      </c>
      <c r="M405" s="30" t="s">
        <v>1508</v>
      </c>
      <c r="N405" s="30" t="s">
        <v>1509</v>
      </c>
      <c r="O405" s="29" t="s">
        <v>1135</v>
      </c>
      <c r="P405" s="14" t="s">
        <v>533</v>
      </c>
      <c r="Q405" s="14" t="s">
        <v>533</v>
      </c>
      <c r="R405" s="16" t="str">
        <f t="shared" si="2"/>
        <v>Igual</v>
      </c>
    </row>
    <row r="406">
      <c r="A406" s="7"/>
      <c r="B406" s="16"/>
      <c r="C406" s="12"/>
      <c r="D406" s="12"/>
      <c r="E406" s="9"/>
      <c r="F406" s="10"/>
      <c r="G406" s="11"/>
      <c r="H406" s="9"/>
      <c r="I406" s="31"/>
      <c r="J406" s="9"/>
      <c r="K406" s="9"/>
      <c r="L406" s="21" t="s">
        <v>59</v>
      </c>
      <c r="M406" s="30" t="s">
        <v>1510</v>
      </c>
      <c r="N406" s="30" t="s">
        <v>1511</v>
      </c>
      <c r="O406" s="29" t="s">
        <v>2212</v>
      </c>
      <c r="P406" s="14" t="s">
        <v>533</v>
      </c>
      <c r="Q406" s="14" t="s">
        <v>533</v>
      </c>
      <c r="R406" s="16" t="str">
        <f t="shared" si="2"/>
        <v>Igual</v>
      </c>
    </row>
    <row r="407">
      <c r="A407" s="7"/>
      <c r="B407" s="16"/>
      <c r="C407" s="12"/>
      <c r="D407" s="12"/>
      <c r="E407" s="9"/>
      <c r="F407" s="10"/>
      <c r="G407" s="11"/>
      <c r="H407" s="9"/>
      <c r="I407" s="31"/>
      <c r="J407" s="9"/>
      <c r="K407" s="9"/>
      <c r="L407" s="21" t="s">
        <v>65</v>
      </c>
      <c r="M407" s="30" t="s">
        <v>1493</v>
      </c>
      <c r="N407" s="30" t="s">
        <v>1512</v>
      </c>
      <c r="O407" s="29" t="s">
        <v>2213</v>
      </c>
      <c r="P407" s="14" t="s">
        <v>562</v>
      </c>
      <c r="Q407" s="14" t="s">
        <v>533</v>
      </c>
      <c r="R407" s="16" t="str">
        <f t="shared" si="2"/>
        <v>Diferente</v>
      </c>
    </row>
    <row r="408">
      <c r="A408" s="7"/>
      <c r="B408" s="16"/>
      <c r="C408" s="12"/>
      <c r="D408" s="12"/>
      <c r="E408" s="9"/>
      <c r="F408" s="10"/>
      <c r="G408" s="11"/>
      <c r="H408" s="9"/>
      <c r="I408" s="31"/>
      <c r="J408" s="9"/>
      <c r="K408" s="9"/>
      <c r="L408" s="21" t="s">
        <v>71</v>
      </c>
      <c r="M408" s="30" t="s">
        <v>1513</v>
      </c>
      <c r="N408" s="30" t="s">
        <v>1514</v>
      </c>
      <c r="O408" s="29" t="s">
        <v>1135</v>
      </c>
      <c r="P408" s="14" t="s">
        <v>533</v>
      </c>
      <c r="Q408" s="14" t="s">
        <v>533</v>
      </c>
      <c r="R408" s="16" t="str">
        <f t="shared" si="2"/>
        <v>Igual</v>
      </c>
    </row>
    <row r="409">
      <c r="A409" s="7" t="s">
        <v>239</v>
      </c>
      <c r="B409" s="14" t="s">
        <v>1057</v>
      </c>
      <c r="C409" s="12"/>
      <c r="D409" s="17" t="s">
        <v>1515</v>
      </c>
      <c r="E409" s="9" t="s">
        <v>240</v>
      </c>
      <c r="F409" s="10" t="s">
        <v>241</v>
      </c>
      <c r="G409" s="11">
        <v>2023.0</v>
      </c>
      <c r="H409" s="9" t="s">
        <v>242</v>
      </c>
      <c r="I409" s="29" t="s">
        <v>1021</v>
      </c>
      <c r="J409" s="9"/>
      <c r="K409" s="9" t="s">
        <v>152</v>
      </c>
      <c r="L409" s="21" t="s">
        <v>25</v>
      </c>
      <c r="M409" s="30" t="s">
        <v>1516</v>
      </c>
      <c r="N409" s="30" t="s">
        <v>1517</v>
      </c>
      <c r="O409" s="29" t="s">
        <v>1518</v>
      </c>
      <c r="P409" s="14" t="s">
        <v>533</v>
      </c>
      <c r="Q409" s="14" t="s">
        <v>533</v>
      </c>
      <c r="R409" s="16" t="str">
        <f t="shared" si="2"/>
        <v>Igual</v>
      </c>
    </row>
    <row r="410">
      <c r="A410" s="7"/>
      <c r="B410" s="16"/>
      <c r="C410" s="12"/>
      <c r="D410" s="12"/>
      <c r="E410" s="9"/>
      <c r="F410" s="10"/>
      <c r="G410" s="11"/>
      <c r="H410" s="9"/>
      <c r="I410" s="31"/>
      <c r="J410" s="9"/>
      <c r="K410" s="9"/>
      <c r="L410" s="21" t="s">
        <v>31</v>
      </c>
      <c r="M410" s="30" t="s">
        <v>1519</v>
      </c>
      <c r="N410" s="29" t="s">
        <v>1520</v>
      </c>
      <c r="O410" s="29" t="s">
        <v>1521</v>
      </c>
      <c r="P410" s="14" t="s">
        <v>533</v>
      </c>
      <c r="Q410" s="14" t="s">
        <v>533</v>
      </c>
      <c r="R410" s="16" t="str">
        <f t="shared" si="2"/>
        <v>Igual</v>
      </c>
    </row>
    <row r="411">
      <c r="A411" s="7"/>
      <c r="B411" s="16"/>
      <c r="C411" s="12"/>
      <c r="D411" s="12"/>
      <c r="E411" s="9"/>
      <c r="F411" s="10"/>
      <c r="G411" s="11"/>
      <c r="H411" s="9"/>
      <c r="I411" s="31"/>
      <c r="J411" s="9"/>
      <c r="K411" s="9"/>
      <c r="L411" s="21" t="s">
        <v>36</v>
      </c>
      <c r="M411" s="30" t="s">
        <v>1522</v>
      </c>
      <c r="N411" s="29" t="s">
        <v>1523</v>
      </c>
      <c r="O411" s="29" t="s">
        <v>1524</v>
      </c>
      <c r="P411" s="14" t="s">
        <v>533</v>
      </c>
      <c r="Q411" s="14" t="s">
        <v>533</v>
      </c>
      <c r="R411" s="16" t="str">
        <f t="shared" si="2"/>
        <v>Igual</v>
      </c>
      <c r="S411" s="14" t="s">
        <v>1525</v>
      </c>
    </row>
    <row r="412">
      <c r="A412" s="7"/>
      <c r="B412" s="16"/>
      <c r="C412" s="12"/>
      <c r="D412" s="12"/>
      <c r="E412" s="9"/>
      <c r="F412" s="10"/>
      <c r="G412" s="11"/>
      <c r="H412" s="9"/>
      <c r="I412" s="31"/>
      <c r="J412" s="9"/>
      <c r="K412" s="9"/>
      <c r="L412" s="21" t="s">
        <v>41</v>
      </c>
      <c r="M412" s="30" t="s">
        <v>1526</v>
      </c>
      <c r="N412" s="29" t="s">
        <v>1527</v>
      </c>
      <c r="O412" s="29" t="s">
        <v>1528</v>
      </c>
      <c r="P412" s="14" t="s">
        <v>533</v>
      </c>
      <c r="Q412" s="14" t="s">
        <v>533</v>
      </c>
      <c r="R412" s="16" t="str">
        <f t="shared" si="2"/>
        <v>Igual</v>
      </c>
    </row>
    <row r="413">
      <c r="A413" s="7"/>
      <c r="B413" s="16"/>
      <c r="C413" s="12"/>
      <c r="D413" s="12"/>
      <c r="E413" s="9"/>
      <c r="F413" s="10"/>
      <c r="G413" s="11"/>
      <c r="H413" s="9"/>
      <c r="I413" s="31"/>
      <c r="J413" s="9"/>
      <c r="K413" s="9"/>
      <c r="L413" s="21" t="s">
        <v>47</v>
      </c>
      <c r="M413" s="30" t="s">
        <v>1529</v>
      </c>
      <c r="N413" s="29" t="s">
        <v>1073</v>
      </c>
      <c r="O413" s="29" t="s">
        <v>1530</v>
      </c>
      <c r="P413" s="14" t="s">
        <v>533</v>
      </c>
      <c r="Q413" s="14" t="s">
        <v>533</v>
      </c>
      <c r="R413" s="16" t="str">
        <f t="shared" si="2"/>
        <v>Igual</v>
      </c>
    </row>
    <row r="414">
      <c r="A414" s="7"/>
      <c r="B414" s="16"/>
      <c r="C414" s="12"/>
      <c r="D414" s="12"/>
      <c r="E414" s="9"/>
      <c r="F414" s="10"/>
      <c r="G414" s="11"/>
      <c r="H414" s="9"/>
      <c r="I414" s="31"/>
      <c r="J414" s="9"/>
      <c r="K414" s="9"/>
      <c r="L414" s="21" t="s">
        <v>53</v>
      </c>
      <c r="M414" s="30" t="s">
        <v>1531</v>
      </c>
      <c r="N414" s="29" t="s">
        <v>1073</v>
      </c>
      <c r="O414" s="29" t="s">
        <v>1532</v>
      </c>
      <c r="P414" s="14" t="s">
        <v>533</v>
      </c>
      <c r="Q414" s="14" t="s">
        <v>533</v>
      </c>
      <c r="R414" s="16" t="str">
        <f t="shared" si="2"/>
        <v>Igual</v>
      </c>
    </row>
    <row r="415">
      <c r="A415" s="7"/>
      <c r="B415" s="16"/>
      <c r="C415" s="12"/>
      <c r="D415" s="12"/>
      <c r="E415" s="9"/>
      <c r="F415" s="10"/>
      <c r="G415" s="11"/>
      <c r="H415" s="9"/>
      <c r="I415" s="31"/>
      <c r="J415" s="9"/>
      <c r="K415" s="9"/>
      <c r="L415" s="21" t="s">
        <v>59</v>
      </c>
      <c r="M415" s="30" t="s">
        <v>1533</v>
      </c>
      <c r="N415" s="29" t="s">
        <v>1534</v>
      </c>
      <c r="O415" s="29" t="s">
        <v>1535</v>
      </c>
      <c r="P415" s="14" t="s">
        <v>533</v>
      </c>
      <c r="Q415" s="14" t="s">
        <v>533</v>
      </c>
      <c r="R415" s="16" t="str">
        <f t="shared" si="2"/>
        <v>Igual</v>
      </c>
    </row>
    <row r="416">
      <c r="A416" s="7"/>
      <c r="B416" s="16"/>
      <c r="C416" s="12"/>
      <c r="D416" s="12"/>
      <c r="E416" s="9"/>
      <c r="F416" s="10"/>
      <c r="G416" s="11"/>
      <c r="H416" s="9"/>
      <c r="I416" s="31"/>
      <c r="J416" s="9"/>
      <c r="K416" s="9"/>
      <c r="L416" s="21" t="s">
        <v>65</v>
      </c>
      <c r="M416" s="30" t="s">
        <v>1536</v>
      </c>
      <c r="N416" s="29" t="s">
        <v>1073</v>
      </c>
      <c r="O416" s="29" t="s">
        <v>1537</v>
      </c>
      <c r="P416" s="14" t="s">
        <v>533</v>
      </c>
      <c r="Q416" s="14" t="s">
        <v>533</v>
      </c>
      <c r="R416" s="16" t="str">
        <f t="shared" si="2"/>
        <v>Igual</v>
      </c>
    </row>
    <row r="417">
      <c r="A417" s="7"/>
      <c r="B417" s="16"/>
      <c r="C417" s="12"/>
      <c r="D417" s="12"/>
      <c r="E417" s="9"/>
      <c r="F417" s="10"/>
      <c r="G417" s="11"/>
      <c r="H417" s="9"/>
      <c r="I417" s="31"/>
      <c r="J417" s="9"/>
      <c r="K417" s="9"/>
      <c r="L417" s="21" t="s">
        <v>71</v>
      </c>
      <c r="M417" s="30" t="s">
        <v>1538</v>
      </c>
      <c r="N417" s="29" t="s">
        <v>1073</v>
      </c>
      <c r="O417" s="29" t="s">
        <v>1539</v>
      </c>
      <c r="P417" s="14" t="s">
        <v>533</v>
      </c>
      <c r="Q417" s="14" t="s">
        <v>533</v>
      </c>
      <c r="R417" s="16" t="str">
        <f t="shared" si="2"/>
        <v>Igual</v>
      </c>
    </row>
    <row r="418">
      <c r="A418" s="7" t="s">
        <v>243</v>
      </c>
      <c r="B418" s="14" t="s">
        <v>1057</v>
      </c>
      <c r="C418" s="17" t="s">
        <v>1540</v>
      </c>
      <c r="D418" s="17" t="s">
        <v>1541</v>
      </c>
      <c r="E418" s="9" t="s">
        <v>244</v>
      </c>
      <c r="F418" s="10" t="s">
        <v>245</v>
      </c>
      <c r="G418" s="11">
        <v>2024.0</v>
      </c>
      <c r="H418" s="9" t="s">
        <v>246</v>
      </c>
      <c r="I418" s="29" t="s">
        <v>1542</v>
      </c>
      <c r="J418" s="9"/>
      <c r="K418" s="9" t="s">
        <v>152</v>
      </c>
      <c r="L418" s="21" t="s">
        <v>25</v>
      </c>
      <c r="M418" s="30" t="s">
        <v>1543</v>
      </c>
      <c r="N418" s="30" t="s">
        <v>1544</v>
      </c>
      <c r="O418" s="29" t="s">
        <v>1545</v>
      </c>
      <c r="P418" s="14" t="s">
        <v>533</v>
      </c>
      <c r="Q418" s="14" t="s">
        <v>533</v>
      </c>
      <c r="R418" s="16" t="str">
        <f t="shared" si="2"/>
        <v>Igual</v>
      </c>
    </row>
    <row r="419">
      <c r="A419" s="7"/>
      <c r="B419" s="16"/>
      <c r="C419" s="12"/>
      <c r="D419" s="12"/>
      <c r="E419" s="9"/>
      <c r="F419" s="10"/>
      <c r="G419" s="11"/>
      <c r="H419" s="9"/>
      <c r="I419" s="31"/>
      <c r="J419" s="9"/>
      <c r="K419" s="9"/>
      <c r="L419" s="21" t="s">
        <v>31</v>
      </c>
      <c r="M419" s="30" t="s">
        <v>1546</v>
      </c>
      <c r="N419" s="29" t="s">
        <v>1073</v>
      </c>
      <c r="O419" s="29" t="s">
        <v>1547</v>
      </c>
      <c r="P419" s="14" t="s">
        <v>533</v>
      </c>
      <c r="Q419" s="14" t="s">
        <v>533</v>
      </c>
      <c r="R419" s="16" t="str">
        <f t="shared" si="2"/>
        <v>Igual</v>
      </c>
    </row>
    <row r="420">
      <c r="A420" s="7"/>
      <c r="B420" s="16"/>
      <c r="C420" s="12"/>
      <c r="D420" s="12"/>
      <c r="E420" s="9"/>
      <c r="F420" s="10"/>
      <c r="G420" s="11"/>
      <c r="H420" s="9"/>
      <c r="I420" s="31"/>
      <c r="J420" s="9"/>
      <c r="K420" s="9"/>
      <c r="L420" s="21" t="s">
        <v>36</v>
      </c>
      <c r="M420" s="30" t="s">
        <v>1548</v>
      </c>
      <c r="N420" s="29" t="s">
        <v>1549</v>
      </c>
      <c r="O420" s="29" t="s">
        <v>1550</v>
      </c>
      <c r="P420" s="14" t="s">
        <v>533</v>
      </c>
      <c r="Q420" s="14" t="s">
        <v>533</v>
      </c>
      <c r="R420" s="16" t="str">
        <f t="shared" si="2"/>
        <v>Igual</v>
      </c>
    </row>
    <row r="421">
      <c r="A421" s="7"/>
      <c r="B421" s="16"/>
      <c r="C421" s="12"/>
      <c r="D421" s="12"/>
      <c r="E421" s="9"/>
      <c r="F421" s="10"/>
      <c r="G421" s="11"/>
      <c r="H421" s="9"/>
      <c r="I421" s="31"/>
      <c r="J421" s="9"/>
      <c r="K421" s="9"/>
      <c r="L421" s="21" t="s">
        <v>41</v>
      </c>
      <c r="M421" s="30" t="s">
        <v>1551</v>
      </c>
      <c r="N421" s="29" t="s">
        <v>1552</v>
      </c>
      <c r="O421" s="29" t="s">
        <v>1553</v>
      </c>
      <c r="P421" s="14" t="s">
        <v>533</v>
      </c>
      <c r="Q421" s="14" t="s">
        <v>533</v>
      </c>
      <c r="R421" s="16" t="str">
        <f t="shared" si="2"/>
        <v>Igual</v>
      </c>
    </row>
    <row r="422">
      <c r="A422" s="7"/>
      <c r="B422" s="16"/>
      <c r="C422" s="12"/>
      <c r="D422" s="12"/>
      <c r="E422" s="9"/>
      <c r="F422" s="10"/>
      <c r="G422" s="11"/>
      <c r="H422" s="9"/>
      <c r="I422" s="31"/>
      <c r="J422" s="9"/>
      <c r="K422" s="9"/>
      <c r="L422" s="21" t="s">
        <v>47</v>
      </c>
      <c r="M422" s="30" t="s">
        <v>1554</v>
      </c>
      <c r="N422" s="29" t="s">
        <v>1555</v>
      </c>
      <c r="O422" s="29" t="s">
        <v>1556</v>
      </c>
      <c r="P422" s="14" t="s">
        <v>533</v>
      </c>
      <c r="Q422" s="14" t="s">
        <v>533</v>
      </c>
      <c r="R422" s="16" t="str">
        <f t="shared" si="2"/>
        <v>Igual</v>
      </c>
    </row>
    <row r="423">
      <c r="A423" s="7"/>
      <c r="B423" s="16"/>
      <c r="C423" s="12"/>
      <c r="D423" s="12"/>
      <c r="E423" s="9"/>
      <c r="F423" s="10"/>
      <c r="G423" s="11"/>
      <c r="H423" s="9"/>
      <c r="I423" s="31"/>
      <c r="J423" s="9"/>
      <c r="K423" s="9"/>
      <c r="L423" s="21" t="s">
        <v>53</v>
      </c>
      <c r="M423" s="30" t="s">
        <v>1557</v>
      </c>
      <c r="N423" s="29" t="s">
        <v>1558</v>
      </c>
      <c r="O423" s="29" t="s">
        <v>1559</v>
      </c>
      <c r="P423" s="14" t="s">
        <v>533</v>
      </c>
      <c r="Q423" s="14" t="s">
        <v>533</v>
      </c>
      <c r="R423" s="16" t="str">
        <f t="shared" si="2"/>
        <v>Igual</v>
      </c>
    </row>
    <row r="424">
      <c r="A424" s="7"/>
      <c r="B424" s="16"/>
      <c r="C424" s="12"/>
      <c r="D424" s="12"/>
      <c r="E424" s="9"/>
      <c r="F424" s="10"/>
      <c r="G424" s="11"/>
      <c r="H424" s="9"/>
      <c r="I424" s="31"/>
      <c r="J424" s="9"/>
      <c r="K424" s="9"/>
      <c r="L424" s="21" t="s">
        <v>59</v>
      </c>
      <c r="M424" s="30" t="s">
        <v>1560</v>
      </c>
      <c r="N424" s="29" t="s">
        <v>1561</v>
      </c>
      <c r="O424" s="29" t="s">
        <v>1562</v>
      </c>
      <c r="P424" s="14" t="s">
        <v>533</v>
      </c>
      <c r="Q424" s="14" t="s">
        <v>533</v>
      </c>
      <c r="R424" s="16" t="str">
        <f t="shared" si="2"/>
        <v>Igual</v>
      </c>
    </row>
    <row r="425">
      <c r="A425" s="7"/>
      <c r="B425" s="16"/>
      <c r="C425" s="12"/>
      <c r="D425" s="12"/>
      <c r="E425" s="9"/>
      <c r="F425" s="10"/>
      <c r="G425" s="11"/>
      <c r="H425" s="9"/>
      <c r="I425" s="31"/>
      <c r="J425" s="9"/>
      <c r="K425" s="9"/>
      <c r="L425" s="21" t="s">
        <v>65</v>
      </c>
      <c r="M425" s="30" t="s">
        <v>1563</v>
      </c>
      <c r="N425" s="29" t="s">
        <v>1564</v>
      </c>
      <c r="O425" s="29" t="s">
        <v>1565</v>
      </c>
      <c r="P425" s="14" t="s">
        <v>533</v>
      </c>
      <c r="Q425" s="14" t="s">
        <v>533</v>
      </c>
      <c r="R425" s="16" t="str">
        <f t="shared" si="2"/>
        <v>Igual</v>
      </c>
    </row>
    <row r="426">
      <c r="A426" s="7"/>
      <c r="B426" s="16"/>
      <c r="C426" s="12"/>
      <c r="D426" s="12"/>
      <c r="E426" s="9"/>
      <c r="F426" s="10"/>
      <c r="G426" s="11"/>
      <c r="H426" s="9"/>
      <c r="I426" s="31"/>
      <c r="J426" s="9"/>
      <c r="K426" s="9"/>
      <c r="L426" s="21" t="s">
        <v>71</v>
      </c>
      <c r="M426" s="30" t="s">
        <v>1566</v>
      </c>
      <c r="N426" s="29" t="s">
        <v>1567</v>
      </c>
      <c r="O426" s="29" t="s">
        <v>1568</v>
      </c>
      <c r="P426" s="14" t="s">
        <v>533</v>
      </c>
      <c r="Q426" s="14" t="s">
        <v>533</v>
      </c>
      <c r="R426" s="16" t="str">
        <f t="shared" si="2"/>
        <v>Igual</v>
      </c>
    </row>
    <row r="427">
      <c r="A427" s="7" t="s">
        <v>247</v>
      </c>
      <c r="B427" s="14" t="s">
        <v>1057</v>
      </c>
      <c r="C427" s="17" t="s">
        <v>1569</v>
      </c>
      <c r="D427" s="17" t="s">
        <v>1541</v>
      </c>
      <c r="E427" s="9" t="s">
        <v>248</v>
      </c>
      <c r="F427" s="10" t="s">
        <v>249</v>
      </c>
      <c r="G427" s="11">
        <v>2024.0</v>
      </c>
      <c r="H427" s="9" t="s">
        <v>250</v>
      </c>
      <c r="I427" s="29" t="s">
        <v>1021</v>
      </c>
      <c r="J427" s="9"/>
      <c r="K427" s="9" t="s">
        <v>152</v>
      </c>
      <c r="L427" s="21" t="s">
        <v>25</v>
      </c>
      <c r="M427" s="30" t="s">
        <v>1570</v>
      </c>
      <c r="N427" s="30" t="s">
        <v>1571</v>
      </c>
      <c r="O427" s="29" t="s">
        <v>1572</v>
      </c>
      <c r="P427" s="14" t="s">
        <v>533</v>
      </c>
      <c r="Q427" s="14" t="s">
        <v>533</v>
      </c>
      <c r="R427" s="16" t="str">
        <f t="shared" si="2"/>
        <v>Igual</v>
      </c>
    </row>
    <row r="428">
      <c r="A428" s="7"/>
      <c r="B428" s="16"/>
      <c r="C428" s="12"/>
      <c r="D428" s="12"/>
      <c r="E428" s="9"/>
      <c r="F428" s="10"/>
      <c r="G428" s="11"/>
      <c r="H428" s="9"/>
      <c r="I428" s="31"/>
      <c r="J428" s="9"/>
      <c r="K428" s="9"/>
      <c r="L428" s="21" t="s">
        <v>31</v>
      </c>
      <c r="M428" s="30" t="s">
        <v>1573</v>
      </c>
      <c r="N428" s="29" t="s">
        <v>1574</v>
      </c>
      <c r="O428" s="29" t="s">
        <v>1575</v>
      </c>
      <c r="P428" s="14" t="s">
        <v>533</v>
      </c>
      <c r="Q428" s="14" t="s">
        <v>533</v>
      </c>
      <c r="R428" s="16" t="str">
        <f t="shared" si="2"/>
        <v>Igual</v>
      </c>
    </row>
    <row r="429">
      <c r="A429" s="7"/>
      <c r="B429" s="16"/>
      <c r="C429" s="12"/>
      <c r="D429" s="12"/>
      <c r="E429" s="9"/>
      <c r="F429" s="10"/>
      <c r="G429" s="11"/>
      <c r="H429" s="9"/>
      <c r="I429" s="31"/>
      <c r="J429" s="9"/>
      <c r="K429" s="9"/>
      <c r="L429" s="21" t="s">
        <v>36</v>
      </c>
      <c r="M429" s="30" t="s">
        <v>1576</v>
      </c>
      <c r="N429" s="29" t="s">
        <v>1577</v>
      </c>
      <c r="O429" s="29" t="s">
        <v>1578</v>
      </c>
      <c r="P429" s="14" t="s">
        <v>533</v>
      </c>
      <c r="Q429" s="14" t="s">
        <v>533</v>
      </c>
      <c r="R429" s="16" t="str">
        <f t="shared" si="2"/>
        <v>Igual</v>
      </c>
    </row>
    <row r="430">
      <c r="A430" s="7"/>
      <c r="B430" s="16"/>
      <c r="C430" s="12"/>
      <c r="D430" s="12"/>
      <c r="E430" s="9"/>
      <c r="F430" s="10"/>
      <c r="G430" s="11"/>
      <c r="H430" s="9"/>
      <c r="I430" s="31"/>
      <c r="J430" s="9"/>
      <c r="K430" s="9"/>
      <c r="L430" s="21" t="s">
        <v>41</v>
      </c>
      <c r="M430" s="30" t="s">
        <v>1579</v>
      </c>
      <c r="N430" s="29" t="s">
        <v>1580</v>
      </c>
      <c r="O430" s="29" t="s">
        <v>1581</v>
      </c>
      <c r="P430" s="14" t="s">
        <v>533</v>
      </c>
      <c r="Q430" s="14" t="s">
        <v>533</v>
      </c>
      <c r="R430" s="16" t="str">
        <f t="shared" si="2"/>
        <v>Igual</v>
      </c>
    </row>
    <row r="431">
      <c r="A431" s="7"/>
      <c r="B431" s="16"/>
      <c r="C431" s="12"/>
      <c r="D431" s="12"/>
      <c r="E431" s="9"/>
      <c r="F431" s="10"/>
      <c r="G431" s="11"/>
      <c r="H431" s="9"/>
      <c r="I431" s="31"/>
      <c r="J431" s="9"/>
      <c r="K431" s="9"/>
      <c r="L431" s="21" t="s">
        <v>47</v>
      </c>
      <c r="M431" s="30" t="s">
        <v>1582</v>
      </c>
      <c r="N431" s="29" t="s">
        <v>1583</v>
      </c>
      <c r="O431" s="29" t="s">
        <v>1584</v>
      </c>
      <c r="P431" s="14" t="s">
        <v>533</v>
      </c>
      <c r="Q431" s="14" t="s">
        <v>533</v>
      </c>
      <c r="R431" s="16" t="str">
        <f t="shared" si="2"/>
        <v>Igual</v>
      </c>
    </row>
    <row r="432">
      <c r="A432" s="7"/>
      <c r="B432" s="16"/>
      <c r="C432" s="12"/>
      <c r="D432" s="12"/>
      <c r="E432" s="9"/>
      <c r="F432" s="10"/>
      <c r="G432" s="11"/>
      <c r="H432" s="9"/>
      <c r="I432" s="31"/>
      <c r="J432" s="9"/>
      <c r="K432" s="9"/>
      <c r="L432" s="21" t="s">
        <v>53</v>
      </c>
      <c r="M432" s="30" t="s">
        <v>1585</v>
      </c>
      <c r="N432" s="29" t="s">
        <v>1117</v>
      </c>
      <c r="O432" s="29" t="s">
        <v>1586</v>
      </c>
      <c r="P432" s="14" t="s">
        <v>533</v>
      </c>
      <c r="Q432" s="14" t="s">
        <v>533</v>
      </c>
      <c r="R432" s="16" t="str">
        <f t="shared" si="2"/>
        <v>Igual</v>
      </c>
    </row>
    <row r="433">
      <c r="A433" s="7"/>
      <c r="B433" s="16"/>
      <c r="C433" s="12"/>
      <c r="D433" s="12"/>
      <c r="E433" s="9"/>
      <c r="F433" s="10"/>
      <c r="G433" s="11"/>
      <c r="H433" s="9"/>
      <c r="I433" s="31"/>
      <c r="J433" s="9"/>
      <c r="K433" s="9"/>
      <c r="L433" s="21" t="s">
        <v>59</v>
      </c>
      <c r="M433" s="30" t="s">
        <v>1587</v>
      </c>
      <c r="N433" s="29" t="s">
        <v>1117</v>
      </c>
      <c r="O433" s="29" t="s">
        <v>1588</v>
      </c>
      <c r="P433" s="14" t="s">
        <v>533</v>
      </c>
      <c r="Q433" s="14" t="s">
        <v>533</v>
      </c>
      <c r="R433" s="16" t="str">
        <f t="shared" si="2"/>
        <v>Igual</v>
      </c>
    </row>
    <row r="434">
      <c r="A434" s="7"/>
      <c r="B434" s="16"/>
      <c r="C434" s="12"/>
      <c r="D434" s="12"/>
      <c r="E434" s="9"/>
      <c r="F434" s="10"/>
      <c r="G434" s="11"/>
      <c r="H434" s="9"/>
      <c r="I434" s="31"/>
      <c r="J434" s="9"/>
      <c r="K434" s="9"/>
      <c r="L434" s="21" t="s">
        <v>65</v>
      </c>
      <c r="M434" s="30" t="s">
        <v>1589</v>
      </c>
      <c r="N434" s="29" t="s">
        <v>1117</v>
      </c>
      <c r="O434" s="29" t="s">
        <v>1590</v>
      </c>
      <c r="P434" s="14" t="s">
        <v>533</v>
      </c>
      <c r="Q434" s="14" t="s">
        <v>533</v>
      </c>
      <c r="R434" s="16" t="str">
        <f t="shared" si="2"/>
        <v>Igual</v>
      </c>
    </row>
    <row r="435">
      <c r="A435" s="7"/>
      <c r="B435" s="16"/>
      <c r="C435" s="12"/>
      <c r="D435" s="12"/>
      <c r="E435" s="9"/>
      <c r="F435" s="10"/>
      <c r="G435" s="11"/>
      <c r="H435" s="9"/>
      <c r="I435" s="31"/>
      <c r="J435" s="9"/>
      <c r="K435" s="9"/>
      <c r="L435" s="21" t="s">
        <v>71</v>
      </c>
      <c r="M435" s="30" t="s">
        <v>1591</v>
      </c>
      <c r="N435" s="29" t="s">
        <v>1592</v>
      </c>
      <c r="O435" s="29" t="s">
        <v>1593</v>
      </c>
      <c r="P435" s="14" t="s">
        <v>533</v>
      </c>
      <c r="Q435" s="14" t="s">
        <v>562</v>
      </c>
      <c r="R435" s="16" t="str">
        <f t="shared" si="2"/>
        <v>Diferente</v>
      </c>
    </row>
    <row r="436">
      <c r="A436" s="7" t="s">
        <v>251</v>
      </c>
      <c r="B436" s="14" t="s">
        <v>1057</v>
      </c>
      <c r="C436" s="17" t="s">
        <v>1594</v>
      </c>
      <c r="D436" s="17" t="s">
        <v>1541</v>
      </c>
      <c r="E436" s="9" t="s">
        <v>252</v>
      </c>
      <c r="F436" s="10" t="s">
        <v>253</v>
      </c>
      <c r="G436" s="11">
        <v>2024.0</v>
      </c>
      <c r="H436" s="9" t="s">
        <v>254</v>
      </c>
      <c r="I436" s="29" t="s">
        <v>1021</v>
      </c>
      <c r="J436" s="9"/>
      <c r="K436" s="9" t="s">
        <v>152</v>
      </c>
      <c r="L436" s="21" t="s">
        <v>25</v>
      </c>
      <c r="M436" s="30" t="s">
        <v>1595</v>
      </c>
      <c r="N436" s="30" t="s">
        <v>1596</v>
      </c>
      <c r="O436" s="29" t="s">
        <v>1597</v>
      </c>
      <c r="P436" s="14" t="s">
        <v>533</v>
      </c>
      <c r="Q436" s="14" t="s">
        <v>533</v>
      </c>
      <c r="R436" s="16" t="str">
        <f t="shared" si="2"/>
        <v>Igual</v>
      </c>
    </row>
    <row r="437">
      <c r="A437" s="7"/>
      <c r="B437" s="16"/>
      <c r="C437" s="12"/>
      <c r="D437" s="12"/>
      <c r="E437" s="9"/>
      <c r="F437" s="10"/>
      <c r="G437" s="11"/>
      <c r="H437" s="9"/>
      <c r="I437" s="31"/>
      <c r="J437" s="9"/>
      <c r="K437" s="9"/>
      <c r="L437" s="21" t="s">
        <v>31</v>
      </c>
      <c r="M437" s="30" t="s">
        <v>1598</v>
      </c>
      <c r="N437" s="29" t="s">
        <v>1117</v>
      </c>
      <c r="O437" s="29" t="s">
        <v>1599</v>
      </c>
      <c r="P437" s="14" t="s">
        <v>533</v>
      </c>
      <c r="Q437" s="14" t="s">
        <v>533</v>
      </c>
      <c r="R437" s="16" t="str">
        <f t="shared" si="2"/>
        <v>Igual</v>
      </c>
    </row>
    <row r="438">
      <c r="A438" s="7"/>
      <c r="B438" s="16"/>
      <c r="C438" s="12"/>
      <c r="D438" s="12"/>
      <c r="E438" s="9"/>
      <c r="F438" s="10"/>
      <c r="G438" s="11"/>
      <c r="H438" s="9"/>
      <c r="I438" s="31"/>
      <c r="J438" s="9"/>
      <c r="K438" s="9"/>
      <c r="L438" s="21" t="s">
        <v>36</v>
      </c>
      <c r="M438" s="30" t="s">
        <v>1600</v>
      </c>
      <c r="N438" s="29" t="s">
        <v>1601</v>
      </c>
      <c r="O438" s="29" t="s">
        <v>1602</v>
      </c>
      <c r="P438" s="14" t="s">
        <v>533</v>
      </c>
      <c r="Q438" s="14" t="s">
        <v>533</v>
      </c>
      <c r="R438" s="16" t="str">
        <f t="shared" si="2"/>
        <v>Igual</v>
      </c>
    </row>
    <row r="439">
      <c r="A439" s="7"/>
      <c r="B439" s="16"/>
      <c r="C439" s="12"/>
      <c r="D439" s="12"/>
      <c r="E439" s="9"/>
      <c r="F439" s="10"/>
      <c r="G439" s="11"/>
      <c r="H439" s="9"/>
      <c r="I439" s="31"/>
      <c r="J439" s="9"/>
      <c r="K439" s="9"/>
      <c r="L439" s="21" t="s">
        <v>41</v>
      </c>
      <c r="M439" s="30" t="s">
        <v>1603</v>
      </c>
      <c r="N439" s="29" t="s">
        <v>1117</v>
      </c>
      <c r="O439" s="29" t="s">
        <v>1604</v>
      </c>
      <c r="P439" s="14" t="s">
        <v>533</v>
      </c>
      <c r="Q439" s="14" t="s">
        <v>562</v>
      </c>
      <c r="R439" s="16" t="str">
        <f t="shared" si="2"/>
        <v>Diferente</v>
      </c>
    </row>
    <row r="440">
      <c r="A440" s="7"/>
      <c r="B440" s="16"/>
      <c r="C440" s="12"/>
      <c r="D440" s="12"/>
      <c r="E440" s="9"/>
      <c r="F440" s="10"/>
      <c r="G440" s="11"/>
      <c r="H440" s="9"/>
      <c r="I440" s="31"/>
      <c r="J440" s="9"/>
      <c r="K440" s="9"/>
      <c r="L440" s="21" t="s">
        <v>47</v>
      </c>
      <c r="M440" s="30" t="s">
        <v>1605</v>
      </c>
      <c r="N440" s="29" t="s">
        <v>1117</v>
      </c>
      <c r="O440" s="29" t="s">
        <v>1556</v>
      </c>
      <c r="P440" s="14" t="s">
        <v>533</v>
      </c>
      <c r="Q440" s="14" t="s">
        <v>533</v>
      </c>
      <c r="R440" s="16" t="str">
        <f t="shared" si="2"/>
        <v>Igual</v>
      </c>
    </row>
    <row r="441">
      <c r="A441" s="7"/>
      <c r="B441" s="16"/>
      <c r="C441" s="12"/>
      <c r="D441" s="12"/>
      <c r="E441" s="9"/>
      <c r="F441" s="10"/>
      <c r="G441" s="11"/>
      <c r="H441" s="9"/>
      <c r="I441" s="31"/>
      <c r="J441" s="9"/>
      <c r="K441" s="9"/>
      <c r="L441" s="21" t="s">
        <v>53</v>
      </c>
      <c r="M441" s="30" t="s">
        <v>1585</v>
      </c>
      <c r="N441" s="29" t="s">
        <v>1117</v>
      </c>
      <c r="O441" s="29" t="s">
        <v>1606</v>
      </c>
      <c r="P441" s="14" t="s">
        <v>533</v>
      </c>
      <c r="Q441" s="14" t="s">
        <v>533</v>
      </c>
      <c r="R441" s="16" t="str">
        <f t="shared" si="2"/>
        <v>Igual</v>
      </c>
    </row>
    <row r="442">
      <c r="A442" s="7"/>
      <c r="B442" s="16"/>
      <c r="C442" s="12"/>
      <c r="D442" s="12"/>
      <c r="E442" s="9"/>
      <c r="F442" s="10"/>
      <c r="G442" s="11"/>
      <c r="H442" s="9"/>
      <c r="I442" s="31"/>
      <c r="J442" s="9"/>
      <c r="K442" s="9"/>
      <c r="L442" s="21" t="s">
        <v>59</v>
      </c>
      <c r="M442" s="30" t="s">
        <v>1607</v>
      </c>
      <c r="N442" s="29" t="s">
        <v>1608</v>
      </c>
      <c r="O442" s="29" t="s">
        <v>1609</v>
      </c>
      <c r="P442" s="14" t="s">
        <v>542</v>
      </c>
      <c r="Q442" s="14" t="s">
        <v>542</v>
      </c>
      <c r="R442" s="16" t="str">
        <f t="shared" si="2"/>
        <v>Igual</v>
      </c>
    </row>
    <row r="443">
      <c r="A443" s="7"/>
      <c r="B443" s="16"/>
      <c r="C443" s="12"/>
      <c r="D443" s="12"/>
      <c r="E443" s="9"/>
      <c r="F443" s="10"/>
      <c r="G443" s="11"/>
      <c r="H443" s="9"/>
      <c r="I443" s="31"/>
      <c r="J443" s="9"/>
      <c r="K443" s="9"/>
      <c r="L443" s="21" t="s">
        <v>65</v>
      </c>
      <c r="M443" s="30" t="s">
        <v>1610</v>
      </c>
      <c r="N443" s="29" t="s">
        <v>1117</v>
      </c>
      <c r="O443" s="29" t="s">
        <v>1565</v>
      </c>
      <c r="P443" s="14" t="s">
        <v>533</v>
      </c>
      <c r="Q443" s="14" t="s">
        <v>533</v>
      </c>
      <c r="R443" s="16" t="str">
        <f t="shared" si="2"/>
        <v>Igual</v>
      </c>
    </row>
    <row r="444">
      <c r="A444" s="7"/>
      <c r="B444" s="16"/>
      <c r="C444" s="12"/>
      <c r="D444" s="12"/>
      <c r="E444" s="9"/>
      <c r="F444" s="10"/>
      <c r="G444" s="11"/>
      <c r="H444" s="9"/>
      <c r="I444" s="31"/>
      <c r="J444" s="9"/>
      <c r="K444" s="9"/>
      <c r="L444" s="21" t="s">
        <v>71</v>
      </c>
      <c r="M444" s="30" t="s">
        <v>1611</v>
      </c>
      <c r="N444" s="29" t="s">
        <v>1117</v>
      </c>
      <c r="O444" s="29" t="s">
        <v>1612</v>
      </c>
      <c r="P444" s="14" t="s">
        <v>533</v>
      </c>
      <c r="Q444" s="14" t="s">
        <v>533</v>
      </c>
      <c r="R444" s="16" t="str">
        <f t="shared" si="2"/>
        <v>Igual</v>
      </c>
    </row>
    <row r="445">
      <c r="A445" s="7" t="s">
        <v>255</v>
      </c>
      <c r="B445" s="14" t="s">
        <v>1057</v>
      </c>
      <c r="C445" s="12"/>
      <c r="D445" s="17" t="s">
        <v>1613</v>
      </c>
      <c r="E445" s="9" t="s">
        <v>256</v>
      </c>
      <c r="F445" s="10" t="s">
        <v>257</v>
      </c>
      <c r="G445" s="11">
        <v>2023.0</v>
      </c>
      <c r="H445" s="9" t="s">
        <v>258</v>
      </c>
      <c r="I445" s="29" t="s">
        <v>1614</v>
      </c>
      <c r="J445" s="9"/>
      <c r="K445" s="9" t="s">
        <v>152</v>
      </c>
      <c r="L445" s="21" t="s">
        <v>25</v>
      </c>
      <c r="M445" s="30" t="s">
        <v>1615</v>
      </c>
      <c r="N445" s="30" t="s">
        <v>1616</v>
      </c>
      <c r="O445" s="29" t="s">
        <v>1572</v>
      </c>
      <c r="P445" s="14" t="s">
        <v>533</v>
      </c>
      <c r="Q445" s="14" t="s">
        <v>533</v>
      </c>
      <c r="R445" s="16" t="str">
        <f t="shared" si="2"/>
        <v>Igual</v>
      </c>
    </row>
    <row r="446">
      <c r="A446" s="7"/>
      <c r="B446" s="16"/>
      <c r="C446" s="12"/>
      <c r="D446" s="12"/>
      <c r="E446" s="9"/>
      <c r="F446" s="10"/>
      <c r="G446" s="11"/>
      <c r="H446" s="9"/>
      <c r="I446" s="31"/>
      <c r="J446" s="9"/>
      <c r="K446" s="9"/>
      <c r="L446" s="21" t="s">
        <v>31</v>
      </c>
      <c r="M446" s="30" t="s">
        <v>1617</v>
      </c>
      <c r="N446" s="29" t="s">
        <v>1618</v>
      </c>
      <c r="O446" s="29" t="s">
        <v>1619</v>
      </c>
      <c r="P446" s="14" t="s">
        <v>533</v>
      </c>
      <c r="Q446" s="14" t="s">
        <v>533</v>
      </c>
      <c r="R446" s="16" t="str">
        <f t="shared" si="2"/>
        <v>Igual</v>
      </c>
    </row>
    <row r="447">
      <c r="A447" s="7"/>
      <c r="B447" s="16"/>
      <c r="C447" s="12"/>
      <c r="D447" s="12"/>
      <c r="E447" s="9"/>
      <c r="F447" s="10"/>
      <c r="G447" s="11"/>
      <c r="H447" s="9"/>
      <c r="I447" s="31"/>
      <c r="J447" s="9"/>
      <c r="K447" s="9"/>
      <c r="L447" s="21" t="s">
        <v>36</v>
      </c>
      <c r="M447" s="30" t="s">
        <v>1620</v>
      </c>
      <c r="N447" s="29" t="s">
        <v>1621</v>
      </c>
      <c r="O447" s="29" t="s">
        <v>1622</v>
      </c>
      <c r="P447" s="14" t="s">
        <v>533</v>
      </c>
      <c r="Q447" s="14" t="s">
        <v>533</v>
      </c>
      <c r="R447" s="16" t="str">
        <f t="shared" si="2"/>
        <v>Igual</v>
      </c>
    </row>
    <row r="448">
      <c r="A448" s="7"/>
      <c r="B448" s="16"/>
      <c r="C448" s="12"/>
      <c r="D448" s="12"/>
      <c r="E448" s="9"/>
      <c r="F448" s="10"/>
      <c r="G448" s="11"/>
      <c r="H448" s="9"/>
      <c r="I448" s="31"/>
      <c r="J448" s="9"/>
      <c r="K448" s="9"/>
      <c r="L448" s="21" t="s">
        <v>41</v>
      </c>
      <c r="M448" s="30" t="s">
        <v>1623</v>
      </c>
      <c r="N448" s="29" t="s">
        <v>1624</v>
      </c>
      <c r="O448" s="29" t="s">
        <v>1581</v>
      </c>
      <c r="P448" s="14" t="s">
        <v>533</v>
      </c>
      <c r="Q448" s="14" t="s">
        <v>533</v>
      </c>
      <c r="R448" s="16" t="str">
        <f t="shared" si="2"/>
        <v>Igual</v>
      </c>
    </row>
    <row r="449">
      <c r="A449" s="7"/>
      <c r="B449" s="16"/>
      <c r="C449" s="12"/>
      <c r="D449" s="12"/>
      <c r="E449" s="9"/>
      <c r="F449" s="10"/>
      <c r="G449" s="11"/>
      <c r="H449" s="9"/>
      <c r="I449" s="31"/>
      <c r="J449" s="9"/>
      <c r="K449" s="9"/>
      <c r="L449" s="21" t="s">
        <v>47</v>
      </c>
      <c r="M449" s="30" t="s">
        <v>1625</v>
      </c>
      <c r="N449" s="29" t="s">
        <v>1073</v>
      </c>
      <c r="O449" s="29" t="s">
        <v>1584</v>
      </c>
      <c r="P449" s="14" t="s">
        <v>533</v>
      </c>
      <c r="Q449" s="14" t="s">
        <v>533</v>
      </c>
      <c r="R449" s="16" t="str">
        <f t="shared" si="2"/>
        <v>Igual</v>
      </c>
    </row>
    <row r="450">
      <c r="A450" s="7"/>
      <c r="B450" s="16"/>
      <c r="C450" s="12"/>
      <c r="D450" s="12"/>
      <c r="E450" s="9"/>
      <c r="F450" s="10"/>
      <c r="G450" s="11"/>
      <c r="H450" s="9"/>
      <c r="I450" s="31"/>
      <c r="J450" s="9"/>
      <c r="K450" s="9"/>
      <c r="L450" s="21" t="s">
        <v>53</v>
      </c>
      <c r="M450" s="30" t="s">
        <v>1626</v>
      </c>
      <c r="N450" s="29" t="s">
        <v>1073</v>
      </c>
      <c r="O450" s="29" t="s">
        <v>1586</v>
      </c>
      <c r="P450" s="14" t="s">
        <v>533</v>
      </c>
      <c r="Q450" s="14" t="s">
        <v>533</v>
      </c>
      <c r="R450" s="16" t="str">
        <f t="shared" si="2"/>
        <v>Igual</v>
      </c>
    </row>
    <row r="451">
      <c r="A451" s="7"/>
      <c r="B451" s="16"/>
      <c r="C451" s="12"/>
      <c r="D451" s="12"/>
      <c r="E451" s="9"/>
      <c r="F451" s="10"/>
      <c r="G451" s="11"/>
      <c r="H451" s="9"/>
      <c r="I451" s="31"/>
      <c r="J451" s="9"/>
      <c r="K451" s="9"/>
      <c r="L451" s="21" t="s">
        <v>59</v>
      </c>
      <c r="M451" s="30" t="s">
        <v>1627</v>
      </c>
      <c r="N451" s="29" t="s">
        <v>1628</v>
      </c>
      <c r="O451" s="29" t="s">
        <v>1588</v>
      </c>
      <c r="P451" s="14" t="s">
        <v>533</v>
      </c>
      <c r="Q451" s="14" t="s">
        <v>533</v>
      </c>
      <c r="R451" s="16" t="str">
        <f t="shared" si="2"/>
        <v>Igual</v>
      </c>
    </row>
    <row r="452">
      <c r="A452" s="7"/>
      <c r="B452" s="16"/>
      <c r="C452" s="12"/>
      <c r="D452" s="12"/>
      <c r="E452" s="9"/>
      <c r="F452" s="10"/>
      <c r="G452" s="11"/>
      <c r="H452" s="9"/>
      <c r="I452" s="31"/>
      <c r="J452" s="9"/>
      <c r="K452" s="9"/>
      <c r="L452" s="21" t="s">
        <v>65</v>
      </c>
      <c r="M452" s="30" t="s">
        <v>1629</v>
      </c>
      <c r="N452" s="29" t="s">
        <v>1073</v>
      </c>
      <c r="O452" s="29" t="s">
        <v>1590</v>
      </c>
      <c r="P452" s="14" t="s">
        <v>533</v>
      </c>
      <c r="Q452" s="14" t="s">
        <v>533</v>
      </c>
      <c r="R452" s="16" t="str">
        <f t="shared" si="2"/>
        <v>Igual</v>
      </c>
    </row>
    <row r="453">
      <c r="A453" s="7"/>
      <c r="B453" s="16"/>
      <c r="C453" s="12"/>
      <c r="D453" s="12"/>
      <c r="E453" s="9"/>
      <c r="F453" s="10"/>
      <c r="G453" s="11"/>
      <c r="H453" s="9"/>
      <c r="I453" s="31"/>
      <c r="J453" s="9"/>
      <c r="K453" s="9"/>
      <c r="L453" s="21" t="s">
        <v>71</v>
      </c>
      <c r="M453" s="30" t="s">
        <v>1630</v>
      </c>
      <c r="N453" s="29" t="s">
        <v>1631</v>
      </c>
      <c r="O453" s="29" t="s">
        <v>1593</v>
      </c>
      <c r="P453" s="14" t="s">
        <v>533</v>
      </c>
      <c r="Q453" s="14" t="s">
        <v>533</v>
      </c>
      <c r="R453" s="16" t="str">
        <f t="shared" si="2"/>
        <v>Igual</v>
      </c>
    </row>
    <row r="454">
      <c r="A454" s="7" t="s">
        <v>259</v>
      </c>
      <c r="B454" s="14" t="s">
        <v>1057</v>
      </c>
      <c r="C454" s="12"/>
      <c r="D454" s="17" t="s">
        <v>1632</v>
      </c>
      <c r="E454" s="9" t="s">
        <v>260</v>
      </c>
      <c r="F454" s="10" t="s">
        <v>261</v>
      </c>
      <c r="G454" s="11">
        <v>2024.0</v>
      </c>
      <c r="H454" s="9" t="s">
        <v>262</v>
      </c>
      <c r="I454" s="29" t="s">
        <v>528</v>
      </c>
      <c r="J454" s="9"/>
      <c r="K454" s="9" t="s">
        <v>152</v>
      </c>
      <c r="L454" s="21" t="s">
        <v>25</v>
      </c>
      <c r="M454" s="30" t="s">
        <v>1633</v>
      </c>
      <c r="N454" s="30" t="s">
        <v>1634</v>
      </c>
      <c r="O454" s="29" t="s">
        <v>1597</v>
      </c>
      <c r="P454" s="14" t="s">
        <v>533</v>
      </c>
      <c r="Q454" s="14" t="s">
        <v>533</v>
      </c>
      <c r="R454" s="16" t="str">
        <f t="shared" si="2"/>
        <v>Igual</v>
      </c>
    </row>
    <row r="455">
      <c r="A455" s="7"/>
      <c r="B455" s="16"/>
      <c r="C455" s="12"/>
      <c r="D455" s="12"/>
      <c r="E455" s="9"/>
      <c r="F455" s="10"/>
      <c r="G455" s="11"/>
      <c r="H455" s="9"/>
      <c r="I455" s="31"/>
      <c r="J455" s="9"/>
      <c r="K455" s="9"/>
      <c r="L455" s="21" t="s">
        <v>31</v>
      </c>
      <c r="M455" s="30" t="s">
        <v>1635</v>
      </c>
      <c r="N455" s="29" t="s">
        <v>1117</v>
      </c>
      <c r="O455" s="29" t="s">
        <v>1636</v>
      </c>
      <c r="P455" s="14" t="s">
        <v>533</v>
      </c>
      <c r="Q455" s="14" t="s">
        <v>533</v>
      </c>
      <c r="R455" s="16" t="str">
        <f t="shared" si="2"/>
        <v>Igual</v>
      </c>
    </row>
    <row r="456">
      <c r="A456" s="7"/>
      <c r="B456" s="16"/>
      <c r="C456" s="12"/>
      <c r="D456" s="12"/>
      <c r="E456" s="9"/>
      <c r="F456" s="10"/>
      <c r="G456" s="11"/>
      <c r="H456" s="9"/>
      <c r="I456" s="31"/>
      <c r="J456" s="9"/>
      <c r="K456" s="9"/>
      <c r="L456" s="21" t="s">
        <v>36</v>
      </c>
      <c r="M456" s="30" t="s">
        <v>1637</v>
      </c>
      <c r="N456" s="29" t="s">
        <v>1638</v>
      </c>
      <c r="O456" s="29" t="s">
        <v>1602</v>
      </c>
      <c r="P456" s="14" t="s">
        <v>533</v>
      </c>
      <c r="Q456" s="14" t="s">
        <v>533</v>
      </c>
      <c r="R456" s="16" t="str">
        <f t="shared" si="2"/>
        <v>Igual</v>
      </c>
    </row>
    <row r="457">
      <c r="A457" s="7"/>
      <c r="B457" s="16"/>
      <c r="C457" s="12"/>
      <c r="D457" s="12"/>
      <c r="E457" s="9"/>
      <c r="F457" s="10"/>
      <c r="G457" s="11"/>
      <c r="H457" s="9"/>
      <c r="I457" s="31"/>
      <c r="J457" s="9"/>
      <c r="K457" s="9"/>
      <c r="L457" s="21" t="s">
        <v>41</v>
      </c>
      <c r="M457" s="30" t="s">
        <v>1639</v>
      </c>
      <c r="N457" s="29" t="s">
        <v>1117</v>
      </c>
      <c r="O457" s="29" t="s">
        <v>1604</v>
      </c>
      <c r="P457" s="14" t="s">
        <v>533</v>
      </c>
      <c r="Q457" s="14" t="s">
        <v>562</v>
      </c>
      <c r="R457" s="16" t="str">
        <f t="shared" si="2"/>
        <v>Diferente</v>
      </c>
    </row>
    <row r="458">
      <c r="A458" s="7"/>
      <c r="B458" s="16"/>
      <c r="C458" s="12"/>
      <c r="D458" s="12"/>
      <c r="E458" s="9"/>
      <c r="F458" s="10"/>
      <c r="G458" s="11"/>
      <c r="H458" s="9"/>
      <c r="I458" s="31"/>
      <c r="J458" s="9"/>
      <c r="K458" s="9"/>
      <c r="L458" s="21" t="s">
        <v>47</v>
      </c>
      <c r="M458" s="30" t="s">
        <v>1640</v>
      </c>
      <c r="N458" s="29" t="s">
        <v>1117</v>
      </c>
      <c r="O458" s="29" t="s">
        <v>1556</v>
      </c>
      <c r="P458" s="14" t="s">
        <v>533</v>
      </c>
      <c r="Q458" s="14" t="s">
        <v>533</v>
      </c>
      <c r="R458" s="16" t="str">
        <f t="shared" si="2"/>
        <v>Igual</v>
      </c>
    </row>
    <row r="459">
      <c r="A459" s="7"/>
      <c r="B459" s="16"/>
      <c r="C459" s="12"/>
      <c r="D459" s="12"/>
      <c r="E459" s="9"/>
      <c r="F459" s="10"/>
      <c r="G459" s="11"/>
      <c r="H459" s="9"/>
      <c r="I459" s="31"/>
      <c r="J459" s="9"/>
      <c r="K459" s="9"/>
      <c r="L459" s="21" t="s">
        <v>53</v>
      </c>
      <c r="M459" s="30" t="s">
        <v>1641</v>
      </c>
      <c r="N459" s="29" t="s">
        <v>1117</v>
      </c>
      <c r="O459" s="29" t="s">
        <v>1606</v>
      </c>
      <c r="P459" s="14" t="s">
        <v>533</v>
      </c>
      <c r="Q459" s="14" t="s">
        <v>533</v>
      </c>
      <c r="R459" s="16" t="str">
        <f t="shared" si="2"/>
        <v>Igual</v>
      </c>
    </row>
    <row r="460">
      <c r="A460" s="7"/>
      <c r="B460" s="16"/>
      <c r="C460" s="12"/>
      <c r="D460" s="12"/>
      <c r="E460" s="9"/>
      <c r="F460" s="10"/>
      <c r="G460" s="11"/>
      <c r="H460" s="9"/>
      <c r="I460" s="31"/>
      <c r="J460" s="9"/>
      <c r="K460" s="9"/>
      <c r="L460" s="21" t="s">
        <v>59</v>
      </c>
      <c r="M460" s="30" t="s">
        <v>1642</v>
      </c>
      <c r="N460" s="29" t="s">
        <v>1117</v>
      </c>
      <c r="O460" s="29" t="s">
        <v>1609</v>
      </c>
      <c r="P460" s="14" t="s">
        <v>533</v>
      </c>
      <c r="Q460" s="14" t="s">
        <v>533</v>
      </c>
      <c r="R460" s="16" t="str">
        <f t="shared" si="2"/>
        <v>Igual</v>
      </c>
    </row>
    <row r="461">
      <c r="A461" s="7"/>
      <c r="B461" s="16"/>
      <c r="C461" s="12"/>
      <c r="D461" s="12"/>
      <c r="E461" s="9"/>
      <c r="F461" s="10"/>
      <c r="G461" s="11"/>
      <c r="H461" s="9"/>
      <c r="I461" s="31"/>
      <c r="J461" s="9"/>
      <c r="K461" s="9"/>
      <c r="L461" s="21" t="s">
        <v>65</v>
      </c>
      <c r="M461" s="30" t="s">
        <v>1643</v>
      </c>
      <c r="N461" s="29" t="s">
        <v>1117</v>
      </c>
      <c r="O461" s="29" t="s">
        <v>1565</v>
      </c>
      <c r="P461" s="14" t="s">
        <v>533</v>
      </c>
      <c r="Q461" s="14" t="s">
        <v>533</v>
      </c>
      <c r="R461" s="16" t="str">
        <f t="shared" si="2"/>
        <v>Igual</v>
      </c>
    </row>
    <row r="462">
      <c r="A462" s="7"/>
      <c r="B462" s="16"/>
      <c r="C462" s="12"/>
      <c r="D462" s="12"/>
      <c r="E462" s="9"/>
      <c r="F462" s="10"/>
      <c r="G462" s="11"/>
      <c r="H462" s="9"/>
      <c r="I462" s="31"/>
      <c r="J462" s="9"/>
      <c r="K462" s="9"/>
      <c r="L462" s="21" t="s">
        <v>71</v>
      </c>
      <c r="M462" s="30" t="s">
        <v>1644</v>
      </c>
      <c r="N462" s="29" t="s">
        <v>1117</v>
      </c>
      <c r="O462" s="29" t="s">
        <v>1612</v>
      </c>
      <c r="P462" s="14" t="s">
        <v>533</v>
      </c>
      <c r="Q462" s="14" t="s">
        <v>533</v>
      </c>
      <c r="R462" s="16" t="str">
        <f t="shared" si="2"/>
        <v>Igual</v>
      </c>
    </row>
    <row r="463">
      <c r="A463" s="7" t="s">
        <v>263</v>
      </c>
      <c r="B463" s="14" t="s">
        <v>1057</v>
      </c>
      <c r="C463" s="12"/>
      <c r="D463" s="17" t="s">
        <v>1645</v>
      </c>
      <c r="E463" s="9" t="s">
        <v>264</v>
      </c>
      <c r="F463" s="10" t="s">
        <v>265</v>
      </c>
      <c r="G463" s="11">
        <v>2022.0</v>
      </c>
      <c r="H463" s="9" t="s">
        <v>266</v>
      </c>
      <c r="I463" s="29" t="s">
        <v>1021</v>
      </c>
      <c r="J463" s="9"/>
      <c r="K463" s="9" t="s">
        <v>152</v>
      </c>
      <c r="L463" s="21" t="s">
        <v>25</v>
      </c>
      <c r="M463" s="30" t="s">
        <v>1646</v>
      </c>
      <c r="N463" s="30" t="s">
        <v>1634</v>
      </c>
      <c r="O463" s="29" t="s">
        <v>1647</v>
      </c>
      <c r="P463" s="14" t="s">
        <v>533</v>
      </c>
      <c r="Q463" s="14" t="s">
        <v>533</v>
      </c>
      <c r="R463" s="16" t="str">
        <f t="shared" si="2"/>
        <v>Igual</v>
      </c>
    </row>
    <row r="464">
      <c r="A464" s="7"/>
      <c r="B464" s="16"/>
      <c r="C464" s="12"/>
      <c r="D464" s="12"/>
      <c r="E464" s="9"/>
      <c r="F464" s="10"/>
      <c r="G464" s="11"/>
      <c r="H464" s="9"/>
      <c r="I464" s="31"/>
      <c r="J464" s="9"/>
      <c r="K464" s="9"/>
      <c r="L464" s="21" t="s">
        <v>31</v>
      </c>
      <c r="M464" s="30" t="s">
        <v>1598</v>
      </c>
      <c r="N464" s="30" t="s">
        <v>1648</v>
      </c>
      <c r="O464" s="29" t="s">
        <v>1649</v>
      </c>
      <c r="P464" s="14" t="s">
        <v>533</v>
      </c>
      <c r="Q464" s="14" t="s">
        <v>533</v>
      </c>
      <c r="R464" s="16" t="str">
        <f t="shared" si="2"/>
        <v>Igual</v>
      </c>
    </row>
    <row r="465">
      <c r="A465" s="7"/>
      <c r="B465" s="16"/>
      <c r="C465" s="12"/>
      <c r="D465" s="12"/>
      <c r="E465" s="9"/>
      <c r="F465" s="10"/>
      <c r="G465" s="11"/>
      <c r="H465" s="9"/>
      <c r="I465" s="31"/>
      <c r="J465" s="9"/>
      <c r="K465" s="9"/>
      <c r="L465" s="21" t="s">
        <v>36</v>
      </c>
      <c r="M465" s="30" t="s">
        <v>1650</v>
      </c>
      <c r="N465" s="30" t="s">
        <v>1651</v>
      </c>
      <c r="O465" s="29" t="s">
        <v>1652</v>
      </c>
      <c r="P465" s="14" t="s">
        <v>533</v>
      </c>
      <c r="Q465" s="14" t="s">
        <v>533</v>
      </c>
      <c r="R465" s="16" t="str">
        <f t="shared" si="2"/>
        <v>Igual</v>
      </c>
    </row>
    <row r="466">
      <c r="A466" s="7"/>
      <c r="B466" s="16"/>
      <c r="C466" s="12"/>
      <c r="D466" s="12"/>
      <c r="E466" s="9"/>
      <c r="F466" s="10"/>
      <c r="G466" s="11"/>
      <c r="H466" s="9"/>
      <c r="I466" s="31"/>
      <c r="J466" s="9"/>
      <c r="K466" s="9"/>
      <c r="L466" s="21" t="s">
        <v>41</v>
      </c>
      <c r="M466" s="30" t="s">
        <v>1653</v>
      </c>
      <c r="N466" s="30" t="s">
        <v>1654</v>
      </c>
      <c r="O466" s="29" t="s">
        <v>1655</v>
      </c>
      <c r="P466" s="14" t="s">
        <v>533</v>
      </c>
      <c r="Q466" s="14" t="s">
        <v>533</v>
      </c>
      <c r="R466" s="16" t="str">
        <f t="shared" si="2"/>
        <v>Igual</v>
      </c>
    </row>
    <row r="467">
      <c r="A467" s="7"/>
      <c r="B467" s="16"/>
      <c r="C467" s="12"/>
      <c r="D467" s="12"/>
      <c r="E467" s="9"/>
      <c r="F467" s="10"/>
      <c r="G467" s="11"/>
      <c r="H467" s="9"/>
      <c r="I467" s="31"/>
      <c r="J467" s="9"/>
      <c r="K467" s="9"/>
      <c r="L467" s="21" t="s">
        <v>47</v>
      </c>
      <c r="M467" s="30" t="s">
        <v>1656</v>
      </c>
      <c r="N467" s="30" t="s">
        <v>1073</v>
      </c>
      <c r="O467" s="29" t="s">
        <v>1556</v>
      </c>
      <c r="P467" s="14" t="s">
        <v>533</v>
      </c>
      <c r="Q467" s="14" t="s">
        <v>533</v>
      </c>
      <c r="R467" s="16" t="str">
        <f t="shared" si="2"/>
        <v>Igual</v>
      </c>
    </row>
    <row r="468">
      <c r="A468" s="7"/>
      <c r="B468" s="16"/>
      <c r="C468" s="12"/>
      <c r="D468" s="12"/>
      <c r="E468" s="9"/>
      <c r="F468" s="10"/>
      <c r="G468" s="11"/>
      <c r="H468" s="9"/>
      <c r="I468" s="31"/>
      <c r="J468" s="9"/>
      <c r="K468" s="9"/>
      <c r="L468" s="21" t="s">
        <v>53</v>
      </c>
      <c r="M468" s="30" t="s">
        <v>1657</v>
      </c>
      <c r="N468" s="30" t="s">
        <v>1073</v>
      </c>
      <c r="O468" s="29" t="s">
        <v>1586</v>
      </c>
      <c r="P468" s="14" t="s">
        <v>562</v>
      </c>
      <c r="Q468" s="14" t="s">
        <v>533</v>
      </c>
      <c r="R468" s="16" t="str">
        <f t="shared" si="2"/>
        <v>Diferente</v>
      </c>
    </row>
    <row r="469">
      <c r="A469" s="7"/>
      <c r="B469" s="16"/>
      <c r="C469" s="12"/>
      <c r="D469" s="12"/>
      <c r="E469" s="9"/>
      <c r="F469" s="10"/>
      <c r="G469" s="11"/>
      <c r="H469" s="9"/>
      <c r="I469" s="31"/>
      <c r="J469" s="9"/>
      <c r="K469" s="9"/>
      <c r="L469" s="21" t="s">
        <v>59</v>
      </c>
      <c r="M469" s="30" t="s">
        <v>1658</v>
      </c>
      <c r="N469" s="30" t="s">
        <v>1659</v>
      </c>
      <c r="O469" s="29" t="s">
        <v>1660</v>
      </c>
      <c r="P469" s="14" t="s">
        <v>533</v>
      </c>
      <c r="Q469" s="14" t="s">
        <v>533</v>
      </c>
      <c r="R469" s="16" t="str">
        <f t="shared" si="2"/>
        <v>Igual</v>
      </c>
    </row>
    <row r="470">
      <c r="A470" s="7"/>
      <c r="B470" s="16"/>
      <c r="C470" s="12"/>
      <c r="D470" s="12"/>
      <c r="E470" s="9"/>
      <c r="F470" s="10"/>
      <c r="G470" s="11"/>
      <c r="H470" s="9"/>
      <c r="I470" s="31"/>
      <c r="J470" s="9"/>
      <c r="K470" s="9"/>
      <c r="L470" s="21" t="s">
        <v>65</v>
      </c>
      <c r="M470" s="30" t="s">
        <v>1661</v>
      </c>
      <c r="N470" s="30" t="s">
        <v>1073</v>
      </c>
      <c r="O470" s="29" t="s">
        <v>1565</v>
      </c>
      <c r="P470" s="14" t="s">
        <v>533</v>
      </c>
      <c r="Q470" s="14" t="s">
        <v>533</v>
      </c>
      <c r="R470" s="16" t="str">
        <f t="shared" si="2"/>
        <v>Igual</v>
      </c>
    </row>
    <row r="471">
      <c r="A471" s="7"/>
      <c r="B471" s="16"/>
      <c r="C471" s="12"/>
      <c r="D471" s="12"/>
      <c r="E471" s="9"/>
      <c r="F471" s="10"/>
      <c r="G471" s="11"/>
      <c r="H471" s="9"/>
      <c r="I471" s="31"/>
      <c r="J471" s="9"/>
      <c r="K471" s="9"/>
      <c r="L471" s="21" t="s">
        <v>71</v>
      </c>
      <c r="M471" s="14" t="s">
        <v>1662</v>
      </c>
      <c r="N471" s="29" t="s">
        <v>1073</v>
      </c>
      <c r="O471" s="29" t="s">
        <v>1663</v>
      </c>
      <c r="P471" s="14" t="s">
        <v>533</v>
      </c>
      <c r="Q471" s="14" t="s">
        <v>533</v>
      </c>
      <c r="R471" s="16" t="str">
        <f t="shared" si="2"/>
        <v>Igual</v>
      </c>
    </row>
    <row r="472">
      <c r="A472" s="7" t="s">
        <v>267</v>
      </c>
      <c r="B472" s="14" t="s">
        <v>1057</v>
      </c>
      <c r="C472" s="12"/>
      <c r="D472" s="17" t="s">
        <v>1664</v>
      </c>
      <c r="E472" s="9" t="s">
        <v>268</v>
      </c>
      <c r="F472" s="10" t="s">
        <v>269</v>
      </c>
      <c r="G472" s="11">
        <v>2023.0</v>
      </c>
      <c r="H472" s="9" t="s">
        <v>270</v>
      </c>
      <c r="I472" s="29" t="s">
        <v>849</v>
      </c>
      <c r="J472" s="9"/>
      <c r="K472" s="9" t="s">
        <v>152</v>
      </c>
      <c r="L472" s="21" t="s">
        <v>25</v>
      </c>
      <c r="M472" s="30" t="s">
        <v>1665</v>
      </c>
      <c r="N472" s="30" t="s">
        <v>1666</v>
      </c>
      <c r="O472" s="29" t="s">
        <v>1667</v>
      </c>
      <c r="P472" s="14" t="s">
        <v>533</v>
      </c>
      <c r="Q472" s="14" t="s">
        <v>533</v>
      </c>
      <c r="R472" s="16" t="str">
        <f t="shared" si="2"/>
        <v>Igual</v>
      </c>
    </row>
    <row r="473">
      <c r="A473" s="7"/>
      <c r="B473" s="16"/>
      <c r="C473" s="12"/>
      <c r="D473" s="12"/>
      <c r="E473" s="9"/>
      <c r="F473" s="10"/>
      <c r="G473" s="11"/>
      <c r="H473" s="9"/>
      <c r="I473" s="31"/>
      <c r="J473" s="9"/>
      <c r="K473" s="9"/>
      <c r="L473" s="21" t="s">
        <v>31</v>
      </c>
      <c r="M473" s="30" t="s">
        <v>1668</v>
      </c>
      <c r="N473" s="30" t="s">
        <v>1669</v>
      </c>
      <c r="O473" s="29" t="s">
        <v>1670</v>
      </c>
      <c r="P473" s="14" t="s">
        <v>533</v>
      </c>
      <c r="Q473" s="14" t="s">
        <v>533</v>
      </c>
      <c r="R473" s="16" t="str">
        <f t="shared" si="2"/>
        <v>Igual</v>
      </c>
    </row>
    <row r="474">
      <c r="A474" s="7"/>
      <c r="B474" s="16"/>
      <c r="C474" s="12"/>
      <c r="D474" s="12"/>
      <c r="E474" s="9"/>
      <c r="F474" s="10"/>
      <c r="G474" s="11"/>
      <c r="H474" s="9"/>
      <c r="I474" s="31"/>
      <c r="J474" s="9"/>
      <c r="K474" s="9"/>
      <c r="L474" s="21" t="s">
        <v>36</v>
      </c>
      <c r="M474" s="30" t="s">
        <v>1671</v>
      </c>
      <c r="N474" s="30" t="s">
        <v>1672</v>
      </c>
      <c r="O474" s="29" t="s">
        <v>1673</v>
      </c>
      <c r="P474" s="14" t="s">
        <v>533</v>
      </c>
      <c r="Q474" s="14" t="s">
        <v>533</v>
      </c>
      <c r="R474" s="16" t="str">
        <f t="shared" si="2"/>
        <v>Igual</v>
      </c>
    </row>
    <row r="475">
      <c r="A475" s="7"/>
      <c r="B475" s="16"/>
      <c r="C475" s="12"/>
      <c r="D475" s="12"/>
      <c r="E475" s="9"/>
      <c r="F475" s="10"/>
      <c r="G475" s="11"/>
      <c r="H475" s="9"/>
      <c r="I475" s="31"/>
      <c r="J475" s="9"/>
      <c r="K475" s="9"/>
      <c r="L475" s="21" t="s">
        <v>41</v>
      </c>
      <c r="M475" s="30" t="s">
        <v>1674</v>
      </c>
      <c r="N475" s="30" t="s">
        <v>1675</v>
      </c>
      <c r="O475" s="29" t="s">
        <v>1676</v>
      </c>
      <c r="P475" s="14" t="s">
        <v>533</v>
      </c>
      <c r="Q475" s="14" t="s">
        <v>533</v>
      </c>
      <c r="R475" s="16" t="str">
        <f t="shared" si="2"/>
        <v>Igual</v>
      </c>
    </row>
    <row r="476">
      <c r="A476" s="7"/>
      <c r="B476" s="16"/>
      <c r="C476" s="12"/>
      <c r="D476" s="12"/>
      <c r="E476" s="9"/>
      <c r="F476" s="10"/>
      <c r="G476" s="11"/>
      <c r="H476" s="9"/>
      <c r="I476" s="31"/>
      <c r="J476" s="9"/>
      <c r="K476" s="9"/>
      <c r="L476" s="21" t="s">
        <v>47</v>
      </c>
      <c r="M476" s="30" t="s">
        <v>1677</v>
      </c>
      <c r="N476" s="30" t="s">
        <v>1073</v>
      </c>
      <c r="O476" s="29" t="s">
        <v>1584</v>
      </c>
      <c r="P476" s="14" t="s">
        <v>533</v>
      </c>
      <c r="Q476" s="14" t="s">
        <v>533</v>
      </c>
      <c r="R476" s="16" t="str">
        <f t="shared" si="2"/>
        <v>Igual</v>
      </c>
    </row>
    <row r="477">
      <c r="A477" s="7"/>
      <c r="B477" s="16"/>
      <c r="C477" s="12"/>
      <c r="D477" s="12"/>
      <c r="E477" s="9"/>
      <c r="F477" s="10"/>
      <c r="G477" s="11"/>
      <c r="H477" s="9"/>
      <c r="I477" s="31"/>
      <c r="J477" s="9"/>
      <c r="K477" s="9"/>
      <c r="L477" s="21" t="s">
        <v>53</v>
      </c>
      <c r="M477" s="29" t="s">
        <v>1678</v>
      </c>
      <c r="N477" s="29" t="s">
        <v>1073</v>
      </c>
      <c r="O477" s="29" t="s">
        <v>1606</v>
      </c>
      <c r="P477" s="14" t="s">
        <v>533</v>
      </c>
      <c r="Q477" s="14" t="s">
        <v>533</v>
      </c>
      <c r="R477" s="16" t="str">
        <f t="shared" si="2"/>
        <v>Igual</v>
      </c>
    </row>
    <row r="478">
      <c r="A478" s="7"/>
      <c r="B478" s="16"/>
      <c r="C478" s="12"/>
      <c r="D478" s="12"/>
      <c r="E478" s="9"/>
      <c r="F478" s="10"/>
      <c r="G478" s="11"/>
      <c r="H478" s="9"/>
      <c r="I478" s="31"/>
      <c r="J478" s="9"/>
      <c r="K478" s="9"/>
      <c r="L478" s="21" t="s">
        <v>59</v>
      </c>
      <c r="M478" s="29" t="s">
        <v>1560</v>
      </c>
      <c r="N478" s="29" t="s">
        <v>1679</v>
      </c>
      <c r="O478" s="29" t="s">
        <v>1680</v>
      </c>
      <c r="P478" s="14" t="s">
        <v>533</v>
      </c>
      <c r="Q478" s="14" t="s">
        <v>562</v>
      </c>
      <c r="R478" s="16" t="str">
        <f t="shared" si="2"/>
        <v>Diferente</v>
      </c>
    </row>
    <row r="479">
      <c r="A479" s="7"/>
      <c r="B479" s="16"/>
      <c r="C479" s="12"/>
      <c r="D479" s="12"/>
      <c r="E479" s="9"/>
      <c r="F479" s="10"/>
      <c r="G479" s="11"/>
      <c r="H479" s="9"/>
      <c r="I479" s="31"/>
      <c r="J479" s="9"/>
      <c r="K479" s="9"/>
      <c r="L479" s="21" t="s">
        <v>65</v>
      </c>
      <c r="M479" s="29" t="s">
        <v>1681</v>
      </c>
      <c r="N479" s="29" t="s">
        <v>1073</v>
      </c>
      <c r="O479" s="29" t="s">
        <v>1565</v>
      </c>
      <c r="P479" s="14" t="s">
        <v>533</v>
      </c>
      <c r="Q479" s="14" t="s">
        <v>533</v>
      </c>
      <c r="R479" s="16" t="str">
        <f t="shared" si="2"/>
        <v>Igual</v>
      </c>
    </row>
    <row r="480">
      <c r="A480" s="7"/>
      <c r="B480" s="16"/>
      <c r="C480" s="12"/>
      <c r="D480" s="12"/>
      <c r="E480" s="9"/>
      <c r="F480" s="10"/>
      <c r="G480" s="11"/>
      <c r="H480" s="9"/>
      <c r="I480" s="31"/>
      <c r="J480" s="9"/>
      <c r="K480" s="9"/>
      <c r="L480" s="21" t="s">
        <v>71</v>
      </c>
      <c r="M480" s="29" t="s">
        <v>1682</v>
      </c>
      <c r="N480" s="29" t="s">
        <v>1683</v>
      </c>
      <c r="O480" s="29" t="s">
        <v>1684</v>
      </c>
      <c r="P480" s="14" t="s">
        <v>533</v>
      </c>
      <c r="Q480" s="14" t="s">
        <v>562</v>
      </c>
      <c r="R480" s="16" t="str">
        <f t="shared" si="2"/>
        <v>Diferente</v>
      </c>
    </row>
    <row r="481">
      <c r="A481" s="7" t="s">
        <v>271</v>
      </c>
      <c r="B481" s="14" t="s">
        <v>1057</v>
      </c>
      <c r="C481" s="12"/>
      <c r="D481" s="17" t="s">
        <v>1685</v>
      </c>
      <c r="E481" s="9" t="s">
        <v>272</v>
      </c>
      <c r="F481" s="10" t="s">
        <v>273</v>
      </c>
      <c r="G481" s="11">
        <v>2021.0</v>
      </c>
      <c r="H481" s="9" t="s">
        <v>274</v>
      </c>
      <c r="I481" s="29" t="s">
        <v>1686</v>
      </c>
      <c r="J481" s="9"/>
      <c r="K481" s="9" t="s">
        <v>152</v>
      </c>
      <c r="L481" s="21" t="s">
        <v>25</v>
      </c>
      <c r="M481" s="29" t="s">
        <v>1687</v>
      </c>
      <c r="N481" s="29" t="s">
        <v>1688</v>
      </c>
      <c r="O481" s="29" t="s">
        <v>1689</v>
      </c>
      <c r="P481" s="14" t="s">
        <v>533</v>
      </c>
      <c r="Q481" s="14" t="s">
        <v>533</v>
      </c>
      <c r="R481" s="16" t="str">
        <f t="shared" si="2"/>
        <v>Igual</v>
      </c>
    </row>
    <row r="482">
      <c r="A482" s="7"/>
      <c r="B482" s="16"/>
      <c r="C482" s="12"/>
      <c r="D482" s="12"/>
      <c r="E482" s="9"/>
      <c r="F482" s="10"/>
      <c r="G482" s="11"/>
      <c r="H482" s="9"/>
      <c r="I482" s="31"/>
      <c r="J482" s="9"/>
      <c r="K482" s="9"/>
      <c r="L482" s="21" t="s">
        <v>31</v>
      </c>
      <c r="M482" s="29" t="s">
        <v>1635</v>
      </c>
      <c r="N482" s="29" t="s">
        <v>1690</v>
      </c>
      <c r="O482" s="29" t="s">
        <v>1691</v>
      </c>
      <c r="P482" s="14" t="s">
        <v>533</v>
      </c>
      <c r="Q482" s="14" t="s">
        <v>533</v>
      </c>
      <c r="R482" s="16" t="str">
        <f t="shared" si="2"/>
        <v>Igual</v>
      </c>
    </row>
    <row r="483">
      <c r="A483" s="7"/>
      <c r="B483" s="16"/>
      <c r="C483" s="12"/>
      <c r="D483" s="12"/>
      <c r="E483" s="9"/>
      <c r="F483" s="10"/>
      <c r="G483" s="11"/>
      <c r="H483" s="9"/>
      <c r="I483" s="31"/>
      <c r="J483" s="9"/>
      <c r="K483" s="9"/>
      <c r="L483" s="21" t="s">
        <v>36</v>
      </c>
      <c r="M483" s="29" t="s">
        <v>1692</v>
      </c>
      <c r="N483" s="29" t="s">
        <v>1693</v>
      </c>
      <c r="O483" s="29" t="s">
        <v>1694</v>
      </c>
      <c r="P483" s="14" t="s">
        <v>533</v>
      </c>
      <c r="Q483" s="14" t="s">
        <v>533</v>
      </c>
      <c r="R483" s="16" t="str">
        <f t="shared" si="2"/>
        <v>Igual</v>
      </c>
    </row>
    <row r="484">
      <c r="A484" s="7"/>
      <c r="B484" s="16"/>
      <c r="C484" s="12"/>
      <c r="D484" s="12"/>
      <c r="E484" s="9"/>
      <c r="F484" s="10"/>
      <c r="G484" s="11"/>
      <c r="H484" s="9"/>
      <c r="I484" s="31"/>
      <c r="J484" s="9"/>
      <c r="K484" s="9"/>
      <c r="L484" s="21" t="s">
        <v>41</v>
      </c>
      <c r="M484" s="47" t="s">
        <v>1695</v>
      </c>
      <c r="N484" s="47" t="s">
        <v>1696</v>
      </c>
      <c r="O484" s="29" t="s">
        <v>1697</v>
      </c>
      <c r="P484" s="14" t="s">
        <v>533</v>
      </c>
      <c r="Q484" s="14" t="s">
        <v>562</v>
      </c>
      <c r="R484" s="16" t="str">
        <f t="shared" si="2"/>
        <v>Diferente</v>
      </c>
    </row>
    <row r="485">
      <c r="A485" s="7"/>
      <c r="B485" s="16"/>
      <c r="C485" s="12"/>
      <c r="D485" s="12"/>
      <c r="E485" s="9"/>
      <c r="F485" s="10"/>
      <c r="G485" s="11"/>
      <c r="H485" s="9"/>
      <c r="I485" s="31"/>
      <c r="J485" s="9"/>
      <c r="K485" s="9"/>
      <c r="L485" s="21" t="s">
        <v>47</v>
      </c>
      <c r="M485" s="29" t="s">
        <v>1677</v>
      </c>
      <c r="N485" s="29" t="s">
        <v>1073</v>
      </c>
      <c r="O485" s="29" t="s">
        <v>1584</v>
      </c>
      <c r="P485" s="14" t="s">
        <v>533</v>
      </c>
      <c r="Q485" s="14" t="s">
        <v>533</v>
      </c>
      <c r="R485" s="16" t="str">
        <f t="shared" si="2"/>
        <v>Igual</v>
      </c>
    </row>
    <row r="486">
      <c r="A486" s="7"/>
      <c r="B486" s="16"/>
      <c r="C486" s="12"/>
      <c r="D486" s="12"/>
      <c r="E486" s="9"/>
      <c r="F486" s="10"/>
      <c r="G486" s="11"/>
      <c r="H486" s="9"/>
      <c r="I486" s="31"/>
      <c r="J486" s="9"/>
      <c r="K486" s="9"/>
      <c r="L486" s="21" t="s">
        <v>53</v>
      </c>
      <c r="M486" s="29" t="s">
        <v>1698</v>
      </c>
      <c r="N486" s="29" t="s">
        <v>1073</v>
      </c>
      <c r="O486" s="29" t="s">
        <v>1606</v>
      </c>
      <c r="P486" s="14" t="s">
        <v>533</v>
      </c>
      <c r="Q486" s="14" t="s">
        <v>533</v>
      </c>
      <c r="R486" s="16" t="str">
        <f t="shared" si="2"/>
        <v>Igual</v>
      </c>
    </row>
    <row r="487">
      <c r="A487" s="7"/>
      <c r="B487" s="16"/>
      <c r="C487" s="12"/>
      <c r="D487" s="12"/>
      <c r="E487" s="9"/>
      <c r="F487" s="10"/>
      <c r="G487" s="11"/>
      <c r="H487" s="9"/>
      <c r="I487" s="31"/>
      <c r="J487" s="9"/>
      <c r="K487" s="9"/>
      <c r="L487" s="21" t="s">
        <v>59</v>
      </c>
      <c r="M487" s="29" t="s">
        <v>1699</v>
      </c>
      <c r="N487" s="29" t="s">
        <v>1700</v>
      </c>
      <c r="O487" s="29" t="s">
        <v>1701</v>
      </c>
      <c r="P487" s="14" t="s">
        <v>562</v>
      </c>
      <c r="Q487" s="14" t="s">
        <v>533</v>
      </c>
      <c r="R487" s="16" t="str">
        <f t="shared" si="2"/>
        <v>Diferente</v>
      </c>
    </row>
    <row r="488">
      <c r="A488" s="7"/>
      <c r="B488" s="16"/>
      <c r="C488" s="12"/>
      <c r="D488" s="12"/>
      <c r="E488" s="9"/>
      <c r="F488" s="10"/>
      <c r="G488" s="11"/>
      <c r="H488" s="9"/>
      <c r="I488" s="31"/>
      <c r="J488" s="9"/>
      <c r="K488" s="9"/>
      <c r="L488" s="21" t="s">
        <v>65</v>
      </c>
      <c r="M488" s="29" t="s">
        <v>1702</v>
      </c>
      <c r="N488" s="29" t="s">
        <v>1073</v>
      </c>
      <c r="O488" s="29" t="s">
        <v>1565</v>
      </c>
      <c r="P488" s="14" t="s">
        <v>533</v>
      </c>
      <c r="Q488" s="14" t="s">
        <v>533</v>
      </c>
      <c r="R488" s="16" t="str">
        <f t="shared" si="2"/>
        <v>Igual</v>
      </c>
    </row>
    <row r="489">
      <c r="A489" s="7"/>
      <c r="B489" s="16"/>
      <c r="C489" s="12"/>
      <c r="D489" s="12"/>
      <c r="E489" s="9"/>
      <c r="F489" s="10"/>
      <c r="G489" s="11"/>
      <c r="H489" s="9"/>
      <c r="I489" s="31"/>
      <c r="J489" s="9"/>
      <c r="K489" s="9"/>
      <c r="L489" s="21" t="s">
        <v>71</v>
      </c>
      <c r="M489" s="29" t="s">
        <v>1703</v>
      </c>
      <c r="N489" s="29" t="s">
        <v>1704</v>
      </c>
      <c r="O489" s="29" t="s">
        <v>1705</v>
      </c>
      <c r="P489" s="14" t="s">
        <v>533</v>
      </c>
      <c r="Q489" s="14" t="s">
        <v>542</v>
      </c>
      <c r="R489" s="16" t="str">
        <f t="shared" si="2"/>
        <v>Diferente</v>
      </c>
    </row>
    <row r="490">
      <c r="A490" s="7" t="s">
        <v>275</v>
      </c>
      <c r="B490" s="14" t="s">
        <v>1057</v>
      </c>
      <c r="C490" s="12"/>
      <c r="D490" s="17" t="s">
        <v>1706</v>
      </c>
      <c r="E490" s="9" t="s">
        <v>276</v>
      </c>
      <c r="F490" s="10" t="s">
        <v>277</v>
      </c>
      <c r="G490" s="11">
        <v>2022.0</v>
      </c>
      <c r="H490" s="9" t="s">
        <v>278</v>
      </c>
      <c r="I490" s="29" t="s">
        <v>1686</v>
      </c>
      <c r="J490" s="9"/>
      <c r="K490" s="9" t="s">
        <v>152</v>
      </c>
      <c r="L490" s="21" t="s">
        <v>25</v>
      </c>
      <c r="M490" s="14" t="s">
        <v>1707</v>
      </c>
      <c r="N490" s="29" t="s">
        <v>1708</v>
      </c>
      <c r="O490" s="29" t="s">
        <v>1689</v>
      </c>
      <c r="P490" s="14" t="s">
        <v>533</v>
      </c>
      <c r="Q490" s="14" t="s">
        <v>533</v>
      </c>
      <c r="R490" s="16" t="str">
        <f t="shared" si="2"/>
        <v>Igual</v>
      </c>
    </row>
    <row r="491">
      <c r="A491" s="7"/>
      <c r="B491" s="16"/>
      <c r="C491" s="12"/>
      <c r="D491" s="12"/>
      <c r="E491" s="9"/>
      <c r="F491" s="10"/>
      <c r="G491" s="11"/>
      <c r="H491" s="9"/>
      <c r="I491" s="31"/>
      <c r="J491" s="9"/>
      <c r="K491" s="9"/>
      <c r="L491" s="21" t="s">
        <v>31</v>
      </c>
      <c r="M491" s="14" t="s">
        <v>1709</v>
      </c>
      <c r="N491" s="29" t="s">
        <v>1710</v>
      </c>
      <c r="O491" s="29" t="s">
        <v>1691</v>
      </c>
      <c r="P491" s="14" t="s">
        <v>533</v>
      </c>
      <c r="Q491" s="14" t="s">
        <v>533</v>
      </c>
      <c r="R491" s="16" t="str">
        <f t="shared" si="2"/>
        <v>Igual</v>
      </c>
    </row>
    <row r="492">
      <c r="A492" s="7"/>
      <c r="B492" s="16"/>
      <c r="C492" s="12"/>
      <c r="D492" s="12"/>
      <c r="E492" s="9"/>
      <c r="F492" s="10"/>
      <c r="G492" s="11"/>
      <c r="H492" s="9"/>
      <c r="I492" s="31"/>
      <c r="J492" s="9"/>
      <c r="K492" s="9"/>
      <c r="L492" s="21" t="s">
        <v>36</v>
      </c>
      <c r="M492" s="14" t="s">
        <v>1711</v>
      </c>
      <c r="N492" s="29" t="s">
        <v>1712</v>
      </c>
      <c r="O492" s="29" t="s">
        <v>1694</v>
      </c>
      <c r="P492" s="14" t="s">
        <v>533</v>
      </c>
      <c r="Q492" s="14" t="s">
        <v>533</v>
      </c>
      <c r="R492" s="16" t="str">
        <f t="shared" si="2"/>
        <v>Igual</v>
      </c>
    </row>
    <row r="493">
      <c r="A493" s="7"/>
      <c r="B493" s="16"/>
      <c r="C493" s="12"/>
      <c r="D493" s="12"/>
      <c r="E493" s="9"/>
      <c r="F493" s="10"/>
      <c r="G493" s="11"/>
      <c r="H493" s="9"/>
      <c r="I493" s="31"/>
      <c r="J493" s="9"/>
      <c r="K493" s="9"/>
      <c r="L493" s="21" t="s">
        <v>41</v>
      </c>
      <c r="M493" s="14" t="s">
        <v>1713</v>
      </c>
      <c r="N493" s="47" t="s">
        <v>1714</v>
      </c>
      <c r="O493" s="29" t="s">
        <v>1697</v>
      </c>
      <c r="P493" s="14" t="s">
        <v>533</v>
      </c>
      <c r="Q493" s="14" t="s">
        <v>562</v>
      </c>
      <c r="R493" s="16" t="str">
        <f t="shared" si="2"/>
        <v>Diferente</v>
      </c>
    </row>
    <row r="494">
      <c r="A494" s="7"/>
      <c r="B494" s="16"/>
      <c r="C494" s="12"/>
      <c r="D494" s="12"/>
      <c r="E494" s="9"/>
      <c r="F494" s="10"/>
      <c r="G494" s="11"/>
      <c r="H494" s="9"/>
      <c r="I494" s="31"/>
      <c r="J494" s="9"/>
      <c r="K494" s="9"/>
      <c r="L494" s="21" t="s">
        <v>47</v>
      </c>
      <c r="M494" s="14" t="s">
        <v>1715</v>
      </c>
      <c r="N494" s="29" t="s">
        <v>1073</v>
      </c>
      <c r="O494" s="29" t="s">
        <v>1584</v>
      </c>
      <c r="P494" s="14" t="s">
        <v>533</v>
      </c>
      <c r="Q494" s="14" t="s">
        <v>533</v>
      </c>
      <c r="R494" s="16" t="str">
        <f t="shared" si="2"/>
        <v>Igual</v>
      </c>
    </row>
    <row r="495">
      <c r="A495" s="7"/>
      <c r="B495" s="16"/>
      <c r="C495" s="12"/>
      <c r="D495" s="12"/>
      <c r="E495" s="9"/>
      <c r="F495" s="10"/>
      <c r="G495" s="11"/>
      <c r="H495" s="9"/>
      <c r="I495" s="31"/>
      <c r="J495" s="9"/>
      <c r="K495" s="9"/>
      <c r="L495" s="21" t="s">
        <v>53</v>
      </c>
      <c r="M495" s="14" t="s">
        <v>1716</v>
      </c>
      <c r="N495" s="29" t="s">
        <v>1073</v>
      </c>
      <c r="O495" s="29" t="s">
        <v>1606</v>
      </c>
      <c r="P495" s="14" t="s">
        <v>533</v>
      </c>
      <c r="Q495" s="14" t="s">
        <v>533</v>
      </c>
      <c r="R495" s="16" t="str">
        <f t="shared" si="2"/>
        <v>Igual</v>
      </c>
    </row>
    <row r="496">
      <c r="A496" s="7"/>
      <c r="B496" s="16"/>
      <c r="C496" s="12"/>
      <c r="D496" s="12"/>
      <c r="E496" s="9"/>
      <c r="F496" s="10"/>
      <c r="G496" s="11"/>
      <c r="H496" s="9"/>
      <c r="I496" s="31"/>
      <c r="J496" s="9"/>
      <c r="K496" s="9"/>
      <c r="L496" s="21" t="s">
        <v>59</v>
      </c>
      <c r="M496" s="14" t="s">
        <v>1717</v>
      </c>
      <c r="N496" s="47" t="s">
        <v>1718</v>
      </c>
      <c r="O496" s="29" t="s">
        <v>1701</v>
      </c>
      <c r="P496" s="14" t="s">
        <v>533</v>
      </c>
      <c r="Q496" s="14" t="s">
        <v>533</v>
      </c>
      <c r="R496" s="16" t="str">
        <f t="shared" si="2"/>
        <v>Igual</v>
      </c>
    </row>
    <row r="497">
      <c r="A497" s="7"/>
      <c r="B497" s="16"/>
      <c r="C497" s="12"/>
      <c r="D497" s="12"/>
      <c r="E497" s="9"/>
      <c r="F497" s="10"/>
      <c r="G497" s="11"/>
      <c r="H497" s="9"/>
      <c r="I497" s="31"/>
      <c r="J497" s="9"/>
      <c r="K497" s="9"/>
      <c r="L497" s="21" t="s">
        <v>65</v>
      </c>
      <c r="M497" s="14" t="s">
        <v>1719</v>
      </c>
      <c r="N497" s="29" t="s">
        <v>1073</v>
      </c>
      <c r="O497" s="29" t="s">
        <v>1565</v>
      </c>
      <c r="P497" s="14" t="s">
        <v>533</v>
      </c>
      <c r="Q497" s="14" t="s">
        <v>533</v>
      </c>
      <c r="R497" s="16" t="str">
        <f t="shared" si="2"/>
        <v>Igual</v>
      </c>
    </row>
    <row r="498">
      <c r="A498" s="7"/>
      <c r="B498" s="16"/>
      <c r="C498" s="12"/>
      <c r="D498" s="12"/>
      <c r="E498" s="9"/>
      <c r="F498" s="10"/>
      <c r="G498" s="11"/>
      <c r="H498" s="9"/>
      <c r="I498" s="31"/>
      <c r="J498" s="9"/>
      <c r="K498" s="9"/>
      <c r="L498" s="21" t="s">
        <v>71</v>
      </c>
      <c r="M498" s="14" t="s">
        <v>1720</v>
      </c>
      <c r="N498" s="29" t="s">
        <v>1721</v>
      </c>
      <c r="O498" s="29" t="s">
        <v>1705</v>
      </c>
      <c r="P498" s="14" t="s">
        <v>533</v>
      </c>
      <c r="Q498" s="14" t="s">
        <v>562</v>
      </c>
      <c r="R498" s="16" t="str">
        <f t="shared" si="2"/>
        <v>Diferente</v>
      </c>
    </row>
    <row r="499">
      <c r="A499" s="7" t="s">
        <v>279</v>
      </c>
      <c r="B499" s="14" t="s">
        <v>1057</v>
      </c>
      <c r="C499" s="12"/>
      <c r="D499" s="17" t="s">
        <v>1541</v>
      </c>
      <c r="E499" s="9" t="s">
        <v>280</v>
      </c>
      <c r="F499" s="10" t="s">
        <v>281</v>
      </c>
      <c r="G499" s="11">
        <v>2024.0</v>
      </c>
      <c r="H499" s="9" t="s">
        <v>282</v>
      </c>
      <c r="I499" s="29" t="s">
        <v>1021</v>
      </c>
      <c r="J499" s="9"/>
      <c r="K499" s="9" t="s">
        <v>152</v>
      </c>
      <c r="L499" s="21" t="s">
        <v>25</v>
      </c>
      <c r="M499" s="14" t="s">
        <v>1722</v>
      </c>
      <c r="N499" s="29" t="s">
        <v>1723</v>
      </c>
      <c r="O499" s="29" t="s">
        <v>1724</v>
      </c>
      <c r="P499" s="14" t="s">
        <v>533</v>
      </c>
      <c r="Q499" s="14" t="s">
        <v>533</v>
      </c>
      <c r="R499" s="16" t="str">
        <f t="shared" si="2"/>
        <v>Igual</v>
      </c>
    </row>
    <row r="500">
      <c r="A500" s="7"/>
      <c r="B500" s="16"/>
      <c r="C500" s="12"/>
      <c r="D500" s="12"/>
      <c r="E500" s="9"/>
      <c r="F500" s="10"/>
      <c r="G500" s="11"/>
      <c r="H500" s="9"/>
      <c r="I500" s="31"/>
      <c r="J500" s="9"/>
      <c r="K500" s="9"/>
      <c r="L500" s="21" t="s">
        <v>31</v>
      </c>
      <c r="M500" s="14" t="s">
        <v>1725</v>
      </c>
      <c r="N500" s="29" t="s">
        <v>1726</v>
      </c>
      <c r="O500" s="29" t="s">
        <v>1727</v>
      </c>
      <c r="P500" s="14" t="s">
        <v>533</v>
      </c>
      <c r="Q500" s="14" t="s">
        <v>533</v>
      </c>
      <c r="R500" s="16" t="str">
        <f t="shared" si="2"/>
        <v>Igual</v>
      </c>
    </row>
    <row r="501">
      <c r="A501" s="7"/>
      <c r="B501" s="16"/>
      <c r="C501" s="12"/>
      <c r="D501" s="12"/>
      <c r="E501" s="9"/>
      <c r="F501" s="10"/>
      <c r="G501" s="11"/>
      <c r="H501" s="9"/>
      <c r="I501" s="31"/>
      <c r="J501" s="9"/>
      <c r="K501" s="9"/>
      <c r="L501" s="21" t="s">
        <v>36</v>
      </c>
      <c r="M501" s="14" t="s">
        <v>1728</v>
      </c>
      <c r="N501" s="29" t="s">
        <v>1729</v>
      </c>
      <c r="O501" s="29" t="s">
        <v>1730</v>
      </c>
      <c r="P501" s="14" t="s">
        <v>533</v>
      </c>
      <c r="Q501" s="14" t="s">
        <v>533</v>
      </c>
      <c r="R501" s="16" t="str">
        <f t="shared" si="2"/>
        <v>Igual</v>
      </c>
    </row>
    <row r="502">
      <c r="A502" s="7"/>
      <c r="B502" s="16"/>
      <c r="C502" s="12"/>
      <c r="D502" s="12"/>
      <c r="E502" s="9"/>
      <c r="F502" s="10"/>
      <c r="G502" s="11"/>
      <c r="H502" s="9"/>
      <c r="I502" s="31"/>
      <c r="J502" s="9"/>
      <c r="K502" s="9"/>
      <c r="L502" s="21" t="s">
        <v>41</v>
      </c>
      <c r="M502" s="14" t="s">
        <v>1731</v>
      </c>
      <c r="N502" s="29" t="s">
        <v>1732</v>
      </c>
      <c r="O502" s="29" t="s">
        <v>1733</v>
      </c>
      <c r="P502" s="14" t="s">
        <v>533</v>
      </c>
      <c r="Q502" s="14" t="s">
        <v>533</v>
      </c>
      <c r="R502" s="16" t="str">
        <f t="shared" si="2"/>
        <v>Igual</v>
      </c>
    </row>
    <row r="503">
      <c r="A503" s="7"/>
      <c r="B503" s="16"/>
      <c r="C503" s="12"/>
      <c r="D503" s="12"/>
      <c r="E503" s="9"/>
      <c r="F503" s="10"/>
      <c r="G503" s="11"/>
      <c r="H503" s="9"/>
      <c r="I503" s="31"/>
      <c r="J503" s="9"/>
      <c r="K503" s="9"/>
      <c r="L503" s="21" t="s">
        <v>47</v>
      </c>
      <c r="M503" s="14" t="s">
        <v>1734</v>
      </c>
      <c r="N503" s="29" t="s">
        <v>1073</v>
      </c>
      <c r="O503" s="29" t="s">
        <v>1556</v>
      </c>
      <c r="P503" s="14" t="s">
        <v>533</v>
      </c>
      <c r="Q503" s="14" t="s">
        <v>533</v>
      </c>
      <c r="R503" s="16" t="str">
        <f t="shared" si="2"/>
        <v>Igual</v>
      </c>
    </row>
    <row r="504">
      <c r="A504" s="7"/>
      <c r="B504" s="16"/>
      <c r="C504" s="12"/>
      <c r="D504" s="12"/>
      <c r="E504" s="9"/>
      <c r="F504" s="10"/>
      <c r="G504" s="11"/>
      <c r="H504" s="9"/>
      <c r="I504" s="31"/>
      <c r="J504" s="9"/>
      <c r="K504" s="9"/>
      <c r="L504" s="21" t="s">
        <v>53</v>
      </c>
      <c r="M504" s="14" t="s">
        <v>1735</v>
      </c>
      <c r="N504" s="29" t="s">
        <v>1073</v>
      </c>
      <c r="O504" s="29" t="s">
        <v>1586</v>
      </c>
      <c r="P504" s="14" t="s">
        <v>533</v>
      </c>
      <c r="Q504" s="14" t="s">
        <v>533</v>
      </c>
      <c r="R504" s="16" t="str">
        <f t="shared" si="2"/>
        <v>Igual</v>
      </c>
    </row>
    <row r="505">
      <c r="A505" s="7"/>
      <c r="B505" s="16"/>
      <c r="C505" s="12"/>
      <c r="D505" s="12"/>
      <c r="E505" s="9"/>
      <c r="F505" s="10"/>
      <c r="G505" s="11"/>
      <c r="H505" s="9"/>
      <c r="I505" s="31"/>
      <c r="J505" s="9"/>
      <c r="K505" s="9"/>
      <c r="L505" s="21" t="s">
        <v>59</v>
      </c>
      <c r="M505" s="14" t="s">
        <v>1736</v>
      </c>
      <c r="N505" s="29" t="s">
        <v>1073</v>
      </c>
      <c r="O505" s="29" t="s">
        <v>1737</v>
      </c>
      <c r="P505" s="14" t="s">
        <v>533</v>
      </c>
      <c r="Q505" s="14" t="s">
        <v>533</v>
      </c>
      <c r="R505" s="16" t="str">
        <f t="shared" si="2"/>
        <v>Igual</v>
      </c>
    </row>
    <row r="506">
      <c r="A506" s="7"/>
      <c r="B506" s="16"/>
      <c r="C506" s="12"/>
      <c r="D506" s="12"/>
      <c r="E506" s="9"/>
      <c r="F506" s="10"/>
      <c r="G506" s="11"/>
      <c r="H506" s="9"/>
      <c r="I506" s="31"/>
      <c r="J506" s="9"/>
      <c r="K506" s="9"/>
      <c r="L506" s="21" t="s">
        <v>65</v>
      </c>
      <c r="M506" s="14" t="s">
        <v>1738</v>
      </c>
      <c r="N506" s="29" t="s">
        <v>1073</v>
      </c>
      <c r="O506" s="29" t="s">
        <v>1739</v>
      </c>
      <c r="P506" s="14" t="s">
        <v>533</v>
      </c>
      <c r="Q506" s="14" t="s">
        <v>533</v>
      </c>
      <c r="R506" s="16" t="str">
        <f t="shared" si="2"/>
        <v>Igual</v>
      </c>
    </row>
    <row r="507">
      <c r="A507" s="7"/>
      <c r="B507" s="16"/>
      <c r="C507" s="12"/>
      <c r="D507" s="12"/>
      <c r="E507" s="9"/>
      <c r="F507" s="10"/>
      <c r="G507" s="11"/>
      <c r="H507" s="9"/>
      <c r="I507" s="31"/>
      <c r="J507" s="9"/>
      <c r="K507" s="9"/>
      <c r="L507" s="21" t="s">
        <v>71</v>
      </c>
      <c r="M507" s="14" t="s">
        <v>1740</v>
      </c>
      <c r="N507" s="29" t="s">
        <v>1073</v>
      </c>
      <c r="O507" s="29" t="s">
        <v>1741</v>
      </c>
      <c r="P507" s="14" t="s">
        <v>533</v>
      </c>
      <c r="Q507" s="14" t="s">
        <v>533</v>
      </c>
      <c r="R507" s="16" t="str">
        <f t="shared" si="2"/>
        <v>Igual</v>
      </c>
    </row>
    <row r="508">
      <c r="A508" s="7" t="s">
        <v>283</v>
      </c>
      <c r="B508" s="14" t="s">
        <v>1057</v>
      </c>
      <c r="C508" s="12"/>
      <c r="D508" s="17" t="s">
        <v>1541</v>
      </c>
      <c r="E508" s="9" t="s">
        <v>284</v>
      </c>
      <c r="F508" s="10" t="s">
        <v>285</v>
      </c>
      <c r="G508" s="11">
        <v>2024.0</v>
      </c>
      <c r="H508" s="9" t="s">
        <v>286</v>
      </c>
      <c r="I508" s="29" t="s">
        <v>1355</v>
      </c>
      <c r="J508" s="13"/>
      <c r="K508" s="9" t="s">
        <v>152</v>
      </c>
      <c r="L508" s="21" t="s">
        <v>25</v>
      </c>
      <c r="M508" s="14" t="s">
        <v>1742</v>
      </c>
      <c r="N508" s="29" t="s">
        <v>1743</v>
      </c>
      <c r="O508" s="29" t="s">
        <v>1744</v>
      </c>
      <c r="P508" s="14" t="s">
        <v>533</v>
      </c>
      <c r="Q508" s="14" t="s">
        <v>562</v>
      </c>
      <c r="R508" s="16" t="str">
        <f t="shared" si="2"/>
        <v>Diferente</v>
      </c>
    </row>
    <row r="509">
      <c r="A509" s="7"/>
      <c r="B509" s="16"/>
      <c r="C509" s="12"/>
      <c r="D509" s="12"/>
      <c r="E509" s="9"/>
      <c r="F509" s="10"/>
      <c r="G509" s="11"/>
      <c r="H509" s="9"/>
      <c r="I509" s="31"/>
      <c r="J509" s="9"/>
      <c r="K509" s="9"/>
      <c r="L509" s="21" t="s">
        <v>31</v>
      </c>
      <c r="M509" s="14" t="s">
        <v>1745</v>
      </c>
      <c r="N509" s="29" t="s">
        <v>1746</v>
      </c>
      <c r="O509" s="29" t="s">
        <v>1747</v>
      </c>
      <c r="P509" s="14" t="s">
        <v>533</v>
      </c>
      <c r="Q509" s="14" t="s">
        <v>542</v>
      </c>
      <c r="R509" s="16" t="str">
        <f t="shared" si="2"/>
        <v>Diferente</v>
      </c>
    </row>
    <row r="510">
      <c r="A510" s="7"/>
      <c r="B510" s="16"/>
      <c r="C510" s="12"/>
      <c r="D510" s="12"/>
      <c r="E510" s="9"/>
      <c r="F510" s="10"/>
      <c r="G510" s="11"/>
      <c r="H510" s="9"/>
      <c r="I510" s="31"/>
      <c r="J510" s="9"/>
      <c r="K510" s="9"/>
      <c r="L510" s="21" t="s">
        <v>36</v>
      </c>
      <c r="M510" s="14" t="s">
        <v>1748</v>
      </c>
      <c r="N510" s="29" t="s">
        <v>1749</v>
      </c>
      <c r="O510" s="29" t="s">
        <v>1750</v>
      </c>
      <c r="P510" s="14" t="s">
        <v>533</v>
      </c>
      <c r="Q510" s="14" t="s">
        <v>533</v>
      </c>
      <c r="R510" s="16" t="str">
        <f t="shared" si="2"/>
        <v>Igual</v>
      </c>
    </row>
    <row r="511">
      <c r="A511" s="7"/>
      <c r="B511" s="16"/>
      <c r="C511" s="12"/>
      <c r="D511" s="12"/>
      <c r="E511" s="9"/>
      <c r="F511" s="10"/>
      <c r="G511" s="11"/>
      <c r="H511" s="9"/>
      <c r="I511" s="31"/>
      <c r="J511" s="9"/>
      <c r="K511" s="9"/>
      <c r="L511" s="21" t="s">
        <v>41</v>
      </c>
      <c r="M511" s="14" t="s">
        <v>1751</v>
      </c>
      <c r="N511" s="29" t="s">
        <v>1752</v>
      </c>
      <c r="O511" s="29" t="s">
        <v>1753</v>
      </c>
      <c r="P511" s="14" t="s">
        <v>533</v>
      </c>
      <c r="Q511" s="14" t="s">
        <v>533</v>
      </c>
      <c r="R511" s="16" t="str">
        <f t="shared" si="2"/>
        <v>Igual</v>
      </c>
    </row>
    <row r="512">
      <c r="A512" s="7"/>
      <c r="B512" s="16"/>
      <c r="C512" s="12"/>
      <c r="D512" s="12"/>
      <c r="E512" s="9"/>
      <c r="F512" s="10"/>
      <c r="G512" s="11"/>
      <c r="H512" s="9"/>
      <c r="I512" s="31"/>
      <c r="J512" s="9"/>
      <c r="K512" s="9"/>
      <c r="L512" s="21" t="s">
        <v>47</v>
      </c>
      <c r="M512" s="14" t="s">
        <v>1734</v>
      </c>
      <c r="N512" s="29" t="s">
        <v>1073</v>
      </c>
      <c r="O512" s="29" t="s">
        <v>1584</v>
      </c>
      <c r="P512" s="14" t="s">
        <v>533</v>
      </c>
      <c r="Q512" s="14" t="s">
        <v>533</v>
      </c>
      <c r="R512" s="16" t="str">
        <f t="shared" si="2"/>
        <v>Igual</v>
      </c>
    </row>
    <row r="513">
      <c r="A513" s="7"/>
      <c r="B513" s="16"/>
      <c r="C513" s="12"/>
      <c r="D513" s="12"/>
      <c r="E513" s="9"/>
      <c r="F513" s="10"/>
      <c r="G513" s="11"/>
      <c r="H513" s="9"/>
      <c r="I513" s="31"/>
      <c r="J513" s="9"/>
      <c r="K513" s="9"/>
      <c r="L513" s="21" t="s">
        <v>53</v>
      </c>
      <c r="M513" s="14" t="s">
        <v>1754</v>
      </c>
      <c r="N513" s="29" t="s">
        <v>1073</v>
      </c>
      <c r="O513" s="29" t="s">
        <v>1586</v>
      </c>
      <c r="P513" s="14" t="s">
        <v>533</v>
      </c>
      <c r="Q513" s="14" t="s">
        <v>533</v>
      </c>
      <c r="R513" s="16" t="str">
        <f t="shared" si="2"/>
        <v>Igual</v>
      </c>
    </row>
    <row r="514">
      <c r="A514" s="7"/>
      <c r="B514" s="16"/>
      <c r="C514" s="12"/>
      <c r="D514" s="12"/>
      <c r="E514" s="9"/>
      <c r="F514" s="10"/>
      <c r="G514" s="11"/>
      <c r="H514" s="9"/>
      <c r="I514" s="31"/>
      <c r="J514" s="9"/>
      <c r="K514" s="9"/>
      <c r="L514" s="21" t="s">
        <v>59</v>
      </c>
      <c r="M514" s="14" t="s">
        <v>1755</v>
      </c>
      <c r="N514" s="29" t="s">
        <v>1756</v>
      </c>
      <c r="O514" s="29" t="s">
        <v>1757</v>
      </c>
      <c r="P514" s="14" t="s">
        <v>533</v>
      </c>
      <c r="Q514" s="14" t="s">
        <v>533</v>
      </c>
      <c r="R514" s="16" t="str">
        <f t="shared" si="2"/>
        <v>Igual</v>
      </c>
    </row>
    <row r="515">
      <c r="A515" s="7"/>
      <c r="B515" s="16"/>
      <c r="C515" s="12"/>
      <c r="D515" s="12"/>
      <c r="E515" s="9"/>
      <c r="F515" s="10"/>
      <c r="G515" s="11"/>
      <c r="H515" s="9"/>
      <c r="I515" s="31"/>
      <c r="J515" s="9"/>
      <c r="K515" s="9"/>
      <c r="L515" s="21" t="s">
        <v>65</v>
      </c>
      <c r="M515" s="14" t="s">
        <v>1758</v>
      </c>
      <c r="N515" s="29" t="s">
        <v>1073</v>
      </c>
      <c r="O515" s="29" t="s">
        <v>1565</v>
      </c>
      <c r="P515" s="14" t="s">
        <v>533</v>
      </c>
      <c r="Q515" s="14" t="s">
        <v>533</v>
      </c>
      <c r="R515" s="16" t="str">
        <f t="shared" si="2"/>
        <v>Igual</v>
      </c>
    </row>
    <row r="516">
      <c r="A516" s="7"/>
      <c r="B516" s="16"/>
      <c r="C516" s="12"/>
      <c r="D516" s="12"/>
      <c r="E516" s="9"/>
      <c r="F516" s="10"/>
      <c r="G516" s="11"/>
      <c r="H516" s="9"/>
      <c r="I516" s="31"/>
      <c r="J516" s="9"/>
      <c r="K516" s="9"/>
      <c r="L516" s="21" t="s">
        <v>71</v>
      </c>
      <c r="M516" s="14" t="s">
        <v>1759</v>
      </c>
      <c r="N516" s="29" t="s">
        <v>1760</v>
      </c>
      <c r="O516" s="29" t="s">
        <v>1761</v>
      </c>
      <c r="P516" s="14" t="s">
        <v>533</v>
      </c>
      <c r="Q516" s="14" t="s">
        <v>562</v>
      </c>
      <c r="R516" s="16" t="str">
        <f t="shared" si="2"/>
        <v>Diferente</v>
      </c>
    </row>
    <row r="517">
      <c r="A517" s="7" t="s">
        <v>287</v>
      </c>
      <c r="B517" s="14" t="s">
        <v>1057</v>
      </c>
      <c r="C517" s="12"/>
      <c r="D517" s="17" t="s">
        <v>1762</v>
      </c>
      <c r="E517" s="9" t="s">
        <v>288</v>
      </c>
      <c r="F517" s="10" t="s">
        <v>289</v>
      </c>
      <c r="G517" s="11">
        <v>2024.0</v>
      </c>
      <c r="H517" s="9" t="s">
        <v>290</v>
      </c>
      <c r="I517" s="29" t="s">
        <v>1614</v>
      </c>
      <c r="J517" s="9"/>
      <c r="K517" s="9" t="s">
        <v>152</v>
      </c>
      <c r="L517" s="21" t="s">
        <v>25</v>
      </c>
      <c r="M517" s="14" t="s">
        <v>1763</v>
      </c>
      <c r="N517" s="29" t="s">
        <v>1764</v>
      </c>
      <c r="O517" s="29" t="s">
        <v>1765</v>
      </c>
      <c r="P517" s="14" t="s">
        <v>533</v>
      </c>
      <c r="Q517" s="14" t="s">
        <v>533</v>
      </c>
      <c r="R517" s="16" t="str">
        <f t="shared" si="2"/>
        <v>Igual</v>
      </c>
    </row>
    <row r="518">
      <c r="A518" s="7"/>
      <c r="B518" s="16"/>
      <c r="C518" s="12"/>
      <c r="D518" s="12"/>
      <c r="E518" s="9"/>
      <c r="F518" s="10"/>
      <c r="G518" s="11"/>
      <c r="H518" s="9"/>
      <c r="I518" s="31"/>
      <c r="J518" s="9"/>
      <c r="K518" s="9"/>
      <c r="L518" s="21" t="s">
        <v>31</v>
      </c>
      <c r="M518" s="14" t="s">
        <v>1766</v>
      </c>
      <c r="N518" s="29" t="s">
        <v>1767</v>
      </c>
      <c r="O518" s="29" t="s">
        <v>1768</v>
      </c>
      <c r="P518" s="14" t="s">
        <v>533</v>
      </c>
      <c r="Q518" s="14" t="s">
        <v>533</v>
      </c>
      <c r="R518" s="16" t="str">
        <f t="shared" si="2"/>
        <v>Igual</v>
      </c>
    </row>
    <row r="519">
      <c r="A519" s="7"/>
      <c r="B519" s="16"/>
      <c r="C519" s="12"/>
      <c r="D519" s="12"/>
      <c r="E519" s="9"/>
      <c r="F519" s="10"/>
      <c r="G519" s="11"/>
      <c r="H519" s="9"/>
      <c r="I519" s="31"/>
      <c r="J519" s="9"/>
      <c r="K519" s="9"/>
      <c r="L519" s="21" t="s">
        <v>36</v>
      </c>
      <c r="M519" s="14" t="s">
        <v>1769</v>
      </c>
      <c r="N519" s="29" t="s">
        <v>1770</v>
      </c>
      <c r="O519" s="29" t="s">
        <v>1771</v>
      </c>
      <c r="P519" s="14" t="s">
        <v>533</v>
      </c>
      <c r="Q519" s="14" t="s">
        <v>533</v>
      </c>
      <c r="R519" s="16" t="str">
        <f t="shared" si="2"/>
        <v>Igual</v>
      </c>
    </row>
    <row r="520">
      <c r="A520" s="7"/>
      <c r="B520" s="16"/>
      <c r="C520" s="12"/>
      <c r="D520" s="12"/>
      <c r="E520" s="9"/>
      <c r="F520" s="10"/>
      <c r="G520" s="11"/>
      <c r="H520" s="9"/>
      <c r="I520" s="31"/>
      <c r="J520" s="9"/>
      <c r="K520" s="9"/>
      <c r="L520" s="21" t="s">
        <v>41</v>
      </c>
      <c r="M520" s="14" t="s">
        <v>1772</v>
      </c>
      <c r="N520" s="47" t="s">
        <v>1773</v>
      </c>
      <c r="O520" s="29" t="s">
        <v>1774</v>
      </c>
      <c r="P520" s="14" t="s">
        <v>533</v>
      </c>
      <c r="Q520" s="14" t="s">
        <v>562</v>
      </c>
      <c r="R520" s="16" t="str">
        <f t="shared" si="2"/>
        <v>Diferente</v>
      </c>
    </row>
    <row r="521">
      <c r="A521" s="7"/>
      <c r="B521" s="16"/>
      <c r="C521" s="12"/>
      <c r="D521" s="12"/>
      <c r="E521" s="9"/>
      <c r="F521" s="10"/>
      <c r="G521" s="11"/>
      <c r="H521" s="9"/>
      <c r="I521" s="31"/>
      <c r="J521" s="9"/>
      <c r="K521" s="9"/>
      <c r="L521" s="21" t="s">
        <v>47</v>
      </c>
      <c r="M521" s="29" t="s">
        <v>1775</v>
      </c>
      <c r="N521" s="29" t="s">
        <v>1776</v>
      </c>
      <c r="O521" s="29" t="s">
        <v>1584</v>
      </c>
      <c r="P521" s="21" t="s">
        <v>533</v>
      </c>
      <c r="Q521" s="21" t="s">
        <v>533</v>
      </c>
      <c r="R521" s="59" t="str">
        <f t="shared" si="2"/>
        <v>Igual</v>
      </c>
    </row>
    <row r="522">
      <c r="A522" s="7"/>
      <c r="B522" s="16"/>
      <c r="C522" s="12"/>
      <c r="D522" s="12"/>
      <c r="E522" s="9"/>
      <c r="F522" s="10"/>
      <c r="G522" s="11"/>
      <c r="H522" s="9"/>
      <c r="I522" s="31"/>
      <c r="J522" s="9"/>
      <c r="K522" s="9"/>
      <c r="L522" s="21" t="s">
        <v>53</v>
      </c>
      <c r="M522" s="29" t="s">
        <v>1777</v>
      </c>
      <c r="N522" s="29" t="s">
        <v>1073</v>
      </c>
      <c r="O522" s="29" t="s">
        <v>1586</v>
      </c>
      <c r="P522" s="21" t="s">
        <v>533</v>
      </c>
      <c r="Q522" s="21" t="s">
        <v>533</v>
      </c>
      <c r="R522" s="59" t="str">
        <f t="shared" si="2"/>
        <v>Igual</v>
      </c>
    </row>
    <row r="523">
      <c r="A523" s="7"/>
      <c r="B523" s="16"/>
      <c r="C523" s="12"/>
      <c r="D523" s="12"/>
      <c r="E523" s="9"/>
      <c r="F523" s="10"/>
      <c r="G523" s="11"/>
      <c r="H523" s="9"/>
      <c r="I523" s="31"/>
      <c r="J523" s="9"/>
      <c r="K523" s="9"/>
      <c r="L523" s="21" t="s">
        <v>59</v>
      </c>
      <c r="M523" s="29" t="s">
        <v>1778</v>
      </c>
      <c r="N523" s="29" t="s">
        <v>1779</v>
      </c>
      <c r="O523" s="29" t="s">
        <v>1780</v>
      </c>
      <c r="P523" s="21" t="s">
        <v>533</v>
      </c>
      <c r="Q523" s="21" t="s">
        <v>533</v>
      </c>
      <c r="R523" s="59" t="str">
        <f t="shared" si="2"/>
        <v>Igual</v>
      </c>
    </row>
    <row r="524">
      <c r="A524" s="7"/>
      <c r="B524" s="16"/>
      <c r="C524" s="12"/>
      <c r="D524" s="12"/>
      <c r="E524" s="9"/>
      <c r="F524" s="10"/>
      <c r="G524" s="11"/>
      <c r="H524" s="9"/>
      <c r="I524" s="31"/>
      <c r="J524" s="9"/>
      <c r="K524" s="9"/>
      <c r="L524" s="21" t="s">
        <v>65</v>
      </c>
      <c r="M524" s="29" t="s">
        <v>1781</v>
      </c>
      <c r="N524" s="29" t="s">
        <v>1073</v>
      </c>
      <c r="O524" s="29" t="s">
        <v>1565</v>
      </c>
      <c r="P524" s="21" t="s">
        <v>533</v>
      </c>
      <c r="Q524" s="21" t="s">
        <v>533</v>
      </c>
      <c r="R524" s="59" t="str">
        <f t="shared" si="2"/>
        <v>Igual</v>
      </c>
    </row>
    <row r="525">
      <c r="A525" s="7"/>
      <c r="B525" s="16"/>
      <c r="C525" s="12"/>
      <c r="D525" s="12"/>
      <c r="E525" s="9"/>
      <c r="F525" s="10"/>
      <c r="G525" s="11"/>
      <c r="H525" s="9"/>
      <c r="I525" s="31"/>
      <c r="J525" s="9"/>
      <c r="K525" s="9"/>
      <c r="L525" s="21" t="s">
        <v>71</v>
      </c>
      <c r="M525" s="29" t="s">
        <v>1782</v>
      </c>
      <c r="N525" s="29" t="s">
        <v>1783</v>
      </c>
      <c r="O525" s="29" t="s">
        <v>1784</v>
      </c>
      <c r="P525" s="21" t="s">
        <v>533</v>
      </c>
      <c r="Q525" s="21" t="s">
        <v>533</v>
      </c>
      <c r="R525" s="59" t="str">
        <f t="shared" si="2"/>
        <v>Igual</v>
      </c>
    </row>
    <row r="526">
      <c r="A526" s="7" t="s">
        <v>291</v>
      </c>
      <c r="B526" s="14" t="s">
        <v>1057</v>
      </c>
      <c r="C526" s="12"/>
      <c r="D526" s="17" t="s">
        <v>1541</v>
      </c>
      <c r="E526" s="9" t="s">
        <v>292</v>
      </c>
      <c r="F526" s="10" t="s">
        <v>293</v>
      </c>
      <c r="G526" s="11">
        <v>2022.0</v>
      </c>
      <c r="H526" s="9" t="s">
        <v>294</v>
      </c>
      <c r="I526" s="29" t="s">
        <v>1021</v>
      </c>
      <c r="J526" s="9"/>
      <c r="K526" s="9" t="s">
        <v>152</v>
      </c>
      <c r="L526" s="21" t="s">
        <v>25</v>
      </c>
      <c r="M526" s="29" t="s">
        <v>1785</v>
      </c>
      <c r="N526" s="29" t="s">
        <v>1786</v>
      </c>
      <c r="O526" s="29" t="s">
        <v>1787</v>
      </c>
      <c r="P526" s="14" t="s">
        <v>542</v>
      </c>
      <c r="Q526" s="14" t="s">
        <v>542</v>
      </c>
      <c r="R526" s="16" t="str">
        <f t="shared" si="2"/>
        <v>Igual</v>
      </c>
    </row>
    <row r="527">
      <c r="A527" s="7"/>
      <c r="B527" s="16"/>
      <c r="C527" s="12"/>
      <c r="D527" s="12"/>
      <c r="E527" s="9"/>
      <c r="F527" s="10"/>
      <c r="G527" s="11"/>
      <c r="H527" s="9"/>
      <c r="I527" s="31"/>
      <c r="J527" s="9"/>
      <c r="K527" s="9"/>
      <c r="L527" s="21" t="s">
        <v>31</v>
      </c>
      <c r="M527" s="29" t="s">
        <v>1788</v>
      </c>
      <c r="N527" s="29" t="s">
        <v>1789</v>
      </c>
      <c r="O527" s="29" t="s">
        <v>1790</v>
      </c>
      <c r="P527" s="21" t="s">
        <v>533</v>
      </c>
      <c r="Q527" s="21" t="s">
        <v>533</v>
      </c>
      <c r="R527" s="59" t="str">
        <f t="shared" si="2"/>
        <v>Igual</v>
      </c>
    </row>
    <row r="528">
      <c r="A528" s="7"/>
      <c r="B528" s="16"/>
      <c r="C528" s="12"/>
      <c r="D528" s="12"/>
      <c r="E528" s="9"/>
      <c r="F528" s="10"/>
      <c r="G528" s="11"/>
      <c r="H528" s="9"/>
      <c r="I528" s="31"/>
      <c r="J528" s="9"/>
      <c r="K528" s="9"/>
      <c r="L528" s="21" t="s">
        <v>36</v>
      </c>
      <c r="M528" s="29" t="s">
        <v>1791</v>
      </c>
      <c r="N528" s="29" t="s">
        <v>1792</v>
      </c>
      <c r="O528" s="29" t="s">
        <v>1793</v>
      </c>
      <c r="P528" s="21" t="s">
        <v>533</v>
      </c>
      <c r="Q528" s="21" t="s">
        <v>533</v>
      </c>
      <c r="R528" s="59" t="str">
        <f t="shared" si="2"/>
        <v>Igual</v>
      </c>
    </row>
    <row r="529">
      <c r="A529" s="7"/>
      <c r="B529" s="16"/>
      <c r="C529" s="12"/>
      <c r="D529" s="12"/>
      <c r="E529" s="9"/>
      <c r="F529" s="10"/>
      <c r="G529" s="11"/>
      <c r="H529" s="9"/>
      <c r="I529" s="31"/>
      <c r="J529" s="9"/>
      <c r="K529" s="9"/>
      <c r="L529" s="21" t="s">
        <v>41</v>
      </c>
      <c r="M529" s="29" t="s">
        <v>1794</v>
      </c>
      <c r="N529" s="29" t="s">
        <v>1795</v>
      </c>
      <c r="O529" s="29" t="s">
        <v>1796</v>
      </c>
      <c r="P529" s="21" t="s">
        <v>533</v>
      </c>
      <c r="Q529" s="21" t="s">
        <v>533</v>
      </c>
      <c r="R529" s="59" t="str">
        <f t="shared" si="2"/>
        <v>Igual</v>
      </c>
    </row>
    <row r="530">
      <c r="A530" s="7"/>
      <c r="B530" s="16"/>
      <c r="C530" s="12"/>
      <c r="D530" s="12"/>
      <c r="E530" s="9"/>
      <c r="F530" s="10"/>
      <c r="G530" s="11"/>
      <c r="H530" s="9"/>
      <c r="I530" s="31"/>
      <c r="J530" s="9"/>
      <c r="K530" s="9"/>
      <c r="L530" s="21" t="s">
        <v>47</v>
      </c>
      <c r="M530" s="29" t="s">
        <v>1797</v>
      </c>
      <c r="N530" s="29" t="s">
        <v>1073</v>
      </c>
      <c r="O530" s="29" t="s">
        <v>1584</v>
      </c>
      <c r="P530" s="21" t="s">
        <v>533</v>
      </c>
      <c r="Q530" s="21" t="s">
        <v>533</v>
      </c>
      <c r="R530" s="59" t="str">
        <f t="shared" si="2"/>
        <v>Igual</v>
      </c>
    </row>
    <row r="531">
      <c r="A531" s="7"/>
      <c r="B531" s="16"/>
      <c r="C531" s="12"/>
      <c r="D531" s="12"/>
      <c r="E531" s="9"/>
      <c r="F531" s="10"/>
      <c r="G531" s="11"/>
      <c r="H531" s="9"/>
      <c r="I531" s="31"/>
      <c r="J531" s="9"/>
      <c r="K531" s="9"/>
      <c r="L531" s="21" t="s">
        <v>53</v>
      </c>
      <c r="M531" s="29" t="s">
        <v>1798</v>
      </c>
      <c r="N531" s="29" t="s">
        <v>1073</v>
      </c>
      <c r="O531" s="29" t="s">
        <v>1586</v>
      </c>
      <c r="P531" s="21" t="s">
        <v>533</v>
      </c>
      <c r="Q531" s="21" t="s">
        <v>533</v>
      </c>
      <c r="R531" s="59" t="str">
        <f t="shared" si="2"/>
        <v>Igual</v>
      </c>
    </row>
    <row r="532">
      <c r="A532" s="7"/>
      <c r="B532" s="16"/>
      <c r="C532" s="12"/>
      <c r="D532" s="12"/>
      <c r="E532" s="9"/>
      <c r="F532" s="10"/>
      <c r="G532" s="11"/>
      <c r="H532" s="9"/>
      <c r="I532" s="31"/>
      <c r="J532" s="9"/>
      <c r="K532" s="9"/>
      <c r="L532" s="21" t="s">
        <v>59</v>
      </c>
      <c r="M532" s="29" t="s">
        <v>1799</v>
      </c>
      <c r="N532" s="29" t="s">
        <v>1800</v>
      </c>
      <c r="O532" s="29" t="s">
        <v>1801</v>
      </c>
      <c r="P532" s="21" t="s">
        <v>533</v>
      </c>
      <c r="Q532" s="21" t="s">
        <v>533</v>
      </c>
      <c r="R532" s="59" t="str">
        <f t="shared" si="2"/>
        <v>Igual</v>
      </c>
    </row>
    <row r="533">
      <c r="A533" s="7"/>
      <c r="B533" s="16"/>
      <c r="C533" s="12"/>
      <c r="D533" s="12"/>
      <c r="E533" s="9"/>
      <c r="F533" s="10"/>
      <c r="G533" s="11"/>
      <c r="H533" s="9"/>
      <c r="I533" s="31"/>
      <c r="J533" s="9"/>
      <c r="K533" s="9"/>
      <c r="L533" s="21" t="s">
        <v>65</v>
      </c>
      <c r="M533" s="29" t="s">
        <v>1802</v>
      </c>
      <c r="N533" s="29" t="s">
        <v>1073</v>
      </c>
      <c r="O533" s="29" t="s">
        <v>1565</v>
      </c>
      <c r="P533" s="21" t="s">
        <v>533</v>
      </c>
      <c r="Q533" s="21" t="s">
        <v>533</v>
      </c>
      <c r="R533" s="59" t="str">
        <f t="shared" si="2"/>
        <v>Igual</v>
      </c>
    </row>
    <row r="534">
      <c r="A534" s="7"/>
      <c r="B534" s="16"/>
      <c r="C534" s="12"/>
      <c r="D534" s="12"/>
      <c r="E534" s="9"/>
      <c r="F534" s="10"/>
      <c r="G534" s="11"/>
      <c r="H534" s="9"/>
      <c r="I534" s="31"/>
      <c r="J534" s="9"/>
      <c r="K534" s="9"/>
      <c r="L534" s="21" t="s">
        <v>71</v>
      </c>
      <c r="M534" s="29" t="s">
        <v>1803</v>
      </c>
      <c r="N534" s="29" t="s">
        <v>1073</v>
      </c>
      <c r="O534" s="29" t="s">
        <v>1804</v>
      </c>
      <c r="P534" s="21" t="s">
        <v>533</v>
      </c>
      <c r="Q534" s="21" t="s">
        <v>533</v>
      </c>
      <c r="R534" s="59" t="str">
        <f t="shared" si="2"/>
        <v>Igual</v>
      </c>
    </row>
    <row r="535">
      <c r="A535" s="7" t="s">
        <v>295</v>
      </c>
      <c r="B535" s="14" t="s">
        <v>1057</v>
      </c>
      <c r="C535" s="12"/>
      <c r="D535" s="17" t="s">
        <v>1541</v>
      </c>
      <c r="E535" s="9" t="s">
        <v>296</v>
      </c>
      <c r="F535" s="10" t="s">
        <v>297</v>
      </c>
      <c r="G535" s="11">
        <v>2025.0</v>
      </c>
      <c r="H535" s="9" t="s">
        <v>298</v>
      </c>
      <c r="I535" s="29" t="s">
        <v>1805</v>
      </c>
      <c r="J535" s="9"/>
      <c r="K535" s="9" t="s">
        <v>152</v>
      </c>
      <c r="L535" s="21" t="s">
        <v>25</v>
      </c>
      <c r="M535" s="29" t="s">
        <v>1806</v>
      </c>
      <c r="N535" s="29" t="s">
        <v>1807</v>
      </c>
      <c r="O535" s="29" t="s">
        <v>1808</v>
      </c>
      <c r="P535" s="14" t="s">
        <v>562</v>
      </c>
      <c r="Q535" s="14" t="s">
        <v>533</v>
      </c>
      <c r="R535" s="16" t="str">
        <f t="shared" si="2"/>
        <v>Diferente</v>
      </c>
    </row>
    <row r="536">
      <c r="A536" s="7"/>
      <c r="B536" s="16"/>
      <c r="C536" s="12"/>
      <c r="D536" s="12"/>
      <c r="E536" s="9"/>
      <c r="F536" s="10"/>
      <c r="G536" s="11"/>
      <c r="H536" s="9"/>
      <c r="I536" s="31"/>
      <c r="J536" s="9"/>
      <c r="K536" s="9"/>
      <c r="L536" s="21" t="s">
        <v>31</v>
      </c>
      <c r="M536" s="29" t="s">
        <v>1809</v>
      </c>
      <c r="N536" s="29" t="s">
        <v>1810</v>
      </c>
      <c r="O536" s="29" t="s">
        <v>1811</v>
      </c>
      <c r="P536" s="21" t="s">
        <v>533</v>
      </c>
      <c r="Q536" s="21" t="s">
        <v>533</v>
      </c>
      <c r="R536" s="59" t="str">
        <f t="shared" si="2"/>
        <v>Igual</v>
      </c>
    </row>
    <row r="537">
      <c r="A537" s="7"/>
      <c r="B537" s="16"/>
      <c r="C537" s="12"/>
      <c r="D537" s="12"/>
      <c r="E537" s="9"/>
      <c r="F537" s="10"/>
      <c r="G537" s="11"/>
      <c r="H537" s="9"/>
      <c r="I537" s="31"/>
      <c r="J537" s="9"/>
      <c r="K537" s="9"/>
      <c r="L537" s="21" t="s">
        <v>36</v>
      </c>
      <c r="M537" s="29" t="s">
        <v>1812</v>
      </c>
      <c r="N537" s="29" t="s">
        <v>1813</v>
      </c>
      <c r="O537" s="29" t="s">
        <v>1814</v>
      </c>
      <c r="P537" s="21" t="s">
        <v>533</v>
      </c>
      <c r="Q537" s="21" t="s">
        <v>533</v>
      </c>
      <c r="R537" s="59" t="str">
        <f t="shared" si="2"/>
        <v>Igual</v>
      </c>
    </row>
    <row r="538">
      <c r="A538" s="7"/>
      <c r="B538" s="16"/>
      <c r="C538" s="12"/>
      <c r="D538" s="12"/>
      <c r="E538" s="9"/>
      <c r="F538" s="10"/>
      <c r="G538" s="11"/>
      <c r="H538" s="9"/>
      <c r="I538" s="31"/>
      <c r="J538" s="9"/>
      <c r="K538" s="9"/>
      <c r="L538" s="21" t="s">
        <v>41</v>
      </c>
      <c r="M538" s="29" t="s">
        <v>1815</v>
      </c>
      <c r="N538" s="29" t="s">
        <v>1816</v>
      </c>
      <c r="O538" s="29" t="s">
        <v>1817</v>
      </c>
      <c r="P538" s="21" t="s">
        <v>533</v>
      </c>
      <c r="Q538" s="21" t="s">
        <v>533</v>
      </c>
      <c r="R538" s="59" t="str">
        <f t="shared" si="2"/>
        <v>Igual</v>
      </c>
    </row>
    <row r="539">
      <c r="A539" s="7"/>
      <c r="B539" s="16"/>
      <c r="C539" s="12"/>
      <c r="D539" s="12"/>
      <c r="E539" s="9"/>
      <c r="F539" s="10"/>
      <c r="G539" s="11"/>
      <c r="H539" s="9"/>
      <c r="I539" s="31"/>
      <c r="J539" s="9"/>
      <c r="K539" s="9"/>
      <c r="L539" s="21" t="s">
        <v>47</v>
      </c>
      <c r="M539" s="29" t="s">
        <v>1818</v>
      </c>
      <c r="N539" s="29" t="s">
        <v>1819</v>
      </c>
      <c r="O539" s="29" t="s">
        <v>1584</v>
      </c>
      <c r="P539" s="21" t="s">
        <v>533</v>
      </c>
      <c r="Q539" s="21" t="s">
        <v>533</v>
      </c>
      <c r="R539" s="59" t="str">
        <f t="shared" si="2"/>
        <v>Igual</v>
      </c>
    </row>
    <row r="540">
      <c r="A540" s="7"/>
      <c r="B540" s="16"/>
      <c r="C540" s="12"/>
      <c r="D540" s="12"/>
      <c r="E540" s="9"/>
      <c r="F540" s="10"/>
      <c r="G540" s="11"/>
      <c r="H540" s="9"/>
      <c r="I540" s="31"/>
      <c r="J540" s="9"/>
      <c r="K540" s="9"/>
      <c r="L540" s="21" t="s">
        <v>53</v>
      </c>
      <c r="M540" s="29" t="s">
        <v>1820</v>
      </c>
      <c r="N540" s="29" t="s">
        <v>1073</v>
      </c>
      <c r="O540" s="29" t="s">
        <v>1586</v>
      </c>
      <c r="P540" s="21" t="s">
        <v>533</v>
      </c>
      <c r="Q540" s="21" t="s">
        <v>533</v>
      </c>
      <c r="R540" s="59" t="str">
        <f t="shared" si="2"/>
        <v>Igual</v>
      </c>
    </row>
    <row r="541">
      <c r="A541" s="7"/>
      <c r="B541" s="16"/>
      <c r="C541" s="12"/>
      <c r="D541" s="12"/>
      <c r="E541" s="9"/>
      <c r="F541" s="10"/>
      <c r="G541" s="11"/>
      <c r="H541" s="9"/>
      <c r="I541" s="31"/>
      <c r="J541" s="9"/>
      <c r="K541" s="9"/>
      <c r="L541" s="21" t="s">
        <v>59</v>
      </c>
      <c r="M541" s="29" t="s">
        <v>1821</v>
      </c>
      <c r="N541" s="29" t="s">
        <v>1822</v>
      </c>
      <c r="O541" s="29" t="s">
        <v>1823</v>
      </c>
      <c r="P541" s="21" t="s">
        <v>533</v>
      </c>
      <c r="Q541" s="21" t="s">
        <v>533</v>
      </c>
      <c r="R541" s="59" t="str">
        <f t="shared" si="2"/>
        <v>Igual</v>
      </c>
    </row>
    <row r="542">
      <c r="A542" s="7"/>
      <c r="B542" s="16"/>
      <c r="C542" s="12"/>
      <c r="D542" s="12"/>
      <c r="E542" s="9"/>
      <c r="F542" s="10"/>
      <c r="G542" s="11"/>
      <c r="H542" s="9"/>
      <c r="I542" s="31"/>
      <c r="J542" s="9"/>
      <c r="K542" s="9"/>
      <c r="L542" s="21" t="s">
        <v>65</v>
      </c>
      <c r="M542" s="29" t="s">
        <v>1824</v>
      </c>
      <c r="N542" s="29" t="s">
        <v>1073</v>
      </c>
      <c r="O542" s="29" t="s">
        <v>1565</v>
      </c>
      <c r="P542" s="21" t="s">
        <v>533</v>
      </c>
      <c r="Q542" s="21" t="s">
        <v>533</v>
      </c>
      <c r="R542" s="59" t="str">
        <f t="shared" si="2"/>
        <v>Igual</v>
      </c>
    </row>
    <row r="543">
      <c r="A543" s="7"/>
      <c r="B543" s="16"/>
      <c r="C543" s="12"/>
      <c r="D543" s="12"/>
      <c r="E543" s="9"/>
      <c r="F543" s="10"/>
      <c r="G543" s="11"/>
      <c r="H543" s="9"/>
      <c r="I543" s="31"/>
      <c r="J543" s="9"/>
      <c r="K543" s="9"/>
      <c r="L543" s="21" t="s">
        <v>71</v>
      </c>
      <c r="M543" s="29" t="s">
        <v>1825</v>
      </c>
      <c r="N543" s="29" t="s">
        <v>1826</v>
      </c>
      <c r="O543" s="29" t="s">
        <v>1827</v>
      </c>
      <c r="P543" s="21" t="s">
        <v>533</v>
      </c>
      <c r="Q543" s="21" t="s">
        <v>533</v>
      </c>
      <c r="R543" s="59" t="str">
        <f t="shared" si="2"/>
        <v>Igual</v>
      </c>
    </row>
    <row r="544">
      <c r="A544" s="7" t="s">
        <v>299</v>
      </c>
      <c r="B544" s="14" t="s">
        <v>1057</v>
      </c>
      <c r="C544" s="12"/>
      <c r="D544" s="17" t="s">
        <v>1541</v>
      </c>
      <c r="E544" s="9" t="s">
        <v>300</v>
      </c>
      <c r="F544" s="10" t="s">
        <v>301</v>
      </c>
      <c r="G544" s="11">
        <v>2025.0</v>
      </c>
      <c r="H544" s="9" t="s">
        <v>302</v>
      </c>
      <c r="I544" s="29" t="s">
        <v>528</v>
      </c>
      <c r="J544" s="9"/>
      <c r="K544" s="9" t="s">
        <v>152</v>
      </c>
      <c r="L544" s="21" t="s">
        <v>25</v>
      </c>
      <c r="M544" s="29" t="s">
        <v>1785</v>
      </c>
      <c r="N544" s="29" t="s">
        <v>1828</v>
      </c>
      <c r="O544" s="29" t="s">
        <v>1829</v>
      </c>
      <c r="P544" s="14" t="s">
        <v>562</v>
      </c>
      <c r="Q544" s="14" t="s">
        <v>533</v>
      </c>
      <c r="R544" s="16" t="str">
        <f t="shared" si="2"/>
        <v>Diferente</v>
      </c>
    </row>
    <row r="545">
      <c r="A545" s="7"/>
      <c r="B545" s="16"/>
      <c r="C545" s="12"/>
      <c r="D545" s="12"/>
      <c r="E545" s="9"/>
      <c r="F545" s="10"/>
      <c r="G545" s="11"/>
      <c r="H545" s="9"/>
      <c r="I545" s="31"/>
      <c r="J545" s="9"/>
      <c r="K545" s="9"/>
      <c r="L545" s="21" t="s">
        <v>31</v>
      </c>
      <c r="M545" s="29" t="s">
        <v>1830</v>
      </c>
      <c r="N545" s="29" t="s">
        <v>1831</v>
      </c>
      <c r="O545" s="29" t="s">
        <v>1832</v>
      </c>
      <c r="P545" s="21" t="s">
        <v>533</v>
      </c>
      <c r="Q545" s="21" t="s">
        <v>533</v>
      </c>
      <c r="R545" s="59" t="str">
        <f t="shared" si="2"/>
        <v>Igual</v>
      </c>
    </row>
    <row r="546">
      <c r="A546" s="7"/>
      <c r="B546" s="16"/>
      <c r="C546" s="12"/>
      <c r="D546" s="12"/>
      <c r="E546" s="9"/>
      <c r="F546" s="10"/>
      <c r="G546" s="11"/>
      <c r="H546" s="9"/>
      <c r="I546" s="31"/>
      <c r="J546" s="9"/>
      <c r="K546" s="9"/>
      <c r="L546" s="21" t="s">
        <v>36</v>
      </c>
      <c r="M546" s="29" t="s">
        <v>1833</v>
      </c>
      <c r="N546" s="29" t="s">
        <v>1834</v>
      </c>
      <c r="O546" s="29" t="s">
        <v>1835</v>
      </c>
      <c r="P546" s="21" t="s">
        <v>533</v>
      </c>
      <c r="Q546" s="21" t="s">
        <v>533</v>
      </c>
      <c r="R546" s="59" t="str">
        <f t="shared" si="2"/>
        <v>Igual</v>
      </c>
    </row>
    <row r="547">
      <c r="A547" s="7"/>
      <c r="B547" s="16"/>
      <c r="C547" s="12"/>
      <c r="D547" s="12"/>
      <c r="E547" s="9"/>
      <c r="F547" s="10"/>
      <c r="G547" s="11"/>
      <c r="H547" s="9"/>
      <c r="I547" s="31"/>
      <c r="J547" s="9"/>
      <c r="K547" s="9"/>
      <c r="L547" s="21" t="s">
        <v>41</v>
      </c>
      <c r="M547" s="29" t="s">
        <v>1836</v>
      </c>
      <c r="N547" s="47" t="s">
        <v>1837</v>
      </c>
      <c r="O547" s="29" t="s">
        <v>1838</v>
      </c>
      <c r="P547" s="21" t="s">
        <v>533</v>
      </c>
      <c r="Q547" s="21" t="s">
        <v>533</v>
      </c>
      <c r="R547" s="59" t="str">
        <f t="shared" si="2"/>
        <v>Igual</v>
      </c>
    </row>
    <row r="548">
      <c r="A548" s="7"/>
      <c r="B548" s="16"/>
      <c r="C548" s="12"/>
      <c r="D548" s="12"/>
      <c r="E548" s="9"/>
      <c r="F548" s="10"/>
      <c r="G548" s="11"/>
      <c r="H548" s="9"/>
      <c r="I548" s="31"/>
      <c r="J548" s="9"/>
      <c r="K548" s="9"/>
      <c r="L548" s="21" t="s">
        <v>47</v>
      </c>
      <c r="M548" s="29" t="s">
        <v>1839</v>
      </c>
      <c r="N548" s="29" t="s">
        <v>1840</v>
      </c>
      <c r="O548" s="29" t="s">
        <v>1556</v>
      </c>
      <c r="P548" s="21" t="s">
        <v>533</v>
      </c>
      <c r="Q548" s="21" t="s">
        <v>533</v>
      </c>
      <c r="R548" s="59" t="str">
        <f t="shared" si="2"/>
        <v>Igual</v>
      </c>
    </row>
    <row r="549">
      <c r="A549" s="7"/>
      <c r="B549" s="16"/>
      <c r="C549" s="12"/>
      <c r="D549" s="12"/>
      <c r="E549" s="9"/>
      <c r="F549" s="10"/>
      <c r="G549" s="11"/>
      <c r="H549" s="9"/>
      <c r="I549" s="31"/>
      <c r="J549" s="9"/>
      <c r="K549" s="9"/>
      <c r="L549" s="21" t="s">
        <v>53</v>
      </c>
      <c r="M549" s="29" t="s">
        <v>1841</v>
      </c>
      <c r="N549" s="29" t="s">
        <v>1073</v>
      </c>
      <c r="O549" s="29" t="s">
        <v>1606</v>
      </c>
      <c r="P549" s="21" t="s">
        <v>533</v>
      </c>
      <c r="Q549" s="21" t="s">
        <v>533</v>
      </c>
      <c r="R549" s="59" t="str">
        <f t="shared" si="2"/>
        <v>Igual</v>
      </c>
    </row>
    <row r="550">
      <c r="A550" s="7"/>
      <c r="B550" s="16"/>
      <c r="C550" s="12"/>
      <c r="D550" s="12"/>
      <c r="E550" s="9"/>
      <c r="F550" s="10"/>
      <c r="G550" s="11"/>
      <c r="H550" s="9"/>
      <c r="I550" s="31"/>
      <c r="J550" s="9"/>
      <c r="K550" s="9"/>
      <c r="L550" s="21" t="s">
        <v>59</v>
      </c>
      <c r="M550" s="29" t="s">
        <v>1842</v>
      </c>
      <c r="N550" s="29" t="s">
        <v>1843</v>
      </c>
      <c r="O550" s="29" t="s">
        <v>1844</v>
      </c>
      <c r="P550" s="21" t="s">
        <v>533</v>
      </c>
      <c r="Q550" s="21" t="s">
        <v>533</v>
      </c>
      <c r="R550" s="59" t="str">
        <f t="shared" si="2"/>
        <v>Igual</v>
      </c>
    </row>
    <row r="551">
      <c r="A551" s="7"/>
      <c r="B551" s="16"/>
      <c r="C551" s="12"/>
      <c r="D551" s="12"/>
      <c r="E551" s="9"/>
      <c r="F551" s="10"/>
      <c r="G551" s="11"/>
      <c r="H551" s="9"/>
      <c r="I551" s="31"/>
      <c r="J551" s="9"/>
      <c r="K551" s="9"/>
      <c r="L551" s="21" t="s">
        <v>65</v>
      </c>
      <c r="M551" s="29" t="s">
        <v>1845</v>
      </c>
      <c r="N551" s="29" t="s">
        <v>1073</v>
      </c>
      <c r="O551" s="29" t="s">
        <v>1846</v>
      </c>
      <c r="P551" s="21" t="s">
        <v>533</v>
      </c>
      <c r="Q551" s="21" t="s">
        <v>533</v>
      </c>
      <c r="R551" s="59" t="str">
        <f t="shared" si="2"/>
        <v>Igual</v>
      </c>
    </row>
    <row r="552">
      <c r="A552" s="7"/>
      <c r="B552" s="16"/>
      <c r="C552" s="12"/>
      <c r="D552" s="12"/>
      <c r="E552" s="9"/>
      <c r="F552" s="10"/>
      <c r="G552" s="11"/>
      <c r="H552" s="9"/>
      <c r="I552" s="31"/>
      <c r="J552" s="9"/>
      <c r="K552" s="9"/>
      <c r="L552" s="21" t="s">
        <v>71</v>
      </c>
      <c r="M552" s="29" t="s">
        <v>1847</v>
      </c>
      <c r="N552" s="29" t="s">
        <v>1848</v>
      </c>
      <c r="O552" s="29" t="s">
        <v>1849</v>
      </c>
      <c r="P552" s="21" t="s">
        <v>533</v>
      </c>
      <c r="Q552" s="21" t="s">
        <v>533</v>
      </c>
      <c r="R552" s="59" t="str">
        <f t="shared" si="2"/>
        <v>Igual</v>
      </c>
    </row>
    <row r="553">
      <c r="A553" s="7" t="s">
        <v>303</v>
      </c>
      <c r="B553" s="14" t="s">
        <v>1057</v>
      </c>
      <c r="C553" s="12"/>
      <c r="D553" s="17" t="s">
        <v>1541</v>
      </c>
      <c r="E553" s="9" t="s">
        <v>304</v>
      </c>
      <c r="F553" s="10" t="s">
        <v>305</v>
      </c>
      <c r="G553" s="11">
        <v>2024.0</v>
      </c>
      <c r="H553" s="9" t="s">
        <v>306</v>
      </c>
      <c r="I553" s="29" t="s">
        <v>1021</v>
      </c>
      <c r="J553" s="9"/>
      <c r="K553" s="9" t="s">
        <v>152</v>
      </c>
      <c r="L553" s="21" t="s">
        <v>25</v>
      </c>
      <c r="M553" s="29" t="s">
        <v>1850</v>
      </c>
      <c r="N553" s="29" t="s">
        <v>1851</v>
      </c>
      <c r="O553" s="29" t="s">
        <v>1852</v>
      </c>
      <c r="P553" s="21" t="s">
        <v>533</v>
      </c>
      <c r="Q553" s="21" t="s">
        <v>533</v>
      </c>
      <c r="R553" s="59" t="str">
        <f t="shared" si="2"/>
        <v>Igual</v>
      </c>
    </row>
    <row r="554">
      <c r="A554" s="7"/>
      <c r="B554" s="16"/>
      <c r="C554" s="12"/>
      <c r="D554" s="12"/>
      <c r="E554" s="9"/>
      <c r="F554" s="10"/>
      <c r="G554" s="11"/>
      <c r="H554" s="9"/>
      <c r="I554" s="31"/>
      <c r="J554" s="9"/>
      <c r="K554" s="9"/>
      <c r="L554" s="21" t="s">
        <v>31</v>
      </c>
      <c r="M554" s="29" t="s">
        <v>1853</v>
      </c>
      <c r="N554" s="29" t="s">
        <v>1854</v>
      </c>
      <c r="O554" s="29" t="s">
        <v>1855</v>
      </c>
      <c r="P554" s="21" t="s">
        <v>533</v>
      </c>
      <c r="Q554" s="21" t="s">
        <v>533</v>
      </c>
      <c r="R554" s="59" t="str">
        <f t="shared" si="2"/>
        <v>Igual</v>
      </c>
    </row>
    <row r="555">
      <c r="A555" s="7"/>
      <c r="B555" s="16"/>
      <c r="C555" s="12"/>
      <c r="D555" s="12"/>
      <c r="E555" s="9"/>
      <c r="F555" s="10"/>
      <c r="G555" s="11"/>
      <c r="H555" s="9"/>
      <c r="I555" s="31"/>
      <c r="J555" s="9"/>
      <c r="K555" s="9"/>
      <c r="L555" s="21" t="s">
        <v>36</v>
      </c>
      <c r="M555" s="29" t="s">
        <v>1856</v>
      </c>
      <c r="N555" s="29" t="s">
        <v>1857</v>
      </c>
      <c r="O555" s="29" t="s">
        <v>1858</v>
      </c>
      <c r="P555" s="21" t="s">
        <v>533</v>
      </c>
      <c r="Q555" s="21" t="s">
        <v>533</v>
      </c>
      <c r="R555" s="59" t="str">
        <f t="shared" si="2"/>
        <v>Igual</v>
      </c>
    </row>
    <row r="556">
      <c r="A556" s="7"/>
      <c r="B556" s="16"/>
      <c r="C556" s="12"/>
      <c r="D556" s="12"/>
      <c r="E556" s="9"/>
      <c r="F556" s="10"/>
      <c r="G556" s="11"/>
      <c r="H556" s="9"/>
      <c r="I556" s="31"/>
      <c r="J556" s="9"/>
      <c r="K556" s="9"/>
      <c r="L556" s="21" t="s">
        <v>41</v>
      </c>
      <c r="M556" s="29" t="s">
        <v>1859</v>
      </c>
      <c r="N556" s="29" t="s">
        <v>1860</v>
      </c>
      <c r="O556" s="29" t="s">
        <v>1861</v>
      </c>
      <c r="P556" s="21" t="s">
        <v>533</v>
      </c>
      <c r="Q556" s="21" t="s">
        <v>533</v>
      </c>
      <c r="R556" s="59" t="str">
        <f t="shared" si="2"/>
        <v>Igual</v>
      </c>
    </row>
    <row r="557">
      <c r="A557" s="7"/>
      <c r="B557" s="16"/>
      <c r="C557" s="12"/>
      <c r="D557" s="12"/>
      <c r="E557" s="9"/>
      <c r="F557" s="10"/>
      <c r="G557" s="11"/>
      <c r="H557" s="9"/>
      <c r="I557" s="31"/>
      <c r="J557" s="9"/>
      <c r="K557" s="9"/>
      <c r="L557" s="21" t="s">
        <v>47</v>
      </c>
      <c r="M557" s="29" t="s">
        <v>1862</v>
      </c>
      <c r="N557" s="29" t="s">
        <v>1073</v>
      </c>
      <c r="O557" s="29" t="s">
        <v>1584</v>
      </c>
      <c r="P557" s="21" t="s">
        <v>533</v>
      </c>
      <c r="Q557" s="21" t="s">
        <v>533</v>
      </c>
      <c r="R557" s="59" t="str">
        <f t="shared" si="2"/>
        <v>Igual</v>
      </c>
    </row>
    <row r="558">
      <c r="A558" s="7"/>
      <c r="B558" s="16"/>
      <c r="C558" s="12"/>
      <c r="D558" s="12"/>
      <c r="E558" s="9"/>
      <c r="F558" s="10"/>
      <c r="G558" s="11"/>
      <c r="H558" s="9"/>
      <c r="I558" s="31"/>
      <c r="J558" s="9"/>
      <c r="K558" s="9"/>
      <c r="L558" s="21" t="s">
        <v>53</v>
      </c>
      <c r="M558" s="29" t="s">
        <v>1863</v>
      </c>
      <c r="N558" s="29" t="s">
        <v>1073</v>
      </c>
      <c r="O558" s="29" t="s">
        <v>1586</v>
      </c>
      <c r="P558" s="21" t="s">
        <v>533</v>
      </c>
      <c r="Q558" s="21" t="s">
        <v>533</v>
      </c>
      <c r="R558" s="59" t="str">
        <f t="shared" si="2"/>
        <v>Igual</v>
      </c>
    </row>
    <row r="559">
      <c r="A559" s="7"/>
      <c r="B559" s="16"/>
      <c r="C559" s="12"/>
      <c r="D559" s="12"/>
      <c r="E559" s="9"/>
      <c r="F559" s="10"/>
      <c r="G559" s="11"/>
      <c r="H559" s="9"/>
      <c r="I559" s="31"/>
      <c r="J559" s="9"/>
      <c r="K559" s="9"/>
      <c r="L559" s="21" t="s">
        <v>59</v>
      </c>
      <c r="M559" s="29" t="s">
        <v>1864</v>
      </c>
      <c r="N559" s="29" t="s">
        <v>1865</v>
      </c>
      <c r="O559" s="29" t="s">
        <v>1866</v>
      </c>
      <c r="P559" s="21" t="s">
        <v>533</v>
      </c>
      <c r="Q559" s="21" t="s">
        <v>533</v>
      </c>
      <c r="R559" s="59" t="str">
        <f t="shared" si="2"/>
        <v>Igual</v>
      </c>
    </row>
    <row r="560">
      <c r="A560" s="7"/>
      <c r="B560" s="16"/>
      <c r="C560" s="12"/>
      <c r="D560" s="12"/>
      <c r="E560" s="9"/>
      <c r="F560" s="10"/>
      <c r="G560" s="11"/>
      <c r="H560" s="9"/>
      <c r="I560" s="31"/>
      <c r="J560" s="9"/>
      <c r="K560" s="9"/>
      <c r="L560" s="21" t="s">
        <v>65</v>
      </c>
      <c r="M560" s="29" t="s">
        <v>1867</v>
      </c>
      <c r="N560" s="29" t="s">
        <v>1073</v>
      </c>
      <c r="O560" s="29" t="s">
        <v>1565</v>
      </c>
      <c r="P560" s="21" t="s">
        <v>533</v>
      </c>
      <c r="Q560" s="21" t="s">
        <v>533</v>
      </c>
      <c r="R560" s="59" t="str">
        <f t="shared" si="2"/>
        <v>Igual</v>
      </c>
    </row>
    <row r="561">
      <c r="A561" s="7"/>
      <c r="B561" s="16"/>
      <c r="C561" s="12"/>
      <c r="D561" s="12"/>
      <c r="E561" s="9"/>
      <c r="F561" s="10"/>
      <c r="G561" s="11"/>
      <c r="H561" s="9"/>
      <c r="I561" s="31"/>
      <c r="J561" s="9"/>
      <c r="K561" s="9"/>
      <c r="L561" s="21" t="s">
        <v>71</v>
      </c>
      <c r="M561" s="29" t="s">
        <v>1868</v>
      </c>
      <c r="N561" s="29" t="s">
        <v>1073</v>
      </c>
      <c r="O561" s="29" t="s">
        <v>1869</v>
      </c>
      <c r="P561" s="21" t="s">
        <v>533</v>
      </c>
      <c r="Q561" s="21" t="s">
        <v>533</v>
      </c>
      <c r="R561" s="59" t="str">
        <f t="shared" si="2"/>
        <v>Igual</v>
      </c>
    </row>
    <row r="562">
      <c r="A562" s="7" t="s">
        <v>307</v>
      </c>
      <c r="B562" s="14" t="s">
        <v>1057</v>
      </c>
      <c r="C562" s="12"/>
      <c r="D562" s="17" t="s">
        <v>1541</v>
      </c>
      <c r="E562" s="9" t="s">
        <v>308</v>
      </c>
      <c r="F562" s="10" t="s">
        <v>309</v>
      </c>
      <c r="G562" s="11">
        <v>2025.0</v>
      </c>
      <c r="H562" s="9" t="s">
        <v>310</v>
      </c>
      <c r="I562" s="29" t="s">
        <v>1021</v>
      </c>
      <c r="J562" s="9"/>
      <c r="K562" s="9" t="s">
        <v>152</v>
      </c>
      <c r="L562" s="21" t="s">
        <v>25</v>
      </c>
      <c r="M562" s="29" t="s">
        <v>1870</v>
      </c>
      <c r="N562" s="29" t="s">
        <v>1871</v>
      </c>
      <c r="O562" s="29" t="s">
        <v>1872</v>
      </c>
      <c r="P562" s="21" t="s">
        <v>533</v>
      </c>
      <c r="Q562" s="21" t="s">
        <v>533</v>
      </c>
      <c r="R562" s="59" t="str">
        <f t="shared" si="2"/>
        <v>Igual</v>
      </c>
    </row>
    <row r="563">
      <c r="A563" s="7"/>
      <c r="B563" s="16"/>
      <c r="C563" s="12"/>
      <c r="D563" s="12"/>
      <c r="E563" s="9"/>
      <c r="F563" s="10"/>
      <c r="G563" s="11"/>
      <c r="H563" s="9"/>
      <c r="I563" s="31"/>
      <c r="J563" s="9"/>
      <c r="K563" s="9"/>
      <c r="L563" s="21" t="s">
        <v>31</v>
      </c>
      <c r="M563" s="29" t="s">
        <v>1873</v>
      </c>
      <c r="N563" s="29" t="s">
        <v>1874</v>
      </c>
      <c r="O563" s="29" t="s">
        <v>1875</v>
      </c>
      <c r="P563" s="21" t="s">
        <v>533</v>
      </c>
      <c r="Q563" s="21" t="s">
        <v>533</v>
      </c>
      <c r="R563" s="59" t="str">
        <f t="shared" si="2"/>
        <v>Igual</v>
      </c>
    </row>
    <row r="564">
      <c r="A564" s="7"/>
      <c r="B564" s="16"/>
      <c r="C564" s="12"/>
      <c r="D564" s="12"/>
      <c r="E564" s="9"/>
      <c r="F564" s="10"/>
      <c r="G564" s="11"/>
      <c r="H564" s="9"/>
      <c r="I564" s="31"/>
      <c r="J564" s="9"/>
      <c r="K564" s="9"/>
      <c r="L564" s="21" t="s">
        <v>36</v>
      </c>
      <c r="M564" s="29" t="s">
        <v>1876</v>
      </c>
      <c r="N564" s="29" t="s">
        <v>1877</v>
      </c>
      <c r="O564" s="29" t="s">
        <v>1878</v>
      </c>
      <c r="P564" s="21" t="s">
        <v>533</v>
      </c>
      <c r="Q564" s="21" t="s">
        <v>533</v>
      </c>
      <c r="R564" s="59" t="str">
        <f t="shared" si="2"/>
        <v>Igual</v>
      </c>
    </row>
    <row r="565">
      <c r="A565" s="7"/>
      <c r="B565" s="16"/>
      <c r="C565" s="12"/>
      <c r="D565" s="12"/>
      <c r="E565" s="9"/>
      <c r="F565" s="10"/>
      <c r="G565" s="11"/>
      <c r="H565" s="9"/>
      <c r="I565" s="31"/>
      <c r="J565" s="9"/>
      <c r="K565" s="9"/>
      <c r="L565" s="21" t="s">
        <v>41</v>
      </c>
      <c r="M565" s="29" t="s">
        <v>1879</v>
      </c>
      <c r="N565" s="47" t="s">
        <v>1880</v>
      </c>
      <c r="O565" s="29" t="s">
        <v>1881</v>
      </c>
      <c r="P565" s="21" t="s">
        <v>533</v>
      </c>
      <c r="Q565" s="21" t="s">
        <v>533</v>
      </c>
      <c r="R565" s="59" t="str">
        <f t="shared" si="2"/>
        <v>Igual</v>
      </c>
    </row>
    <row r="566">
      <c r="A566" s="7"/>
      <c r="B566" s="16"/>
      <c r="C566" s="12"/>
      <c r="D566" s="12"/>
      <c r="E566" s="9"/>
      <c r="F566" s="10"/>
      <c r="G566" s="11"/>
      <c r="H566" s="9"/>
      <c r="I566" s="31"/>
      <c r="J566" s="9"/>
      <c r="K566" s="9"/>
      <c r="L566" s="21" t="s">
        <v>47</v>
      </c>
      <c r="M566" s="29" t="s">
        <v>1882</v>
      </c>
      <c r="N566" s="29" t="s">
        <v>1883</v>
      </c>
      <c r="O566" s="29" t="s">
        <v>1884</v>
      </c>
      <c r="P566" s="21" t="s">
        <v>533</v>
      </c>
      <c r="Q566" s="21" t="s">
        <v>533</v>
      </c>
      <c r="R566" s="59" t="str">
        <f t="shared" si="2"/>
        <v>Igual</v>
      </c>
    </row>
    <row r="567">
      <c r="A567" s="7"/>
      <c r="B567" s="16"/>
      <c r="C567" s="12"/>
      <c r="D567" s="12"/>
      <c r="E567" s="9"/>
      <c r="F567" s="10"/>
      <c r="G567" s="11"/>
      <c r="H567" s="9"/>
      <c r="I567" s="31"/>
      <c r="J567" s="9"/>
      <c r="K567" s="9"/>
      <c r="L567" s="21" t="s">
        <v>53</v>
      </c>
      <c r="M567" s="29" t="s">
        <v>1885</v>
      </c>
      <c r="N567" s="29" t="s">
        <v>1886</v>
      </c>
      <c r="O567" s="29" t="s">
        <v>1887</v>
      </c>
      <c r="P567" s="21" t="s">
        <v>533</v>
      </c>
      <c r="Q567" s="21" t="s">
        <v>533</v>
      </c>
      <c r="R567" s="59" t="str">
        <f t="shared" si="2"/>
        <v>Igual</v>
      </c>
    </row>
    <row r="568">
      <c r="A568" s="7"/>
      <c r="B568" s="16"/>
      <c r="C568" s="12"/>
      <c r="D568" s="12"/>
      <c r="E568" s="9"/>
      <c r="F568" s="10"/>
      <c r="G568" s="11"/>
      <c r="H568" s="9"/>
      <c r="I568" s="31"/>
      <c r="J568" s="9"/>
      <c r="K568" s="9"/>
      <c r="L568" s="21" t="s">
        <v>59</v>
      </c>
      <c r="M568" s="29" t="s">
        <v>1888</v>
      </c>
      <c r="N568" s="29" t="s">
        <v>1889</v>
      </c>
      <c r="O568" s="29" t="s">
        <v>1890</v>
      </c>
      <c r="P568" s="21" t="s">
        <v>533</v>
      </c>
      <c r="Q568" s="21" t="s">
        <v>533</v>
      </c>
      <c r="R568" s="59" t="str">
        <f t="shared" si="2"/>
        <v>Igual</v>
      </c>
    </row>
    <row r="569">
      <c r="A569" s="7"/>
      <c r="B569" s="16"/>
      <c r="C569" s="12"/>
      <c r="D569" s="12"/>
      <c r="E569" s="9"/>
      <c r="F569" s="10"/>
      <c r="G569" s="11"/>
      <c r="H569" s="9"/>
      <c r="I569" s="31"/>
      <c r="J569" s="9"/>
      <c r="K569" s="9"/>
      <c r="L569" s="21" t="s">
        <v>65</v>
      </c>
      <c r="M569" s="29" t="s">
        <v>1891</v>
      </c>
      <c r="N569" s="29" t="s">
        <v>1892</v>
      </c>
      <c r="O569" s="29" t="s">
        <v>1893</v>
      </c>
      <c r="P569" s="21" t="s">
        <v>533</v>
      </c>
      <c r="Q569" s="21" t="s">
        <v>533</v>
      </c>
      <c r="R569" s="59" t="str">
        <f t="shared" si="2"/>
        <v>Igual</v>
      </c>
    </row>
    <row r="570">
      <c r="A570" s="7"/>
      <c r="B570" s="16"/>
      <c r="C570" s="12"/>
      <c r="D570" s="12"/>
      <c r="E570" s="9"/>
      <c r="F570" s="10"/>
      <c r="G570" s="11"/>
      <c r="H570" s="9"/>
      <c r="I570" s="31"/>
      <c r="J570" s="9"/>
      <c r="K570" s="9"/>
      <c r="L570" s="21" t="s">
        <v>71</v>
      </c>
      <c r="M570" s="29" t="s">
        <v>1894</v>
      </c>
      <c r="N570" s="29" t="s">
        <v>1895</v>
      </c>
      <c r="O570" s="29" t="s">
        <v>1896</v>
      </c>
      <c r="P570" s="21" t="s">
        <v>533</v>
      </c>
      <c r="Q570" s="21" t="s">
        <v>533</v>
      </c>
      <c r="R570" s="59" t="str">
        <f t="shared" si="2"/>
        <v>Igual</v>
      </c>
    </row>
    <row r="571">
      <c r="A571" s="7" t="s">
        <v>311</v>
      </c>
      <c r="B571" s="14" t="s">
        <v>1057</v>
      </c>
      <c r="C571" s="12"/>
      <c r="D571" s="17" t="s">
        <v>1541</v>
      </c>
      <c r="E571" s="9" t="s">
        <v>312</v>
      </c>
      <c r="F571" s="10" t="s">
        <v>313</v>
      </c>
      <c r="G571" s="11">
        <v>2024.0</v>
      </c>
      <c r="H571" s="9" t="s">
        <v>314</v>
      </c>
      <c r="I571" s="29" t="s">
        <v>1021</v>
      </c>
      <c r="J571" s="9"/>
      <c r="K571" s="9" t="s">
        <v>152</v>
      </c>
      <c r="L571" s="21" t="s">
        <v>25</v>
      </c>
      <c r="M571" s="29" t="s">
        <v>1897</v>
      </c>
      <c r="N571" s="29" t="s">
        <v>1898</v>
      </c>
      <c r="O571" s="29" t="s">
        <v>1899</v>
      </c>
      <c r="P571" s="21" t="s">
        <v>533</v>
      </c>
      <c r="Q571" s="21" t="s">
        <v>533</v>
      </c>
      <c r="R571" s="59" t="str">
        <f t="shared" si="2"/>
        <v>Igual</v>
      </c>
    </row>
    <row r="572">
      <c r="A572" s="7"/>
      <c r="B572" s="16"/>
      <c r="C572" s="12"/>
      <c r="D572" s="12"/>
      <c r="E572" s="9"/>
      <c r="F572" s="10"/>
      <c r="G572" s="11"/>
      <c r="H572" s="9"/>
      <c r="I572" s="31"/>
      <c r="J572" s="9"/>
      <c r="K572" s="9"/>
      <c r="L572" s="21" t="s">
        <v>31</v>
      </c>
      <c r="M572" s="29" t="s">
        <v>1900</v>
      </c>
      <c r="N572" s="29" t="s">
        <v>1901</v>
      </c>
      <c r="O572" s="29" t="s">
        <v>1902</v>
      </c>
      <c r="P572" s="21" t="s">
        <v>533</v>
      </c>
      <c r="Q572" s="21" t="s">
        <v>533</v>
      </c>
      <c r="R572" s="59" t="str">
        <f t="shared" si="2"/>
        <v>Igual</v>
      </c>
    </row>
    <row r="573">
      <c r="A573" s="7"/>
      <c r="B573" s="16"/>
      <c r="C573" s="12"/>
      <c r="D573" s="12"/>
      <c r="E573" s="9"/>
      <c r="F573" s="10"/>
      <c r="G573" s="11"/>
      <c r="H573" s="9"/>
      <c r="I573" s="31"/>
      <c r="J573" s="9"/>
      <c r="K573" s="9"/>
      <c r="L573" s="21" t="s">
        <v>36</v>
      </c>
      <c r="M573" s="29" t="s">
        <v>1903</v>
      </c>
      <c r="N573" s="29" t="s">
        <v>1904</v>
      </c>
      <c r="O573" s="29" t="s">
        <v>1905</v>
      </c>
      <c r="P573" s="21" t="s">
        <v>533</v>
      </c>
      <c r="Q573" s="21" t="s">
        <v>533</v>
      </c>
      <c r="R573" s="59" t="str">
        <f t="shared" si="2"/>
        <v>Igual</v>
      </c>
    </row>
    <row r="574">
      <c r="A574" s="7"/>
      <c r="B574" s="16"/>
      <c r="C574" s="12"/>
      <c r="D574" s="12"/>
      <c r="E574" s="9"/>
      <c r="F574" s="10"/>
      <c r="G574" s="11"/>
      <c r="H574" s="9"/>
      <c r="I574" s="31"/>
      <c r="J574" s="9"/>
      <c r="K574" s="9"/>
      <c r="L574" s="21" t="s">
        <v>41</v>
      </c>
      <c r="M574" s="29" t="s">
        <v>1906</v>
      </c>
      <c r="N574" s="47" t="s">
        <v>1907</v>
      </c>
      <c r="O574" s="29" t="s">
        <v>1908</v>
      </c>
      <c r="P574" s="21" t="s">
        <v>533</v>
      </c>
      <c r="Q574" s="21" t="s">
        <v>533</v>
      </c>
      <c r="R574" s="59" t="str">
        <f t="shared" si="2"/>
        <v>Igual</v>
      </c>
    </row>
    <row r="575">
      <c r="A575" s="7"/>
      <c r="B575" s="16"/>
      <c r="C575" s="12"/>
      <c r="D575" s="12"/>
      <c r="E575" s="9"/>
      <c r="F575" s="10"/>
      <c r="G575" s="11"/>
      <c r="H575" s="9"/>
      <c r="I575" s="31"/>
      <c r="J575" s="9"/>
      <c r="K575" s="9"/>
      <c r="L575" s="21" t="s">
        <v>47</v>
      </c>
      <c r="M575" s="29" t="s">
        <v>1909</v>
      </c>
      <c r="N575" s="29" t="s">
        <v>1073</v>
      </c>
      <c r="O575" s="29" t="s">
        <v>1910</v>
      </c>
      <c r="P575" s="21" t="s">
        <v>533</v>
      </c>
      <c r="Q575" s="21" t="s">
        <v>533</v>
      </c>
      <c r="R575" s="59" t="str">
        <f t="shared" si="2"/>
        <v>Igual</v>
      </c>
    </row>
    <row r="576">
      <c r="A576" s="7"/>
      <c r="B576" s="16"/>
      <c r="C576" s="12"/>
      <c r="D576" s="12"/>
      <c r="E576" s="9"/>
      <c r="F576" s="10"/>
      <c r="G576" s="11"/>
      <c r="H576" s="9"/>
      <c r="I576" s="31"/>
      <c r="J576" s="9"/>
      <c r="K576" s="9"/>
      <c r="L576" s="21" t="s">
        <v>53</v>
      </c>
      <c r="M576" s="29" t="s">
        <v>1798</v>
      </c>
      <c r="N576" s="29" t="s">
        <v>1073</v>
      </c>
      <c r="O576" s="29" t="s">
        <v>1911</v>
      </c>
      <c r="P576" s="21" t="s">
        <v>533</v>
      </c>
      <c r="Q576" s="21" t="s">
        <v>533</v>
      </c>
      <c r="R576" s="59" t="str">
        <f t="shared" si="2"/>
        <v>Igual</v>
      </c>
    </row>
    <row r="577">
      <c r="A577" s="7"/>
      <c r="B577" s="16"/>
      <c r="C577" s="12"/>
      <c r="D577" s="12"/>
      <c r="E577" s="9"/>
      <c r="F577" s="10"/>
      <c r="G577" s="11"/>
      <c r="H577" s="9"/>
      <c r="I577" s="31"/>
      <c r="J577" s="9"/>
      <c r="K577" s="9"/>
      <c r="L577" s="21" t="s">
        <v>59</v>
      </c>
      <c r="M577" s="29" t="s">
        <v>1912</v>
      </c>
      <c r="N577" s="29" t="s">
        <v>1913</v>
      </c>
      <c r="O577" s="29" t="s">
        <v>1914</v>
      </c>
      <c r="P577" s="21" t="s">
        <v>533</v>
      </c>
      <c r="Q577" s="21" t="s">
        <v>533</v>
      </c>
      <c r="R577" s="59" t="str">
        <f t="shared" si="2"/>
        <v>Igual</v>
      </c>
    </row>
    <row r="578">
      <c r="A578" s="7"/>
      <c r="B578" s="16"/>
      <c r="C578" s="12"/>
      <c r="D578" s="12"/>
      <c r="E578" s="9"/>
      <c r="F578" s="10"/>
      <c r="G578" s="11"/>
      <c r="H578" s="9"/>
      <c r="I578" s="31"/>
      <c r="J578" s="9"/>
      <c r="K578" s="9"/>
      <c r="L578" s="21" t="s">
        <v>65</v>
      </c>
      <c r="M578" s="29" t="s">
        <v>1915</v>
      </c>
      <c r="N578" s="29" t="s">
        <v>1073</v>
      </c>
      <c r="O578" s="29" t="s">
        <v>1916</v>
      </c>
      <c r="P578" s="21" t="s">
        <v>533</v>
      </c>
      <c r="Q578" s="21" t="s">
        <v>533</v>
      </c>
      <c r="R578" s="59" t="str">
        <f t="shared" si="2"/>
        <v>Igual</v>
      </c>
    </row>
    <row r="579">
      <c r="A579" s="7"/>
      <c r="B579" s="16"/>
      <c r="C579" s="12"/>
      <c r="D579" s="12"/>
      <c r="E579" s="9"/>
      <c r="F579" s="10"/>
      <c r="G579" s="11"/>
      <c r="H579" s="9"/>
      <c r="I579" s="31"/>
      <c r="J579" s="9"/>
      <c r="K579" s="9"/>
      <c r="L579" s="21" t="s">
        <v>71</v>
      </c>
      <c r="M579" s="29" t="s">
        <v>1917</v>
      </c>
      <c r="N579" s="29" t="s">
        <v>1918</v>
      </c>
      <c r="O579" s="29" t="s">
        <v>1919</v>
      </c>
      <c r="P579" s="14" t="s">
        <v>562</v>
      </c>
      <c r="Q579" s="14" t="s">
        <v>533</v>
      </c>
      <c r="R579" s="16" t="str">
        <f t="shared" si="2"/>
        <v>Diferente</v>
      </c>
    </row>
    <row r="580">
      <c r="A580" s="7" t="s">
        <v>315</v>
      </c>
      <c r="B580" s="14" t="s">
        <v>1057</v>
      </c>
      <c r="C580" s="12"/>
      <c r="D580" s="17" t="s">
        <v>1541</v>
      </c>
      <c r="E580" s="9" t="s">
        <v>316</v>
      </c>
      <c r="F580" s="10" t="s">
        <v>317</v>
      </c>
      <c r="G580" s="11">
        <v>2025.0</v>
      </c>
      <c r="H580" s="9" t="s">
        <v>318</v>
      </c>
      <c r="I580" s="29" t="s">
        <v>998</v>
      </c>
      <c r="J580" s="9"/>
      <c r="K580" s="9" t="s">
        <v>152</v>
      </c>
      <c r="L580" s="21" t="s">
        <v>25</v>
      </c>
      <c r="M580" s="29" t="s">
        <v>1920</v>
      </c>
      <c r="N580" s="29" t="s">
        <v>1921</v>
      </c>
      <c r="O580" s="29" t="s">
        <v>1922</v>
      </c>
      <c r="P580" s="21" t="s">
        <v>533</v>
      </c>
      <c r="Q580" s="21" t="s">
        <v>533</v>
      </c>
      <c r="R580" s="59" t="str">
        <f t="shared" si="2"/>
        <v>Igual</v>
      </c>
    </row>
    <row r="581">
      <c r="A581" s="7"/>
      <c r="B581" s="16"/>
      <c r="C581" s="12"/>
      <c r="D581" s="12"/>
      <c r="E581" s="9"/>
      <c r="F581" s="10"/>
      <c r="G581" s="11"/>
      <c r="H581" s="9"/>
      <c r="I581" s="31"/>
      <c r="J581" s="9"/>
      <c r="K581" s="9"/>
      <c r="L581" s="21" t="s">
        <v>31</v>
      </c>
      <c r="M581" s="29" t="s">
        <v>1923</v>
      </c>
      <c r="N581" s="29" t="s">
        <v>1924</v>
      </c>
      <c r="O581" s="29" t="s">
        <v>1925</v>
      </c>
      <c r="P581" s="21" t="s">
        <v>533</v>
      </c>
      <c r="Q581" s="21" t="s">
        <v>533</v>
      </c>
      <c r="R581" s="59" t="str">
        <f t="shared" si="2"/>
        <v>Igual</v>
      </c>
    </row>
    <row r="582">
      <c r="A582" s="7"/>
      <c r="B582" s="16"/>
      <c r="C582" s="12"/>
      <c r="D582" s="12"/>
      <c r="E582" s="9"/>
      <c r="F582" s="10"/>
      <c r="G582" s="11"/>
      <c r="H582" s="9"/>
      <c r="I582" s="31"/>
      <c r="J582" s="9"/>
      <c r="K582" s="9"/>
      <c r="L582" s="21" t="s">
        <v>36</v>
      </c>
      <c r="M582" s="29" t="s">
        <v>1926</v>
      </c>
      <c r="N582" s="29" t="s">
        <v>1927</v>
      </c>
      <c r="O582" s="29" t="s">
        <v>1928</v>
      </c>
      <c r="P582" s="21" t="s">
        <v>533</v>
      </c>
      <c r="Q582" s="21" t="s">
        <v>533</v>
      </c>
      <c r="R582" s="59" t="str">
        <f t="shared" si="2"/>
        <v>Igual</v>
      </c>
    </row>
    <row r="583">
      <c r="A583" s="7"/>
      <c r="B583" s="16"/>
      <c r="C583" s="12"/>
      <c r="D583" s="12"/>
      <c r="E583" s="9"/>
      <c r="F583" s="10"/>
      <c r="G583" s="11"/>
      <c r="H583" s="9"/>
      <c r="I583" s="31"/>
      <c r="J583" s="9"/>
      <c r="K583" s="9"/>
      <c r="L583" s="21" t="s">
        <v>41</v>
      </c>
      <c r="M583" s="29" t="s">
        <v>1929</v>
      </c>
      <c r="N583" s="29" t="s">
        <v>1930</v>
      </c>
      <c r="O583" s="29" t="s">
        <v>1931</v>
      </c>
      <c r="P583" s="14" t="s">
        <v>533</v>
      </c>
      <c r="Q583" s="14" t="s">
        <v>533</v>
      </c>
      <c r="R583" s="16" t="str">
        <f t="shared" si="2"/>
        <v>Igual</v>
      </c>
    </row>
    <row r="584">
      <c r="A584" s="7"/>
      <c r="B584" s="16"/>
      <c r="C584" s="12"/>
      <c r="D584" s="12"/>
      <c r="E584" s="9"/>
      <c r="F584" s="10"/>
      <c r="G584" s="11"/>
      <c r="H584" s="9"/>
      <c r="I584" s="31"/>
      <c r="J584" s="9"/>
      <c r="K584" s="9"/>
      <c r="L584" s="21" t="s">
        <v>47</v>
      </c>
      <c r="M584" s="29" t="s">
        <v>1932</v>
      </c>
      <c r="N584" s="47" t="s">
        <v>1933</v>
      </c>
      <c r="O584" s="29" t="s">
        <v>1934</v>
      </c>
      <c r="P584" s="14" t="s">
        <v>533</v>
      </c>
      <c r="Q584" s="14" t="s">
        <v>533</v>
      </c>
      <c r="R584" s="16" t="str">
        <f t="shared" si="2"/>
        <v>Igual</v>
      </c>
    </row>
    <row r="585">
      <c r="A585" s="7"/>
      <c r="B585" s="16"/>
      <c r="C585" s="12"/>
      <c r="D585" s="12"/>
      <c r="E585" s="9"/>
      <c r="F585" s="10"/>
      <c r="G585" s="11"/>
      <c r="H585" s="9"/>
      <c r="I585" s="31"/>
      <c r="J585" s="9"/>
      <c r="K585" s="9"/>
      <c r="L585" s="21" t="s">
        <v>53</v>
      </c>
      <c r="M585" s="29" t="s">
        <v>1820</v>
      </c>
      <c r="N585" s="29" t="s">
        <v>1073</v>
      </c>
      <c r="O585" s="29" t="s">
        <v>1935</v>
      </c>
      <c r="P585" s="14" t="s">
        <v>533</v>
      </c>
      <c r="Q585" s="14" t="s">
        <v>533</v>
      </c>
      <c r="R585" s="16" t="str">
        <f t="shared" si="2"/>
        <v>Igual</v>
      </c>
    </row>
    <row r="586">
      <c r="A586" s="7"/>
      <c r="B586" s="16"/>
      <c r="C586" s="12"/>
      <c r="D586" s="12"/>
      <c r="E586" s="9"/>
      <c r="F586" s="10"/>
      <c r="G586" s="11"/>
      <c r="H586" s="9"/>
      <c r="I586" s="31"/>
      <c r="J586" s="9"/>
      <c r="K586" s="9"/>
      <c r="L586" s="21" t="s">
        <v>59</v>
      </c>
      <c r="M586" s="29" t="s">
        <v>1936</v>
      </c>
      <c r="N586" s="29" t="s">
        <v>1937</v>
      </c>
      <c r="O586" s="29" t="s">
        <v>1914</v>
      </c>
      <c r="P586" s="21" t="s">
        <v>533</v>
      </c>
      <c r="Q586" s="21" t="s">
        <v>533</v>
      </c>
      <c r="R586" s="59" t="str">
        <f t="shared" si="2"/>
        <v>Igual</v>
      </c>
    </row>
    <row r="587">
      <c r="A587" s="7"/>
      <c r="B587" s="16"/>
      <c r="C587" s="12"/>
      <c r="D587" s="12"/>
      <c r="E587" s="9"/>
      <c r="F587" s="10"/>
      <c r="G587" s="11"/>
      <c r="H587" s="9"/>
      <c r="I587" s="31"/>
      <c r="J587" s="9"/>
      <c r="K587" s="9"/>
      <c r="L587" s="21" t="s">
        <v>65</v>
      </c>
      <c r="M587" s="29" t="s">
        <v>1938</v>
      </c>
      <c r="N587" s="29" t="s">
        <v>1073</v>
      </c>
      <c r="O587" s="29" t="s">
        <v>1916</v>
      </c>
      <c r="P587" s="21" t="s">
        <v>533</v>
      </c>
      <c r="Q587" s="21" t="s">
        <v>533</v>
      </c>
      <c r="R587" s="59" t="str">
        <f t="shared" si="2"/>
        <v>Igual</v>
      </c>
    </row>
    <row r="588">
      <c r="A588" s="7"/>
      <c r="B588" s="16"/>
      <c r="C588" s="12"/>
      <c r="D588" s="12"/>
      <c r="E588" s="9"/>
      <c r="F588" s="10"/>
      <c r="G588" s="11"/>
      <c r="H588" s="9"/>
      <c r="I588" s="31"/>
      <c r="J588" s="9"/>
      <c r="K588" s="9"/>
      <c r="L588" s="21" t="s">
        <v>71</v>
      </c>
      <c r="M588" s="29" t="s">
        <v>1939</v>
      </c>
      <c r="N588" s="29" t="s">
        <v>1940</v>
      </c>
      <c r="O588" s="29" t="s">
        <v>1941</v>
      </c>
      <c r="P588" s="21" t="s">
        <v>533</v>
      </c>
      <c r="Q588" s="21" t="s">
        <v>533</v>
      </c>
      <c r="R588" s="59" t="str">
        <f t="shared" si="2"/>
        <v>Igual</v>
      </c>
    </row>
    <row r="589">
      <c r="A589" s="7" t="s">
        <v>319</v>
      </c>
      <c r="B589" s="14" t="s">
        <v>1057</v>
      </c>
      <c r="C589" s="12"/>
      <c r="D589" s="17" t="s">
        <v>1541</v>
      </c>
      <c r="E589" s="9" t="s">
        <v>320</v>
      </c>
      <c r="F589" s="10" t="s">
        <v>321</v>
      </c>
      <c r="G589" s="11">
        <v>2025.0</v>
      </c>
      <c r="H589" s="9" t="s">
        <v>322</v>
      </c>
      <c r="I589" s="29" t="s">
        <v>1021</v>
      </c>
      <c r="J589" s="9"/>
      <c r="K589" s="9" t="s">
        <v>152</v>
      </c>
      <c r="L589" s="21" t="s">
        <v>25</v>
      </c>
      <c r="M589" s="29" t="s">
        <v>1942</v>
      </c>
      <c r="N589" s="29" t="s">
        <v>1943</v>
      </c>
      <c r="O589" s="29" t="s">
        <v>1944</v>
      </c>
      <c r="P589" s="21" t="s">
        <v>533</v>
      </c>
      <c r="Q589" s="21" t="s">
        <v>533</v>
      </c>
      <c r="R589" s="59" t="str">
        <f t="shared" si="2"/>
        <v>Igual</v>
      </c>
    </row>
    <row r="590">
      <c r="A590" s="7"/>
      <c r="B590" s="16"/>
      <c r="C590" s="12"/>
      <c r="D590" s="12"/>
      <c r="E590" s="9"/>
      <c r="F590" s="10"/>
      <c r="G590" s="11"/>
      <c r="H590" s="9"/>
      <c r="I590" s="31"/>
      <c r="J590" s="9"/>
      <c r="K590" s="9"/>
      <c r="L590" s="21" t="s">
        <v>31</v>
      </c>
      <c r="M590" s="29" t="s">
        <v>1945</v>
      </c>
      <c r="N590" s="29" t="s">
        <v>1946</v>
      </c>
      <c r="O590" s="29" t="s">
        <v>1947</v>
      </c>
      <c r="P590" s="21" t="s">
        <v>533</v>
      </c>
      <c r="Q590" s="21" t="s">
        <v>533</v>
      </c>
      <c r="R590" s="59" t="str">
        <f t="shared" si="2"/>
        <v>Igual</v>
      </c>
    </row>
    <row r="591">
      <c r="A591" s="7"/>
      <c r="B591" s="16"/>
      <c r="C591" s="12"/>
      <c r="D591" s="12"/>
      <c r="E591" s="9"/>
      <c r="F591" s="10"/>
      <c r="G591" s="11"/>
      <c r="H591" s="9"/>
      <c r="I591" s="31"/>
      <c r="J591" s="9"/>
      <c r="K591" s="9"/>
      <c r="L591" s="21" t="s">
        <v>36</v>
      </c>
      <c r="M591" s="29" t="s">
        <v>1948</v>
      </c>
      <c r="N591" s="29" t="s">
        <v>1949</v>
      </c>
      <c r="O591" s="29" t="s">
        <v>1950</v>
      </c>
      <c r="P591" s="21" t="s">
        <v>533</v>
      </c>
      <c r="Q591" s="21" t="s">
        <v>533</v>
      </c>
      <c r="R591" s="59" t="str">
        <f t="shared" si="2"/>
        <v>Igual</v>
      </c>
    </row>
    <row r="592">
      <c r="A592" s="7"/>
      <c r="B592" s="16"/>
      <c r="C592" s="12"/>
      <c r="D592" s="12"/>
      <c r="E592" s="9"/>
      <c r="F592" s="10"/>
      <c r="G592" s="11"/>
      <c r="H592" s="9"/>
      <c r="I592" s="31"/>
      <c r="J592" s="9"/>
      <c r="K592" s="9"/>
      <c r="L592" s="21" t="s">
        <v>41</v>
      </c>
      <c r="M592" s="29" t="s">
        <v>1951</v>
      </c>
      <c r="N592" s="47" t="s">
        <v>1952</v>
      </c>
      <c r="O592" s="29" t="s">
        <v>1953</v>
      </c>
      <c r="P592" s="21" t="s">
        <v>533</v>
      </c>
      <c r="Q592" s="21" t="s">
        <v>533</v>
      </c>
      <c r="R592" s="59" t="str">
        <f t="shared" si="2"/>
        <v>Igual</v>
      </c>
    </row>
    <row r="593">
      <c r="A593" s="7"/>
      <c r="B593" s="16"/>
      <c r="C593" s="12"/>
      <c r="D593" s="12"/>
      <c r="E593" s="9"/>
      <c r="F593" s="10"/>
      <c r="G593" s="11"/>
      <c r="H593" s="9"/>
      <c r="I593" s="31"/>
      <c r="J593" s="9"/>
      <c r="K593" s="9"/>
      <c r="L593" s="21" t="s">
        <v>47</v>
      </c>
      <c r="M593" s="29" t="s">
        <v>1954</v>
      </c>
      <c r="N593" s="29" t="s">
        <v>1955</v>
      </c>
      <c r="O593" s="29" t="s">
        <v>1956</v>
      </c>
      <c r="P593" s="21" t="s">
        <v>533</v>
      </c>
      <c r="Q593" s="21" t="s">
        <v>533</v>
      </c>
      <c r="R593" s="59" t="str">
        <f t="shared" si="2"/>
        <v>Igual</v>
      </c>
    </row>
    <row r="594">
      <c r="A594" s="7"/>
      <c r="B594" s="16"/>
      <c r="C594" s="12"/>
      <c r="D594" s="12"/>
      <c r="E594" s="9"/>
      <c r="F594" s="10"/>
      <c r="G594" s="11"/>
      <c r="H594" s="9"/>
      <c r="I594" s="31"/>
      <c r="J594" s="9"/>
      <c r="K594" s="9"/>
      <c r="L594" s="21" t="s">
        <v>53</v>
      </c>
      <c r="M594" s="29" t="s">
        <v>1957</v>
      </c>
      <c r="N594" s="29" t="s">
        <v>1073</v>
      </c>
      <c r="O594" s="29" t="s">
        <v>1935</v>
      </c>
      <c r="P594" s="21" t="s">
        <v>533</v>
      </c>
      <c r="Q594" s="21" t="s">
        <v>533</v>
      </c>
      <c r="R594" s="59" t="str">
        <f t="shared" si="2"/>
        <v>Igual</v>
      </c>
    </row>
    <row r="595">
      <c r="A595" s="7"/>
      <c r="B595" s="16"/>
      <c r="C595" s="12"/>
      <c r="D595" s="12"/>
      <c r="E595" s="9"/>
      <c r="F595" s="10"/>
      <c r="G595" s="11"/>
      <c r="H595" s="9"/>
      <c r="I595" s="31"/>
      <c r="J595" s="9"/>
      <c r="K595" s="9"/>
      <c r="L595" s="21" t="s">
        <v>59</v>
      </c>
      <c r="M595" s="29" t="s">
        <v>1958</v>
      </c>
      <c r="N595" s="29" t="s">
        <v>1959</v>
      </c>
      <c r="O595" s="29" t="s">
        <v>1914</v>
      </c>
      <c r="P595" s="21" t="s">
        <v>533</v>
      </c>
      <c r="Q595" s="21" t="s">
        <v>533</v>
      </c>
      <c r="R595" s="59" t="str">
        <f t="shared" si="2"/>
        <v>Igual</v>
      </c>
    </row>
    <row r="596">
      <c r="A596" s="7"/>
      <c r="B596" s="16"/>
      <c r="C596" s="12"/>
      <c r="D596" s="12"/>
      <c r="E596" s="9"/>
      <c r="F596" s="10"/>
      <c r="G596" s="11"/>
      <c r="H596" s="9"/>
      <c r="I596" s="31"/>
      <c r="J596" s="9"/>
      <c r="K596" s="9"/>
      <c r="L596" s="21" t="s">
        <v>65</v>
      </c>
      <c r="M596" s="29" t="s">
        <v>1960</v>
      </c>
      <c r="N596" s="29" t="s">
        <v>1073</v>
      </c>
      <c r="O596" s="29" t="s">
        <v>1916</v>
      </c>
      <c r="P596" s="21" t="s">
        <v>533</v>
      </c>
      <c r="Q596" s="21" t="s">
        <v>533</v>
      </c>
      <c r="R596" s="59" t="str">
        <f t="shared" si="2"/>
        <v>Igual</v>
      </c>
    </row>
    <row r="597">
      <c r="A597" s="7"/>
      <c r="B597" s="16"/>
      <c r="C597" s="12"/>
      <c r="D597" s="12"/>
      <c r="E597" s="9"/>
      <c r="F597" s="10"/>
      <c r="G597" s="11"/>
      <c r="H597" s="9"/>
      <c r="I597" s="31"/>
      <c r="J597" s="9"/>
      <c r="K597" s="9"/>
      <c r="L597" s="21" t="s">
        <v>71</v>
      </c>
      <c r="M597" s="29" t="s">
        <v>1961</v>
      </c>
      <c r="N597" s="29" t="s">
        <v>1962</v>
      </c>
      <c r="O597" s="29" t="s">
        <v>1963</v>
      </c>
      <c r="P597" s="21" t="s">
        <v>533</v>
      </c>
      <c r="Q597" s="21" t="s">
        <v>533</v>
      </c>
      <c r="R597" s="59" t="str">
        <f t="shared" si="2"/>
        <v>Igual</v>
      </c>
    </row>
    <row r="598">
      <c r="A598" s="7" t="s">
        <v>323</v>
      </c>
      <c r="B598" s="14" t="s">
        <v>1057</v>
      </c>
      <c r="C598" s="12"/>
      <c r="D598" s="17" t="s">
        <v>1541</v>
      </c>
      <c r="E598" s="9" t="s">
        <v>324</v>
      </c>
      <c r="F598" s="10" t="s">
        <v>325</v>
      </c>
      <c r="G598" s="11">
        <v>2024.0</v>
      </c>
      <c r="H598" s="9" t="s">
        <v>326</v>
      </c>
      <c r="I598" s="29" t="s">
        <v>528</v>
      </c>
      <c r="J598" s="9"/>
      <c r="K598" s="9" t="s">
        <v>152</v>
      </c>
      <c r="L598" s="21" t="s">
        <v>25</v>
      </c>
      <c r="M598" s="29" t="s">
        <v>1942</v>
      </c>
      <c r="N598" s="29" t="s">
        <v>1964</v>
      </c>
      <c r="O598" s="29" t="s">
        <v>1965</v>
      </c>
      <c r="P598" s="21" t="s">
        <v>533</v>
      </c>
      <c r="Q598" s="21" t="s">
        <v>533</v>
      </c>
      <c r="R598" s="59" t="str">
        <f t="shared" si="2"/>
        <v>Igual</v>
      </c>
    </row>
    <row r="599">
      <c r="A599" s="7"/>
      <c r="B599" s="16"/>
      <c r="C599" s="12"/>
      <c r="D599" s="12"/>
      <c r="E599" s="9"/>
      <c r="F599" s="10"/>
      <c r="G599" s="11"/>
      <c r="H599" s="9"/>
      <c r="I599" s="31"/>
      <c r="J599" s="9"/>
      <c r="K599" s="9"/>
      <c r="L599" s="21" t="s">
        <v>31</v>
      </c>
      <c r="M599" s="29" t="s">
        <v>1945</v>
      </c>
      <c r="N599" s="29" t="s">
        <v>1966</v>
      </c>
      <c r="O599" s="29" t="s">
        <v>1967</v>
      </c>
      <c r="P599" s="21" t="s">
        <v>533</v>
      </c>
      <c r="Q599" s="21" t="s">
        <v>533</v>
      </c>
      <c r="R599" s="59" t="str">
        <f t="shared" si="2"/>
        <v>Igual</v>
      </c>
    </row>
    <row r="600">
      <c r="A600" s="7"/>
      <c r="B600" s="16"/>
      <c r="C600" s="12"/>
      <c r="D600" s="12"/>
      <c r="E600" s="9"/>
      <c r="F600" s="10"/>
      <c r="G600" s="11"/>
      <c r="H600" s="9"/>
      <c r="I600" s="31"/>
      <c r="J600" s="9"/>
      <c r="K600" s="9"/>
      <c r="L600" s="21" t="s">
        <v>36</v>
      </c>
      <c r="M600" s="29" t="s">
        <v>1968</v>
      </c>
      <c r="N600" s="29" t="s">
        <v>1969</v>
      </c>
      <c r="O600" s="29" t="s">
        <v>1970</v>
      </c>
      <c r="P600" s="21" t="s">
        <v>533</v>
      </c>
      <c r="Q600" s="21" t="s">
        <v>533</v>
      </c>
      <c r="R600" s="59" t="str">
        <f t="shared" si="2"/>
        <v>Igual</v>
      </c>
    </row>
    <row r="601">
      <c r="A601" s="7"/>
      <c r="B601" s="16"/>
      <c r="C601" s="12"/>
      <c r="D601" s="12"/>
      <c r="E601" s="9"/>
      <c r="F601" s="10"/>
      <c r="G601" s="11"/>
      <c r="H601" s="9"/>
      <c r="I601" s="31"/>
      <c r="J601" s="9"/>
      <c r="K601" s="9"/>
      <c r="L601" s="21" t="s">
        <v>41</v>
      </c>
      <c r="M601" s="29" t="s">
        <v>1971</v>
      </c>
      <c r="N601" s="29" t="s">
        <v>1972</v>
      </c>
      <c r="O601" s="29" t="s">
        <v>1973</v>
      </c>
      <c r="P601" s="14" t="s">
        <v>562</v>
      </c>
      <c r="Q601" s="14" t="s">
        <v>533</v>
      </c>
      <c r="R601" s="16" t="str">
        <f t="shared" si="2"/>
        <v>Diferente</v>
      </c>
    </row>
    <row r="602">
      <c r="A602" s="7"/>
      <c r="B602" s="16"/>
      <c r="C602" s="12"/>
      <c r="D602" s="12"/>
      <c r="E602" s="9"/>
      <c r="F602" s="10"/>
      <c r="G602" s="11"/>
      <c r="H602" s="9"/>
      <c r="I602" s="31"/>
      <c r="J602" s="9"/>
      <c r="K602" s="9"/>
      <c r="L602" s="21" t="s">
        <v>47</v>
      </c>
      <c r="M602" s="29" t="s">
        <v>1954</v>
      </c>
      <c r="N602" s="29" t="s">
        <v>1073</v>
      </c>
      <c r="O602" s="29" t="s">
        <v>1910</v>
      </c>
      <c r="P602" s="14" t="s">
        <v>533</v>
      </c>
      <c r="Q602" s="14" t="s">
        <v>533</v>
      </c>
      <c r="R602" s="16" t="str">
        <f t="shared" si="2"/>
        <v>Igual</v>
      </c>
    </row>
    <row r="603">
      <c r="A603" s="7"/>
      <c r="B603" s="16"/>
      <c r="C603" s="12"/>
      <c r="D603" s="12"/>
      <c r="E603" s="9"/>
      <c r="F603" s="10"/>
      <c r="G603" s="11"/>
      <c r="H603" s="9"/>
      <c r="I603" s="31"/>
      <c r="J603" s="9"/>
      <c r="K603" s="9"/>
      <c r="L603" s="21" t="s">
        <v>53</v>
      </c>
      <c r="M603" s="29" t="s">
        <v>1957</v>
      </c>
      <c r="N603" s="29" t="s">
        <v>1073</v>
      </c>
      <c r="O603" s="29" t="s">
        <v>1911</v>
      </c>
      <c r="P603" s="14" t="s">
        <v>533</v>
      </c>
      <c r="Q603" s="14" t="s">
        <v>533</v>
      </c>
      <c r="R603" s="16" t="str">
        <f t="shared" si="2"/>
        <v>Igual</v>
      </c>
    </row>
    <row r="604">
      <c r="A604" s="7"/>
      <c r="B604" s="16"/>
      <c r="C604" s="12"/>
      <c r="D604" s="12"/>
      <c r="E604" s="9"/>
      <c r="F604" s="10"/>
      <c r="G604" s="11"/>
      <c r="H604" s="9"/>
      <c r="I604" s="31"/>
      <c r="J604" s="9"/>
      <c r="K604" s="9"/>
      <c r="L604" s="21" t="s">
        <v>59</v>
      </c>
      <c r="M604" s="29" t="s">
        <v>1958</v>
      </c>
      <c r="N604" s="29" t="s">
        <v>1974</v>
      </c>
      <c r="O604" s="29" t="s">
        <v>1975</v>
      </c>
      <c r="P604" s="14" t="s">
        <v>562</v>
      </c>
      <c r="Q604" s="14" t="s">
        <v>533</v>
      </c>
      <c r="R604" s="16" t="str">
        <f t="shared" si="2"/>
        <v>Diferente</v>
      </c>
    </row>
    <row r="605">
      <c r="A605" s="7"/>
      <c r="B605" s="16"/>
      <c r="C605" s="12"/>
      <c r="D605" s="12"/>
      <c r="E605" s="9"/>
      <c r="F605" s="10"/>
      <c r="G605" s="11"/>
      <c r="H605" s="9"/>
      <c r="I605" s="31"/>
      <c r="J605" s="9"/>
      <c r="K605" s="9"/>
      <c r="L605" s="21" t="s">
        <v>65</v>
      </c>
      <c r="M605" s="29" t="s">
        <v>1960</v>
      </c>
      <c r="N605" s="29" t="s">
        <v>1073</v>
      </c>
      <c r="O605" s="29" t="s">
        <v>1916</v>
      </c>
      <c r="P605" s="14" t="s">
        <v>533</v>
      </c>
      <c r="Q605" s="14" t="s">
        <v>533</v>
      </c>
      <c r="R605" s="16" t="str">
        <f t="shared" si="2"/>
        <v>Igual</v>
      </c>
    </row>
    <row r="606">
      <c r="A606" s="7"/>
      <c r="B606" s="16"/>
      <c r="C606" s="12"/>
      <c r="D606" s="12"/>
      <c r="E606" s="9"/>
      <c r="F606" s="10"/>
      <c r="G606" s="11"/>
      <c r="H606" s="9"/>
      <c r="I606" s="31"/>
      <c r="J606" s="9"/>
      <c r="K606" s="9"/>
      <c r="L606" s="21" t="s">
        <v>71</v>
      </c>
      <c r="M606" s="29" t="s">
        <v>1976</v>
      </c>
      <c r="N606" s="29" t="s">
        <v>1073</v>
      </c>
      <c r="O606" s="29" t="s">
        <v>1977</v>
      </c>
      <c r="P606" s="14" t="s">
        <v>533</v>
      </c>
      <c r="Q606" s="14" t="s">
        <v>533</v>
      </c>
      <c r="R606" s="16" t="str">
        <f t="shared" si="2"/>
        <v>Igual</v>
      </c>
    </row>
    <row r="607">
      <c r="A607" s="7" t="s">
        <v>327</v>
      </c>
      <c r="B607" s="14" t="s">
        <v>1057</v>
      </c>
      <c r="C607" s="12"/>
      <c r="D607" s="17" t="s">
        <v>1541</v>
      </c>
      <c r="E607" s="9" t="s">
        <v>328</v>
      </c>
      <c r="F607" s="10" t="s">
        <v>329</v>
      </c>
      <c r="G607" s="11">
        <v>2025.0</v>
      </c>
      <c r="H607" s="9" t="s">
        <v>330</v>
      </c>
      <c r="I607" s="29" t="s">
        <v>528</v>
      </c>
      <c r="J607" s="9"/>
      <c r="K607" s="9" t="s">
        <v>152</v>
      </c>
      <c r="L607" s="21" t="s">
        <v>25</v>
      </c>
      <c r="M607" s="29" t="s">
        <v>1942</v>
      </c>
      <c r="N607" s="29" t="s">
        <v>1978</v>
      </c>
      <c r="O607" s="29" t="s">
        <v>1979</v>
      </c>
      <c r="P607" s="21" t="s">
        <v>533</v>
      </c>
      <c r="Q607" s="21" t="s">
        <v>533</v>
      </c>
      <c r="R607" s="59" t="str">
        <f t="shared" si="2"/>
        <v>Igual</v>
      </c>
    </row>
    <row r="608">
      <c r="A608" s="7"/>
      <c r="B608" s="16"/>
      <c r="C608" s="12"/>
      <c r="D608" s="12"/>
      <c r="E608" s="9"/>
      <c r="F608" s="10"/>
      <c r="G608" s="11"/>
      <c r="H608" s="9"/>
      <c r="I608" s="31"/>
      <c r="J608" s="9"/>
      <c r="K608" s="9"/>
      <c r="L608" s="21" t="s">
        <v>31</v>
      </c>
      <c r="M608" s="29" t="s">
        <v>1980</v>
      </c>
      <c r="N608" s="29" t="s">
        <v>1981</v>
      </c>
      <c r="O608" s="29" t="s">
        <v>1982</v>
      </c>
      <c r="P608" s="21" t="s">
        <v>533</v>
      </c>
      <c r="Q608" s="21" t="s">
        <v>533</v>
      </c>
      <c r="R608" s="59" t="str">
        <f t="shared" si="2"/>
        <v>Igual</v>
      </c>
    </row>
    <row r="609">
      <c r="A609" s="7"/>
      <c r="B609" s="16"/>
      <c r="C609" s="12"/>
      <c r="D609" s="12"/>
      <c r="E609" s="9"/>
      <c r="F609" s="10"/>
      <c r="G609" s="11"/>
      <c r="H609" s="9"/>
      <c r="I609" s="31"/>
      <c r="J609" s="9"/>
      <c r="K609" s="9"/>
      <c r="L609" s="21" t="s">
        <v>36</v>
      </c>
      <c r="M609" s="29" t="s">
        <v>1983</v>
      </c>
      <c r="N609" s="29" t="s">
        <v>1984</v>
      </c>
      <c r="O609" s="29" t="s">
        <v>1985</v>
      </c>
      <c r="P609" s="21" t="s">
        <v>533</v>
      </c>
      <c r="Q609" s="21" t="s">
        <v>533</v>
      </c>
      <c r="R609" s="59" t="str">
        <f t="shared" si="2"/>
        <v>Igual</v>
      </c>
    </row>
    <row r="610">
      <c r="A610" s="7"/>
      <c r="B610" s="16"/>
      <c r="C610" s="12"/>
      <c r="D610" s="12"/>
      <c r="E610" s="9"/>
      <c r="F610" s="10"/>
      <c r="G610" s="11"/>
      <c r="H610" s="9"/>
      <c r="I610" s="31"/>
      <c r="J610" s="9"/>
      <c r="K610" s="9"/>
      <c r="L610" s="21" t="s">
        <v>41</v>
      </c>
      <c r="M610" s="29" t="s">
        <v>1986</v>
      </c>
      <c r="N610" s="29" t="s">
        <v>1987</v>
      </c>
      <c r="O610" s="29" t="s">
        <v>1988</v>
      </c>
      <c r="P610" s="14" t="s">
        <v>562</v>
      </c>
      <c r="Q610" s="14" t="s">
        <v>533</v>
      </c>
      <c r="R610" s="16" t="str">
        <f t="shared" si="2"/>
        <v>Diferente</v>
      </c>
    </row>
    <row r="611">
      <c r="A611" s="7"/>
      <c r="B611" s="16"/>
      <c r="C611" s="12"/>
      <c r="D611" s="12"/>
      <c r="E611" s="9"/>
      <c r="F611" s="10"/>
      <c r="G611" s="11"/>
      <c r="H611" s="9"/>
      <c r="I611" s="31"/>
      <c r="J611" s="9"/>
      <c r="K611" s="9"/>
      <c r="L611" s="21" t="s">
        <v>47</v>
      </c>
      <c r="M611" s="29" t="s">
        <v>1954</v>
      </c>
      <c r="N611" s="29" t="s">
        <v>1073</v>
      </c>
      <c r="O611" s="29" t="s">
        <v>1910</v>
      </c>
      <c r="P611" s="14" t="s">
        <v>533</v>
      </c>
      <c r="Q611" s="14" t="s">
        <v>533</v>
      </c>
      <c r="R611" s="16" t="str">
        <f t="shared" si="2"/>
        <v>Igual</v>
      </c>
    </row>
    <row r="612">
      <c r="A612" s="7"/>
      <c r="B612" s="16"/>
      <c r="C612" s="12"/>
      <c r="D612" s="12"/>
      <c r="E612" s="9"/>
      <c r="F612" s="10"/>
      <c r="G612" s="11"/>
      <c r="H612" s="9"/>
      <c r="I612" s="31"/>
      <c r="J612" s="9"/>
      <c r="K612" s="9"/>
      <c r="L612" s="21" t="s">
        <v>53</v>
      </c>
      <c r="M612" s="29" t="s">
        <v>1957</v>
      </c>
      <c r="N612" s="29" t="s">
        <v>1073</v>
      </c>
      <c r="O612" s="29" t="s">
        <v>1911</v>
      </c>
      <c r="P612" s="14" t="s">
        <v>533</v>
      </c>
      <c r="Q612" s="14" t="s">
        <v>533</v>
      </c>
      <c r="R612" s="16" t="str">
        <f t="shared" si="2"/>
        <v>Igual</v>
      </c>
    </row>
    <row r="613">
      <c r="A613" s="7"/>
      <c r="B613" s="16"/>
      <c r="C613" s="12"/>
      <c r="D613" s="12"/>
      <c r="E613" s="9"/>
      <c r="F613" s="10"/>
      <c r="G613" s="11"/>
      <c r="H613" s="9"/>
      <c r="I613" s="31"/>
      <c r="J613" s="9"/>
      <c r="K613" s="9"/>
      <c r="L613" s="21" t="s">
        <v>59</v>
      </c>
      <c r="M613" s="29" t="s">
        <v>1958</v>
      </c>
      <c r="N613" s="29" t="s">
        <v>1989</v>
      </c>
      <c r="O613" s="29" t="s">
        <v>1990</v>
      </c>
      <c r="P613" s="14" t="s">
        <v>562</v>
      </c>
      <c r="Q613" s="14" t="s">
        <v>533</v>
      </c>
      <c r="R613" s="16" t="str">
        <f t="shared" si="2"/>
        <v>Diferente</v>
      </c>
    </row>
    <row r="614">
      <c r="A614" s="7"/>
      <c r="B614" s="16"/>
      <c r="C614" s="12"/>
      <c r="D614" s="12"/>
      <c r="E614" s="9"/>
      <c r="F614" s="10"/>
      <c r="G614" s="11"/>
      <c r="H614" s="9"/>
      <c r="I614" s="31"/>
      <c r="J614" s="9"/>
      <c r="K614" s="9"/>
      <c r="L614" s="21" t="s">
        <v>65</v>
      </c>
      <c r="M614" s="29" t="s">
        <v>1960</v>
      </c>
      <c r="N614" s="29" t="s">
        <v>1073</v>
      </c>
      <c r="O614" s="29" t="s">
        <v>1916</v>
      </c>
      <c r="P614" s="14" t="s">
        <v>562</v>
      </c>
      <c r="Q614" s="14" t="s">
        <v>533</v>
      </c>
      <c r="R614" s="16" t="str">
        <f t="shared" si="2"/>
        <v>Diferente</v>
      </c>
    </row>
    <row r="615">
      <c r="A615" s="7"/>
      <c r="B615" s="16"/>
      <c r="C615" s="12"/>
      <c r="D615" s="12"/>
      <c r="E615" s="9"/>
      <c r="F615" s="10"/>
      <c r="G615" s="11"/>
      <c r="H615" s="9"/>
      <c r="I615" s="31"/>
      <c r="J615" s="9"/>
      <c r="K615" s="9"/>
      <c r="L615" s="21" t="s">
        <v>71</v>
      </c>
      <c r="M615" s="29" t="s">
        <v>1976</v>
      </c>
      <c r="N615" s="29" t="s">
        <v>1991</v>
      </c>
      <c r="O615" s="29" t="s">
        <v>1992</v>
      </c>
      <c r="P615" s="14" t="s">
        <v>562</v>
      </c>
      <c r="Q615" s="14" t="s">
        <v>533</v>
      </c>
      <c r="R615" s="16" t="str">
        <f t="shared" si="2"/>
        <v>Diferente</v>
      </c>
    </row>
    <row r="616">
      <c r="A616" s="7" t="s">
        <v>331</v>
      </c>
      <c r="B616" s="14" t="s">
        <v>1057</v>
      </c>
      <c r="C616" s="12"/>
      <c r="D616" s="17" t="s">
        <v>1541</v>
      </c>
      <c r="E616" s="9" t="s">
        <v>332</v>
      </c>
      <c r="F616" s="10" t="s">
        <v>333</v>
      </c>
      <c r="G616" s="11">
        <v>2024.0</v>
      </c>
      <c r="H616" s="9" t="s">
        <v>334</v>
      </c>
      <c r="I616" s="29" t="s">
        <v>1021</v>
      </c>
      <c r="J616" s="9"/>
      <c r="K616" s="9" t="s">
        <v>152</v>
      </c>
      <c r="L616" s="21" t="s">
        <v>25</v>
      </c>
      <c r="M616" s="29" t="s">
        <v>1942</v>
      </c>
      <c r="N616" s="29" t="s">
        <v>1993</v>
      </c>
      <c r="O616" s="29" t="s">
        <v>1994</v>
      </c>
      <c r="P616" s="14" t="s">
        <v>533</v>
      </c>
      <c r="Q616" s="14" t="s">
        <v>533</v>
      </c>
      <c r="R616" s="16" t="str">
        <f t="shared" si="2"/>
        <v>Igual</v>
      </c>
    </row>
    <row r="617">
      <c r="A617" s="7"/>
      <c r="B617" s="16"/>
      <c r="C617" s="12"/>
      <c r="D617" s="12"/>
      <c r="E617" s="9"/>
      <c r="F617" s="10"/>
      <c r="G617" s="11"/>
      <c r="H617" s="9"/>
      <c r="I617" s="31"/>
      <c r="J617" s="9"/>
      <c r="K617" s="9"/>
      <c r="L617" s="21" t="s">
        <v>31</v>
      </c>
      <c r="M617" s="29" t="s">
        <v>1945</v>
      </c>
      <c r="N617" s="29" t="s">
        <v>1995</v>
      </c>
      <c r="O617" s="29" t="s">
        <v>1996</v>
      </c>
      <c r="P617" s="14" t="s">
        <v>533</v>
      </c>
      <c r="Q617" s="14" t="s">
        <v>533</v>
      </c>
      <c r="R617" s="16" t="str">
        <f t="shared" si="2"/>
        <v>Igual</v>
      </c>
    </row>
    <row r="618">
      <c r="A618" s="7"/>
      <c r="B618" s="16"/>
      <c r="C618" s="12"/>
      <c r="D618" s="12"/>
      <c r="E618" s="9"/>
      <c r="F618" s="10"/>
      <c r="G618" s="11"/>
      <c r="H618" s="9"/>
      <c r="I618" s="31"/>
      <c r="J618" s="9"/>
      <c r="K618" s="9"/>
      <c r="L618" s="21" t="s">
        <v>36</v>
      </c>
      <c r="M618" s="29" t="s">
        <v>1983</v>
      </c>
      <c r="N618" s="29" t="s">
        <v>1997</v>
      </c>
      <c r="O618" s="29" t="s">
        <v>1998</v>
      </c>
      <c r="P618" s="14" t="s">
        <v>533</v>
      </c>
      <c r="Q618" s="14" t="s">
        <v>533</v>
      </c>
      <c r="R618" s="16" t="str">
        <f t="shared" si="2"/>
        <v>Igual</v>
      </c>
    </row>
    <row r="619">
      <c r="A619" s="7"/>
      <c r="B619" s="16"/>
      <c r="C619" s="12"/>
      <c r="D619" s="12"/>
      <c r="E619" s="9"/>
      <c r="F619" s="10"/>
      <c r="G619" s="11"/>
      <c r="H619" s="9"/>
      <c r="I619" s="31"/>
      <c r="J619" s="9"/>
      <c r="K619" s="9"/>
      <c r="L619" s="21" t="s">
        <v>41</v>
      </c>
      <c r="M619" s="29" t="s">
        <v>1999</v>
      </c>
      <c r="N619" s="47" t="s">
        <v>2000</v>
      </c>
      <c r="O619" s="29" t="s">
        <v>2001</v>
      </c>
      <c r="P619" s="14" t="s">
        <v>533</v>
      </c>
      <c r="Q619" s="14" t="s">
        <v>533</v>
      </c>
      <c r="R619" s="16" t="str">
        <f t="shared" si="2"/>
        <v>Igual</v>
      </c>
    </row>
    <row r="620">
      <c r="A620" s="7"/>
      <c r="B620" s="16"/>
      <c r="C620" s="12"/>
      <c r="D620" s="12"/>
      <c r="E620" s="9"/>
      <c r="F620" s="10"/>
      <c r="G620" s="11"/>
      <c r="H620" s="9"/>
      <c r="I620" s="31"/>
      <c r="J620" s="9"/>
      <c r="K620" s="9"/>
      <c r="L620" s="21" t="s">
        <v>47</v>
      </c>
      <c r="M620" s="29" t="s">
        <v>1954</v>
      </c>
      <c r="N620" s="29" t="s">
        <v>1073</v>
      </c>
      <c r="O620" s="29" t="s">
        <v>1910</v>
      </c>
      <c r="P620" s="14" t="s">
        <v>533</v>
      </c>
      <c r="Q620" s="14" t="s">
        <v>533</v>
      </c>
      <c r="R620" s="16" t="str">
        <f t="shared" si="2"/>
        <v>Igual</v>
      </c>
    </row>
    <row r="621">
      <c r="A621" s="7"/>
      <c r="B621" s="16"/>
      <c r="C621" s="12"/>
      <c r="D621" s="12"/>
      <c r="E621" s="9"/>
      <c r="F621" s="10"/>
      <c r="G621" s="11"/>
      <c r="H621" s="9"/>
      <c r="I621" s="31"/>
      <c r="J621" s="9"/>
      <c r="K621" s="9"/>
      <c r="L621" s="21" t="s">
        <v>53</v>
      </c>
      <c r="M621" s="29" t="s">
        <v>1957</v>
      </c>
      <c r="N621" s="29" t="s">
        <v>1073</v>
      </c>
      <c r="O621" s="29" t="s">
        <v>1911</v>
      </c>
      <c r="P621" s="14" t="s">
        <v>533</v>
      </c>
      <c r="Q621" s="14" t="s">
        <v>533</v>
      </c>
      <c r="R621" s="16" t="str">
        <f t="shared" si="2"/>
        <v>Igual</v>
      </c>
    </row>
    <row r="622">
      <c r="A622" s="7"/>
      <c r="B622" s="16"/>
      <c r="C622" s="12"/>
      <c r="D622" s="12"/>
      <c r="E622" s="9"/>
      <c r="F622" s="10"/>
      <c r="G622" s="11"/>
      <c r="H622" s="9"/>
      <c r="I622" s="31"/>
      <c r="J622" s="9"/>
      <c r="K622" s="9"/>
      <c r="L622" s="21" t="s">
        <v>59</v>
      </c>
      <c r="M622" s="29" t="s">
        <v>1958</v>
      </c>
      <c r="N622" s="29" t="s">
        <v>2002</v>
      </c>
      <c r="O622" s="29" t="s">
        <v>2003</v>
      </c>
      <c r="P622" s="14" t="s">
        <v>533</v>
      </c>
      <c r="Q622" s="14" t="s">
        <v>533</v>
      </c>
      <c r="R622" s="16" t="str">
        <f t="shared" si="2"/>
        <v>Igual</v>
      </c>
    </row>
    <row r="623">
      <c r="A623" s="7"/>
      <c r="B623" s="16"/>
      <c r="C623" s="12"/>
      <c r="D623" s="12"/>
      <c r="E623" s="9"/>
      <c r="F623" s="10"/>
      <c r="G623" s="11"/>
      <c r="H623" s="9"/>
      <c r="I623" s="31"/>
      <c r="J623" s="9"/>
      <c r="K623" s="9"/>
      <c r="L623" s="21" t="s">
        <v>65</v>
      </c>
      <c r="M623" s="29" t="s">
        <v>1960</v>
      </c>
      <c r="N623" s="29" t="s">
        <v>1073</v>
      </c>
      <c r="O623" s="29" t="s">
        <v>1916</v>
      </c>
      <c r="P623" s="14" t="s">
        <v>533</v>
      </c>
      <c r="Q623" s="14" t="s">
        <v>533</v>
      </c>
      <c r="R623" s="16" t="str">
        <f t="shared" si="2"/>
        <v>Igual</v>
      </c>
    </row>
    <row r="624">
      <c r="A624" s="7"/>
      <c r="B624" s="16"/>
      <c r="C624" s="12"/>
      <c r="D624" s="12"/>
      <c r="E624" s="9"/>
      <c r="F624" s="10"/>
      <c r="G624" s="11"/>
      <c r="H624" s="9"/>
      <c r="I624" s="31"/>
      <c r="J624" s="9"/>
      <c r="K624" s="9"/>
      <c r="L624" s="21" t="s">
        <v>71</v>
      </c>
      <c r="M624" s="29" t="s">
        <v>1976</v>
      </c>
      <c r="N624" s="29" t="s">
        <v>1073</v>
      </c>
      <c r="O624" s="29" t="s">
        <v>2004</v>
      </c>
      <c r="P624" s="14" t="s">
        <v>533</v>
      </c>
      <c r="Q624" s="14" t="s">
        <v>533</v>
      </c>
      <c r="R624" s="16" t="str">
        <f t="shared" si="2"/>
        <v>Igual</v>
      </c>
    </row>
    <row r="625">
      <c r="A625" s="7" t="s">
        <v>335</v>
      </c>
      <c r="B625" s="14" t="s">
        <v>20</v>
      </c>
      <c r="C625" s="12"/>
      <c r="D625" s="17" t="s">
        <v>2005</v>
      </c>
      <c r="E625" s="9" t="s">
        <v>336</v>
      </c>
      <c r="F625" s="10" t="s">
        <v>337</v>
      </c>
      <c r="G625" s="11">
        <v>2023.0</v>
      </c>
      <c r="H625" s="9" t="s">
        <v>338</v>
      </c>
      <c r="I625" s="29" t="s">
        <v>528</v>
      </c>
      <c r="J625" s="9"/>
      <c r="K625" s="9" t="s">
        <v>152</v>
      </c>
      <c r="L625" s="21" t="s">
        <v>25</v>
      </c>
      <c r="M625" s="30" t="s">
        <v>2006</v>
      </c>
      <c r="N625" s="30" t="s">
        <v>2007</v>
      </c>
      <c r="O625" s="29" t="s">
        <v>2214</v>
      </c>
      <c r="P625" s="14" t="s">
        <v>533</v>
      </c>
      <c r="Q625" s="14" t="s">
        <v>562</v>
      </c>
      <c r="R625" s="16" t="str">
        <f t="shared" si="2"/>
        <v>Diferente</v>
      </c>
    </row>
    <row r="626">
      <c r="A626" s="7"/>
      <c r="B626" s="16"/>
      <c r="C626" s="12"/>
      <c r="D626" s="12"/>
      <c r="E626" s="9"/>
      <c r="F626" s="10"/>
      <c r="G626" s="11"/>
      <c r="H626" s="9"/>
      <c r="I626" s="31"/>
      <c r="J626" s="9"/>
      <c r="K626" s="9"/>
      <c r="L626" s="21" t="s">
        <v>31</v>
      </c>
      <c r="M626" s="30" t="s">
        <v>2008</v>
      </c>
      <c r="N626" s="30" t="s">
        <v>2007</v>
      </c>
      <c r="O626" s="29" t="s">
        <v>2215</v>
      </c>
      <c r="P626" s="14" t="s">
        <v>533</v>
      </c>
      <c r="Q626" s="14" t="s">
        <v>562</v>
      </c>
      <c r="R626" s="16" t="str">
        <f t="shared" si="2"/>
        <v>Diferente</v>
      </c>
    </row>
    <row r="627">
      <c r="A627" s="7"/>
      <c r="B627" s="16"/>
      <c r="C627" s="12"/>
      <c r="D627" s="12"/>
      <c r="E627" s="9"/>
      <c r="F627" s="10"/>
      <c r="G627" s="11"/>
      <c r="H627" s="9"/>
      <c r="I627" s="31"/>
      <c r="J627" s="9"/>
      <c r="K627" s="9"/>
      <c r="L627" s="21" t="s">
        <v>36</v>
      </c>
      <c r="M627" s="30" t="s">
        <v>2009</v>
      </c>
      <c r="N627" s="30" t="s">
        <v>2007</v>
      </c>
      <c r="O627" s="29" t="s">
        <v>2216</v>
      </c>
      <c r="P627" s="14" t="s">
        <v>533</v>
      </c>
      <c r="Q627" s="14" t="s">
        <v>562</v>
      </c>
      <c r="R627" s="16" t="str">
        <f t="shared" si="2"/>
        <v>Diferente</v>
      </c>
    </row>
    <row r="628">
      <c r="A628" s="7"/>
      <c r="B628" s="16"/>
      <c r="C628" s="12"/>
      <c r="D628" s="12"/>
      <c r="E628" s="9"/>
      <c r="F628" s="10"/>
      <c r="G628" s="11"/>
      <c r="H628" s="9"/>
      <c r="I628" s="31"/>
      <c r="J628" s="9"/>
      <c r="K628" s="9"/>
      <c r="L628" s="21" t="s">
        <v>41</v>
      </c>
      <c r="M628" s="30" t="s">
        <v>2010</v>
      </c>
      <c r="N628" s="30" t="s">
        <v>2007</v>
      </c>
      <c r="O628" s="29" t="s">
        <v>2217</v>
      </c>
      <c r="P628" s="14" t="s">
        <v>533</v>
      </c>
      <c r="Q628" s="14" t="s">
        <v>562</v>
      </c>
      <c r="R628" s="16" t="str">
        <f t="shared" si="2"/>
        <v>Diferente</v>
      </c>
    </row>
    <row r="629">
      <c r="A629" s="7"/>
      <c r="B629" s="16"/>
      <c r="C629" s="12"/>
      <c r="D629" s="12"/>
      <c r="E629" s="9"/>
      <c r="F629" s="10"/>
      <c r="G629" s="11"/>
      <c r="H629" s="9"/>
      <c r="I629" s="31"/>
      <c r="J629" s="9"/>
      <c r="K629" s="9"/>
      <c r="L629" s="21" t="s">
        <v>47</v>
      </c>
      <c r="M629" s="30" t="s">
        <v>2011</v>
      </c>
      <c r="N629" s="30" t="s">
        <v>2007</v>
      </c>
      <c r="O629" s="29" t="s">
        <v>2218</v>
      </c>
      <c r="P629" s="14" t="s">
        <v>533</v>
      </c>
      <c r="Q629" s="14" t="s">
        <v>562</v>
      </c>
      <c r="R629" s="16" t="str">
        <f t="shared" si="2"/>
        <v>Diferente</v>
      </c>
    </row>
    <row r="630">
      <c r="A630" s="7"/>
      <c r="B630" s="16"/>
      <c r="C630" s="12"/>
      <c r="D630" s="12"/>
      <c r="E630" s="9"/>
      <c r="F630" s="10"/>
      <c r="G630" s="11"/>
      <c r="H630" s="9"/>
      <c r="I630" s="31"/>
      <c r="J630" s="9"/>
      <c r="K630" s="9"/>
      <c r="L630" s="21" t="s">
        <v>53</v>
      </c>
      <c r="M630" s="30" t="s">
        <v>2012</v>
      </c>
      <c r="N630" s="30" t="s">
        <v>2007</v>
      </c>
      <c r="O630" s="29" t="s">
        <v>2219</v>
      </c>
      <c r="P630" s="14" t="s">
        <v>533</v>
      </c>
      <c r="Q630" s="14" t="s">
        <v>562</v>
      </c>
      <c r="R630" s="16" t="str">
        <f t="shared" si="2"/>
        <v>Diferente</v>
      </c>
    </row>
    <row r="631">
      <c r="A631" s="7"/>
      <c r="B631" s="16"/>
      <c r="C631" s="12"/>
      <c r="D631" s="12"/>
      <c r="E631" s="9"/>
      <c r="F631" s="10"/>
      <c r="G631" s="11"/>
      <c r="H631" s="9"/>
      <c r="I631" s="31"/>
      <c r="J631" s="9"/>
      <c r="K631" s="9"/>
      <c r="L631" s="21" t="s">
        <v>59</v>
      </c>
      <c r="M631" s="30" t="s">
        <v>2013</v>
      </c>
      <c r="N631" s="30" t="s">
        <v>2007</v>
      </c>
      <c r="O631" s="29" t="s">
        <v>2220</v>
      </c>
      <c r="P631" s="14" t="s">
        <v>533</v>
      </c>
      <c r="Q631" s="14" t="s">
        <v>562</v>
      </c>
      <c r="R631" s="16" t="str">
        <f t="shared" si="2"/>
        <v>Diferente</v>
      </c>
    </row>
    <row r="632">
      <c r="A632" s="7"/>
      <c r="B632" s="16"/>
      <c r="C632" s="12"/>
      <c r="D632" s="12"/>
      <c r="E632" s="9"/>
      <c r="F632" s="10"/>
      <c r="G632" s="11"/>
      <c r="H632" s="9"/>
      <c r="I632" s="31"/>
      <c r="J632" s="9"/>
      <c r="K632" s="9"/>
      <c r="L632" s="21" t="s">
        <v>65</v>
      </c>
      <c r="M632" s="30" t="s">
        <v>2014</v>
      </c>
      <c r="N632" s="30" t="s">
        <v>2007</v>
      </c>
      <c r="O632" s="29" t="s">
        <v>2221</v>
      </c>
      <c r="P632" s="14" t="s">
        <v>533</v>
      </c>
      <c r="Q632" s="14" t="s">
        <v>562</v>
      </c>
      <c r="R632" s="16" t="str">
        <f t="shared" si="2"/>
        <v>Diferente</v>
      </c>
    </row>
    <row r="633">
      <c r="A633" s="7"/>
      <c r="B633" s="16"/>
      <c r="C633" s="12"/>
      <c r="D633" s="12"/>
      <c r="E633" s="9"/>
      <c r="F633" s="10"/>
      <c r="G633" s="11"/>
      <c r="H633" s="9"/>
      <c r="I633" s="31"/>
      <c r="J633" s="9"/>
      <c r="K633" s="9"/>
      <c r="L633" s="21" t="s">
        <v>71</v>
      </c>
      <c r="M633" s="30" t="s">
        <v>2015</v>
      </c>
      <c r="N633" s="30" t="s">
        <v>2007</v>
      </c>
      <c r="O633" s="29" t="s">
        <v>2222</v>
      </c>
      <c r="P633" s="14" t="s">
        <v>533</v>
      </c>
      <c r="Q633" s="14" t="s">
        <v>562</v>
      </c>
      <c r="R633" s="16" t="str">
        <f t="shared" si="2"/>
        <v>Diferente</v>
      </c>
    </row>
    <row r="634">
      <c r="A634" s="7" t="s">
        <v>339</v>
      </c>
      <c r="B634" s="14" t="s">
        <v>1057</v>
      </c>
      <c r="C634" s="12"/>
      <c r="D634" s="17" t="s">
        <v>1541</v>
      </c>
      <c r="E634" s="9" t="s">
        <v>340</v>
      </c>
      <c r="F634" s="10" t="s">
        <v>341</v>
      </c>
      <c r="G634" s="11">
        <v>2024.0</v>
      </c>
      <c r="H634" s="9" t="s">
        <v>342</v>
      </c>
      <c r="I634" s="29" t="s">
        <v>998</v>
      </c>
      <c r="J634" s="9"/>
      <c r="K634" s="9" t="s">
        <v>152</v>
      </c>
      <c r="L634" s="21" t="s">
        <v>25</v>
      </c>
      <c r="M634" s="30" t="s">
        <v>2016</v>
      </c>
      <c r="N634" s="30" t="s">
        <v>2017</v>
      </c>
      <c r="O634" s="29" t="s">
        <v>2223</v>
      </c>
      <c r="P634" s="14" t="s">
        <v>562</v>
      </c>
      <c r="Q634" s="14" t="s">
        <v>533</v>
      </c>
      <c r="R634" s="16" t="str">
        <f t="shared" si="2"/>
        <v>Diferente</v>
      </c>
    </row>
    <row r="635">
      <c r="A635" s="7"/>
      <c r="B635" s="16"/>
      <c r="C635" s="12"/>
      <c r="D635" s="12"/>
      <c r="E635" s="9"/>
      <c r="F635" s="10"/>
      <c r="G635" s="11"/>
      <c r="H635" s="9"/>
      <c r="I635" s="31"/>
      <c r="J635" s="9"/>
      <c r="K635" s="9"/>
      <c r="L635" s="21" t="s">
        <v>31</v>
      </c>
      <c r="M635" s="30" t="s">
        <v>2018</v>
      </c>
      <c r="N635" s="30" t="s">
        <v>2019</v>
      </c>
      <c r="O635" s="29" t="s">
        <v>2224</v>
      </c>
      <c r="P635" s="14" t="s">
        <v>533</v>
      </c>
      <c r="Q635" s="14" t="s">
        <v>533</v>
      </c>
      <c r="R635" s="16" t="str">
        <f t="shared" si="2"/>
        <v>Igual</v>
      </c>
    </row>
    <row r="636">
      <c r="A636" s="7"/>
      <c r="B636" s="16"/>
      <c r="C636" s="12"/>
      <c r="D636" s="12"/>
      <c r="E636" s="9"/>
      <c r="F636" s="10"/>
      <c r="G636" s="11"/>
      <c r="H636" s="9"/>
      <c r="I636" s="31"/>
      <c r="J636" s="9"/>
      <c r="K636" s="9"/>
      <c r="L636" s="21" t="s">
        <v>36</v>
      </c>
      <c r="M636" s="30" t="s">
        <v>2020</v>
      </c>
      <c r="N636" s="30" t="s">
        <v>2021</v>
      </c>
      <c r="O636" s="29" t="s">
        <v>2225</v>
      </c>
      <c r="P636" s="14" t="s">
        <v>542</v>
      </c>
      <c r="Q636" s="14" t="s">
        <v>562</v>
      </c>
      <c r="R636" s="16" t="str">
        <f t="shared" si="2"/>
        <v>Diferente</v>
      </c>
    </row>
    <row r="637">
      <c r="A637" s="7"/>
      <c r="B637" s="16"/>
      <c r="C637" s="12"/>
      <c r="D637" s="12"/>
      <c r="E637" s="9"/>
      <c r="F637" s="10"/>
      <c r="G637" s="11"/>
      <c r="H637" s="9"/>
      <c r="I637" s="31"/>
      <c r="J637" s="9"/>
      <c r="K637" s="9"/>
      <c r="L637" s="21" t="s">
        <v>41</v>
      </c>
      <c r="M637" s="30" t="s">
        <v>2022</v>
      </c>
      <c r="N637" s="30" t="s">
        <v>2023</v>
      </c>
      <c r="O637" s="29" t="s">
        <v>2226</v>
      </c>
      <c r="P637" s="14" t="s">
        <v>542</v>
      </c>
      <c r="Q637" s="14" t="s">
        <v>562</v>
      </c>
      <c r="R637" s="16" t="str">
        <f t="shared" si="2"/>
        <v>Diferente</v>
      </c>
    </row>
    <row r="638">
      <c r="A638" s="7"/>
      <c r="B638" s="16"/>
      <c r="C638" s="12"/>
      <c r="D638" s="12"/>
      <c r="E638" s="9"/>
      <c r="F638" s="10"/>
      <c r="G638" s="11"/>
      <c r="H638" s="9"/>
      <c r="I638" s="31"/>
      <c r="J638" s="9"/>
      <c r="K638" s="9"/>
      <c r="L638" s="21" t="s">
        <v>47</v>
      </c>
      <c r="M638" s="30" t="s">
        <v>2024</v>
      </c>
      <c r="N638" s="30" t="s">
        <v>2025</v>
      </c>
      <c r="O638" s="29" t="s">
        <v>2227</v>
      </c>
      <c r="P638" s="14" t="s">
        <v>533</v>
      </c>
      <c r="Q638" s="14" t="s">
        <v>533</v>
      </c>
      <c r="R638" s="16" t="str">
        <f t="shared" si="2"/>
        <v>Igual</v>
      </c>
    </row>
    <row r="639">
      <c r="A639" s="7"/>
      <c r="B639" s="16"/>
      <c r="C639" s="12"/>
      <c r="D639" s="12"/>
      <c r="E639" s="9"/>
      <c r="F639" s="10"/>
      <c r="G639" s="11"/>
      <c r="H639" s="9"/>
      <c r="I639" s="31"/>
      <c r="J639" s="9"/>
      <c r="K639" s="9"/>
      <c r="L639" s="21" t="s">
        <v>53</v>
      </c>
      <c r="M639" s="30" t="s">
        <v>2026</v>
      </c>
      <c r="N639" s="30" t="s">
        <v>2027</v>
      </c>
      <c r="O639" s="29" t="s">
        <v>2228</v>
      </c>
      <c r="P639" s="14" t="s">
        <v>533</v>
      </c>
      <c r="Q639" s="14" t="s">
        <v>533</v>
      </c>
      <c r="R639" s="16" t="str">
        <f t="shared" si="2"/>
        <v>Igual</v>
      </c>
    </row>
    <row r="640">
      <c r="A640" s="7"/>
      <c r="B640" s="16"/>
      <c r="C640" s="12"/>
      <c r="D640" s="12"/>
      <c r="E640" s="9"/>
      <c r="F640" s="10"/>
      <c r="G640" s="11"/>
      <c r="H640" s="9"/>
      <c r="I640" s="31"/>
      <c r="J640" s="9"/>
      <c r="K640" s="9"/>
      <c r="L640" s="21" t="s">
        <v>59</v>
      </c>
      <c r="M640" s="30" t="s">
        <v>2028</v>
      </c>
      <c r="N640" s="30" t="s">
        <v>2029</v>
      </c>
      <c r="O640" s="29" t="s">
        <v>2229</v>
      </c>
      <c r="P640" s="14" t="s">
        <v>533</v>
      </c>
      <c r="Q640" s="14" t="s">
        <v>533</v>
      </c>
      <c r="R640" s="16" t="str">
        <f t="shared" si="2"/>
        <v>Igual</v>
      </c>
    </row>
    <row r="641">
      <c r="A641" s="7"/>
      <c r="B641" s="16"/>
      <c r="C641" s="12"/>
      <c r="D641" s="12"/>
      <c r="E641" s="9"/>
      <c r="F641" s="10"/>
      <c r="G641" s="11"/>
      <c r="H641" s="9"/>
      <c r="I641" s="31"/>
      <c r="J641" s="9"/>
      <c r="K641" s="9"/>
      <c r="L641" s="21" t="s">
        <v>65</v>
      </c>
      <c r="M641" s="30" t="s">
        <v>2030</v>
      </c>
      <c r="N641" s="30" t="s">
        <v>2031</v>
      </c>
      <c r="O641" s="29" t="s">
        <v>2230</v>
      </c>
      <c r="P641" s="14" t="s">
        <v>533</v>
      </c>
      <c r="Q641" s="14" t="s">
        <v>533</v>
      </c>
      <c r="R641" s="16" t="str">
        <f t="shared" si="2"/>
        <v>Igual</v>
      </c>
    </row>
    <row r="642">
      <c r="A642" s="7"/>
      <c r="B642" s="16"/>
      <c r="C642" s="12"/>
      <c r="D642" s="12"/>
      <c r="E642" s="9"/>
      <c r="F642" s="10"/>
      <c r="G642" s="11"/>
      <c r="H642" s="9"/>
      <c r="I642" s="31"/>
      <c r="J642" s="9"/>
      <c r="K642" s="9"/>
      <c r="L642" s="21" t="s">
        <v>71</v>
      </c>
      <c r="M642" s="30" t="s">
        <v>2032</v>
      </c>
      <c r="N642" s="30" t="s">
        <v>2033</v>
      </c>
      <c r="O642" s="29" t="s">
        <v>2231</v>
      </c>
      <c r="P642" s="14" t="s">
        <v>533</v>
      </c>
      <c r="Q642" s="14" t="s">
        <v>562</v>
      </c>
      <c r="R642" s="16" t="str">
        <f t="shared" si="2"/>
        <v>Diferente</v>
      </c>
    </row>
    <row r="643">
      <c r="A643" s="7" t="s">
        <v>343</v>
      </c>
      <c r="B643" s="14" t="s">
        <v>1057</v>
      </c>
      <c r="C643" s="12"/>
      <c r="D643" s="17" t="s">
        <v>1541</v>
      </c>
      <c r="E643" s="9" t="s">
        <v>344</v>
      </c>
      <c r="F643" s="10" t="s">
        <v>345</v>
      </c>
      <c r="G643" s="11">
        <v>2023.0</v>
      </c>
      <c r="H643" s="9" t="s">
        <v>346</v>
      </c>
      <c r="I643" s="29" t="s">
        <v>528</v>
      </c>
      <c r="J643" s="9"/>
      <c r="K643" s="9" t="s">
        <v>152</v>
      </c>
      <c r="L643" s="21" t="s">
        <v>25</v>
      </c>
      <c r="M643" s="30" t="s">
        <v>1117</v>
      </c>
      <c r="N643" s="30" t="s">
        <v>1117</v>
      </c>
      <c r="O643" s="29" t="s">
        <v>2232</v>
      </c>
      <c r="P643" s="14" t="s">
        <v>533</v>
      </c>
      <c r="Q643" s="14" t="s">
        <v>533</v>
      </c>
      <c r="R643" s="16" t="str">
        <f t="shared" si="2"/>
        <v>Igual</v>
      </c>
    </row>
    <row r="644">
      <c r="A644" s="7"/>
      <c r="B644" s="16"/>
      <c r="C644" s="12"/>
      <c r="D644" s="12"/>
      <c r="E644" s="9"/>
      <c r="F644" s="10"/>
      <c r="G644" s="11"/>
      <c r="H644" s="9"/>
      <c r="I644" s="31"/>
      <c r="J644" s="9"/>
      <c r="K644" s="9"/>
      <c r="L644" s="21" t="s">
        <v>31</v>
      </c>
      <c r="M644" s="30" t="s">
        <v>1117</v>
      </c>
      <c r="N644" s="30" t="s">
        <v>1117</v>
      </c>
      <c r="O644" s="29" t="s">
        <v>2232</v>
      </c>
      <c r="P644" s="14" t="s">
        <v>533</v>
      </c>
      <c r="Q644" s="14" t="s">
        <v>533</v>
      </c>
      <c r="R644" s="16" t="str">
        <f t="shared" si="2"/>
        <v>Igual</v>
      </c>
    </row>
    <row r="645">
      <c r="A645" s="7"/>
      <c r="B645" s="16"/>
      <c r="C645" s="12"/>
      <c r="D645" s="12"/>
      <c r="E645" s="9"/>
      <c r="F645" s="10"/>
      <c r="G645" s="11"/>
      <c r="H645" s="9"/>
      <c r="I645" s="31"/>
      <c r="J645" s="9"/>
      <c r="K645" s="9"/>
      <c r="L645" s="21" t="s">
        <v>36</v>
      </c>
      <c r="M645" s="30" t="s">
        <v>1117</v>
      </c>
      <c r="N645" s="30" t="s">
        <v>1117</v>
      </c>
      <c r="O645" s="29" t="s">
        <v>2232</v>
      </c>
      <c r="P645" s="14" t="s">
        <v>533</v>
      </c>
      <c r="Q645" s="14" t="s">
        <v>533</v>
      </c>
      <c r="R645" s="16" t="str">
        <f t="shared" si="2"/>
        <v>Igual</v>
      </c>
    </row>
    <row r="646">
      <c r="A646" s="7"/>
      <c r="B646" s="16"/>
      <c r="C646" s="12"/>
      <c r="D646" s="12"/>
      <c r="E646" s="9"/>
      <c r="F646" s="10"/>
      <c r="G646" s="11"/>
      <c r="H646" s="9"/>
      <c r="I646" s="31"/>
      <c r="J646" s="9"/>
      <c r="K646" s="9"/>
      <c r="L646" s="21" t="s">
        <v>41</v>
      </c>
      <c r="M646" s="30" t="s">
        <v>1117</v>
      </c>
      <c r="N646" s="30" t="s">
        <v>1117</v>
      </c>
      <c r="O646" s="29" t="s">
        <v>2232</v>
      </c>
      <c r="P646" s="14" t="s">
        <v>533</v>
      </c>
      <c r="Q646" s="14" t="s">
        <v>533</v>
      </c>
      <c r="R646" s="16" t="str">
        <f t="shared" si="2"/>
        <v>Igual</v>
      </c>
    </row>
    <row r="647">
      <c r="A647" s="7"/>
      <c r="B647" s="16"/>
      <c r="C647" s="12"/>
      <c r="D647" s="12"/>
      <c r="E647" s="9"/>
      <c r="F647" s="10"/>
      <c r="G647" s="11"/>
      <c r="H647" s="9"/>
      <c r="I647" s="31"/>
      <c r="J647" s="9"/>
      <c r="K647" s="9"/>
      <c r="L647" s="21" t="s">
        <v>47</v>
      </c>
      <c r="M647" s="30" t="s">
        <v>1117</v>
      </c>
      <c r="N647" s="30" t="s">
        <v>1117</v>
      </c>
      <c r="O647" s="29" t="s">
        <v>2232</v>
      </c>
      <c r="P647" s="14" t="s">
        <v>533</v>
      </c>
      <c r="Q647" s="14" t="s">
        <v>533</v>
      </c>
      <c r="R647" s="16" t="str">
        <f t="shared" si="2"/>
        <v>Igual</v>
      </c>
    </row>
    <row r="648">
      <c r="A648" s="7"/>
      <c r="B648" s="16"/>
      <c r="C648" s="12"/>
      <c r="D648" s="12"/>
      <c r="E648" s="9"/>
      <c r="F648" s="10"/>
      <c r="G648" s="11"/>
      <c r="H648" s="9"/>
      <c r="I648" s="31"/>
      <c r="J648" s="9"/>
      <c r="K648" s="9"/>
      <c r="L648" s="21" t="s">
        <v>53</v>
      </c>
      <c r="M648" s="30" t="s">
        <v>1117</v>
      </c>
      <c r="N648" s="30" t="s">
        <v>1117</v>
      </c>
      <c r="O648" s="29" t="s">
        <v>2232</v>
      </c>
      <c r="P648" s="14" t="s">
        <v>533</v>
      </c>
      <c r="Q648" s="14" t="s">
        <v>533</v>
      </c>
      <c r="R648" s="16" t="str">
        <f t="shared" si="2"/>
        <v>Igual</v>
      </c>
    </row>
    <row r="649">
      <c r="A649" s="7"/>
      <c r="B649" s="16"/>
      <c r="C649" s="12"/>
      <c r="D649" s="12"/>
      <c r="E649" s="9"/>
      <c r="F649" s="10"/>
      <c r="G649" s="11"/>
      <c r="H649" s="9"/>
      <c r="I649" s="31"/>
      <c r="J649" s="9"/>
      <c r="K649" s="9"/>
      <c r="L649" s="21" t="s">
        <v>59</v>
      </c>
      <c r="M649" s="30" t="s">
        <v>1117</v>
      </c>
      <c r="N649" s="30" t="s">
        <v>2233</v>
      </c>
      <c r="O649" s="29" t="s">
        <v>2232</v>
      </c>
      <c r="P649" s="14" t="s">
        <v>562</v>
      </c>
      <c r="Q649" s="14" t="s">
        <v>533</v>
      </c>
      <c r="R649" s="16" t="str">
        <f t="shared" si="2"/>
        <v>Diferente</v>
      </c>
    </row>
    <row r="650">
      <c r="A650" s="7"/>
      <c r="B650" s="16"/>
      <c r="C650" s="12"/>
      <c r="D650" s="12"/>
      <c r="E650" s="9"/>
      <c r="F650" s="10"/>
      <c r="G650" s="11"/>
      <c r="H650" s="9"/>
      <c r="I650" s="31"/>
      <c r="J650" s="9"/>
      <c r="K650" s="9"/>
      <c r="L650" s="21" t="s">
        <v>65</v>
      </c>
      <c r="M650" s="30" t="s">
        <v>1117</v>
      </c>
      <c r="N650" s="30" t="s">
        <v>1117</v>
      </c>
      <c r="O650" s="29" t="s">
        <v>2232</v>
      </c>
      <c r="P650" s="14" t="s">
        <v>533</v>
      </c>
      <c r="Q650" s="14" t="s">
        <v>533</v>
      </c>
      <c r="R650" s="16" t="str">
        <f t="shared" si="2"/>
        <v>Igual</v>
      </c>
    </row>
    <row r="651">
      <c r="A651" s="7"/>
      <c r="B651" s="16"/>
      <c r="C651" s="12"/>
      <c r="D651" s="12"/>
      <c r="E651" s="9"/>
      <c r="F651" s="10"/>
      <c r="G651" s="11"/>
      <c r="H651" s="9"/>
      <c r="I651" s="31"/>
      <c r="J651" s="9"/>
      <c r="K651" s="9"/>
      <c r="L651" s="21" t="s">
        <v>71</v>
      </c>
      <c r="M651" s="30" t="s">
        <v>1117</v>
      </c>
      <c r="N651" s="30" t="s">
        <v>1117</v>
      </c>
      <c r="O651" s="29" t="s">
        <v>2232</v>
      </c>
      <c r="P651" s="14" t="s">
        <v>533</v>
      </c>
      <c r="Q651" s="14" t="s">
        <v>533</v>
      </c>
      <c r="R651" s="16" t="str">
        <f t="shared" si="2"/>
        <v>Igual</v>
      </c>
    </row>
    <row r="652">
      <c r="A652" s="7" t="s">
        <v>347</v>
      </c>
      <c r="B652" s="14" t="s">
        <v>1057</v>
      </c>
      <c r="C652" s="12"/>
      <c r="D652" s="17" t="s">
        <v>1541</v>
      </c>
      <c r="E652" s="9" t="s">
        <v>348</v>
      </c>
      <c r="F652" s="10" t="s">
        <v>349</v>
      </c>
      <c r="G652" s="11">
        <v>2025.0</v>
      </c>
      <c r="H652" s="9" t="s">
        <v>350</v>
      </c>
      <c r="I652" s="29" t="s">
        <v>528</v>
      </c>
      <c r="J652" s="9"/>
      <c r="K652" s="9" t="s">
        <v>152</v>
      </c>
      <c r="L652" s="21" t="s">
        <v>25</v>
      </c>
      <c r="M652" s="30" t="s">
        <v>2234</v>
      </c>
      <c r="N652" s="30" t="s">
        <v>1117</v>
      </c>
      <c r="O652" s="29" t="s">
        <v>2235</v>
      </c>
      <c r="P652" s="14" t="s">
        <v>533</v>
      </c>
      <c r="Q652" s="14" t="s">
        <v>533</v>
      </c>
      <c r="R652" s="16" t="str">
        <f t="shared" si="2"/>
        <v>Igual</v>
      </c>
    </row>
    <row r="653">
      <c r="A653" s="7"/>
      <c r="B653" s="16"/>
      <c r="C653" s="12"/>
      <c r="D653" s="12"/>
      <c r="E653" s="9"/>
      <c r="F653" s="10"/>
      <c r="G653" s="11"/>
      <c r="H653" s="9"/>
      <c r="I653" s="31"/>
      <c r="J653" s="9"/>
      <c r="K653" s="9"/>
      <c r="L653" s="21" t="s">
        <v>31</v>
      </c>
      <c r="M653" s="30" t="s">
        <v>2236</v>
      </c>
      <c r="N653" s="30" t="s">
        <v>1117</v>
      </c>
      <c r="O653" s="29" t="s">
        <v>2237</v>
      </c>
      <c r="P653" s="14" t="s">
        <v>533</v>
      </c>
      <c r="Q653" s="14" t="s">
        <v>533</v>
      </c>
      <c r="R653" s="16" t="str">
        <f t="shared" si="2"/>
        <v>Igual</v>
      </c>
    </row>
    <row r="654">
      <c r="A654" s="7"/>
      <c r="B654" s="16"/>
      <c r="C654" s="12"/>
      <c r="D654" s="12"/>
      <c r="E654" s="9"/>
      <c r="F654" s="10"/>
      <c r="G654" s="11"/>
      <c r="H654" s="9"/>
      <c r="I654" s="31"/>
      <c r="J654" s="9"/>
      <c r="K654" s="9"/>
      <c r="L654" s="21" t="s">
        <v>36</v>
      </c>
      <c r="M654" s="30" t="s">
        <v>2238</v>
      </c>
      <c r="N654" s="30" t="s">
        <v>1117</v>
      </c>
      <c r="O654" s="29" t="s">
        <v>2239</v>
      </c>
      <c r="P654" s="14" t="s">
        <v>533</v>
      </c>
      <c r="Q654" s="14" t="s">
        <v>533</v>
      </c>
      <c r="R654" s="16" t="str">
        <f t="shared" si="2"/>
        <v>Igual</v>
      </c>
    </row>
    <row r="655">
      <c r="A655" s="7"/>
      <c r="B655" s="16"/>
      <c r="C655" s="12"/>
      <c r="D655" s="12"/>
      <c r="E655" s="9"/>
      <c r="F655" s="10"/>
      <c r="G655" s="11"/>
      <c r="H655" s="9"/>
      <c r="I655" s="31"/>
      <c r="J655" s="9"/>
      <c r="K655" s="9"/>
      <c r="L655" s="21" t="s">
        <v>41</v>
      </c>
      <c r="M655" s="30" t="s">
        <v>2240</v>
      </c>
      <c r="N655" s="30" t="s">
        <v>2241</v>
      </c>
      <c r="O655" s="29" t="s">
        <v>2242</v>
      </c>
      <c r="P655" s="14" t="s">
        <v>562</v>
      </c>
      <c r="Q655" s="14" t="s">
        <v>533</v>
      </c>
      <c r="R655" s="16" t="str">
        <f t="shared" si="2"/>
        <v>Diferente</v>
      </c>
    </row>
    <row r="656">
      <c r="A656" s="7"/>
      <c r="B656" s="16"/>
      <c r="C656" s="12"/>
      <c r="D656" s="12"/>
      <c r="E656" s="9"/>
      <c r="F656" s="10"/>
      <c r="G656" s="11"/>
      <c r="H656" s="9"/>
      <c r="I656" s="31"/>
      <c r="J656" s="9"/>
      <c r="K656" s="9"/>
      <c r="L656" s="21" t="s">
        <v>47</v>
      </c>
      <c r="M656" s="30" t="s">
        <v>2243</v>
      </c>
      <c r="N656" s="30" t="s">
        <v>1073</v>
      </c>
      <c r="O656" s="29" t="s">
        <v>2244</v>
      </c>
      <c r="P656" s="14" t="s">
        <v>533</v>
      </c>
      <c r="Q656" s="14" t="s">
        <v>533</v>
      </c>
      <c r="R656" s="16" t="str">
        <f t="shared" si="2"/>
        <v>Igual</v>
      </c>
    </row>
    <row r="657">
      <c r="A657" s="7"/>
      <c r="B657" s="16"/>
      <c r="C657" s="12"/>
      <c r="D657" s="12"/>
      <c r="E657" s="9"/>
      <c r="F657" s="10"/>
      <c r="G657" s="11"/>
      <c r="H657" s="9"/>
      <c r="I657" s="31"/>
      <c r="J657" s="9"/>
      <c r="K657" s="9"/>
      <c r="L657" s="21" t="s">
        <v>53</v>
      </c>
      <c r="M657" s="30" t="s">
        <v>2245</v>
      </c>
      <c r="N657" s="30" t="s">
        <v>1073</v>
      </c>
      <c r="O657" s="29" t="s">
        <v>2246</v>
      </c>
      <c r="P657" s="14" t="s">
        <v>533</v>
      </c>
      <c r="Q657" s="14" t="s">
        <v>533</v>
      </c>
      <c r="R657" s="16" t="str">
        <f t="shared" si="2"/>
        <v>Igual</v>
      </c>
    </row>
    <row r="658">
      <c r="A658" s="7"/>
      <c r="B658" s="16"/>
      <c r="C658" s="12"/>
      <c r="D658" s="12"/>
      <c r="E658" s="9"/>
      <c r="F658" s="10"/>
      <c r="G658" s="11"/>
      <c r="H658" s="9"/>
      <c r="I658" s="31"/>
      <c r="J658" s="9"/>
      <c r="K658" s="9"/>
      <c r="L658" s="21" t="s">
        <v>59</v>
      </c>
      <c r="M658" s="30" t="s">
        <v>2247</v>
      </c>
      <c r="N658" s="30" t="s">
        <v>1073</v>
      </c>
      <c r="O658" s="29" t="s">
        <v>2248</v>
      </c>
      <c r="P658" s="14" t="s">
        <v>533</v>
      </c>
      <c r="Q658" s="14" t="s">
        <v>533</v>
      </c>
      <c r="R658" s="16" t="str">
        <f t="shared" si="2"/>
        <v>Igual</v>
      </c>
    </row>
    <row r="659">
      <c r="A659" s="7"/>
      <c r="B659" s="16"/>
      <c r="C659" s="12"/>
      <c r="D659" s="12"/>
      <c r="E659" s="9"/>
      <c r="F659" s="10"/>
      <c r="G659" s="11"/>
      <c r="H659" s="9"/>
      <c r="I659" s="31"/>
      <c r="J659" s="9"/>
      <c r="K659" s="9"/>
      <c r="L659" s="21" t="s">
        <v>65</v>
      </c>
      <c r="M659" s="30" t="s">
        <v>2249</v>
      </c>
      <c r="N659" s="30" t="s">
        <v>1073</v>
      </c>
      <c r="O659" s="29" t="s">
        <v>2250</v>
      </c>
      <c r="P659" s="14" t="s">
        <v>533</v>
      </c>
      <c r="Q659" s="14" t="s">
        <v>533</v>
      </c>
      <c r="R659" s="16" t="str">
        <f t="shared" si="2"/>
        <v>Igual</v>
      </c>
    </row>
    <row r="660">
      <c r="A660" s="7"/>
      <c r="B660" s="16"/>
      <c r="C660" s="12"/>
      <c r="D660" s="12"/>
      <c r="E660" s="9"/>
      <c r="F660" s="10"/>
      <c r="G660" s="11"/>
      <c r="H660" s="9"/>
      <c r="I660" s="31"/>
      <c r="J660" s="9"/>
      <c r="K660" s="9"/>
      <c r="L660" s="21" t="s">
        <v>71</v>
      </c>
      <c r="M660" s="30" t="s">
        <v>2251</v>
      </c>
      <c r="N660" s="30" t="s">
        <v>1073</v>
      </c>
      <c r="O660" s="29" t="s">
        <v>2252</v>
      </c>
      <c r="P660" s="14" t="s">
        <v>533</v>
      </c>
      <c r="Q660" s="14" t="s">
        <v>533</v>
      </c>
      <c r="R660" s="16" t="str">
        <f t="shared" si="2"/>
        <v>Igual</v>
      </c>
    </row>
    <row r="661">
      <c r="A661" s="7" t="s">
        <v>351</v>
      </c>
      <c r="B661" s="14" t="s">
        <v>1057</v>
      </c>
      <c r="C661" s="12"/>
      <c r="D661" s="17" t="s">
        <v>1541</v>
      </c>
      <c r="E661" s="9" t="s">
        <v>352</v>
      </c>
      <c r="F661" s="10" t="s">
        <v>353</v>
      </c>
      <c r="G661" s="11">
        <v>2025.0</v>
      </c>
      <c r="H661" s="9" t="s">
        <v>354</v>
      </c>
      <c r="I661" s="29" t="s">
        <v>680</v>
      </c>
      <c r="J661" s="9"/>
      <c r="K661" s="9" t="s">
        <v>152</v>
      </c>
      <c r="L661" s="21" t="s">
        <v>25</v>
      </c>
      <c r="M661" s="30" t="s">
        <v>2253</v>
      </c>
      <c r="N661" s="30" t="s">
        <v>2254</v>
      </c>
      <c r="O661" s="29" t="s">
        <v>2255</v>
      </c>
      <c r="P661" s="14" t="s">
        <v>562</v>
      </c>
      <c r="Q661" s="14" t="s">
        <v>533</v>
      </c>
      <c r="R661" s="16" t="str">
        <f t="shared" si="2"/>
        <v>Diferente</v>
      </c>
    </row>
    <row r="662">
      <c r="A662" s="7"/>
      <c r="B662" s="16"/>
      <c r="C662" s="12"/>
      <c r="D662" s="12"/>
      <c r="E662" s="9"/>
      <c r="F662" s="10"/>
      <c r="G662" s="11"/>
      <c r="H662" s="9"/>
      <c r="I662" s="31"/>
      <c r="J662" s="9"/>
      <c r="K662" s="9"/>
      <c r="L662" s="21" t="s">
        <v>31</v>
      </c>
      <c r="M662" s="30" t="s">
        <v>2256</v>
      </c>
      <c r="N662" s="30" t="s">
        <v>2257</v>
      </c>
      <c r="O662" s="29" t="s">
        <v>2258</v>
      </c>
      <c r="P662" s="14" t="s">
        <v>562</v>
      </c>
      <c r="Q662" s="14" t="s">
        <v>533</v>
      </c>
      <c r="R662" s="16" t="str">
        <f t="shared" si="2"/>
        <v>Diferente</v>
      </c>
    </row>
    <row r="663">
      <c r="A663" s="7"/>
      <c r="B663" s="16"/>
      <c r="C663" s="12"/>
      <c r="D663" s="12"/>
      <c r="E663" s="9"/>
      <c r="F663" s="10"/>
      <c r="G663" s="11"/>
      <c r="H663" s="9"/>
      <c r="I663" s="31"/>
      <c r="J663" s="9"/>
      <c r="K663" s="9"/>
      <c r="L663" s="21" t="s">
        <v>36</v>
      </c>
      <c r="M663" s="30" t="s">
        <v>2259</v>
      </c>
      <c r="N663" s="30" t="s">
        <v>2260</v>
      </c>
      <c r="O663" s="29" t="s">
        <v>2261</v>
      </c>
      <c r="P663" s="14" t="s">
        <v>533</v>
      </c>
      <c r="Q663" s="14" t="s">
        <v>562</v>
      </c>
      <c r="R663" s="16" t="str">
        <f t="shared" si="2"/>
        <v>Diferente</v>
      </c>
    </row>
    <row r="664">
      <c r="A664" s="7"/>
      <c r="B664" s="16"/>
      <c r="C664" s="12"/>
      <c r="D664" s="12"/>
      <c r="E664" s="9"/>
      <c r="F664" s="10"/>
      <c r="G664" s="11"/>
      <c r="H664" s="9"/>
      <c r="I664" s="31"/>
      <c r="J664" s="9"/>
      <c r="K664" s="9"/>
      <c r="L664" s="21" t="s">
        <v>41</v>
      </c>
      <c r="M664" s="30" t="s">
        <v>2262</v>
      </c>
      <c r="N664" s="30" t="s">
        <v>2263</v>
      </c>
      <c r="O664" s="29" t="s">
        <v>2264</v>
      </c>
      <c r="P664" s="14" t="s">
        <v>562</v>
      </c>
      <c r="Q664" s="14" t="s">
        <v>533</v>
      </c>
      <c r="R664" s="16" t="str">
        <f t="shared" si="2"/>
        <v>Diferente</v>
      </c>
    </row>
    <row r="665">
      <c r="A665" s="7"/>
      <c r="B665" s="16"/>
      <c r="C665" s="12"/>
      <c r="D665" s="12"/>
      <c r="E665" s="9"/>
      <c r="F665" s="10"/>
      <c r="G665" s="11"/>
      <c r="H665" s="9"/>
      <c r="I665" s="31"/>
      <c r="J665" s="9"/>
      <c r="K665" s="9"/>
      <c r="L665" s="21" t="s">
        <v>47</v>
      </c>
      <c r="M665" s="30" t="s">
        <v>2265</v>
      </c>
      <c r="N665" s="30" t="s">
        <v>1073</v>
      </c>
      <c r="O665" s="29" t="s">
        <v>2266</v>
      </c>
      <c r="P665" s="14" t="s">
        <v>533</v>
      </c>
      <c r="Q665" s="14" t="s">
        <v>533</v>
      </c>
      <c r="R665" s="16" t="str">
        <f t="shared" si="2"/>
        <v>Igual</v>
      </c>
    </row>
    <row r="666">
      <c r="A666" s="7"/>
      <c r="B666" s="16"/>
      <c r="C666" s="12"/>
      <c r="D666" s="12"/>
      <c r="E666" s="9"/>
      <c r="F666" s="10"/>
      <c r="G666" s="11"/>
      <c r="H666" s="9"/>
      <c r="I666" s="31"/>
      <c r="J666" s="9"/>
      <c r="K666" s="9"/>
      <c r="L666" s="21" t="s">
        <v>53</v>
      </c>
      <c r="M666" s="30" t="s">
        <v>2267</v>
      </c>
      <c r="N666" s="30" t="s">
        <v>1073</v>
      </c>
      <c r="O666" s="29" t="s">
        <v>2268</v>
      </c>
      <c r="P666" s="14" t="s">
        <v>562</v>
      </c>
      <c r="Q666" s="14" t="s">
        <v>533</v>
      </c>
      <c r="R666" s="16" t="str">
        <f t="shared" si="2"/>
        <v>Diferente</v>
      </c>
    </row>
    <row r="667">
      <c r="A667" s="7"/>
      <c r="B667" s="16"/>
      <c r="C667" s="12"/>
      <c r="D667" s="12"/>
      <c r="E667" s="9"/>
      <c r="F667" s="10"/>
      <c r="G667" s="11"/>
      <c r="H667" s="9"/>
      <c r="I667" s="31"/>
      <c r="J667" s="9"/>
      <c r="K667" s="9"/>
      <c r="L667" s="21" t="s">
        <v>59</v>
      </c>
      <c r="M667" s="30" t="s">
        <v>2269</v>
      </c>
      <c r="N667" s="30" t="s">
        <v>2270</v>
      </c>
      <c r="O667" s="29" t="s">
        <v>2271</v>
      </c>
      <c r="P667" s="14" t="s">
        <v>533</v>
      </c>
      <c r="Q667" s="14" t="s">
        <v>533</v>
      </c>
      <c r="R667" s="16" t="str">
        <f t="shared" si="2"/>
        <v>Igual</v>
      </c>
    </row>
    <row r="668">
      <c r="A668" s="7"/>
      <c r="B668" s="16"/>
      <c r="C668" s="12"/>
      <c r="D668" s="12"/>
      <c r="E668" s="9"/>
      <c r="F668" s="10"/>
      <c r="G668" s="11"/>
      <c r="H668" s="9"/>
      <c r="I668" s="31"/>
      <c r="J668" s="9"/>
      <c r="K668" s="9"/>
      <c r="L668" s="21" t="s">
        <v>65</v>
      </c>
      <c r="M668" s="30" t="s">
        <v>2272</v>
      </c>
      <c r="N668" s="30" t="s">
        <v>1073</v>
      </c>
      <c r="O668" s="29" t="s">
        <v>2273</v>
      </c>
      <c r="P668" s="14" t="s">
        <v>533</v>
      </c>
      <c r="Q668" s="14" t="s">
        <v>533</v>
      </c>
      <c r="R668" s="16" t="str">
        <f t="shared" si="2"/>
        <v>Igual</v>
      </c>
    </row>
    <row r="669">
      <c r="A669" s="7"/>
      <c r="B669" s="16"/>
      <c r="C669" s="12"/>
      <c r="D669" s="12"/>
      <c r="E669" s="9"/>
      <c r="F669" s="10"/>
      <c r="G669" s="11"/>
      <c r="H669" s="9"/>
      <c r="I669" s="31"/>
      <c r="J669" s="9"/>
      <c r="K669" s="9"/>
      <c r="L669" s="21" t="s">
        <v>71</v>
      </c>
      <c r="M669" s="30" t="s">
        <v>2274</v>
      </c>
      <c r="N669" s="30" t="s">
        <v>1073</v>
      </c>
      <c r="O669" s="29" t="s">
        <v>2275</v>
      </c>
      <c r="P669" s="14" t="s">
        <v>533</v>
      </c>
      <c r="Q669" s="14" t="s">
        <v>533</v>
      </c>
      <c r="R669" s="16" t="str">
        <f t="shared" si="2"/>
        <v>Igual</v>
      </c>
    </row>
    <row r="670">
      <c r="A670" s="7" t="s">
        <v>355</v>
      </c>
      <c r="B670" s="14" t="s">
        <v>20</v>
      </c>
      <c r="C670" s="12"/>
      <c r="D670" s="17" t="s">
        <v>1541</v>
      </c>
      <c r="E670" s="9" t="s">
        <v>356</v>
      </c>
      <c r="F670" s="10" t="s">
        <v>357</v>
      </c>
      <c r="G670" s="11">
        <v>2025.0</v>
      </c>
      <c r="H670" s="9" t="s">
        <v>358</v>
      </c>
      <c r="I670" s="29" t="s">
        <v>680</v>
      </c>
      <c r="J670" s="9"/>
      <c r="K670" s="9" t="s">
        <v>152</v>
      </c>
      <c r="L670" s="21" t="s">
        <v>25</v>
      </c>
      <c r="M670" s="30" t="s">
        <v>2276</v>
      </c>
      <c r="N670" s="30" t="s">
        <v>1073</v>
      </c>
      <c r="O670" s="29" t="s">
        <v>2277</v>
      </c>
      <c r="P670" s="14" t="s">
        <v>533</v>
      </c>
      <c r="Q670" s="14" t="s">
        <v>533</v>
      </c>
      <c r="R670" s="16" t="str">
        <f t="shared" si="2"/>
        <v>Igual</v>
      </c>
    </row>
    <row r="671">
      <c r="A671" s="7"/>
      <c r="B671" s="16"/>
      <c r="C671" s="12"/>
      <c r="D671" s="12"/>
      <c r="E671" s="9"/>
      <c r="F671" s="10"/>
      <c r="G671" s="11"/>
      <c r="H671" s="9"/>
      <c r="I671" s="31"/>
      <c r="J671" s="9"/>
      <c r="K671" s="9"/>
      <c r="L671" s="21" t="s">
        <v>31</v>
      </c>
      <c r="M671" s="30" t="s">
        <v>2278</v>
      </c>
      <c r="N671" s="30" t="s">
        <v>1073</v>
      </c>
      <c r="O671" s="29" t="s">
        <v>2279</v>
      </c>
      <c r="P671" s="14" t="s">
        <v>533</v>
      </c>
      <c r="Q671" s="14" t="s">
        <v>533</v>
      </c>
      <c r="R671" s="16" t="str">
        <f t="shared" si="2"/>
        <v>Igual</v>
      </c>
    </row>
    <row r="672">
      <c r="A672" s="7"/>
      <c r="B672" s="16"/>
      <c r="C672" s="12"/>
      <c r="D672" s="12"/>
      <c r="E672" s="9"/>
      <c r="F672" s="10"/>
      <c r="G672" s="11"/>
      <c r="H672" s="9"/>
      <c r="I672" s="31"/>
      <c r="J672" s="9"/>
      <c r="K672" s="9"/>
      <c r="L672" s="21" t="s">
        <v>36</v>
      </c>
      <c r="M672" s="30" t="s">
        <v>2280</v>
      </c>
      <c r="N672" s="30" t="s">
        <v>1073</v>
      </c>
      <c r="O672" s="29" t="s">
        <v>2281</v>
      </c>
      <c r="P672" s="14" t="s">
        <v>533</v>
      </c>
      <c r="Q672" s="14" t="s">
        <v>533</v>
      </c>
      <c r="R672" s="16" t="str">
        <f t="shared" si="2"/>
        <v>Igual</v>
      </c>
    </row>
    <row r="673">
      <c r="A673" s="7"/>
      <c r="B673" s="16"/>
      <c r="C673" s="12"/>
      <c r="D673" s="12"/>
      <c r="E673" s="9"/>
      <c r="F673" s="10"/>
      <c r="G673" s="11"/>
      <c r="H673" s="9"/>
      <c r="I673" s="31"/>
      <c r="J673" s="9"/>
      <c r="K673" s="9"/>
      <c r="L673" s="21" t="s">
        <v>41</v>
      </c>
      <c r="M673" s="30" t="s">
        <v>2282</v>
      </c>
      <c r="N673" s="30" t="s">
        <v>2283</v>
      </c>
      <c r="O673" s="29" t="s">
        <v>2284</v>
      </c>
      <c r="P673" s="14" t="s">
        <v>562</v>
      </c>
      <c r="Q673" s="14" t="s">
        <v>533</v>
      </c>
      <c r="R673" s="16" t="str">
        <f t="shared" si="2"/>
        <v>Diferente</v>
      </c>
    </row>
    <row r="674">
      <c r="A674" s="7"/>
      <c r="B674" s="16"/>
      <c r="C674" s="12"/>
      <c r="D674" s="12"/>
      <c r="E674" s="9"/>
      <c r="F674" s="10"/>
      <c r="G674" s="11"/>
      <c r="H674" s="9"/>
      <c r="I674" s="31"/>
      <c r="J674" s="9"/>
      <c r="K674" s="9"/>
      <c r="L674" s="21" t="s">
        <v>47</v>
      </c>
      <c r="M674" s="30" t="s">
        <v>2285</v>
      </c>
      <c r="N674" s="30" t="s">
        <v>1073</v>
      </c>
      <c r="O674" s="29" t="s">
        <v>2286</v>
      </c>
      <c r="P674" s="14" t="s">
        <v>533</v>
      </c>
      <c r="Q674" s="14" t="s">
        <v>533</v>
      </c>
      <c r="R674" s="16" t="str">
        <f t="shared" si="2"/>
        <v>Igual</v>
      </c>
    </row>
    <row r="675">
      <c r="A675" s="7"/>
      <c r="B675" s="16"/>
      <c r="C675" s="12"/>
      <c r="D675" s="12"/>
      <c r="E675" s="9"/>
      <c r="F675" s="10"/>
      <c r="G675" s="11"/>
      <c r="H675" s="9"/>
      <c r="I675" s="31"/>
      <c r="J675" s="9"/>
      <c r="K675" s="9"/>
      <c r="L675" s="21" t="s">
        <v>53</v>
      </c>
      <c r="M675" s="30" t="s">
        <v>2287</v>
      </c>
      <c r="N675" s="30" t="s">
        <v>1073</v>
      </c>
      <c r="O675" s="29" t="s">
        <v>2288</v>
      </c>
      <c r="P675" s="14" t="s">
        <v>533</v>
      </c>
      <c r="Q675" s="14" t="s">
        <v>533</v>
      </c>
      <c r="R675" s="16" t="str">
        <f t="shared" si="2"/>
        <v>Igual</v>
      </c>
    </row>
    <row r="676">
      <c r="A676" s="7"/>
      <c r="B676" s="16"/>
      <c r="C676" s="12"/>
      <c r="D676" s="12"/>
      <c r="E676" s="9"/>
      <c r="F676" s="10"/>
      <c r="G676" s="11"/>
      <c r="H676" s="9"/>
      <c r="I676" s="31"/>
      <c r="J676" s="9"/>
      <c r="K676" s="9"/>
      <c r="L676" s="21" t="s">
        <v>59</v>
      </c>
      <c r="M676" s="30" t="s">
        <v>2289</v>
      </c>
      <c r="N676" s="30" t="s">
        <v>1073</v>
      </c>
      <c r="O676" s="29" t="s">
        <v>2288</v>
      </c>
      <c r="P676" s="14" t="s">
        <v>533</v>
      </c>
      <c r="Q676" s="14" t="s">
        <v>533</v>
      </c>
      <c r="R676" s="16" t="str">
        <f t="shared" si="2"/>
        <v>Igual</v>
      </c>
    </row>
    <row r="677">
      <c r="A677" s="7"/>
      <c r="B677" s="16"/>
      <c r="C677" s="12"/>
      <c r="D677" s="12"/>
      <c r="E677" s="9"/>
      <c r="F677" s="10"/>
      <c r="G677" s="11"/>
      <c r="H677" s="9"/>
      <c r="I677" s="31"/>
      <c r="J677" s="9"/>
      <c r="K677" s="9"/>
      <c r="L677" s="21" t="s">
        <v>65</v>
      </c>
      <c r="M677" s="30" t="s">
        <v>2290</v>
      </c>
      <c r="N677" s="30" t="s">
        <v>1073</v>
      </c>
      <c r="O677" s="29" t="s">
        <v>2288</v>
      </c>
      <c r="P677" s="14" t="s">
        <v>533</v>
      </c>
      <c r="Q677" s="14" t="s">
        <v>533</v>
      </c>
      <c r="R677" s="16" t="str">
        <f t="shared" si="2"/>
        <v>Igual</v>
      </c>
    </row>
    <row r="678">
      <c r="A678" s="7"/>
      <c r="B678" s="16"/>
      <c r="C678" s="12"/>
      <c r="D678" s="12"/>
      <c r="E678" s="9"/>
      <c r="F678" s="10"/>
      <c r="G678" s="11"/>
      <c r="H678" s="9"/>
      <c r="I678" s="31"/>
      <c r="J678" s="9"/>
      <c r="K678" s="9"/>
      <c r="L678" s="21" t="s">
        <v>71</v>
      </c>
      <c r="M678" s="30" t="s">
        <v>2291</v>
      </c>
      <c r="N678" s="30" t="s">
        <v>1073</v>
      </c>
      <c r="O678" s="29" t="s">
        <v>2288</v>
      </c>
      <c r="P678" s="14" t="s">
        <v>533</v>
      </c>
      <c r="Q678" s="14" t="s">
        <v>533</v>
      </c>
      <c r="R678" s="16" t="str">
        <f t="shared" si="2"/>
        <v>Igual</v>
      </c>
    </row>
    <row r="679">
      <c r="A679" s="7" t="s">
        <v>359</v>
      </c>
      <c r="B679" s="14" t="s">
        <v>20</v>
      </c>
      <c r="C679" s="12"/>
      <c r="D679" s="12"/>
      <c r="E679" s="9" t="s">
        <v>360</v>
      </c>
      <c r="F679" s="10" t="s">
        <v>361</v>
      </c>
      <c r="G679" s="11">
        <v>2023.0</v>
      </c>
      <c r="H679" s="9" t="s">
        <v>362</v>
      </c>
      <c r="I679" s="29" t="s">
        <v>998</v>
      </c>
      <c r="J679" s="9"/>
      <c r="K679" s="9" t="s">
        <v>152</v>
      </c>
      <c r="L679" s="21" t="s">
        <v>25</v>
      </c>
      <c r="M679" s="30" t="s">
        <v>2292</v>
      </c>
      <c r="N679" s="30" t="s">
        <v>2293</v>
      </c>
      <c r="O679" s="29" t="s">
        <v>2294</v>
      </c>
      <c r="P679" s="14" t="s">
        <v>562</v>
      </c>
      <c r="Q679" s="14" t="s">
        <v>533</v>
      </c>
      <c r="R679" s="16" t="str">
        <f t="shared" si="2"/>
        <v>Diferente</v>
      </c>
    </row>
    <row r="680">
      <c r="A680" s="7"/>
      <c r="B680" s="16"/>
      <c r="C680" s="12"/>
      <c r="D680" s="12"/>
      <c r="E680" s="9"/>
      <c r="F680" s="10"/>
      <c r="G680" s="11"/>
      <c r="H680" s="9"/>
      <c r="I680" s="31"/>
      <c r="J680" s="9"/>
      <c r="K680" s="9"/>
      <c r="L680" s="21" t="s">
        <v>31</v>
      </c>
      <c r="M680" s="30" t="s">
        <v>2295</v>
      </c>
      <c r="N680" s="30" t="s">
        <v>2296</v>
      </c>
      <c r="O680" s="29" t="s">
        <v>2297</v>
      </c>
      <c r="P680" s="14" t="s">
        <v>562</v>
      </c>
      <c r="Q680" s="14" t="s">
        <v>533</v>
      </c>
      <c r="R680" s="16" t="str">
        <f t="shared" si="2"/>
        <v>Diferente</v>
      </c>
    </row>
    <row r="681">
      <c r="A681" s="7"/>
      <c r="B681" s="16"/>
      <c r="C681" s="12"/>
      <c r="D681" s="12"/>
      <c r="E681" s="9"/>
      <c r="F681" s="10"/>
      <c r="G681" s="11"/>
      <c r="H681" s="9"/>
      <c r="I681" s="31"/>
      <c r="J681" s="9"/>
      <c r="K681" s="9"/>
      <c r="L681" s="21" t="s">
        <v>36</v>
      </c>
      <c r="M681" s="30" t="s">
        <v>2298</v>
      </c>
      <c r="N681" s="30" t="s">
        <v>2299</v>
      </c>
      <c r="O681" s="29" t="s">
        <v>2300</v>
      </c>
      <c r="P681" s="14" t="s">
        <v>542</v>
      </c>
      <c r="Q681" s="14" t="s">
        <v>533</v>
      </c>
      <c r="R681" s="16" t="str">
        <f t="shared" si="2"/>
        <v>Diferente</v>
      </c>
    </row>
    <row r="682">
      <c r="A682" s="7"/>
      <c r="B682" s="16"/>
      <c r="C682" s="12"/>
      <c r="D682" s="12"/>
      <c r="E682" s="9"/>
      <c r="F682" s="10"/>
      <c r="G682" s="11"/>
      <c r="H682" s="9"/>
      <c r="I682" s="31"/>
      <c r="J682" s="9"/>
      <c r="K682" s="9"/>
      <c r="L682" s="21" t="s">
        <v>41</v>
      </c>
      <c r="M682" s="30" t="s">
        <v>2301</v>
      </c>
      <c r="N682" s="30" t="s">
        <v>2302</v>
      </c>
      <c r="O682" s="29" t="s">
        <v>2303</v>
      </c>
      <c r="P682" s="14" t="s">
        <v>542</v>
      </c>
      <c r="Q682" s="14" t="s">
        <v>533</v>
      </c>
      <c r="R682" s="16" t="str">
        <f t="shared" si="2"/>
        <v>Diferente</v>
      </c>
    </row>
    <row r="683">
      <c r="A683" s="7"/>
      <c r="B683" s="16"/>
      <c r="C683" s="12"/>
      <c r="D683" s="12"/>
      <c r="E683" s="9"/>
      <c r="F683" s="10"/>
      <c r="G683" s="11"/>
      <c r="H683" s="9"/>
      <c r="I683" s="31"/>
      <c r="J683" s="9"/>
      <c r="K683" s="9"/>
      <c r="L683" s="21" t="s">
        <v>47</v>
      </c>
      <c r="M683" s="30" t="s">
        <v>2304</v>
      </c>
      <c r="N683" s="30" t="s">
        <v>1073</v>
      </c>
      <c r="O683" s="29" t="s">
        <v>2305</v>
      </c>
      <c r="P683" s="14" t="s">
        <v>542</v>
      </c>
      <c r="Q683" s="14" t="s">
        <v>542</v>
      </c>
      <c r="R683" s="16" t="str">
        <f t="shared" si="2"/>
        <v>Igual</v>
      </c>
    </row>
    <row r="684">
      <c r="A684" s="7"/>
      <c r="B684" s="16"/>
      <c r="C684" s="12"/>
      <c r="D684" s="12"/>
      <c r="E684" s="9"/>
      <c r="F684" s="10"/>
      <c r="G684" s="11"/>
      <c r="H684" s="9"/>
      <c r="I684" s="31"/>
      <c r="J684" s="9"/>
      <c r="K684" s="9"/>
      <c r="L684" s="21" t="s">
        <v>53</v>
      </c>
      <c r="M684" s="30" t="s">
        <v>2306</v>
      </c>
      <c r="N684" s="30" t="s">
        <v>1073</v>
      </c>
      <c r="O684" s="29" t="s">
        <v>2307</v>
      </c>
      <c r="P684" s="14" t="s">
        <v>542</v>
      </c>
      <c r="Q684" s="14" t="s">
        <v>542</v>
      </c>
      <c r="R684" s="16" t="str">
        <f t="shared" si="2"/>
        <v>Igual</v>
      </c>
    </row>
    <row r="685">
      <c r="A685" s="7"/>
      <c r="B685" s="16"/>
      <c r="C685" s="12"/>
      <c r="D685" s="12"/>
      <c r="E685" s="9"/>
      <c r="F685" s="10"/>
      <c r="G685" s="11"/>
      <c r="H685" s="9"/>
      <c r="I685" s="31"/>
      <c r="J685" s="9"/>
      <c r="K685" s="9"/>
      <c r="L685" s="21" t="s">
        <v>59</v>
      </c>
      <c r="M685" s="30" t="s">
        <v>2308</v>
      </c>
      <c r="N685" s="30" t="s">
        <v>1073</v>
      </c>
      <c r="O685" s="29" t="s">
        <v>2309</v>
      </c>
      <c r="P685" s="14" t="s">
        <v>533</v>
      </c>
      <c r="Q685" s="14" t="s">
        <v>533</v>
      </c>
      <c r="R685" s="16" t="str">
        <f t="shared" si="2"/>
        <v>Igual</v>
      </c>
    </row>
    <row r="686">
      <c r="A686" s="7"/>
      <c r="B686" s="16"/>
      <c r="C686" s="12"/>
      <c r="D686" s="12"/>
      <c r="E686" s="9"/>
      <c r="F686" s="10"/>
      <c r="G686" s="11"/>
      <c r="H686" s="9"/>
      <c r="I686" s="31"/>
      <c r="J686" s="9"/>
      <c r="K686" s="9"/>
      <c r="L686" s="21" t="s">
        <v>65</v>
      </c>
      <c r="M686" s="30" t="s">
        <v>2310</v>
      </c>
      <c r="N686" s="30" t="s">
        <v>1073</v>
      </c>
      <c r="O686" s="29" t="s">
        <v>2311</v>
      </c>
      <c r="P686" s="14" t="s">
        <v>533</v>
      </c>
      <c r="Q686" s="14" t="s">
        <v>533</v>
      </c>
      <c r="R686" s="16" t="str">
        <f t="shared" si="2"/>
        <v>Igual</v>
      </c>
    </row>
    <row r="687">
      <c r="A687" s="7"/>
      <c r="B687" s="16"/>
      <c r="C687" s="12"/>
      <c r="D687" s="12"/>
      <c r="E687" s="9"/>
      <c r="F687" s="10"/>
      <c r="G687" s="11"/>
      <c r="H687" s="9"/>
      <c r="I687" s="31"/>
      <c r="J687" s="9"/>
      <c r="K687" s="9"/>
      <c r="L687" s="21" t="s">
        <v>71</v>
      </c>
      <c r="M687" s="30" t="s">
        <v>2312</v>
      </c>
      <c r="N687" s="30" t="s">
        <v>1073</v>
      </c>
      <c r="O687" s="29" t="s">
        <v>2313</v>
      </c>
      <c r="P687" s="14" t="s">
        <v>533</v>
      </c>
      <c r="Q687" s="14" t="s">
        <v>533</v>
      </c>
      <c r="R687" s="16" t="str">
        <f t="shared" si="2"/>
        <v>Igual</v>
      </c>
    </row>
    <row r="688">
      <c r="A688" s="7" t="s">
        <v>363</v>
      </c>
      <c r="B688" s="14" t="s">
        <v>20</v>
      </c>
      <c r="C688" s="12"/>
      <c r="D688" s="17" t="s">
        <v>2035</v>
      </c>
      <c r="E688" s="9" t="s">
        <v>364</v>
      </c>
      <c r="F688" s="10" t="s">
        <v>365</v>
      </c>
      <c r="G688" s="11">
        <v>2025.0</v>
      </c>
      <c r="H688" s="9" t="s">
        <v>366</v>
      </c>
      <c r="I688" s="29" t="s">
        <v>565</v>
      </c>
      <c r="J688" s="9"/>
      <c r="K688" s="9" t="s">
        <v>152</v>
      </c>
      <c r="L688" s="21" t="s">
        <v>25</v>
      </c>
      <c r="M688" s="30" t="s">
        <v>2314</v>
      </c>
      <c r="N688" s="30" t="s">
        <v>2315</v>
      </c>
      <c r="O688" s="29" t="s">
        <v>2316</v>
      </c>
      <c r="P688" s="14" t="s">
        <v>562</v>
      </c>
      <c r="Q688" s="14" t="s">
        <v>533</v>
      </c>
      <c r="R688" s="16" t="str">
        <f t="shared" si="2"/>
        <v>Diferente</v>
      </c>
    </row>
    <row r="689">
      <c r="A689" s="7"/>
      <c r="B689" s="16"/>
      <c r="C689" s="12"/>
      <c r="D689" s="12"/>
      <c r="E689" s="9"/>
      <c r="F689" s="10"/>
      <c r="G689" s="11"/>
      <c r="H689" s="9"/>
      <c r="I689" s="31"/>
      <c r="J689" s="9"/>
      <c r="K689" s="9"/>
      <c r="L689" s="21" t="s">
        <v>31</v>
      </c>
      <c r="M689" s="30" t="s">
        <v>2317</v>
      </c>
      <c r="N689" s="30" t="s">
        <v>2318</v>
      </c>
      <c r="O689" s="29" t="s">
        <v>2319</v>
      </c>
      <c r="P689" s="14" t="s">
        <v>542</v>
      </c>
      <c r="Q689" s="14" t="s">
        <v>533</v>
      </c>
      <c r="R689" s="16" t="str">
        <f t="shared" si="2"/>
        <v>Diferente</v>
      </c>
    </row>
    <row r="690">
      <c r="A690" s="7"/>
      <c r="B690" s="16"/>
      <c r="C690" s="12"/>
      <c r="D690" s="12"/>
      <c r="E690" s="9"/>
      <c r="F690" s="10"/>
      <c r="G690" s="11"/>
      <c r="H690" s="9"/>
      <c r="I690" s="31"/>
      <c r="J690" s="9"/>
      <c r="K690" s="9"/>
      <c r="L690" s="21" t="s">
        <v>36</v>
      </c>
      <c r="M690" s="30" t="s">
        <v>2320</v>
      </c>
      <c r="N690" s="30" t="s">
        <v>2321</v>
      </c>
      <c r="O690" s="29" t="s">
        <v>2322</v>
      </c>
      <c r="P690" s="14" t="s">
        <v>542</v>
      </c>
      <c r="Q690" s="14" t="s">
        <v>533</v>
      </c>
      <c r="R690" s="16" t="str">
        <f t="shared" si="2"/>
        <v>Diferente</v>
      </c>
    </row>
    <row r="691">
      <c r="A691" s="7"/>
      <c r="B691" s="16"/>
      <c r="C691" s="12"/>
      <c r="D691" s="12"/>
      <c r="E691" s="9"/>
      <c r="F691" s="10"/>
      <c r="G691" s="11"/>
      <c r="H691" s="9"/>
      <c r="I691" s="31"/>
      <c r="J691" s="9"/>
      <c r="K691" s="9"/>
      <c r="L691" s="21" t="s">
        <v>41</v>
      </c>
      <c r="M691" s="30" t="s">
        <v>2323</v>
      </c>
      <c r="N691" s="30" t="s">
        <v>1073</v>
      </c>
      <c r="O691" s="29" t="s">
        <v>2324</v>
      </c>
      <c r="P691" s="14" t="s">
        <v>533</v>
      </c>
      <c r="Q691" s="14" t="s">
        <v>533</v>
      </c>
      <c r="R691" s="16" t="str">
        <f t="shared" si="2"/>
        <v>Igual</v>
      </c>
    </row>
    <row r="692">
      <c r="A692" s="7"/>
      <c r="B692" s="16"/>
      <c r="C692" s="12"/>
      <c r="D692" s="12"/>
      <c r="E692" s="9"/>
      <c r="F692" s="10"/>
      <c r="G692" s="11"/>
      <c r="H692" s="9"/>
      <c r="I692" s="31"/>
      <c r="J692" s="9"/>
      <c r="K692" s="9"/>
      <c r="L692" s="21" t="s">
        <v>47</v>
      </c>
      <c r="M692" s="30" t="s">
        <v>2325</v>
      </c>
      <c r="N692" s="30" t="s">
        <v>1073</v>
      </c>
      <c r="O692" s="29" t="s">
        <v>2326</v>
      </c>
      <c r="P692" s="14" t="s">
        <v>533</v>
      </c>
      <c r="Q692" s="14" t="s">
        <v>533</v>
      </c>
      <c r="R692" s="16" t="str">
        <f t="shared" si="2"/>
        <v>Igual</v>
      </c>
    </row>
    <row r="693">
      <c r="A693" s="7"/>
      <c r="B693" s="16"/>
      <c r="C693" s="12"/>
      <c r="D693" s="12"/>
      <c r="E693" s="9"/>
      <c r="F693" s="10"/>
      <c r="G693" s="11"/>
      <c r="H693" s="9"/>
      <c r="I693" s="31"/>
      <c r="J693" s="9"/>
      <c r="K693" s="9"/>
      <c r="L693" s="21" t="s">
        <v>53</v>
      </c>
      <c r="M693" s="30" t="s">
        <v>2327</v>
      </c>
      <c r="N693" s="30" t="s">
        <v>1073</v>
      </c>
      <c r="O693" s="29" t="s">
        <v>2328</v>
      </c>
      <c r="P693" s="14" t="s">
        <v>533</v>
      </c>
      <c r="Q693" s="14" t="s">
        <v>533</v>
      </c>
      <c r="R693" s="16" t="str">
        <f t="shared" si="2"/>
        <v>Igual</v>
      </c>
    </row>
    <row r="694">
      <c r="A694" s="7"/>
      <c r="B694" s="16"/>
      <c r="C694" s="12"/>
      <c r="D694" s="12"/>
      <c r="E694" s="9"/>
      <c r="F694" s="10"/>
      <c r="G694" s="11"/>
      <c r="H694" s="9"/>
      <c r="I694" s="31"/>
      <c r="J694" s="9"/>
      <c r="K694" s="9"/>
      <c r="L694" s="21" t="s">
        <v>59</v>
      </c>
      <c r="M694" s="30" t="s">
        <v>2329</v>
      </c>
      <c r="N694" s="30" t="s">
        <v>2330</v>
      </c>
      <c r="O694" s="29" t="s">
        <v>2331</v>
      </c>
      <c r="P694" s="14" t="s">
        <v>542</v>
      </c>
      <c r="Q694" s="14" t="s">
        <v>533</v>
      </c>
      <c r="R694" s="16" t="str">
        <f t="shared" si="2"/>
        <v>Diferente</v>
      </c>
    </row>
    <row r="695">
      <c r="A695" s="7"/>
      <c r="B695" s="16"/>
      <c r="C695" s="12"/>
      <c r="D695" s="12"/>
      <c r="E695" s="9"/>
      <c r="F695" s="10"/>
      <c r="G695" s="11"/>
      <c r="H695" s="9"/>
      <c r="I695" s="31"/>
      <c r="J695" s="9"/>
      <c r="K695" s="9"/>
      <c r="L695" s="21" t="s">
        <v>65</v>
      </c>
      <c r="M695" s="30" t="s">
        <v>2310</v>
      </c>
      <c r="N695" s="30" t="s">
        <v>1073</v>
      </c>
      <c r="O695" s="29" t="s">
        <v>2332</v>
      </c>
      <c r="P695" s="14" t="s">
        <v>533</v>
      </c>
      <c r="Q695" s="14" t="s">
        <v>533</v>
      </c>
      <c r="R695" s="16" t="str">
        <f t="shared" si="2"/>
        <v>Igual</v>
      </c>
    </row>
    <row r="696">
      <c r="A696" s="7"/>
      <c r="B696" s="16"/>
      <c r="C696" s="12"/>
      <c r="D696" s="12"/>
      <c r="E696" s="9"/>
      <c r="F696" s="10"/>
      <c r="G696" s="11"/>
      <c r="H696" s="9"/>
      <c r="I696" s="31"/>
      <c r="J696" s="9"/>
      <c r="K696" s="9"/>
      <c r="L696" s="21" t="s">
        <v>71</v>
      </c>
      <c r="M696" s="30" t="s">
        <v>2333</v>
      </c>
      <c r="N696" s="30" t="s">
        <v>1073</v>
      </c>
      <c r="O696" s="29" t="s">
        <v>2334</v>
      </c>
      <c r="P696" s="14" t="s">
        <v>533</v>
      </c>
      <c r="Q696" s="14" t="s">
        <v>533</v>
      </c>
      <c r="R696" s="16" t="str">
        <f t="shared" si="2"/>
        <v>Igual</v>
      </c>
    </row>
    <row r="697">
      <c r="A697" s="7" t="s">
        <v>367</v>
      </c>
      <c r="B697" s="14" t="s">
        <v>20</v>
      </c>
      <c r="C697" s="12"/>
      <c r="D697" s="17" t="s">
        <v>2036</v>
      </c>
      <c r="E697" s="9" t="s">
        <v>368</v>
      </c>
      <c r="F697" s="10" t="s">
        <v>369</v>
      </c>
      <c r="G697" s="11">
        <v>2023.0</v>
      </c>
      <c r="H697" s="9" t="s">
        <v>370</v>
      </c>
      <c r="I697" s="29" t="s">
        <v>715</v>
      </c>
      <c r="J697" s="9"/>
      <c r="K697" s="9" t="s">
        <v>152</v>
      </c>
      <c r="L697" s="21" t="s">
        <v>25</v>
      </c>
      <c r="M697" s="30" t="s">
        <v>1073</v>
      </c>
      <c r="N697" s="30" t="s">
        <v>2335</v>
      </c>
      <c r="O697" s="29" t="s">
        <v>2336</v>
      </c>
      <c r="P697" s="14" t="s">
        <v>533</v>
      </c>
      <c r="Q697" s="14" t="s">
        <v>533</v>
      </c>
      <c r="R697" s="16" t="str">
        <f t="shared" si="2"/>
        <v>Igual</v>
      </c>
    </row>
    <row r="698">
      <c r="A698" s="7"/>
      <c r="B698" s="16"/>
      <c r="C698" s="12"/>
      <c r="D698" s="12"/>
      <c r="E698" s="9"/>
      <c r="F698" s="10"/>
      <c r="G698" s="11"/>
      <c r="H698" s="9"/>
      <c r="I698" s="31"/>
      <c r="J698" s="9"/>
      <c r="K698" s="9"/>
      <c r="L698" s="21" t="s">
        <v>31</v>
      </c>
      <c r="M698" s="30" t="s">
        <v>1073</v>
      </c>
      <c r="N698" s="30" t="s">
        <v>2337</v>
      </c>
      <c r="O698" s="29" t="s">
        <v>2338</v>
      </c>
      <c r="P698" s="14" t="s">
        <v>562</v>
      </c>
      <c r="Q698" s="14" t="s">
        <v>542</v>
      </c>
      <c r="R698" s="16" t="str">
        <f t="shared" si="2"/>
        <v>Diferente</v>
      </c>
    </row>
    <row r="699">
      <c r="A699" s="7"/>
      <c r="B699" s="16"/>
      <c r="C699" s="12"/>
      <c r="D699" s="12"/>
      <c r="E699" s="9"/>
      <c r="F699" s="10"/>
      <c r="G699" s="11"/>
      <c r="H699" s="9"/>
      <c r="I699" s="31"/>
      <c r="J699" s="9"/>
      <c r="K699" s="9"/>
      <c r="L699" s="21" t="s">
        <v>36</v>
      </c>
      <c r="M699" s="30" t="s">
        <v>1073</v>
      </c>
      <c r="N699" s="30" t="s">
        <v>2339</v>
      </c>
      <c r="O699" s="29" t="s">
        <v>2340</v>
      </c>
      <c r="P699" s="14" t="s">
        <v>562</v>
      </c>
      <c r="Q699" s="14" t="s">
        <v>533</v>
      </c>
      <c r="R699" s="16" t="str">
        <f t="shared" si="2"/>
        <v>Diferente</v>
      </c>
    </row>
    <row r="700">
      <c r="A700" s="7"/>
      <c r="B700" s="16"/>
      <c r="C700" s="12"/>
      <c r="D700" s="12"/>
      <c r="E700" s="9"/>
      <c r="F700" s="10"/>
      <c r="G700" s="11"/>
      <c r="H700" s="9"/>
      <c r="I700" s="31"/>
      <c r="J700" s="9"/>
      <c r="K700" s="9"/>
      <c r="L700" s="21" t="s">
        <v>41</v>
      </c>
      <c r="M700" s="30" t="s">
        <v>1073</v>
      </c>
      <c r="N700" s="30" t="s">
        <v>1073</v>
      </c>
      <c r="O700" s="29" t="s">
        <v>2341</v>
      </c>
      <c r="P700" s="14" t="s">
        <v>533</v>
      </c>
      <c r="Q700" s="14" t="s">
        <v>533</v>
      </c>
      <c r="R700" s="16" t="str">
        <f t="shared" si="2"/>
        <v>Igual</v>
      </c>
    </row>
    <row r="701">
      <c r="A701" s="7"/>
      <c r="B701" s="16"/>
      <c r="C701" s="12"/>
      <c r="D701" s="12"/>
      <c r="E701" s="9"/>
      <c r="F701" s="10"/>
      <c r="G701" s="11"/>
      <c r="H701" s="9"/>
      <c r="I701" s="31"/>
      <c r="J701" s="9"/>
      <c r="K701" s="9"/>
      <c r="L701" s="21" t="s">
        <v>47</v>
      </c>
      <c r="M701" s="30" t="s">
        <v>1073</v>
      </c>
      <c r="N701" s="30" t="s">
        <v>2342</v>
      </c>
      <c r="O701" s="29" t="s">
        <v>2343</v>
      </c>
      <c r="P701" s="14" t="s">
        <v>533</v>
      </c>
      <c r="Q701" s="14" t="s">
        <v>542</v>
      </c>
      <c r="R701" s="16" t="str">
        <f t="shared" si="2"/>
        <v>Diferente</v>
      </c>
    </row>
    <row r="702">
      <c r="A702" s="7"/>
      <c r="B702" s="16"/>
      <c r="C702" s="12"/>
      <c r="D702" s="12"/>
      <c r="E702" s="9"/>
      <c r="F702" s="10"/>
      <c r="G702" s="11"/>
      <c r="H702" s="9"/>
      <c r="I702" s="31"/>
      <c r="J702" s="9"/>
      <c r="K702" s="9"/>
      <c r="L702" s="21" t="s">
        <v>53</v>
      </c>
      <c r="M702" s="30" t="s">
        <v>1073</v>
      </c>
      <c r="N702" s="30" t="s">
        <v>1073</v>
      </c>
      <c r="O702" s="29" t="s">
        <v>2344</v>
      </c>
      <c r="P702" s="14" t="s">
        <v>533</v>
      </c>
      <c r="Q702" s="14" t="s">
        <v>533</v>
      </c>
      <c r="R702" s="16" t="str">
        <f t="shared" si="2"/>
        <v>Igual</v>
      </c>
    </row>
    <row r="703">
      <c r="A703" s="7"/>
      <c r="B703" s="16"/>
      <c r="C703" s="12"/>
      <c r="D703" s="12"/>
      <c r="E703" s="9"/>
      <c r="F703" s="10"/>
      <c r="G703" s="11"/>
      <c r="H703" s="9"/>
      <c r="I703" s="31"/>
      <c r="J703" s="9"/>
      <c r="K703" s="9"/>
      <c r="L703" s="21" t="s">
        <v>59</v>
      </c>
      <c r="M703" s="30" t="s">
        <v>1073</v>
      </c>
      <c r="N703" s="30" t="s">
        <v>2345</v>
      </c>
      <c r="O703" s="29" t="s">
        <v>2346</v>
      </c>
      <c r="P703" s="14" t="s">
        <v>562</v>
      </c>
      <c r="Q703" s="14" t="s">
        <v>533</v>
      </c>
      <c r="R703" s="16" t="str">
        <f t="shared" si="2"/>
        <v>Diferente</v>
      </c>
    </row>
    <row r="704">
      <c r="A704" s="7"/>
      <c r="B704" s="16"/>
      <c r="C704" s="12"/>
      <c r="D704" s="12"/>
      <c r="E704" s="9"/>
      <c r="F704" s="10"/>
      <c r="G704" s="11"/>
      <c r="H704" s="9"/>
      <c r="I704" s="31"/>
      <c r="J704" s="9"/>
      <c r="K704" s="9"/>
      <c r="L704" s="21" t="s">
        <v>65</v>
      </c>
      <c r="M704" s="30" t="s">
        <v>1073</v>
      </c>
      <c r="N704" s="30" t="s">
        <v>1073</v>
      </c>
      <c r="O704" s="29" t="s">
        <v>2347</v>
      </c>
      <c r="P704" s="14" t="s">
        <v>533</v>
      </c>
      <c r="Q704" s="14" t="s">
        <v>533</v>
      </c>
      <c r="R704" s="16" t="str">
        <f t="shared" si="2"/>
        <v>Igual</v>
      </c>
    </row>
    <row r="705">
      <c r="A705" s="7"/>
      <c r="B705" s="16"/>
      <c r="C705" s="12"/>
      <c r="D705" s="12"/>
      <c r="E705" s="9"/>
      <c r="F705" s="10"/>
      <c r="G705" s="11"/>
      <c r="H705" s="9"/>
      <c r="I705" s="31"/>
      <c r="J705" s="9"/>
      <c r="K705" s="9"/>
      <c r="L705" s="21" t="s">
        <v>71</v>
      </c>
      <c r="M705" s="30" t="s">
        <v>1073</v>
      </c>
      <c r="N705" s="30" t="s">
        <v>1073</v>
      </c>
      <c r="O705" s="29" t="s">
        <v>2348</v>
      </c>
      <c r="P705" s="14" t="s">
        <v>533</v>
      </c>
      <c r="Q705" s="14" t="s">
        <v>533</v>
      </c>
      <c r="R705" s="16" t="str">
        <f t="shared" si="2"/>
        <v>Igual</v>
      </c>
    </row>
    <row r="706">
      <c r="A706" s="7" t="s">
        <v>371</v>
      </c>
      <c r="B706" s="14" t="s">
        <v>1057</v>
      </c>
      <c r="C706" s="12"/>
      <c r="D706" s="17" t="s">
        <v>2037</v>
      </c>
      <c r="E706" s="9" t="s">
        <v>372</v>
      </c>
      <c r="F706" s="10" t="s">
        <v>373</v>
      </c>
      <c r="G706" s="11">
        <v>2024.0</v>
      </c>
      <c r="H706" s="9" t="s">
        <v>374</v>
      </c>
      <c r="I706" s="29" t="s">
        <v>823</v>
      </c>
      <c r="J706" s="9"/>
      <c r="K706" s="9" t="s">
        <v>152</v>
      </c>
      <c r="L706" s="21" t="s">
        <v>25</v>
      </c>
      <c r="M706" s="30" t="s">
        <v>1073</v>
      </c>
      <c r="N706" s="30" t="s">
        <v>2349</v>
      </c>
      <c r="O706" s="29" t="s">
        <v>2350</v>
      </c>
      <c r="P706" s="14" t="s">
        <v>562</v>
      </c>
      <c r="Q706" s="14" t="s">
        <v>542</v>
      </c>
      <c r="R706" s="16" t="str">
        <f t="shared" si="2"/>
        <v>Diferente</v>
      </c>
    </row>
    <row r="707">
      <c r="A707" s="7"/>
      <c r="B707" s="16"/>
      <c r="C707" s="12"/>
      <c r="D707" s="12"/>
      <c r="E707" s="9"/>
      <c r="F707" s="10"/>
      <c r="G707" s="11"/>
      <c r="H707" s="9"/>
      <c r="I707" s="31"/>
      <c r="J707" s="13"/>
      <c r="K707" s="13"/>
      <c r="L707" s="21" t="s">
        <v>31</v>
      </c>
      <c r="M707" s="30" t="s">
        <v>1073</v>
      </c>
      <c r="N707" s="30" t="s">
        <v>1073</v>
      </c>
      <c r="O707" s="29" t="s">
        <v>2351</v>
      </c>
      <c r="P707" s="14" t="s">
        <v>562</v>
      </c>
      <c r="Q707" s="14" t="s">
        <v>533</v>
      </c>
      <c r="R707" s="16" t="str">
        <f t="shared" si="2"/>
        <v>Diferente</v>
      </c>
    </row>
    <row r="708">
      <c r="A708" s="7"/>
      <c r="B708" s="16"/>
      <c r="C708" s="12"/>
      <c r="D708" s="12"/>
      <c r="E708" s="9"/>
      <c r="F708" s="10"/>
      <c r="G708" s="11"/>
      <c r="H708" s="9"/>
      <c r="I708" s="31"/>
      <c r="J708" s="13"/>
      <c r="K708" s="13"/>
      <c r="L708" s="21" t="s">
        <v>36</v>
      </c>
      <c r="M708" s="30" t="s">
        <v>1073</v>
      </c>
      <c r="N708" s="30" t="s">
        <v>2352</v>
      </c>
      <c r="O708" s="29" t="s">
        <v>2353</v>
      </c>
      <c r="P708" s="14" t="s">
        <v>562</v>
      </c>
      <c r="Q708" s="14" t="s">
        <v>533</v>
      </c>
      <c r="R708" s="16" t="str">
        <f t="shared" si="2"/>
        <v>Diferente</v>
      </c>
    </row>
    <row r="709">
      <c r="A709" s="7"/>
      <c r="B709" s="16"/>
      <c r="C709" s="12"/>
      <c r="D709" s="12"/>
      <c r="E709" s="9"/>
      <c r="F709" s="10"/>
      <c r="G709" s="11"/>
      <c r="H709" s="9"/>
      <c r="I709" s="31"/>
      <c r="J709" s="13"/>
      <c r="K709" s="13"/>
      <c r="L709" s="21" t="s">
        <v>41</v>
      </c>
      <c r="M709" s="30" t="s">
        <v>1073</v>
      </c>
      <c r="N709" s="30" t="s">
        <v>2354</v>
      </c>
      <c r="O709" s="29" t="s">
        <v>2355</v>
      </c>
      <c r="P709" s="14" t="s">
        <v>562</v>
      </c>
      <c r="Q709" s="14" t="s">
        <v>533</v>
      </c>
      <c r="R709" s="16" t="str">
        <f t="shared" si="2"/>
        <v>Diferente</v>
      </c>
    </row>
    <row r="710">
      <c r="A710" s="7"/>
      <c r="B710" s="16"/>
      <c r="C710" s="12"/>
      <c r="D710" s="12"/>
      <c r="E710" s="9"/>
      <c r="F710" s="10"/>
      <c r="G710" s="11"/>
      <c r="H710" s="9"/>
      <c r="I710" s="31"/>
      <c r="J710" s="13"/>
      <c r="K710" s="13"/>
      <c r="L710" s="21" t="s">
        <v>47</v>
      </c>
      <c r="M710" s="30" t="s">
        <v>1073</v>
      </c>
      <c r="N710" s="30" t="s">
        <v>2356</v>
      </c>
      <c r="O710" s="29" t="s">
        <v>2357</v>
      </c>
      <c r="P710" s="14" t="s">
        <v>562</v>
      </c>
      <c r="Q710" s="14" t="s">
        <v>533</v>
      </c>
      <c r="R710" s="16" t="str">
        <f t="shared" si="2"/>
        <v>Diferente</v>
      </c>
    </row>
    <row r="711">
      <c r="A711" s="7"/>
      <c r="B711" s="16"/>
      <c r="C711" s="12"/>
      <c r="D711" s="12"/>
      <c r="E711" s="9"/>
      <c r="F711" s="10"/>
      <c r="G711" s="11"/>
      <c r="H711" s="9"/>
      <c r="I711" s="31"/>
      <c r="J711" s="13"/>
      <c r="K711" s="13"/>
      <c r="L711" s="21" t="s">
        <v>53</v>
      </c>
      <c r="M711" s="30" t="s">
        <v>1073</v>
      </c>
      <c r="N711" s="30" t="s">
        <v>1073</v>
      </c>
      <c r="O711" s="29" t="s">
        <v>2358</v>
      </c>
      <c r="P711" s="14" t="s">
        <v>533</v>
      </c>
      <c r="Q711" s="14" t="s">
        <v>533</v>
      </c>
      <c r="R711" s="16" t="str">
        <f t="shared" si="2"/>
        <v>Igual</v>
      </c>
    </row>
    <row r="712">
      <c r="A712" s="7"/>
      <c r="B712" s="16"/>
      <c r="C712" s="12"/>
      <c r="D712" s="12"/>
      <c r="E712" s="9"/>
      <c r="F712" s="10"/>
      <c r="G712" s="11"/>
      <c r="H712" s="9"/>
      <c r="I712" s="31"/>
      <c r="J712" s="13"/>
      <c r="K712" s="13"/>
      <c r="L712" s="21" t="s">
        <v>59</v>
      </c>
      <c r="M712" s="30" t="s">
        <v>1073</v>
      </c>
      <c r="N712" s="30" t="s">
        <v>2359</v>
      </c>
      <c r="O712" s="14" t="s">
        <v>2360</v>
      </c>
      <c r="P712" s="14" t="s">
        <v>562</v>
      </c>
      <c r="Q712" s="14" t="s">
        <v>542</v>
      </c>
      <c r="R712" s="16" t="str">
        <f t="shared" si="2"/>
        <v>Diferente</v>
      </c>
    </row>
    <row r="713">
      <c r="A713" s="7"/>
      <c r="B713" s="16"/>
      <c r="C713" s="12"/>
      <c r="D713" s="12"/>
      <c r="E713" s="9"/>
      <c r="F713" s="10"/>
      <c r="G713" s="11"/>
      <c r="H713" s="9"/>
      <c r="I713" s="31"/>
      <c r="J713" s="13"/>
      <c r="K713" s="13"/>
      <c r="L713" s="21" t="s">
        <v>65</v>
      </c>
      <c r="M713" s="30" t="s">
        <v>1073</v>
      </c>
      <c r="N713" s="30" t="s">
        <v>1073</v>
      </c>
      <c r="O713" s="14" t="s">
        <v>2361</v>
      </c>
      <c r="P713" s="14" t="s">
        <v>533</v>
      </c>
      <c r="Q713" s="14" t="s">
        <v>533</v>
      </c>
      <c r="R713" s="16" t="str">
        <f t="shared" si="2"/>
        <v>Igual</v>
      </c>
    </row>
    <row r="714">
      <c r="A714" s="7"/>
      <c r="B714" s="16"/>
      <c r="C714" s="12"/>
      <c r="D714" s="12"/>
      <c r="E714" s="9"/>
      <c r="F714" s="10"/>
      <c r="G714" s="11"/>
      <c r="H714" s="9"/>
      <c r="I714" s="31"/>
      <c r="J714" s="13"/>
      <c r="K714" s="13"/>
      <c r="L714" s="21" t="s">
        <v>71</v>
      </c>
      <c r="M714" s="30" t="s">
        <v>1073</v>
      </c>
      <c r="N714" s="30" t="s">
        <v>1073</v>
      </c>
      <c r="O714" s="29" t="s">
        <v>2362</v>
      </c>
      <c r="P714" s="14" t="s">
        <v>533</v>
      </c>
      <c r="Q714" s="14" t="s">
        <v>533</v>
      </c>
      <c r="R714" s="16" t="str">
        <f t="shared" si="2"/>
        <v>Igual</v>
      </c>
    </row>
    <row r="715">
      <c r="A715" s="7" t="s">
        <v>375</v>
      </c>
      <c r="B715" s="14" t="s">
        <v>20</v>
      </c>
      <c r="C715" s="12"/>
      <c r="D715" s="17" t="s">
        <v>2038</v>
      </c>
      <c r="E715" s="9" t="s">
        <v>376</v>
      </c>
      <c r="F715" s="10" t="s">
        <v>377</v>
      </c>
      <c r="G715" s="22" t="s">
        <v>115</v>
      </c>
      <c r="H715" s="9" t="s">
        <v>378</v>
      </c>
      <c r="I715" s="29" t="s">
        <v>1542</v>
      </c>
      <c r="J715" s="13"/>
      <c r="K715" s="13" t="s">
        <v>379</v>
      </c>
      <c r="L715" s="21" t="s">
        <v>25</v>
      </c>
      <c r="M715" s="30" t="s">
        <v>2363</v>
      </c>
      <c r="N715" s="30" t="s">
        <v>1073</v>
      </c>
      <c r="O715" s="29" t="s">
        <v>2364</v>
      </c>
      <c r="P715" s="14" t="s">
        <v>533</v>
      </c>
      <c r="Q715" s="14" t="s">
        <v>562</v>
      </c>
      <c r="R715" s="16" t="str">
        <f t="shared" si="2"/>
        <v>Diferente</v>
      </c>
    </row>
    <row r="716">
      <c r="A716" s="7"/>
      <c r="B716" s="16"/>
      <c r="C716" s="12"/>
      <c r="D716" s="12"/>
      <c r="E716" s="9"/>
      <c r="F716" s="10"/>
      <c r="G716" s="11"/>
      <c r="H716" s="9"/>
      <c r="I716" s="31"/>
      <c r="J716" s="13"/>
      <c r="K716" s="13"/>
      <c r="L716" s="21" t="s">
        <v>31</v>
      </c>
      <c r="M716" s="30" t="s">
        <v>2365</v>
      </c>
      <c r="N716" s="30" t="s">
        <v>1073</v>
      </c>
      <c r="O716" s="29" t="s">
        <v>2366</v>
      </c>
      <c r="P716" s="14" t="s">
        <v>562</v>
      </c>
      <c r="Q716" s="14" t="s">
        <v>533</v>
      </c>
      <c r="R716" s="16" t="str">
        <f t="shared" si="2"/>
        <v>Diferente</v>
      </c>
    </row>
    <row r="717">
      <c r="A717" s="7"/>
      <c r="B717" s="16"/>
      <c r="C717" s="12"/>
      <c r="D717" s="12"/>
      <c r="E717" s="9"/>
      <c r="F717" s="10"/>
      <c r="G717" s="11"/>
      <c r="H717" s="9"/>
      <c r="I717" s="31"/>
      <c r="J717" s="13"/>
      <c r="K717" s="13"/>
      <c r="L717" s="21" t="s">
        <v>36</v>
      </c>
      <c r="M717" s="30" t="s">
        <v>2367</v>
      </c>
      <c r="N717" s="30" t="s">
        <v>2368</v>
      </c>
      <c r="O717" s="29" t="s">
        <v>2369</v>
      </c>
      <c r="P717" s="14" t="s">
        <v>542</v>
      </c>
      <c r="Q717" s="14" t="s">
        <v>533</v>
      </c>
      <c r="R717" s="16" t="str">
        <f t="shared" si="2"/>
        <v>Diferente</v>
      </c>
    </row>
    <row r="718">
      <c r="A718" s="7"/>
      <c r="B718" s="16"/>
      <c r="C718" s="12"/>
      <c r="D718" s="12"/>
      <c r="E718" s="9"/>
      <c r="F718" s="10"/>
      <c r="G718" s="11"/>
      <c r="H718" s="9"/>
      <c r="I718" s="31"/>
      <c r="J718" s="13"/>
      <c r="K718" s="13"/>
      <c r="L718" s="21" t="s">
        <v>41</v>
      </c>
      <c r="M718" s="30" t="s">
        <v>2370</v>
      </c>
      <c r="N718" s="30" t="s">
        <v>2371</v>
      </c>
      <c r="O718" s="29" t="s">
        <v>2372</v>
      </c>
      <c r="P718" s="14" t="s">
        <v>533</v>
      </c>
      <c r="Q718" s="14" t="s">
        <v>562</v>
      </c>
      <c r="R718" s="16" t="str">
        <f t="shared" si="2"/>
        <v>Diferente</v>
      </c>
    </row>
    <row r="719">
      <c r="A719" s="7"/>
      <c r="B719" s="16"/>
      <c r="C719" s="12"/>
      <c r="D719" s="12"/>
      <c r="E719" s="9"/>
      <c r="F719" s="10"/>
      <c r="G719" s="11"/>
      <c r="H719" s="9"/>
      <c r="I719" s="31"/>
      <c r="J719" s="13"/>
      <c r="K719" s="13"/>
      <c r="L719" s="21" t="s">
        <v>47</v>
      </c>
      <c r="M719" s="30" t="s">
        <v>2373</v>
      </c>
      <c r="N719" s="30" t="s">
        <v>1073</v>
      </c>
      <c r="O719" s="29" t="s">
        <v>2374</v>
      </c>
      <c r="P719" s="14" t="s">
        <v>533</v>
      </c>
      <c r="Q719" s="14" t="s">
        <v>533</v>
      </c>
      <c r="R719" s="16" t="str">
        <f t="shared" si="2"/>
        <v>Igual</v>
      </c>
    </row>
    <row r="720">
      <c r="A720" s="7"/>
      <c r="B720" s="16"/>
      <c r="C720" s="12"/>
      <c r="D720" s="12"/>
      <c r="E720" s="9"/>
      <c r="F720" s="10"/>
      <c r="G720" s="11"/>
      <c r="H720" s="9"/>
      <c r="I720" s="31"/>
      <c r="J720" s="13"/>
      <c r="K720" s="13"/>
      <c r="L720" s="21" t="s">
        <v>53</v>
      </c>
      <c r="M720" s="30" t="s">
        <v>2375</v>
      </c>
      <c r="N720" s="30" t="s">
        <v>1073</v>
      </c>
      <c r="O720" s="29" t="s">
        <v>2376</v>
      </c>
      <c r="P720" s="14" t="s">
        <v>533</v>
      </c>
      <c r="Q720" s="14" t="s">
        <v>533</v>
      </c>
      <c r="R720" s="16" t="str">
        <f t="shared" si="2"/>
        <v>Igual</v>
      </c>
    </row>
    <row r="721">
      <c r="A721" s="7"/>
      <c r="B721" s="16"/>
      <c r="C721" s="12"/>
      <c r="D721" s="12"/>
      <c r="E721" s="9"/>
      <c r="F721" s="10"/>
      <c r="G721" s="11"/>
      <c r="H721" s="9"/>
      <c r="I721" s="31"/>
      <c r="J721" s="13"/>
      <c r="K721" s="13"/>
      <c r="L721" s="21" t="s">
        <v>59</v>
      </c>
      <c r="M721" s="30" t="s">
        <v>2377</v>
      </c>
      <c r="N721" s="30" t="s">
        <v>1073</v>
      </c>
      <c r="O721" s="29" t="s">
        <v>2378</v>
      </c>
      <c r="P721" s="14" t="s">
        <v>533</v>
      </c>
      <c r="Q721" s="14" t="s">
        <v>533</v>
      </c>
      <c r="R721" s="16" t="str">
        <f t="shared" si="2"/>
        <v>Igual</v>
      </c>
    </row>
    <row r="722">
      <c r="A722" s="7"/>
      <c r="B722" s="16"/>
      <c r="C722" s="12"/>
      <c r="D722" s="12"/>
      <c r="E722" s="9"/>
      <c r="F722" s="10"/>
      <c r="G722" s="11"/>
      <c r="H722" s="9"/>
      <c r="I722" s="31"/>
      <c r="J722" s="13"/>
      <c r="K722" s="13"/>
      <c r="L722" s="21" t="s">
        <v>65</v>
      </c>
      <c r="M722" s="30" t="s">
        <v>2379</v>
      </c>
      <c r="N722" s="30" t="s">
        <v>1073</v>
      </c>
      <c r="O722" s="29" t="s">
        <v>2380</v>
      </c>
      <c r="P722" s="14" t="s">
        <v>533</v>
      </c>
      <c r="Q722" s="14" t="s">
        <v>533</v>
      </c>
      <c r="R722" s="16" t="str">
        <f t="shared" si="2"/>
        <v>Igual</v>
      </c>
    </row>
    <row r="723">
      <c r="A723" s="7"/>
      <c r="B723" s="16"/>
      <c r="C723" s="12"/>
      <c r="D723" s="12"/>
      <c r="E723" s="9"/>
      <c r="F723" s="10"/>
      <c r="G723" s="11"/>
      <c r="H723" s="9"/>
      <c r="I723" s="31"/>
      <c r="J723" s="13"/>
      <c r="K723" s="13"/>
      <c r="L723" s="21" t="s">
        <v>71</v>
      </c>
      <c r="M723" s="30" t="s">
        <v>2381</v>
      </c>
      <c r="N723" s="30" t="s">
        <v>2382</v>
      </c>
      <c r="O723" s="29" t="s">
        <v>2383</v>
      </c>
      <c r="P723" s="14" t="s">
        <v>562</v>
      </c>
      <c r="Q723" s="14" t="s">
        <v>533</v>
      </c>
      <c r="R723" s="16" t="str">
        <f t="shared" si="2"/>
        <v>Diferente</v>
      </c>
    </row>
    <row r="724">
      <c r="A724" s="7" t="s">
        <v>380</v>
      </c>
      <c r="B724" s="14" t="s">
        <v>20</v>
      </c>
      <c r="C724" s="12"/>
      <c r="D724" s="17" t="s">
        <v>2039</v>
      </c>
      <c r="E724" s="9" t="s">
        <v>381</v>
      </c>
      <c r="F724" s="10" t="s">
        <v>382</v>
      </c>
      <c r="G724" s="22" t="s">
        <v>115</v>
      </c>
      <c r="H724" s="9" t="s">
        <v>383</v>
      </c>
      <c r="I724" s="29" t="s">
        <v>1333</v>
      </c>
      <c r="J724" s="13"/>
      <c r="K724" s="13" t="s">
        <v>379</v>
      </c>
      <c r="L724" s="21" t="s">
        <v>25</v>
      </c>
      <c r="M724" s="30" t="s">
        <v>2384</v>
      </c>
      <c r="N724" s="30" t="s">
        <v>1073</v>
      </c>
      <c r="O724" s="29" t="s">
        <v>2385</v>
      </c>
      <c r="P724" s="14" t="s">
        <v>533</v>
      </c>
      <c r="Q724" s="14" t="s">
        <v>562</v>
      </c>
      <c r="R724" s="16" t="str">
        <f t="shared" si="2"/>
        <v>Diferente</v>
      </c>
    </row>
    <row r="725">
      <c r="A725" s="7"/>
      <c r="B725" s="16"/>
      <c r="C725" s="12"/>
      <c r="D725" s="12"/>
      <c r="E725" s="18"/>
      <c r="F725" s="48"/>
      <c r="G725" s="20"/>
      <c r="H725" s="18"/>
      <c r="I725" s="31"/>
      <c r="J725" s="9"/>
      <c r="K725" s="9"/>
      <c r="L725" s="21" t="s">
        <v>31</v>
      </c>
      <c r="M725" s="30" t="s">
        <v>2365</v>
      </c>
      <c r="N725" s="30" t="s">
        <v>1073</v>
      </c>
      <c r="O725" s="29" t="s">
        <v>2386</v>
      </c>
      <c r="P725" s="14" t="s">
        <v>533</v>
      </c>
      <c r="Q725" s="14" t="s">
        <v>562</v>
      </c>
      <c r="R725" s="16" t="str">
        <f t="shared" si="2"/>
        <v>Diferente</v>
      </c>
    </row>
    <row r="726">
      <c r="A726" s="7"/>
      <c r="B726" s="16"/>
      <c r="C726" s="12"/>
      <c r="D726" s="12"/>
      <c r="E726" s="18"/>
      <c r="F726" s="48"/>
      <c r="G726" s="20"/>
      <c r="H726" s="18"/>
      <c r="I726" s="31"/>
      <c r="J726" s="9"/>
      <c r="K726" s="9"/>
      <c r="L726" s="21" t="s">
        <v>36</v>
      </c>
      <c r="M726" s="30" t="s">
        <v>2387</v>
      </c>
      <c r="N726" s="30" t="s">
        <v>2388</v>
      </c>
      <c r="O726" s="29" t="s">
        <v>2389</v>
      </c>
      <c r="P726" s="14" t="s">
        <v>533</v>
      </c>
      <c r="Q726" s="14" t="s">
        <v>542</v>
      </c>
      <c r="R726" s="16" t="str">
        <f t="shared" si="2"/>
        <v>Diferente</v>
      </c>
    </row>
    <row r="727">
      <c r="A727" s="7"/>
      <c r="B727" s="16"/>
      <c r="C727" s="12"/>
      <c r="D727" s="12"/>
      <c r="E727" s="18"/>
      <c r="F727" s="48"/>
      <c r="G727" s="20"/>
      <c r="H727" s="18"/>
      <c r="I727" s="31"/>
      <c r="J727" s="9"/>
      <c r="K727" s="9"/>
      <c r="L727" s="21" t="s">
        <v>41</v>
      </c>
      <c r="M727" s="30" t="s">
        <v>2390</v>
      </c>
      <c r="N727" s="30" t="s">
        <v>2391</v>
      </c>
      <c r="O727" s="29" t="s">
        <v>2392</v>
      </c>
      <c r="P727" s="14" t="s">
        <v>562</v>
      </c>
      <c r="Q727" s="14" t="s">
        <v>533</v>
      </c>
      <c r="R727" s="16" t="str">
        <f t="shared" si="2"/>
        <v>Diferente</v>
      </c>
    </row>
    <row r="728">
      <c r="A728" s="7"/>
      <c r="B728" s="16"/>
      <c r="C728" s="12"/>
      <c r="D728" s="12"/>
      <c r="E728" s="18"/>
      <c r="F728" s="48"/>
      <c r="G728" s="20"/>
      <c r="H728" s="18"/>
      <c r="I728" s="31"/>
      <c r="J728" s="9"/>
      <c r="K728" s="9"/>
      <c r="L728" s="21" t="s">
        <v>47</v>
      </c>
      <c r="M728" s="30" t="s">
        <v>2393</v>
      </c>
      <c r="N728" s="30" t="s">
        <v>1073</v>
      </c>
      <c r="O728" s="29" t="s">
        <v>2394</v>
      </c>
      <c r="P728" s="14" t="s">
        <v>533</v>
      </c>
      <c r="Q728" s="14" t="s">
        <v>533</v>
      </c>
      <c r="R728" s="16" t="str">
        <f t="shared" si="2"/>
        <v>Igual</v>
      </c>
    </row>
    <row r="729">
      <c r="A729" s="7"/>
      <c r="B729" s="16"/>
      <c r="C729" s="12"/>
      <c r="D729" s="12"/>
      <c r="E729" s="18"/>
      <c r="F729" s="48"/>
      <c r="G729" s="20"/>
      <c r="H729" s="18"/>
      <c r="I729" s="31"/>
      <c r="J729" s="9"/>
      <c r="K729" s="9"/>
      <c r="L729" s="21" t="s">
        <v>53</v>
      </c>
      <c r="M729" s="30" t="s">
        <v>2395</v>
      </c>
      <c r="N729" s="30" t="s">
        <v>1073</v>
      </c>
      <c r="O729" s="29" t="s">
        <v>2396</v>
      </c>
      <c r="P729" s="14" t="s">
        <v>533</v>
      </c>
      <c r="Q729" s="14" t="s">
        <v>533</v>
      </c>
      <c r="R729" s="16" t="str">
        <f t="shared" si="2"/>
        <v>Igual</v>
      </c>
    </row>
    <row r="730">
      <c r="A730" s="7"/>
      <c r="B730" s="16"/>
      <c r="C730" s="12"/>
      <c r="D730" s="12"/>
      <c r="E730" s="18"/>
      <c r="F730" s="48"/>
      <c r="G730" s="20"/>
      <c r="H730" s="18"/>
      <c r="I730" s="31"/>
      <c r="J730" s="9"/>
      <c r="K730" s="9"/>
      <c r="L730" s="21" t="s">
        <v>59</v>
      </c>
      <c r="M730" s="30" t="s">
        <v>2397</v>
      </c>
      <c r="N730" s="30" t="s">
        <v>1073</v>
      </c>
      <c r="O730" s="29" t="s">
        <v>2398</v>
      </c>
      <c r="P730" s="14" t="s">
        <v>533</v>
      </c>
      <c r="Q730" s="14" t="s">
        <v>533</v>
      </c>
      <c r="R730" s="16" t="str">
        <f t="shared" si="2"/>
        <v>Igual</v>
      </c>
    </row>
    <row r="731">
      <c r="A731" s="7"/>
      <c r="B731" s="16"/>
      <c r="C731" s="12"/>
      <c r="D731" s="12"/>
      <c r="E731" s="18"/>
      <c r="F731" s="48"/>
      <c r="G731" s="20"/>
      <c r="H731" s="18"/>
      <c r="I731" s="31"/>
      <c r="J731" s="9"/>
      <c r="K731" s="9"/>
      <c r="L731" s="21" t="s">
        <v>65</v>
      </c>
      <c r="M731" s="30" t="s">
        <v>2399</v>
      </c>
      <c r="N731" s="30" t="s">
        <v>1073</v>
      </c>
      <c r="O731" s="29" t="s">
        <v>2400</v>
      </c>
      <c r="P731" s="14" t="s">
        <v>533</v>
      </c>
      <c r="Q731" s="14" t="s">
        <v>533</v>
      </c>
      <c r="R731" s="16" t="str">
        <f t="shared" si="2"/>
        <v>Igual</v>
      </c>
    </row>
    <row r="732">
      <c r="A732" s="7"/>
      <c r="B732" s="16"/>
      <c r="C732" s="12"/>
      <c r="D732" s="12"/>
      <c r="E732" s="18"/>
      <c r="F732" s="48"/>
      <c r="G732" s="20"/>
      <c r="H732" s="18"/>
      <c r="I732" s="31"/>
      <c r="J732" s="9"/>
      <c r="K732" s="9"/>
      <c r="L732" s="21" t="s">
        <v>71</v>
      </c>
      <c r="M732" s="30" t="s">
        <v>2401</v>
      </c>
      <c r="N732" s="30" t="s">
        <v>2402</v>
      </c>
      <c r="O732" s="29" t="s">
        <v>2403</v>
      </c>
      <c r="P732" s="14" t="s">
        <v>562</v>
      </c>
      <c r="Q732" s="14" t="s">
        <v>533</v>
      </c>
      <c r="R732" s="16" t="str">
        <f t="shared" si="2"/>
        <v>Diferente</v>
      </c>
    </row>
    <row r="733">
      <c r="A733" s="7" t="s">
        <v>384</v>
      </c>
      <c r="B733" s="14" t="s">
        <v>20</v>
      </c>
      <c r="C733" s="12"/>
      <c r="D733" s="17" t="s">
        <v>2040</v>
      </c>
      <c r="E733" s="18" t="s">
        <v>385</v>
      </c>
      <c r="F733" s="48" t="s">
        <v>386</v>
      </c>
      <c r="G733" s="24" t="s">
        <v>115</v>
      </c>
      <c r="H733" s="18" t="s">
        <v>387</v>
      </c>
      <c r="I733" s="29" t="s">
        <v>739</v>
      </c>
      <c r="J733" s="9"/>
      <c r="K733" s="9" t="s">
        <v>379</v>
      </c>
      <c r="L733" s="21" t="s">
        <v>25</v>
      </c>
      <c r="M733" s="30" t="s">
        <v>2404</v>
      </c>
      <c r="N733" s="30" t="s">
        <v>1073</v>
      </c>
      <c r="O733" s="29" t="s">
        <v>2405</v>
      </c>
      <c r="P733" s="14" t="s">
        <v>533</v>
      </c>
      <c r="Q733" s="14" t="s">
        <v>533</v>
      </c>
      <c r="R733" s="16" t="str">
        <f t="shared" si="2"/>
        <v>Igual</v>
      </c>
    </row>
    <row r="734">
      <c r="A734" s="7"/>
      <c r="B734" s="16"/>
      <c r="C734" s="12"/>
      <c r="D734" s="12"/>
      <c r="E734" s="9"/>
      <c r="F734" s="10"/>
      <c r="G734" s="11"/>
      <c r="H734" s="9"/>
      <c r="I734" s="31"/>
      <c r="J734" s="9"/>
      <c r="K734" s="9"/>
      <c r="L734" s="21" t="s">
        <v>31</v>
      </c>
      <c r="M734" s="30" t="s">
        <v>2406</v>
      </c>
      <c r="N734" s="30" t="s">
        <v>1073</v>
      </c>
      <c r="O734" s="29" t="s">
        <v>2407</v>
      </c>
      <c r="P734" s="14" t="s">
        <v>533</v>
      </c>
      <c r="Q734" s="14" t="s">
        <v>533</v>
      </c>
      <c r="R734" s="16" t="str">
        <f t="shared" si="2"/>
        <v>Igual</v>
      </c>
    </row>
    <row r="735">
      <c r="A735" s="7"/>
      <c r="B735" s="16"/>
      <c r="C735" s="12"/>
      <c r="D735" s="12"/>
      <c r="E735" s="9"/>
      <c r="F735" s="10"/>
      <c r="G735" s="11"/>
      <c r="H735" s="9"/>
      <c r="I735" s="31"/>
      <c r="J735" s="9"/>
      <c r="K735" s="9"/>
      <c r="L735" s="21" t="s">
        <v>36</v>
      </c>
      <c r="M735" s="30" t="s">
        <v>2408</v>
      </c>
      <c r="N735" s="30" t="s">
        <v>2409</v>
      </c>
      <c r="O735" s="29" t="s">
        <v>2410</v>
      </c>
      <c r="P735" s="14" t="s">
        <v>562</v>
      </c>
      <c r="Q735" s="14" t="s">
        <v>542</v>
      </c>
      <c r="R735" s="16" t="str">
        <f t="shared" si="2"/>
        <v>Diferente</v>
      </c>
    </row>
    <row r="736">
      <c r="A736" s="7"/>
      <c r="B736" s="16"/>
      <c r="C736" s="12"/>
      <c r="D736" s="12"/>
      <c r="E736" s="9"/>
      <c r="F736" s="10"/>
      <c r="G736" s="11"/>
      <c r="H736" s="9"/>
      <c r="I736" s="31"/>
      <c r="J736" s="9"/>
      <c r="K736" s="9"/>
      <c r="L736" s="21" t="s">
        <v>41</v>
      </c>
      <c r="M736" s="30" t="s">
        <v>2411</v>
      </c>
      <c r="N736" s="30" t="s">
        <v>2412</v>
      </c>
      <c r="O736" s="29" t="s">
        <v>2413</v>
      </c>
      <c r="P736" s="14" t="s">
        <v>542</v>
      </c>
      <c r="Q736" s="14" t="s">
        <v>533</v>
      </c>
      <c r="R736" s="16" t="str">
        <f t="shared" si="2"/>
        <v>Diferente</v>
      </c>
    </row>
    <row r="737">
      <c r="A737" s="7"/>
      <c r="B737" s="16"/>
      <c r="C737" s="12"/>
      <c r="D737" s="12"/>
      <c r="E737" s="9"/>
      <c r="F737" s="10"/>
      <c r="G737" s="11"/>
      <c r="H737" s="9"/>
      <c r="I737" s="31"/>
      <c r="J737" s="9"/>
      <c r="K737" s="9"/>
      <c r="L737" s="21" t="s">
        <v>47</v>
      </c>
      <c r="M737" s="30" t="s">
        <v>2414</v>
      </c>
      <c r="N737" s="30" t="s">
        <v>1073</v>
      </c>
      <c r="O737" s="29" t="s">
        <v>2415</v>
      </c>
      <c r="P737" s="14" t="s">
        <v>533</v>
      </c>
      <c r="Q737" s="14" t="s">
        <v>533</v>
      </c>
      <c r="R737" s="16" t="str">
        <f t="shared" si="2"/>
        <v>Igual</v>
      </c>
    </row>
    <row r="738">
      <c r="A738" s="7"/>
      <c r="B738" s="16"/>
      <c r="C738" s="12"/>
      <c r="D738" s="12"/>
      <c r="E738" s="9"/>
      <c r="F738" s="10"/>
      <c r="G738" s="11"/>
      <c r="H738" s="9"/>
      <c r="I738" s="31"/>
      <c r="J738" s="9"/>
      <c r="K738" s="9"/>
      <c r="L738" s="21" t="s">
        <v>53</v>
      </c>
      <c r="M738" s="30" t="s">
        <v>2416</v>
      </c>
      <c r="N738" s="30" t="s">
        <v>1073</v>
      </c>
      <c r="O738" s="29" t="s">
        <v>2417</v>
      </c>
      <c r="P738" s="14" t="s">
        <v>533</v>
      </c>
      <c r="Q738" s="14" t="s">
        <v>533</v>
      </c>
      <c r="R738" s="16" t="str">
        <f t="shared" si="2"/>
        <v>Igual</v>
      </c>
    </row>
    <row r="739">
      <c r="A739" s="7"/>
      <c r="B739" s="16"/>
      <c r="C739" s="12"/>
      <c r="D739" s="12"/>
      <c r="E739" s="9"/>
      <c r="F739" s="10"/>
      <c r="G739" s="11"/>
      <c r="H739" s="9"/>
      <c r="I739" s="31"/>
      <c r="J739" s="9"/>
      <c r="K739" s="9"/>
      <c r="L739" s="21" t="s">
        <v>59</v>
      </c>
      <c r="M739" s="30" t="s">
        <v>2418</v>
      </c>
      <c r="N739" s="30" t="s">
        <v>1073</v>
      </c>
      <c r="O739" s="29" t="s">
        <v>2419</v>
      </c>
      <c r="P739" s="14" t="s">
        <v>533</v>
      </c>
      <c r="Q739" s="14" t="s">
        <v>533</v>
      </c>
      <c r="R739" s="16" t="str">
        <f t="shared" si="2"/>
        <v>Igual</v>
      </c>
    </row>
    <row r="740">
      <c r="A740" s="7"/>
      <c r="B740" s="16"/>
      <c r="C740" s="12"/>
      <c r="D740" s="12"/>
      <c r="E740" s="9"/>
      <c r="F740" s="10"/>
      <c r="G740" s="11"/>
      <c r="H740" s="9"/>
      <c r="I740" s="31"/>
      <c r="J740" s="9"/>
      <c r="K740" s="9"/>
      <c r="L740" s="21" t="s">
        <v>65</v>
      </c>
      <c r="M740" s="30" t="s">
        <v>2420</v>
      </c>
      <c r="N740" s="30" t="s">
        <v>1073</v>
      </c>
      <c r="O740" s="29" t="s">
        <v>2421</v>
      </c>
      <c r="P740" s="14" t="s">
        <v>533</v>
      </c>
      <c r="Q740" s="14" t="s">
        <v>533</v>
      </c>
      <c r="R740" s="16" t="str">
        <f t="shared" si="2"/>
        <v>Igual</v>
      </c>
    </row>
    <row r="741">
      <c r="A741" s="7"/>
      <c r="B741" s="16"/>
      <c r="C741" s="12"/>
      <c r="D741" s="12"/>
      <c r="E741" s="9"/>
      <c r="F741" s="10"/>
      <c r="G741" s="11"/>
      <c r="H741" s="9"/>
      <c r="I741" s="31"/>
      <c r="J741" s="9"/>
      <c r="K741" s="9"/>
      <c r="L741" s="21" t="s">
        <v>71</v>
      </c>
      <c r="M741" s="30" t="s">
        <v>2422</v>
      </c>
      <c r="N741" s="30" t="s">
        <v>2423</v>
      </c>
      <c r="O741" s="29" t="s">
        <v>2424</v>
      </c>
      <c r="P741" s="14" t="s">
        <v>542</v>
      </c>
      <c r="Q741" s="14" t="s">
        <v>562</v>
      </c>
      <c r="R741" s="16" t="str">
        <f t="shared" si="2"/>
        <v>Diferente</v>
      </c>
    </row>
    <row r="742">
      <c r="A742" s="7" t="s">
        <v>388</v>
      </c>
      <c r="B742" s="14" t="s">
        <v>20</v>
      </c>
      <c r="C742" s="12"/>
      <c r="D742" s="17" t="s">
        <v>2041</v>
      </c>
      <c r="E742" s="9" t="s">
        <v>389</v>
      </c>
      <c r="F742" s="10" t="s">
        <v>390</v>
      </c>
      <c r="G742" s="22" t="s">
        <v>91</v>
      </c>
      <c r="H742" s="9" t="s">
        <v>391</v>
      </c>
      <c r="I742" s="29" t="s">
        <v>2042</v>
      </c>
      <c r="J742" s="9"/>
      <c r="K742" s="9" t="s">
        <v>392</v>
      </c>
      <c r="L742" s="21" t="s">
        <v>25</v>
      </c>
      <c r="M742" s="30" t="s">
        <v>2425</v>
      </c>
      <c r="N742" s="30" t="s">
        <v>1073</v>
      </c>
      <c r="O742" s="29" t="s">
        <v>2426</v>
      </c>
      <c r="P742" s="14" t="s">
        <v>533</v>
      </c>
      <c r="Q742" s="14" t="s">
        <v>533</v>
      </c>
      <c r="R742" s="16" t="str">
        <f t="shared" si="2"/>
        <v>Igual</v>
      </c>
    </row>
    <row r="743">
      <c r="A743" s="7"/>
      <c r="B743" s="16"/>
      <c r="C743" s="12"/>
      <c r="D743" s="12"/>
      <c r="E743" s="9"/>
      <c r="F743" s="10"/>
      <c r="G743" s="11"/>
      <c r="H743" s="9"/>
      <c r="I743" s="31"/>
      <c r="J743" s="9"/>
      <c r="K743" s="9"/>
      <c r="L743" s="21" t="s">
        <v>31</v>
      </c>
      <c r="M743" s="30" t="s">
        <v>2427</v>
      </c>
      <c r="N743" s="30" t="s">
        <v>1073</v>
      </c>
      <c r="O743" s="29" t="s">
        <v>2428</v>
      </c>
      <c r="P743" s="14" t="s">
        <v>533</v>
      </c>
      <c r="Q743" s="14" t="s">
        <v>533</v>
      </c>
      <c r="R743" s="16" t="str">
        <f t="shared" si="2"/>
        <v>Igual</v>
      </c>
    </row>
    <row r="744">
      <c r="A744" s="7"/>
      <c r="B744" s="16"/>
      <c r="C744" s="12"/>
      <c r="D744" s="12"/>
      <c r="E744" s="9"/>
      <c r="F744" s="10"/>
      <c r="G744" s="11"/>
      <c r="H744" s="9"/>
      <c r="I744" s="31"/>
      <c r="J744" s="9"/>
      <c r="K744" s="9"/>
      <c r="L744" s="21" t="s">
        <v>36</v>
      </c>
      <c r="M744" s="30" t="s">
        <v>2429</v>
      </c>
      <c r="N744" s="30" t="s">
        <v>2430</v>
      </c>
      <c r="O744" s="29" t="s">
        <v>2431</v>
      </c>
      <c r="P744" s="14" t="s">
        <v>562</v>
      </c>
      <c r="Q744" s="14" t="s">
        <v>533</v>
      </c>
      <c r="R744" s="16" t="str">
        <f t="shared" si="2"/>
        <v>Diferente</v>
      </c>
    </row>
    <row r="745">
      <c r="A745" s="7"/>
      <c r="B745" s="16"/>
      <c r="C745" s="12"/>
      <c r="D745" s="12"/>
      <c r="E745" s="9"/>
      <c r="F745" s="10"/>
      <c r="G745" s="11"/>
      <c r="H745" s="9"/>
      <c r="I745" s="31"/>
      <c r="J745" s="9"/>
      <c r="K745" s="9"/>
      <c r="L745" s="21" t="s">
        <v>41</v>
      </c>
      <c r="M745" s="30" t="s">
        <v>2432</v>
      </c>
      <c r="N745" s="30" t="s">
        <v>2433</v>
      </c>
      <c r="O745" s="29" t="s">
        <v>2434</v>
      </c>
      <c r="P745" s="14" t="s">
        <v>562</v>
      </c>
      <c r="Q745" s="14" t="s">
        <v>533</v>
      </c>
      <c r="R745" s="16" t="str">
        <f t="shared" si="2"/>
        <v>Diferente</v>
      </c>
    </row>
    <row r="746">
      <c r="A746" s="7"/>
      <c r="B746" s="16"/>
      <c r="C746" s="12"/>
      <c r="D746" s="12"/>
      <c r="E746" s="9"/>
      <c r="F746" s="10"/>
      <c r="G746" s="11"/>
      <c r="H746" s="9"/>
      <c r="I746" s="31"/>
      <c r="J746" s="9"/>
      <c r="K746" s="9"/>
      <c r="L746" s="21" t="s">
        <v>47</v>
      </c>
      <c r="M746" s="30" t="s">
        <v>2435</v>
      </c>
      <c r="N746" s="30" t="s">
        <v>1073</v>
      </c>
      <c r="O746" s="29" t="s">
        <v>2436</v>
      </c>
      <c r="P746" s="14" t="s">
        <v>533</v>
      </c>
      <c r="Q746" s="14" t="s">
        <v>533</v>
      </c>
      <c r="R746" s="16" t="str">
        <f t="shared" si="2"/>
        <v>Igual</v>
      </c>
    </row>
    <row r="747">
      <c r="A747" s="7"/>
      <c r="B747" s="16"/>
      <c r="C747" s="12"/>
      <c r="D747" s="12"/>
      <c r="E747" s="9"/>
      <c r="F747" s="10"/>
      <c r="G747" s="11"/>
      <c r="H747" s="9"/>
      <c r="I747" s="31"/>
      <c r="J747" s="9"/>
      <c r="K747" s="9"/>
      <c r="L747" s="21" t="s">
        <v>53</v>
      </c>
      <c r="M747" s="30" t="s">
        <v>2437</v>
      </c>
      <c r="N747" s="30" t="s">
        <v>1073</v>
      </c>
      <c r="O747" s="29" t="s">
        <v>2438</v>
      </c>
      <c r="P747" s="14" t="s">
        <v>533</v>
      </c>
      <c r="Q747" s="14" t="s">
        <v>533</v>
      </c>
      <c r="R747" s="16" t="str">
        <f t="shared" si="2"/>
        <v>Igual</v>
      </c>
    </row>
    <row r="748">
      <c r="A748" s="7"/>
      <c r="B748" s="16"/>
      <c r="C748" s="12"/>
      <c r="D748" s="12"/>
      <c r="E748" s="9"/>
      <c r="F748" s="10"/>
      <c r="G748" s="11"/>
      <c r="H748" s="9"/>
      <c r="I748" s="31"/>
      <c r="J748" s="9"/>
      <c r="K748" s="9"/>
      <c r="L748" s="21" t="s">
        <v>59</v>
      </c>
      <c r="M748" s="30" t="s">
        <v>2439</v>
      </c>
      <c r="N748" s="30" t="s">
        <v>1073</v>
      </c>
      <c r="O748" s="29" t="s">
        <v>2440</v>
      </c>
      <c r="P748" s="14" t="s">
        <v>533</v>
      </c>
      <c r="Q748" s="14" t="s">
        <v>533</v>
      </c>
      <c r="R748" s="16" t="str">
        <f t="shared" si="2"/>
        <v>Igual</v>
      </c>
    </row>
    <row r="749">
      <c r="A749" s="7"/>
      <c r="B749" s="16"/>
      <c r="C749" s="12"/>
      <c r="D749" s="12"/>
      <c r="E749" s="9"/>
      <c r="F749" s="10"/>
      <c r="G749" s="11"/>
      <c r="H749" s="9"/>
      <c r="I749" s="31"/>
      <c r="J749" s="9"/>
      <c r="K749" s="9"/>
      <c r="L749" s="21" t="s">
        <v>65</v>
      </c>
      <c r="M749" s="30" t="s">
        <v>2420</v>
      </c>
      <c r="N749" s="30" t="s">
        <v>1073</v>
      </c>
      <c r="O749" s="29" t="s">
        <v>2441</v>
      </c>
      <c r="P749" s="14" t="s">
        <v>533</v>
      </c>
      <c r="Q749" s="14" t="s">
        <v>533</v>
      </c>
      <c r="R749" s="16" t="str">
        <f t="shared" si="2"/>
        <v>Igual</v>
      </c>
    </row>
    <row r="750">
      <c r="A750" s="7"/>
      <c r="B750" s="16"/>
      <c r="C750" s="12"/>
      <c r="D750" s="12"/>
      <c r="E750" s="9"/>
      <c r="F750" s="10"/>
      <c r="G750" s="11"/>
      <c r="H750" s="9"/>
      <c r="I750" s="31"/>
      <c r="J750" s="9"/>
      <c r="K750" s="9"/>
      <c r="L750" s="21" t="s">
        <v>71</v>
      </c>
      <c r="M750" s="30" t="s">
        <v>2442</v>
      </c>
      <c r="N750" s="30" t="s">
        <v>2443</v>
      </c>
      <c r="O750" s="29" t="s">
        <v>2444</v>
      </c>
      <c r="P750" s="14" t="s">
        <v>533</v>
      </c>
      <c r="Q750" s="14" t="s">
        <v>542</v>
      </c>
      <c r="R750" s="16" t="str">
        <f t="shared" si="2"/>
        <v>Diferente</v>
      </c>
    </row>
    <row r="751">
      <c r="A751" s="7" t="s">
        <v>393</v>
      </c>
      <c r="B751" s="14" t="s">
        <v>20</v>
      </c>
      <c r="C751" s="12"/>
      <c r="D751" s="17" t="s">
        <v>2043</v>
      </c>
      <c r="E751" s="9" t="s">
        <v>394</v>
      </c>
      <c r="F751" s="10" t="s">
        <v>395</v>
      </c>
      <c r="G751" s="22" t="s">
        <v>91</v>
      </c>
      <c r="H751" s="9" t="s">
        <v>396</v>
      </c>
      <c r="I751" s="29" t="s">
        <v>1333</v>
      </c>
      <c r="J751" s="9"/>
      <c r="K751" s="9" t="s">
        <v>392</v>
      </c>
      <c r="L751" s="21" t="s">
        <v>25</v>
      </c>
      <c r="M751" s="30" t="s">
        <v>2445</v>
      </c>
      <c r="N751" s="30" t="s">
        <v>1073</v>
      </c>
      <c r="O751" s="29" t="s">
        <v>2446</v>
      </c>
      <c r="P751" s="14" t="s">
        <v>533</v>
      </c>
      <c r="Q751" s="14" t="s">
        <v>533</v>
      </c>
      <c r="R751" s="16" t="str">
        <f t="shared" si="2"/>
        <v>Igual</v>
      </c>
    </row>
    <row r="752">
      <c r="A752" s="7"/>
      <c r="B752" s="16"/>
      <c r="C752" s="12"/>
      <c r="D752" s="12"/>
      <c r="E752" s="9"/>
      <c r="F752" s="10"/>
      <c r="G752" s="11"/>
      <c r="H752" s="9"/>
      <c r="I752" s="31"/>
      <c r="J752" s="9"/>
      <c r="K752" s="9"/>
      <c r="L752" s="21" t="s">
        <v>31</v>
      </c>
      <c r="M752" s="30" t="s">
        <v>2447</v>
      </c>
      <c r="N752" s="30" t="s">
        <v>1073</v>
      </c>
      <c r="O752" s="29" t="s">
        <v>2448</v>
      </c>
      <c r="P752" s="14" t="s">
        <v>533</v>
      </c>
      <c r="Q752" s="14" t="s">
        <v>533</v>
      </c>
      <c r="R752" s="16" t="str">
        <f t="shared" si="2"/>
        <v>Igual</v>
      </c>
    </row>
    <row r="753">
      <c r="A753" s="7"/>
      <c r="B753" s="16"/>
      <c r="C753" s="12"/>
      <c r="D753" s="12"/>
      <c r="E753" s="9"/>
      <c r="F753" s="10"/>
      <c r="G753" s="11"/>
      <c r="H753" s="9"/>
      <c r="I753" s="31"/>
      <c r="J753" s="9"/>
      <c r="K753" s="9"/>
      <c r="L753" s="21" t="s">
        <v>36</v>
      </c>
      <c r="M753" s="30" t="s">
        <v>2449</v>
      </c>
      <c r="N753" s="30" t="s">
        <v>2450</v>
      </c>
      <c r="O753" s="29" t="s">
        <v>2451</v>
      </c>
      <c r="P753" s="14" t="s">
        <v>562</v>
      </c>
      <c r="Q753" s="14" t="s">
        <v>533</v>
      </c>
      <c r="R753" s="16" t="str">
        <f t="shared" si="2"/>
        <v>Diferente</v>
      </c>
    </row>
    <row r="754">
      <c r="A754" s="7"/>
      <c r="B754" s="16"/>
      <c r="C754" s="12"/>
      <c r="D754" s="12"/>
      <c r="E754" s="9"/>
      <c r="F754" s="10"/>
      <c r="G754" s="11"/>
      <c r="H754" s="9"/>
      <c r="I754" s="31"/>
      <c r="J754" s="9"/>
      <c r="K754" s="9"/>
      <c r="L754" s="21" t="s">
        <v>41</v>
      </c>
      <c r="M754" s="30" t="s">
        <v>2452</v>
      </c>
      <c r="N754" s="30" t="s">
        <v>2453</v>
      </c>
      <c r="O754" s="29" t="s">
        <v>2454</v>
      </c>
      <c r="P754" s="14" t="s">
        <v>533</v>
      </c>
      <c r="Q754" s="14" t="s">
        <v>562</v>
      </c>
      <c r="R754" s="16" t="str">
        <f t="shared" si="2"/>
        <v>Diferente</v>
      </c>
    </row>
    <row r="755">
      <c r="A755" s="7"/>
      <c r="B755" s="16"/>
      <c r="C755" s="12"/>
      <c r="D755" s="12"/>
      <c r="E755" s="9"/>
      <c r="F755" s="10"/>
      <c r="G755" s="11"/>
      <c r="H755" s="9"/>
      <c r="I755" s="31"/>
      <c r="J755" s="9"/>
      <c r="K755" s="9"/>
      <c r="L755" s="21" t="s">
        <v>47</v>
      </c>
      <c r="M755" s="30" t="s">
        <v>2455</v>
      </c>
      <c r="N755" s="30" t="s">
        <v>1073</v>
      </c>
      <c r="O755" s="29" t="s">
        <v>2456</v>
      </c>
      <c r="P755" s="14" t="s">
        <v>533</v>
      </c>
      <c r="Q755" s="14" t="s">
        <v>533</v>
      </c>
      <c r="R755" s="16" t="str">
        <f t="shared" si="2"/>
        <v>Igual</v>
      </c>
    </row>
    <row r="756">
      <c r="A756" s="7"/>
      <c r="B756" s="16"/>
      <c r="C756" s="12"/>
      <c r="D756" s="12"/>
      <c r="E756" s="9"/>
      <c r="F756" s="10"/>
      <c r="G756" s="11"/>
      <c r="H756" s="9"/>
      <c r="I756" s="31"/>
      <c r="J756" s="9"/>
      <c r="K756" s="9"/>
      <c r="L756" s="21" t="s">
        <v>53</v>
      </c>
      <c r="M756" s="30" t="s">
        <v>2457</v>
      </c>
      <c r="N756" s="30" t="s">
        <v>1073</v>
      </c>
      <c r="O756" s="29" t="s">
        <v>2458</v>
      </c>
      <c r="P756" s="14" t="s">
        <v>533</v>
      </c>
      <c r="Q756" s="14" t="s">
        <v>533</v>
      </c>
      <c r="R756" s="16" t="str">
        <f t="shared" si="2"/>
        <v>Igual</v>
      </c>
    </row>
    <row r="757">
      <c r="A757" s="7"/>
      <c r="B757" s="16"/>
      <c r="C757" s="12"/>
      <c r="D757" s="12"/>
      <c r="E757" s="9"/>
      <c r="F757" s="10"/>
      <c r="G757" s="11"/>
      <c r="H757" s="9"/>
      <c r="I757" s="31"/>
      <c r="J757" s="9"/>
      <c r="K757" s="9"/>
      <c r="L757" s="21" t="s">
        <v>59</v>
      </c>
      <c r="M757" s="30" t="s">
        <v>2459</v>
      </c>
      <c r="N757" s="30" t="s">
        <v>2460</v>
      </c>
      <c r="O757" s="29" t="s">
        <v>2461</v>
      </c>
      <c r="P757" s="14" t="s">
        <v>562</v>
      </c>
      <c r="Q757" s="14" t="s">
        <v>533</v>
      </c>
      <c r="R757" s="16" t="str">
        <f t="shared" si="2"/>
        <v>Diferente</v>
      </c>
    </row>
    <row r="758">
      <c r="A758" s="7"/>
      <c r="B758" s="16"/>
      <c r="C758" s="12"/>
      <c r="D758" s="12"/>
      <c r="E758" s="9"/>
      <c r="F758" s="10"/>
      <c r="G758" s="11"/>
      <c r="H758" s="9"/>
      <c r="I758" s="31"/>
      <c r="J758" s="9"/>
      <c r="K758" s="9"/>
      <c r="L758" s="21" t="s">
        <v>65</v>
      </c>
      <c r="M758" s="30" t="s">
        <v>2462</v>
      </c>
      <c r="N758" s="30" t="s">
        <v>1073</v>
      </c>
      <c r="O758" s="29" t="s">
        <v>2463</v>
      </c>
      <c r="P758" s="14" t="s">
        <v>533</v>
      </c>
      <c r="Q758" s="14" t="s">
        <v>533</v>
      </c>
      <c r="R758" s="16" t="str">
        <f t="shared" si="2"/>
        <v>Igual</v>
      </c>
    </row>
    <row r="759">
      <c r="A759" s="7"/>
      <c r="B759" s="16"/>
      <c r="C759" s="12"/>
      <c r="D759" s="12"/>
      <c r="E759" s="9"/>
      <c r="F759" s="10"/>
      <c r="G759" s="11"/>
      <c r="H759" s="9"/>
      <c r="I759" s="31"/>
      <c r="J759" s="9"/>
      <c r="K759" s="9"/>
      <c r="L759" s="21" t="s">
        <v>71</v>
      </c>
      <c r="M759" s="30" t="s">
        <v>2381</v>
      </c>
      <c r="N759" s="30" t="s">
        <v>2464</v>
      </c>
      <c r="O759" s="29" t="s">
        <v>2465</v>
      </c>
      <c r="P759" s="14" t="s">
        <v>542</v>
      </c>
      <c r="Q759" s="14" t="s">
        <v>562</v>
      </c>
      <c r="R759" s="16" t="str">
        <f t="shared" si="2"/>
        <v>Diferente</v>
      </c>
    </row>
    <row r="760">
      <c r="A760" s="7" t="s">
        <v>397</v>
      </c>
      <c r="B760" s="14" t="s">
        <v>20</v>
      </c>
      <c r="C760" s="12"/>
      <c r="D760" s="17" t="s">
        <v>2043</v>
      </c>
      <c r="E760" s="9" t="s">
        <v>398</v>
      </c>
      <c r="F760" s="10" t="s">
        <v>399</v>
      </c>
      <c r="G760" s="22" t="s">
        <v>91</v>
      </c>
      <c r="H760" s="9" t="s">
        <v>400</v>
      </c>
      <c r="I760" s="29" t="s">
        <v>2044</v>
      </c>
      <c r="J760" s="9"/>
      <c r="K760" s="9" t="s">
        <v>392</v>
      </c>
      <c r="L760" s="21" t="s">
        <v>25</v>
      </c>
      <c r="M760" s="30" t="s">
        <v>2466</v>
      </c>
      <c r="N760" s="30" t="s">
        <v>1073</v>
      </c>
      <c r="O760" s="29" t="s">
        <v>2467</v>
      </c>
      <c r="P760" s="14" t="s">
        <v>533</v>
      </c>
      <c r="Q760" s="14" t="s">
        <v>533</v>
      </c>
      <c r="R760" s="16" t="str">
        <f t="shared" si="2"/>
        <v>Igual</v>
      </c>
    </row>
    <row r="761">
      <c r="A761" s="7"/>
      <c r="B761" s="16"/>
      <c r="C761" s="12"/>
      <c r="D761" s="12"/>
      <c r="E761" s="9"/>
      <c r="F761" s="10"/>
      <c r="G761" s="11"/>
      <c r="H761" s="9"/>
      <c r="I761" s="31"/>
      <c r="J761" s="9"/>
      <c r="K761" s="9"/>
      <c r="L761" s="21" t="s">
        <v>31</v>
      </c>
      <c r="M761" s="30" t="s">
        <v>2468</v>
      </c>
      <c r="N761" s="30" t="s">
        <v>1073</v>
      </c>
      <c r="O761" s="29" t="s">
        <v>2469</v>
      </c>
      <c r="P761" s="14" t="s">
        <v>533</v>
      </c>
      <c r="Q761" s="14" t="s">
        <v>533</v>
      </c>
      <c r="R761" s="16" t="str">
        <f t="shared" si="2"/>
        <v>Igual</v>
      </c>
    </row>
    <row r="762">
      <c r="A762" s="7"/>
      <c r="B762" s="16"/>
      <c r="C762" s="12"/>
      <c r="D762" s="12"/>
      <c r="E762" s="9"/>
      <c r="F762" s="10"/>
      <c r="G762" s="11"/>
      <c r="H762" s="9"/>
      <c r="I762" s="31"/>
      <c r="J762" s="9"/>
      <c r="K762" s="9"/>
      <c r="L762" s="21" t="s">
        <v>36</v>
      </c>
      <c r="M762" s="30" t="s">
        <v>2470</v>
      </c>
      <c r="N762" s="30" t="s">
        <v>2471</v>
      </c>
      <c r="O762" s="29" t="s">
        <v>2472</v>
      </c>
      <c r="P762" s="14" t="s">
        <v>562</v>
      </c>
      <c r="Q762" s="14" t="s">
        <v>533</v>
      </c>
      <c r="R762" s="16" t="str">
        <f t="shared" si="2"/>
        <v>Diferente</v>
      </c>
    </row>
    <row r="763">
      <c r="A763" s="7"/>
      <c r="B763" s="16"/>
      <c r="C763" s="12"/>
      <c r="D763" s="12"/>
      <c r="E763" s="9"/>
      <c r="F763" s="10"/>
      <c r="G763" s="11"/>
      <c r="H763" s="9"/>
      <c r="I763" s="31"/>
      <c r="J763" s="9"/>
      <c r="K763" s="9"/>
      <c r="L763" s="21" t="s">
        <v>41</v>
      </c>
      <c r="M763" s="30" t="s">
        <v>2473</v>
      </c>
      <c r="N763" s="30" t="s">
        <v>2474</v>
      </c>
      <c r="O763" s="29" t="s">
        <v>2475</v>
      </c>
      <c r="P763" s="14" t="s">
        <v>562</v>
      </c>
      <c r="Q763" s="14" t="s">
        <v>533</v>
      </c>
      <c r="R763" s="16" t="str">
        <f t="shared" si="2"/>
        <v>Diferente</v>
      </c>
    </row>
    <row r="764">
      <c r="A764" s="7"/>
      <c r="B764" s="16"/>
      <c r="C764" s="12"/>
      <c r="D764" s="12"/>
      <c r="E764" s="9"/>
      <c r="F764" s="10"/>
      <c r="G764" s="11"/>
      <c r="H764" s="9"/>
      <c r="I764" s="31"/>
      <c r="J764" s="9"/>
      <c r="K764" s="9"/>
      <c r="L764" s="21" t="s">
        <v>47</v>
      </c>
      <c r="M764" s="14" t="s">
        <v>2476</v>
      </c>
      <c r="N764" s="30" t="s">
        <v>1073</v>
      </c>
      <c r="O764" s="29" t="s">
        <v>2477</v>
      </c>
      <c r="P764" s="14" t="s">
        <v>533</v>
      </c>
      <c r="Q764" s="14" t="s">
        <v>533</v>
      </c>
      <c r="R764" s="16" t="str">
        <f t="shared" si="2"/>
        <v>Igual</v>
      </c>
    </row>
    <row r="765">
      <c r="A765" s="7"/>
      <c r="B765" s="16"/>
      <c r="C765" s="12"/>
      <c r="D765" s="12"/>
      <c r="E765" s="9"/>
      <c r="F765" s="10"/>
      <c r="G765" s="11"/>
      <c r="H765" s="9"/>
      <c r="I765" s="31"/>
      <c r="J765" s="9"/>
      <c r="K765" s="9"/>
      <c r="L765" s="21" t="s">
        <v>53</v>
      </c>
      <c r="M765" s="30" t="s">
        <v>2478</v>
      </c>
      <c r="N765" s="30" t="s">
        <v>1073</v>
      </c>
      <c r="O765" s="29" t="s">
        <v>2479</v>
      </c>
      <c r="P765" s="14" t="s">
        <v>533</v>
      </c>
      <c r="Q765" s="14" t="s">
        <v>533</v>
      </c>
      <c r="R765" s="16" t="str">
        <f t="shared" si="2"/>
        <v>Igual</v>
      </c>
    </row>
    <row r="766">
      <c r="A766" s="7"/>
      <c r="B766" s="16"/>
      <c r="C766" s="12"/>
      <c r="D766" s="12"/>
      <c r="E766" s="9"/>
      <c r="F766" s="10"/>
      <c r="G766" s="11"/>
      <c r="H766" s="9"/>
      <c r="I766" s="31"/>
      <c r="J766" s="9"/>
      <c r="K766" s="9"/>
      <c r="L766" s="21" t="s">
        <v>59</v>
      </c>
      <c r="M766" s="30" t="s">
        <v>2480</v>
      </c>
      <c r="N766" s="30" t="s">
        <v>2481</v>
      </c>
      <c r="O766" s="29" t="s">
        <v>2482</v>
      </c>
      <c r="P766" s="14" t="s">
        <v>562</v>
      </c>
      <c r="Q766" s="14" t="s">
        <v>533</v>
      </c>
      <c r="R766" s="16" t="str">
        <f t="shared" si="2"/>
        <v>Diferente</v>
      </c>
    </row>
    <row r="767">
      <c r="A767" s="7"/>
      <c r="B767" s="16"/>
      <c r="C767" s="12"/>
      <c r="D767" s="12"/>
      <c r="E767" s="9"/>
      <c r="F767" s="10"/>
      <c r="G767" s="11"/>
      <c r="H767" s="9"/>
      <c r="I767" s="31"/>
      <c r="J767" s="9"/>
      <c r="K767" s="9"/>
      <c r="L767" s="21" t="s">
        <v>65</v>
      </c>
      <c r="M767" s="30" t="s">
        <v>2483</v>
      </c>
      <c r="N767" s="30" t="s">
        <v>1073</v>
      </c>
      <c r="O767" s="29" t="s">
        <v>2484</v>
      </c>
      <c r="P767" s="14" t="s">
        <v>533</v>
      </c>
      <c r="Q767" s="14" t="s">
        <v>533</v>
      </c>
      <c r="R767" s="16" t="str">
        <f t="shared" si="2"/>
        <v>Igual</v>
      </c>
    </row>
    <row r="768">
      <c r="A768" s="7"/>
      <c r="B768" s="16"/>
      <c r="C768" s="12"/>
      <c r="D768" s="12"/>
      <c r="E768" s="9"/>
      <c r="F768" s="10"/>
      <c r="G768" s="11"/>
      <c r="H768" s="9"/>
      <c r="I768" s="31"/>
      <c r="J768" s="9"/>
      <c r="K768" s="9"/>
      <c r="L768" s="21" t="s">
        <v>71</v>
      </c>
      <c r="M768" s="30" t="s">
        <v>2422</v>
      </c>
      <c r="N768" s="30" t="s">
        <v>2485</v>
      </c>
      <c r="O768" s="29" t="s">
        <v>2486</v>
      </c>
      <c r="P768" s="14" t="s">
        <v>542</v>
      </c>
      <c r="Q768" s="14" t="s">
        <v>533</v>
      </c>
      <c r="R768" s="16" t="str">
        <f t="shared" si="2"/>
        <v>Diferente</v>
      </c>
    </row>
    <row r="769">
      <c r="A769" s="7" t="s">
        <v>401</v>
      </c>
      <c r="B769" s="14" t="s">
        <v>20</v>
      </c>
      <c r="C769" s="12"/>
      <c r="D769" s="17" t="s">
        <v>2045</v>
      </c>
      <c r="E769" s="9" t="s">
        <v>402</v>
      </c>
      <c r="F769" s="10" t="s">
        <v>403</v>
      </c>
      <c r="G769" s="22" t="s">
        <v>91</v>
      </c>
      <c r="H769" s="9" t="s">
        <v>404</v>
      </c>
      <c r="I769" s="29" t="s">
        <v>1021</v>
      </c>
      <c r="J769" s="9"/>
      <c r="K769" s="9" t="s">
        <v>392</v>
      </c>
      <c r="L769" s="21" t="s">
        <v>25</v>
      </c>
      <c r="M769" s="30" t="s">
        <v>2487</v>
      </c>
      <c r="N769" s="30" t="s">
        <v>1073</v>
      </c>
      <c r="O769" s="29" t="s">
        <v>2488</v>
      </c>
      <c r="P769" s="14" t="s">
        <v>533</v>
      </c>
      <c r="Q769" s="14" t="s">
        <v>533</v>
      </c>
      <c r="R769" s="16" t="str">
        <f t="shared" si="2"/>
        <v>Igual</v>
      </c>
    </row>
    <row r="770">
      <c r="A770" s="7"/>
      <c r="B770" s="16"/>
      <c r="C770" s="12"/>
      <c r="D770" s="12"/>
      <c r="E770" s="9"/>
      <c r="F770" s="10"/>
      <c r="G770" s="11"/>
      <c r="H770" s="9"/>
      <c r="I770" s="31"/>
      <c r="J770" s="9"/>
      <c r="K770" s="9"/>
      <c r="L770" s="21" t="s">
        <v>31</v>
      </c>
      <c r="M770" s="30" t="s">
        <v>2489</v>
      </c>
      <c r="N770" s="30" t="s">
        <v>1073</v>
      </c>
      <c r="O770" s="29" t="s">
        <v>2490</v>
      </c>
      <c r="P770" s="14" t="s">
        <v>533</v>
      </c>
      <c r="Q770" s="14" t="s">
        <v>533</v>
      </c>
      <c r="R770" s="16" t="str">
        <f t="shared" si="2"/>
        <v>Igual</v>
      </c>
    </row>
    <row r="771">
      <c r="A771" s="7"/>
      <c r="B771" s="16"/>
      <c r="C771" s="12"/>
      <c r="D771" s="12"/>
      <c r="E771" s="9"/>
      <c r="F771" s="10"/>
      <c r="G771" s="11"/>
      <c r="H771" s="9"/>
      <c r="I771" s="31"/>
      <c r="J771" s="9"/>
      <c r="K771" s="9"/>
      <c r="L771" s="21" t="s">
        <v>36</v>
      </c>
      <c r="M771" s="30" t="s">
        <v>2491</v>
      </c>
      <c r="N771" s="30" t="s">
        <v>2492</v>
      </c>
      <c r="O771" s="14" t="s">
        <v>2493</v>
      </c>
      <c r="P771" s="14" t="s">
        <v>562</v>
      </c>
      <c r="Q771" s="14" t="s">
        <v>533</v>
      </c>
      <c r="R771" s="16" t="str">
        <f t="shared" si="2"/>
        <v>Diferente</v>
      </c>
    </row>
    <row r="772">
      <c r="A772" s="7"/>
      <c r="B772" s="16"/>
      <c r="C772" s="12"/>
      <c r="D772" s="12"/>
      <c r="E772" s="9"/>
      <c r="F772" s="10"/>
      <c r="G772" s="11"/>
      <c r="H772" s="9"/>
      <c r="I772" s="31"/>
      <c r="J772" s="9"/>
      <c r="K772" s="9"/>
      <c r="L772" s="21" t="s">
        <v>41</v>
      </c>
      <c r="M772" s="30" t="s">
        <v>2494</v>
      </c>
      <c r="N772" s="30" t="s">
        <v>2495</v>
      </c>
      <c r="O772" s="14" t="s">
        <v>2496</v>
      </c>
      <c r="P772" s="14" t="s">
        <v>562</v>
      </c>
      <c r="Q772" s="14" t="s">
        <v>533</v>
      </c>
      <c r="R772" s="16" t="str">
        <f t="shared" si="2"/>
        <v>Diferente</v>
      </c>
    </row>
    <row r="773">
      <c r="A773" s="7"/>
      <c r="B773" s="16"/>
      <c r="C773" s="12"/>
      <c r="D773" s="12"/>
      <c r="E773" s="9"/>
      <c r="F773" s="10"/>
      <c r="G773" s="11"/>
      <c r="H773" s="9"/>
      <c r="I773" s="31"/>
      <c r="J773" s="9"/>
      <c r="K773" s="9"/>
      <c r="L773" s="21" t="s">
        <v>47</v>
      </c>
      <c r="M773" s="30" t="s">
        <v>2497</v>
      </c>
      <c r="N773" s="30" t="s">
        <v>2498</v>
      </c>
      <c r="O773" s="29" t="s">
        <v>2499</v>
      </c>
      <c r="P773" s="14" t="s">
        <v>562</v>
      </c>
      <c r="Q773" s="14" t="s">
        <v>533</v>
      </c>
      <c r="R773" s="16" t="str">
        <f t="shared" si="2"/>
        <v>Diferente</v>
      </c>
    </row>
    <row r="774">
      <c r="A774" s="7"/>
      <c r="B774" s="16"/>
      <c r="C774" s="12"/>
      <c r="D774" s="12"/>
      <c r="E774" s="9"/>
      <c r="F774" s="10"/>
      <c r="G774" s="11"/>
      <c r="H774" s="9"/>
      <c r="I774" s="31"/>
      <c r="J774" s="9"/>
      <c r="K774" s="9"/>
      <c r="L774" s="21" t="s">
        <v>53</v>
      </c>
      <c r="M774" s="30" t="s">
        <v>2500</v>
      </c>
      <c r="N774" s="30" t="s">
        <v>1073</v>
      </c>
      <c r="O774" s="29" t="s">
        <v>2501</v>
      </c>
      <c r="P774" s="14" t="s">
        <v>533</v>
      </c>
      <c r="Q774" s="14" t="s">
        <v>533</v>
      </c>
      <c r="R774" s="16" t="str">
        <f t="shared" si="2"/>
        <v>Igual</v>
      </c>
    </row>
    <row r="775">
      <c r="A775" s="7"/>
      <c r="B775" s="16"/>
      <c r="C775" s="12"/>
      <c r="D775" s="12"/>
      <c r="E775" s="9"/>
      <c r="F775" s="10"/>
      <c r="G775" s="11"/>
      <c r="H775" s="9"/>
      <c r="I775" s="31"/>
      <c r="J775" s="9"/>
      <c r="K775" s="9"/>
      <c r="L775" s="21" t="s">
        <v>59</v>
      </c>
      <c r="M775" s="30" t="s">
        <v>2502</v>
      </c>
      <c r="N775" s="30" t="s">
        <v>2503</v>
      </c>
      <c r="O775" s="29" t="s">
        <v>2504</v>
      </c>
      <c r="P775" s="14" t="s">
        <v>542</v>
      </c>
      <c r="Q775" s="14" t="s">
        <v>533</v>
      </c>
      <c r="R775" s="16" t="str">
        <f t="shared" si="2"/>
        <v>Diferente</v>
      </c>
    </row>
    <row r="776">
      <c r="A776" s="7"/>
      <c r="B776" s="16"/>
      <c r="C776" s="12"/>
      <c r="D776" s="12"/>
      <c r="E776" s="9"/>
      <c r="F776" s="10"/>
      <c r="G776" s="11"/>
      <c r="H776" s="9"/>
      <c r="I776" s="31"/>
      <c r="J776" s="9"/>
      <c r="K776" s="9"/>
      <c r="L776" s="21" t="s">
        <v>65</v>
      </c>
      <c r="M776" s="30" t="s">
        <v>2505</v>
      </c>
      <c r="N776" s="30" t="s">
        <v>1073</v>
      </c>
      <c r="O776" s="29" t="s">
        <v>2506</v>
      </c>
      <c r="P776" s="14" t="s">
        <v>533</v>
      </c>
      <c r="Q776" s="14" t="s">
        <v>533</v>
      </c>
      <c r="R776" s="16" t="str">
        <f t="shared" si="2"/>
        <v>Igual</v>
      </c>
    </row>
    <row r="777">
      <c r="A777" s="7"/>
      <c r="B777" s="16"/>
      <c r="C777" s="12"/>
      <c r="D777" s="12"/>
      <c r="E777" s="9"/>
      <c r="F777" s="10"/>
      <c r="G777" s="11"/>
      <c r="H777" s="9"/>
      <c r="I777" s="31"/>
      <c r="J777" s="9"/>
      <c r="K777" s="9"/>
      <c r="L777" s="21" t="s">
        <v>71</v>
      </c>
      <c r="M777" s="30" t="s">
        <v>2507</v>
      </c>
      <c r="N777" s="30" t="s">
        <v>2508</v>
      </c>
      <c r="O777" s="29" t="s">
        <v>2509</v>
      </c>
      <c r="P777" s="14" t="s">
        <v>533</v>
      </c>
      <c r="Q777" s="14" t="s">
        <v>533</v>
      </c>
      <c r="R777" s="16" t="str">
        <f t="shared" si="2"/>
        <v>Igual</v>
      </c>
    </row>
    <row r="778">
      <c r="A778" s="7" t="s">
        <v>405</v>
      </c>
      <c r="B778" s="14" t="s">
        <v>20</v>
      </c>
      <c r="C778" s="12"/>
      <c r="D778" s="17" t="s">
        <v>2046</v>
      </c>
      <c r="E778" s="9" t="s">
        <v>406</v>
      </c>
      <c r="F778" s="10" t="s">
        <v>407</v>
      </c>
      <c r="G778" s="22" t="s">
        <v>91</v>
      </c>
      <c r="H778" s="9" t="s">
        <v>408</v>
      </c>
      <c r="I778" s="29" t="s">
        <v>898</v>
      </c>
      <c r="J778" s="9"/>
      <c r="K778" s="9" t="s">
        <v>392</v>
      </c>
      <c r="L778" s="21" t="s">
        <v>25</v>
      </c>
      <c r="M778" s="30" t="s">
        <v>2510</v>
      </c>
      <c r="N778" s="30" t="s">
        <v>2511</v>
      </c>
      <c r="O778" s="29" t="s">
        <v>2512</v>
      </c>
      <c r="P778" s="14" t="s">
        <v>562</v>
      </c>
      <c r="Q778" s="14" t="s">
        <v>562</v>
      </c>
      <c r="R778" s="16" t="str">
        <f t="shared" si="2"/>
        <v>Igual</v>
      </c>
    </row>
    <row r="779">
      <c r="A779" s="7"/>
      <c r="B779" s="16"/>
      <c r="C779" s="12"/>
      <c r="D779" s="12"/>
      <c r="E779" s="9"/>
      <c r="F779" s="10"/>
      <c r="G779" s="11"/>
      <c r="H779" s="9"/>
      <c r="I779" s="31"/>
      <c r="J779" s="9"/>
      <c r="K779" s="9"/>
      <c r="L779" s="21" t="s">
        <v>31</v>
      </c>
      <c r="M779" s="30" t="s">
        <v>2513</v>
      </c>
      <c r="N779" s="30" t="s">
        <v>2514</v>
      </c>
      <c r="O779" s="29" t="s">
        <v>2515</v>
      </c>
      <c r="P779" s="14" t="s">
        <v>562</v>
      </c>
      <c r="Q779" s="14" t="s">
        <v>533</v>
      </c>
      <c r="R779" s="16" t="str">
        <f t="shared" si="2"/>
        <v>Diferente</v>
      </c>
    </row>
    <row r="780">
      <c r="A780" s="7"/>
      <c r="B780" s="16"/>
      <c r="C780" s="12"/>
      <c r="D780" s="12"/>
      <c r="E780" s="9"/>
      <c r="F780" s="10"/>
      <c r="G780" s="11"/>
      <c r="H780" s="9"/>
      <c r="I780" s="31"/>
      <c r="J780" s="9"/>
      <c r="K780" s="9"/>
      <c r="L780" s="21" t="s">
        <v>36</v>
      </c>
      <c r="M780" s="14" t="s">
        <v>2516</v>
      </c>
      <c r="N780" s="30" t="s">
        <v>2517</v>
      </c>
      <c r="O780" s="29" t="s">
        <v>2518</v>
      </c>
      <c r="P780" s="14" t="s">
        <v>562</v>
      </c>
      <c r="Q780" s="14" t="s">
        <v>533</v>
      </c>
      <c r="R780" s="16" t="str">
        <f t="shared" si="2"/>
        <v>Diferente</v>
      </c>
    </row>
    <row r="781">
      <c r="A781" s="7"/>
      <c r="B781" s="16"/>
      <c r="C781" s="12"/>
      <c r="D781" s="12"/>
      <c r="E781" s="9"/>
      <c r="F781" s="10"/>
      <c r="G781" s="11"/>
      <c r="H781" s="9"/>
      <c r="I781" s="31"/>
      <c r="J781" s="9"/>
      <c r="K781" s="9"/>
      <c r="L781" s="21" t="s">
        <v>41</v>
      </c>
      <c r="M781" s="30" t="s">
        <v>2519</v>
      </c>
      <c r="N781" s="30" t="s">
        <v>1073</v>
      </c>
      <c r="O781" s="29" t="s">
        <v>2520</v>
      </c>
      <c r="P781" s="14" t="s">
        <v>562</v>
      </c>
      <c r="Q781" s="14" t="s">
        <v>562</v>
      </c>
      <c r="R781" s="16" t="str">
        <f t="shared" si="2"/>
        <v>Igual</v>
      </c>
    </row>
    <row r="782">
      <c r="A782" s="7"/>
      <c r="B782" s="16"/>
      <c r="C782" s="12"/>
      <c r="D782" s="12"/>
      <c r="E782" s="9"/>
      <c r="F782" s="10"/>
      <c r="G782" s="11"/>
      <c r="H782" s="9"/>
      <c r="I782" s="31"/>
      <c r="J782" s="9"/>
      <c r="K782" s="9"/>
      <c r="L782" s="21" t="s">
        <v>47</v>
      </c>
      <c r="M782" s="30" t="s">
        <v>2521</v>
      </c>
      <c r="N782" s="30" t="s">
        <v>1073</v>
      </c>
      <c r="O782" s="29" t="s">
        <v>2522</v>
      </c>
      <c r="P782" s="14" t="s">
        <v>562</v>
      </c>
      <c r="Q782" s="14" t="s">
        <v>562</v>
      </c>
      <c r="R782" s="16" t="str">
        <f t="shared" si="2"/>
        <v>Igual</v>
      </c>
    </row>
    <row r="783">
      <c r="A783" s="7"/>
      <c r="B783" s="16"/>
      <c r="C783" s="12"/>
      <c r="D783" s="12"/>
      <c r="E783" s="9"/>
      <c r="F783" s="10"/>
      <c r="G783" s="11"/>
      <c r="H783" s="9"/>
      <c r="I783" s="31"/>
      <c r="J783" s="9"/>
      <c r="K783" s="9"/>
      <c r="L783" s="21" t="s">
        <v>53</v>
      </c>
      <c r="M783" s="30" t="s">
        <v>2523</v>
      </c>
      <c r="N783" s="30" t="s">
        <v>1073</v>
      </c>
      <c r="O783" s="29" t="s">
        <v>2524</v>
      </c>
      <c r="P783" s="14" t="s">
        <v>562</v>
      </c>
      <c r="Q783" s="14" t="s">
        <v>562</v>
      </c>
      <c r="R783" s="16" t="str">
        <f t="shared" si="2"/>
        <v>Igual</v>
      </c>
    </row>
    <row r="784">
      <c r="A784" s="7"/>
      <c r="B784" s="16"/>
      <c r="C784" s="12"/>
      <c r="D784" s="12"/>
      <c r="E784" s="9"/>
      <c r="F784" s="10"/>
      <c r="G784" s="11"/>
      <c r="H784" s="9"/>
      <c r="I784" s="31"/>
      <c r="J784" s="9"/>
      <c r="K784" s="9"/>
      <c r="L784" s="21" t="s">
        <v>59</v>
      </c>
      <c r="M784" s="30" t="s">
        <v>2525</v>
      </c>
      <c r="N784" s="30" t="s">
        <v>1073</v>
      </c>
      <c r="O784" s="29" t="s">
        <v>2526</v>
      </c>
      <c r="P784" s="14" t="s">
        <v>533</v>
      </c>
      <c r="Q784" s="14" t="s">
        <v>533</v>
      </c>
      <c r="R784" s="16" t="str">
        <f t="shared" si="2"/>
        <v>Igual</v>
      </c>
    </row>
    <row r="785">
      <c r="A785" s="7"/>
      <c r="B785" s="16"/>
      <c r="C785" s="12"/>
      <c r="D785" s="12"/>
      <c r="E785" s="9"/>
      <c r="F785" s="10"/>
      <c r="G785" s="11"/>
      <c r="H785" s="9"/>
      <c r="I785" s="31"/>
      <c r="J785" s="9"/>
      <c r="K785" s="9"/>
      <c r="L785" s="21" t="s">
        <v>65</v>
      </c>
      <c r="M785" s="30" t="s">
        <v>2527</v>
      </c>
      <c r="N785" s="30" t="s">
        <v>1073</v>
      </c>
      <c r="O785" s="29" t="s">
        <v>2528</v>
      </c>
      <c r="P785" s="14" t="s">
        <v>562</v>
      </c>
      <c r="Q785" s="14" t="s">
        <v>562</v>
      </c>
      <c r="R785" s="16" t="str">
        <f t="shared" si="2"/>
        <v>Igual</v>
      </c>
    </row>
    <row r="786">
      <c r="A786" s="7"/>
      <c r="B786" s="16"/>
      <c r="C786" s="12"/>
      <c r="D786" s="12"/>
      <c r="E786" s="9"/>
      <c r="F786" s="10"/>
      <c r="G786" s="11"/>
      <c r="H786" s="9"/>
      <c r="I786" s="31"/>
      <c r="J786" s="9"/>
      <c r="K786" s="9"/>
      <c r="L786" s="21" t="s">
        <v>71</v>
      </c>
      <c r="M786" s="30" t="s">
        <v>2381</v>
      </c>
      <c r="N786" s="30" t="s">
        <v>2529</v>
      </c>
      <c r="O786" s="29" t="s">
        <v>2530</v>
      </c>
      <c r="P786" s="14" t="s">
        <v>542</v>
      </c>
      <c r="Q786" s="14" t="s">
        <v>533</v>
      </c>
      <c r="R786" s="16" t="str">
        <f t="shared" si="2"/>
        <v>Diferente</v>
      </c>
    </row>
    <row r="787">
      <c r="A787" s="7" t="s">
        <v>409</v>
      </c>
      <c r="B787" s="14" t="s">
        <v>20</v>
      </c>
      <c r="C787" s="12"/>
      <c r="D787" s="17" t="s">
        <v>2047</v>
      </c>
      <c r="E787" s="9" t="s">
        <v>410</v>
      </c>
      <c r="F787" s="10" t="s">
        <v>411</v>
      </c>
      <c r="G787" s="22" t="s">
        <v>91</v>
      </c>
      <c r="H787" s="9" t="s">
        <v>412</v>
      </c>
      <c r="I787" s="29" t="s">
        <v>898</v>
      </c>
      <c r="J787" s="9"/>
      <c r="K787" s="9" t="s">
        <v>392</v>
      </c>
      <c r="L787" s="21" t="s">
        <v>25</v>
      </c>
      <c r="M787" s="30" t="s">
        <v>2531</v>
      </c>
      <c r="N787" s="30" t="s">
        <v>2532</v>
      </c>
      <c r="O787" s="29" t="s">
        <v>2533</v>
      </c>
      <c r="P787" s="14" t="s">
        <v>542</v>
      </c>
      <c r="Q787" s="14" t="s">
        <v>533</v>
      </c>
      <c r="R787" s="16" t="str">
        <f t="shared" si="2"/>
        <v>Diferente</v>
      </c>
    </row>
    <row r="788">
      <c r="A788" s="7"/>
      <c r="B788" s="16"/>
      <c r="C788" s="12"/>
      <c r="D788" s="12"/>
      <c r="E788" s="9"/>
      <c r="F788" s="10"/>
      <c r="G788" s="11"/>
      <c r="H788" s="9"/>
      <c r="I788" s="31"/>
      <c r="J788" s="9"/>
      <c r="K788" s="9"/>
      <c r="L788" s="21" t="s">
        <v>31</v>
      </c>
      <c r="M788" s="30" t="s">
        <v>2534</v>
      </c>
      <c r="N788" s="30" t="s">
        <v>2535</v>
      </c>
      <c r="O788" s="29" t="s">
        <v>2536</v>
      </c>
      <c r="P788" s="14" t="s">
        <v>542</v>
      </c>
      <c r="Q788" s="14" t="s">
        <v>533</v>
      </c>
      <c r="R788" s="16" t="str">
        <f t="shared" si="2"/>
        <v>Diferente</v>
      </c>
    </row>
    <row r="789">
      <c r="A789" s="7"/>
      <c r="B789" s="16"/>
      <c r="C789" s="12"/>
      <c r="D789" s="12"/>
      <c r="E789" s="9"/>
      <c r="F789" s="10"/>
      <c r="G789" s="11"/>
      <c r="H789" s="9"/>
      <c r="I789" s="31"/>
      <c r="J789" s="9"/>
      <c r="K789" s="9"/>
      <c r="L789" s="21" t="s">
        <v>36</v>
      </c>
      <c r="M789" s="30" t="s">
        <v>2537</v>
      </c>
      <c r="N789" s="30" t="s">
        <v>2538</v>
      </c>
      <c r="O789" s="29" t="s">
        <v>2539</v>
      </c>
      <c r="P789" s="14" t="s">
        <v>533</v>
      </c>
      <c r="Q789" s="14" t="s">
        <v>533</v>
      </c>
      <c r="R789" s="16" t="str">
        <f t="shared" si="2"/>
        <v>Igual</v>
      </c>
    </row>
    <row r="790">
      <c r="A790" s="7"/>
      <c r="B790" s="16"/>
      <c r="C790" s="12"/>
      <c r="D790" s="12"/>
      <c r="E790" s="9"/>
      <c r="F790" s="10"/>
      <c r="G790" s="11"/>
      <c r="H790" s="9"/>
      <c r="I790" s="31"/>
      <c r="J790" s="9"/>
      <c r="K790" s="9"/>
      <c r="L790" s="21" t="s">
        <v>41</v>
      </c>
      <c r="M790" s="30" t="s">
        <v>2540</v>
      </c>
      <c r="N790" s="30" t="s">
        <v>2541</v>
      </c>
      <c r="O790" s="29" t="s">
        <v>2542</v>
      </c>
      <c r="P790" s="14" t="s">
        <v>533</v>
      </c>
      <c r="Q790" s="14" t="s">
        <v>533</v>
      </c>
      <c r="R790" s="16" t="str">
        <f t="shared" si="2"/>
        <v>Igual</v>
      </c>
    </row>
    <row r="791">
      <c r="A791" s="7"/>
      <c r="B791" s="16"/>
      <c r="C791" s="12"/>
      <c r="D791" s="12"/>
      <c r="E791" s="9"/>
      <c r="F791" s="10"/>
      <c r="G791" s="11"/>
      <c r="H791" s="9"/>
      <c r="I791" s="31"/>
      <c r="J791" s="9"/>
      <c r="K791" s="9"/>
      <c r="L791" s="21" t="s">
        <v>47</v>
      </c>
      <c r="M791" s="30" t="s">
        <v>2543</v>
      </c>
      <c r="N791" s="30" t="s">
        <v>2544</v>
      </c>
      <c r="O791" s="29" t="s">
        <v>2545</v>
      </c>
      <c r="P791" s="14" t="s">
        <v>533</v>
      </c>
      <c r="Q791" s="14" t="s">
        <v>533</v>
      </c>
      <c r="R791" s="16" t="str">
        <f t="shared" si="2"/>
        <v>Igual</v>
      </c>
    </row>
    <row r="792">
      <c r="A792" s="7"/>
      <c r="B792" s="16"/>
      <c r="C792" s="12"/>
      <c r="D792" s="12"/>
      <c r="E792" s="9"/>
      <c r="F792" s="10"/>
      <c r="G792" s="11"/>
      <c r="H792" s="9"/>
      <c r="I792" s="31"/>
      <c r="J792" s="9"/>
      <c r="K792" s="9"/>
      <c r="L792" s="21" t="s">
        <v>53</v>
      </c>
      <c r="M792" s="30" t="s">
        <v>2546</v>
      </c>
      <c r="N792" s="30" t="s">
        <v>2547</v>
      </c>
      <c r="O792" s="29" t="s">
        <v>2548</v>
      </c>
      <c r="P792" s="14" t="s">
        <v>533</v>
      </c>
      <c r="Q792" s="14" t="s">
        <v>533</v>
      </c>
      <c r="R792" s="16" t="str">
        <f t="shared" si="2"/>
        <v>Igual</v>
      </c>
    </row>
    <row r="793">
      <c r="A793" s="7"/>
      <c r="B793" s="16"/>
      <c r="C793" s="12"/>
      <c r="D793" s="12"/>
      <c r="E793" s="9"/>
      <c r="F793" s="10"/>
      <c r="G793" s="11"/>
      <c r="H793" s="9"/>
      <c r="I793" s="31"/>
      <c r="J793" s="9"/>
      <c r="K793" s="9"/>
      <c r="L793" s="21" t="s">
        <v>59</v>
      </c>
      <c r="M793" s="30" t="s">
        <v>2549</v>
      </c>
      <c r="N793" s="30" t="s">
        <v>2550</v>
      </c>
      <c r="O793" s="29" t="s">
        <v>2551</v>
      </c>
      <c r="P793" s="14" t="s">
        <v>533</v>
      </c>
      <c r="Q793" s="14" t="s">
        <v>533</v>
      </c>
      <c r="R793" s="16" t="str">
        <f t="shared" si="2"/>
        <v>Igual</v>
      </c>
    </row>
    <row r="794">
      <c r="A794" s="7"/>
      <c r="B794" s="16"/>
      <c r="C794" s="12"/>
      <c r="D794" s="12"/>
      <c r="E794" s="9"/>
      <c r="F794" s="10"/>
      <c r="G794" s="11"/>
      <c r="H794" s="9"/>
      <c r="I794" s="31"/>
      <c r="J794" s="9"/>
      <c r="K794" s="9"/>
      <c r="L794" s="21" t="s">
        <v>65</v>
      </c>
      <c r="M794" s="30" t="s">
        <v>2552</v>
      </c>
      <c r="N794" s="30" t="s">
        <v>2553</v>
      </c>
      <c r="O794" s="29" t="s">
        <v>2554</v>
      </c>
      <c r="P794" s="14" t="s">
        <v>533</v>
      </c>
      <c r="Q794" s="14" t="s">
        <v>533</v>
      </c>
      <c r="R794" s="16" t="str">
        <f t="shared" si="2"/>
        <v>Igual</v>
      </c>
    </row>
    <row r="795">
      <c r="A795" s="7"/>
      <c r="B795" s="16"/>
      <c r="C795" s="12"/>
      <c r="D795" s="12"/>
      <c r="E795" s="9"/>
      <c r="F795" s="10"/>
      <c r="G795" s="11"/>
      <c r="H795" s="9"/>
      <c r="I795" s="31"/>
      <c r="J795" s="9"/>
      <c r="K795" s="9"/>
      <c r="L795" s="21" t="s">
        <v>71</v>
      </c>
      <c r="M795" s="30" t="s">
        <v>2555</v>
      </c>
      <c r="N795" s="30" t="s">
        <v>2556</v>
      </c>
      <c r="O795" s="29" t="s">
        <v>2557</v>
      </c>
      <c r="P795" s="14" t="s">
        <v>533</v>
      </c>
      <c r="Q795" s="14" t="s">
        <v>533</v>
      </c>
      <c r="R795" s="16" t="str">
        <f t="shared" si="2"/>
        <v>Igual</v>
      </c>
    </row>
    <row r="796">
      <c r="A796" s="7" t="s">
        <v>413</v>
      </c>
      <c r="B796" s="14" t="s">
        <v>20</v>
      </c>
      <c r="C796" s="12"/>
      <c r="D796" s="17" t="s">
        <v>2048</v>
      </c>
      <c r="E796" s="9" t="s">
        <v>414</v>
      </c>
      <c r="F796" s="10" t="s">
        <v>415</v>
      </c>
      <c r="G796" s="22" t="s">
        <v>91</v>
      </c>
      <c r="H796" s="9" t="s">
        <v>416</v>
      </c>
      <c r="I796" s="29" t="s">
        <v>2042</v>
      </c>
      <c r="J796" s="9"/>
      <c r="K796" s="9" t="s">
        <v>392</v>
      </c>
      <c r="L796" s="21" t="s">
        <v>25</v>
      </c>
      <c r="M796" s="30" t="s">
        <v>2558</v>
      </c>
      <c r="N796" s="30" t="s">
        <v>2559</v>
      </c>
      <c r="O796" s="29" t="s">
        <v>2560</v>
      </c>
      <c r="P796" s="14" t="s">
        <v>533</v>
      </c>
      <c r="Q796" s="14" t="s">
        <v>533</v>
      </c>
      <c r="R796" s="16" t="str">
        <f t="shared" si="2"/>
        <v>Igual</v>
      </c>
    </row>
    <row r="797">
      <c r="A797" s="7"/>
      <c r="B797" s="16"/>
      <c r="C797" s="12"/>
      <c r="D797" s="12"/>
      <c r="E797" s="9"/>
      <c r="F797" s="10"/>
      <c r="G797" s="11"/>
      <c r="H797" s="9"/>
      <c r="I797" s="31"/>
      <c r="J797" s="9"/>
      <c r="K797" s="9"/>
      <c r="L797" s="21" t="s">
        <v>31</v>
      </c>
      <c r="M797" s="30" t="s">
        <v>2561</v>
      </c>
      <c r="N797" s="30" t="s">
        <v>2562</v>
      </c>
      <c r="O797" s="29" t="s">
        <v>2563</v>
      </c>
      <c r="P797" s="14" t="s">
        <v>533</v>
      </c>
      <c r="Q797" s="14" t="s">
        <v>533</v>
      </c>
      <c r="R797" s="16" t="str">
        <f t="shared" si="2"/>
        <v>Igual</v>
      </c>
    </row>
    <row r="798">
      <c r="A798" s="7"/>
      <c r="B798" s="16"/>
      <c r="C798" s="12"/>
      <c r="D798" s="12"/>
      <c r="E798" s="9"/>
      <c r="F798" s="10"/>
      <c r="G798" s="11"/>
      <c r="H798" s="9"/>
      <c r="I798" s="31"/>
      <c r="J798" s="9"/>
      <c r="K798" s="9"/>
      <c r="L798" s="21" t="s">
        <v>36</v>
      </c>
      <c r="M798" s="30" t="s">
        <v>2564</v>
      </c>
      <c r="N798" s="30" t="s">
        <v>2565</v>
      </c>
      <c r="O798" s="29" t="s">
        <v>2566</v>
      </c>
      <c r="P798" s="14" t="s">
        <v>542</v>
      </c>
      <c r="Q798" s="14" t="s">
        <v>562</v>
      </c>
      <c r="R798" s="16" t="str">
        <f t="shared" si="2"/>
        <v>Diferente</v>
      </c>
    </row>
    <row r="799">
      <c r="A799" s="7"/>
      <c r="B799" s="16"/>
      <c r="C799" s="12"/>
      <c r="D799" s="12"/>
      <c r="E799" s="9"/>
      <c r="F799" s="10"/>
      <c r="G799" s="11"/>
      <c r="H799" s="9"/>
      <c r="I799" s="31"/>
      <c r="J799" s="9"/>
      <c r="K799" s="9"/>
      <c r="L799" s="21" t="s">
        <v>41</v>
      </c>
      <c r="M799" s="30" t="s">
        <v>2567</v>
      </c>
      <c r="N799" s="30" t="s">
        <v>2568</v>
      </c>
      <c r="O799" s="29" t="s">
        <v>2569</v>
      </c>
      <c r="P799" s="14" t="s">
        <v>533</v>
      </c>
      <c r="Q799" s="14" t="s">
        <v>533</v>
      </c>
      <c r="R799" s="16" t="str">
        <f t="shared" si="2"/>
        <v>Igual</v>
      </c>
    </row>
    <row r="800">
      <c r="A800" s="7"/>
      <c r="B800" s="16"/>
      <c r="C800" s="12"/>
      <c r="D800" s="12"/>
      <c r="E800" s="9"/>
      <c r="F800" s="10"/>
      <c r="G800" s="11"/>
      <c r="H800" s="9"/>
      <c r="I800" s="31"/>
      <c r="J800" s="9"/>
      <c r="K800" s="9"/>
      <c r="L800" s="21" t="s">
        <v>47</v>
      </c>
      <c r="M800" s="30" t="s">
        <v>2570</v>
      </c>
      <c r="N800" s="30" t="s">
        <v>2571</v>
      </c>
      <c r="O800" s="29" t="s">
        <v>2572</v>
      </c>
      <c r="P800" s="14" t="s">
        <v>533</v>
      </c>
      <c r="Q800" s="14" t="s">
        <v>533</v>
      </c>
      <c r="R800" s="16" t="str">
        <f t="shared" si="2"/>
        <v>Igual</v>
      </c>
    </row>
    <row r="801">
      <c r="A801" s="7"/>
      <c r="B801" s="16"/>
      <c r="C801" s="12"/>
      <c r="D801" s="12"/>
      <c r="E801" s="9"/>
      <c r="F801" s="10"/>
      <c r="G801" s="11"/>
      <c r="H801" s="9"/>
      <c r="I801" s="31"/>
      <c r="J801" s="9"/>
      <c r="K801" s="9"/>
      <c r="L801" s="21" t="s">
        <v>53</v>
      </c>
      <c r="M801" s="30" t="s">
        <v>2573</v>
      </c>
      <c r="N801" s="30" t="s">
        <v>2574</v>
      </c>
      <c r="O801" s="29" t="s">
        <v>2575</v>
      </c>
      <c r="P801" s="14" t="s">
        <v>533</v>
      </c>
      <c r="Q801" s="14" t="s">
        <v>533</v>
      </c>
      <c r="R801" s="16" t="str">
        <f t="shared" si="2"/>
        <v>Igual</v>
      </c>
    </row>
    <row r="802">
      <c r="A802" s="7"/>
      <c r="B802" s="16"/>
      <c r="C802" s="12"/>
      <c r="D802" s="12"/>
      <c r="E802" s="9"/>
      <c r="F802" s="10"/>
      <c r="G802" s="11"/>
      <c r="H802" s="9"/>
      <c r="I802" s="31"/>
      <c r="J802" s="9"/>
      <c r="K802" s="9"/>
      <c r="L802" s="21" t="s">
        <v>59</v>
      </c>
      <c r="M802" s="30" t="s">
        <v>2576</v>
      </c>
      <c r="N802" s="30" t="s">
        <v>2577</v>
      </c>
      <c r="O802" s="29" t="s">
        <v>2578</v>
      </c>
      <c r="P802" s="14" t="s">
        <v>533</v>
      </c>
      <c r="Q802" s="14" t="s">
        <v>533</v>
      </c>
      <c r="R802" s="16" t="str">
        <f t="shared" si="2"/>
        <v>Igual</v>
      </c>
    </row>
    <row r="803">
      <c r="A803" s="7"/>
      <c r="B803" s="16"/>
      <c r="C803" s="12"/>
      <c r="D803" s="12"/>
      <c r="E803" s="9"/>
      <c r="F803" s="10"/>
      <c r="G803" s="11"/>
      <c r="H803" s="9"/>
      <c r="I803" s="31"/>
      <c r="J803" s="9"/>
      <c r="K803" s="9"/>
      <c r="L803" s="21" t="s">
        <v>65</v>
      </c>
      <c r="M803" s="30" t="s">
        <v>2552</v>
      </c>
      <c r="N803" s="30" t="s">
        <v>2579</v>
      </c>
      <c r="O803" s="29" t="s">
        <v>2580</v>
      </c>
      <c r="P803" s="14" t="s">
        <v>533</v>
      </c>
      <c r="Q803" s="14" t="s">
        <v>533</v>
      </c>
      <c r="R803" s="16" t="str">
        <f t="shared" si="2"/>
        <v>Igual</v>
      </c>
    </row>
    <row r="804">
      <c r="A804" s="7"/>
      <c r="B804" s="16"/>
      <c r="C804" s="12"/>
      <c r="D804" s="12"/>
      <c r="E804" s="9"/>
      <c r="F804" s="10"/>
      <c r="G804" s="11"/>
      <c r="H804" s="9"/>
      <c r="I804" s="31"/>
      <c r="J804" s="9"/>
      <c r="K804" s="9"/>
      <c r="L804" s="21" t="s">
        <v>71</v>
      </c>
      <c r="M804" s="30" t="s">
        <v>2581</v>
      </c>
      <c r="N804" s="30" t="s">
        <v>2582</v>
      </c>
      <c r="O804" s="29" t="s">
        <v>2583</v>
      </c>
      <c r="P804" s="14" t="s">
        <v>533</v>
      </c>
      <c r="Q804" s="14" t="s">
        <v>533</v>
      </c>
      <c r="R804" s="16" t="str">
        <f t="shared" si="2"/>
        <v>Igual</v>
      </c>
    </row>
    <row r="805">
      <c r="A805" s="7" t="s">
        <v>417</v>
      </c>
      <c r="B805" s="14" t="s">
        <v>20</v>
      </c>
      <c r="C805" s="12"/>
      <c r="D805" s="17" t="s">
        <v>2049</v>
      </c>
      <c r="E805" s="9" t="s">
        <v>418</v>
      </c>
      <c r="F805" s="10" t="s">
        <v>419</v>
      </c>
      <c r="G805" s="22" t="s">
        <v>91</v>
      </c>
      <c r="H805" s="9" t="s">
        <v>420</v>
      </c>
      <c r="I805" s="29" t="s">
        <v>528</v>
      </c>
      <c r="J805" s="9"/>
      <c r="K805" s="9" t="s">
        <v>392</v>
      </c>
      <c r="L805" s="21" t="s">
        <v>25</v>
      </c>
      <c r="M805" s="30" t="s">
        <v>2584</v>
      </c>
      <c r="N805" s="30" t="s">
        <v>2585</v>
      </c>
      <c r="O805" s="29" t="s">
        <v>2586</v>
      </c>
      <c r="P805" s="14" t="s">
        <v>533</v>
      </c>
      <c r="Q805" s="14" t="s">
        <v>533</v>
      </c>
      <c r="R805" s="16" t="str">
        <f t="shared" si="2"/>
        <v>Igual</v>
      </c>
    </row>
    <row r="806">
      <c r="A806" s="7"/>
      <c r="B806" s="16"/>
      <c r="C806" s="12"/>
      <c r="D806" s="12"/>
      <c r="E806" s="9"/>
      <c r="F806" s="10"/>
      <c r="G806" s="11"/>
      <c r="H806" s="9"/>
      <c r="I806" s="31"/>
      <c r="J806" s="9"/>
      <c r="K806" s="9"/>
      <c r="L806" s="21" t="s">
        <v>31</v>
      </c>
      <c r="M806" s="30" t="s">
        <v>2587</v>
      </c>
      <c r="N806" s="30" t="s">
        <v>2587</v>
      </c>
      <c r="O806" s="29" t="s">
        <v>2588</v>
      </c>
      <c r="P806" s="14" t="s">
        <v>542</v>
      </c>
      <c r="Q806" s="14" t="s">
        <v>533</v>
      </c>
      <c r="R806" s="16" t="str">
        <f t="shared" si="2"/>
        <v>Diferente</v>
      </c>
    </row>
    <row r="807">
      <c r="A807" s="7"/>
      <c r="B807" s="16"/>
      <c r="C807" s="12"/>
      <c r="D807" s="12"/>
      <c r="E807" s="9"/>
      <c r="F807" s="10"/>
      <c r="G807" s="11"/>
      <c r="H807" s="9"/>
      <c r="I807" s="31"/>
      <c r="J807" s="9"/>
      <c r="K807" s="9"/>
      <c r="L807" s="21" t="s">
        <v>36</v>
      </c>
      <c r="M807" s="30" t="s">
        <v>2589</v>
      </c>
      <c r="N807" s="30" t="s">
        <v>2590</v>
      </c>
      <c r="O807" s="29" t="s">
        <v>2591</v>
      </c>
      <c r="P807" s="14" t="s">
        <v>542</v>
      </c>
      <c r="Q807" s="14" t="s">
        <v>533</v>
      </c>
      <c r="R807" s="16" t="str">
        <f t="shared" si="2"/>
        <v>Diferente</v>
      </c>
    </row>
    <row r="808">
      <c r="A808" s="7"/>
      <c r="B808" s="16"/>
      <c r="C808" s="12"/>
      <c r="D808" s="12"/>
      <c r="E808" s="9"/>
      <c r="F808" s="10"/>
      <c r="G808" s="11"/>
      <c r="H808" s="9"/>
      <c r="I808" s="31"/>
      <c r="J808" s="9"/>
      <c r="K808" s="9"/>
      <c r="L808" s="21" t="s">
        <v>41</v>
      </c>
      <c r="M808" s="30" t="s">
        <v>2592</v>
      </c>
      <c r="N808" s="30" t="s">
        <v>2593</v>
      </c>
      <c r="O808" s="29" t="s">
        <v>2594</v>
      </c>
      <c r="P808" s="14" t="s">
        <v>542</v>
      </c>
      <c r="Q808" s="14" t="s">
        <v>533</v>
      </c>
      <c r="R808" s="16" t="str">
        <f t="shared" si="2"/>
        <v>Diferente</v>
      </c>
    </row>
    <row r="809">
      <c r="A809" s="7"/>
      <c r="B809" s="16"/>
      <c r="C809" s="12"/>
      <c r="D809" s="12"/>
      <c r="E809" s="9"/>
      <c r="F809" s="10"/>
      <c r="G809" s="11"/>
      <c r="H809" s="9"/>
      <c r="I809" s="31"/>
      <c r="J809" s="9"/>
      <c r="K809" s="9"/>
      <c r="L809" s="21" t="s">
        <v>47</v>
      </c>
      <c r="M809" s="30" t="s">
        <v>2595</v>
      </c>
      <c r="N809" s="30" t="s">
        <v>2596</v>
      </c>
      <c r="O809" s="29" t="s">
        <v>2597</v>
      </c>
      <c r="P809" s="14" t="s">
        <v>542</v>
      </c>
      <c r="Q809" s="14" t="s">
        <v>533</v>
      </c>
      <c r="R809" s="16" t="str">
        <f t="shared" si="2"/>
        <v>Diferente</v>
      </c>
    </row>
    <row r="810">
      <c r="A810" s="7"/>
      <c r="B810" s="16"/>
      <c r="C810" s="12"/>
      <c r="D810" s="12"/>
      <c r="E810" s="9"/>
      <c r="F810" s="10"/>
      <c r="G810" s="11"/>
      <c r="H810" s="9"/>
      <c r="I810" s="31"/>
      <c r="J810" s="9"/>
      <c r="K810" s="9"/>
      <c r="L810" s="21" t="s">
        <v>53</v>
      </c>
      <c r="M810" s="30" t="s">
        <v>2598</v>
      </c>
      <c r="N810" s="30" t="s">
        <v>2599</v>
      </c>
      <c r="O810" s="29" t="s">
        <v>2600</v>
      </c>
      <c r="P810" s="14" t="s">
        <v>542</v>
      </c>
      <c r="Q810" s="14" t="s">
        <v>533</v>
      </c>
      <c r="R810" s="16" t="str">
        <f t="shared" si="2"/>
        <v>Diferente</v>
      </c>
    </row>
    <row r="811">
      <c r="A811" s="7"/>
      <c r="B811" s="16"/>
      <c r="C811" s="12"/>
      <c r="D811" s="12"/>
      <c r="E811" s="9"/>
      <c r="F811" s="10"/>
      <c r="G811" s="11"/>
      <c r="H811" s="9"/>
      <c r="I811" s="31"/>
      <c r="J811" s="9"/>
      <c r="K811" s="9"/>
      <c r="L811" s="21" t="s">
        <v>59</v>
      </c>
      <c r="M811" s="30" t="s">
        <v>2601</v>
      </c>
      <c r="N811" s="30" t="s">
        <v>2602</v>
      </c>
      <c r="O811" s="29" t="s">
        <v>2603</v>
      </c>
      <c r="P811" s="14" t="s">
        <v>542</v>
      </c>
      <c r="Q811" s="14" t="s">
        <v>533</v>
      </c>
      <c r="R811" s="16" t="str">
        <f t="shared" si="2"/>
        <v>Diferente</v>
      </c>
    </row>
    <row r="812">
      <c r="A812" s="7"/>
      <c r="B812" s="16"/>
      <c r="C812" s="12"/>
      <c r="D812" s="12"/>
      <c r="E812" s="9"/>
      <c r="F812" s="10"/>
      <c r="G812" s="11"/>
      <c r="H812" s="9"/>
      <c r="I812" s="31"/>
      <c r="J812" s="9"/>
      <c r="K812" s="9"/>
      <c r="L812" s="21" t="s">
        <v>65</v>
      </c>
      <c r="M812" s="30" t="s">
        <v>2604</v>
      </c>
      <c r="N812" s="30" t="s">
        <v>2605</v>
      </c>
      <c r="O812" s="29" t="s">
        <v>2606</v>
      </c>
      <c r="P812" s="14" t="s">
        <v>533</v>
      </c>
      <c r="Q812" s="14" t="s">
        <v>533</v>
      </c>
      <c r="R812" s="16" t="str">
        <f t="shared" si="2"/>
        <v>Igual</v>
      </c>
    </row>
    <row r="813">
      <c r="A813" s="7"/>
      <c r="B813" s="16"/>
      <c r="C813" s="12"/>
      <c r="D813" s="12"/>
      <c r="E813" s="9"/>
      <c r="F813" s="10"/>
      <c r="G813" s="11"/>
      <c r="H813" s="9"/>
      <c r="I813" s="31"/>
      <c r="J813" s="9"/>
      <c r="K813" s="9"/>
      <c r="L813" s="21" t="s">
        <v>71</v>
      </c>
      <c r="M813" s="30" t="s">
        <v>2607</v>
      </c>
      <c r="N813" s="30" t="s">
        <v>2608</v>
      </c>
      <c r="O813" s="29" t="s">
        <v>2609</v>
      </c>
      <c r="P813" s="14" t="s">
        <v>533</v>
      </c>
      <c r="Q813" s="14" t="s">
        <v>533</v>
      </c>
      <c r="R813" s="16" t="str">
        <f t="shared" si="2"/>
        <v>Igual</v>
      </c>
    </row>
    <row r="814">
      <c r="A814" s="7" t="s">
        <v>421</v>
      </c>
      <c r="B814" s="14" t="s">
        <v>20</v>
      </c>
      <c r="C814" s="12"/>
      <c r="D814" s="17" t="s">
        <v>2050</v>
      </c>
      <c r="E814" s="9" t="s">
        <v>422</v>
      </c>
      <c r="F814" s="10" t="s">
        <v>423</v>
      </c>
      <c r="G814" s="22" t="s">
        <v>110</v>
      </c>
      <c r="H814" s="9" t="s">
        <v>424</v>
      </c>
      <c r="I814" s="29" t="s">
        <v>2051</v>
      </c>
      <c r="J814" s="9"/>
      <c r="K814" s="9" t="s">
        <v>392</v>
      </c>
      <c r="L814" s="21" t="s">
        <v>25</v>
      </c>
      <c r="M814" s="30" t="s">
        <v>2610</v>
      </c>
      <c r="N814" s="30" t="s">
        <v>2611</v>
      </c>
      <c r="O814" s="29" t="s">
        <v>2612</v>
      </c>
      <c r="P814" s="14" t="s">
        <v>533</v>
      </c>
      <c r="Q814" s="14" t="s">
        <v>533</v>
      </c>
      <c r="R814" s="16" t="str">
        <f t="shared" si="2"/>
        <v>Igual</v>
      </c>
    </row>
    <row r="815">
      <c r="A815" s="7"/>
      <c r="B815" s="16"/>
      <c r="C815" s="12"/>
      <c r="D815" s="12"/>
      <c r="E815" s="9"/>
      <c r="F815" s="10"/>
      <c r="G815" s="11"/>
      <c r="H815" s="9"/>
      <c r="I815" s="31"/>
      <c r="J815" s="9"/>
      <c r="K815" s="9"/>
      <c r="L815" s="21" t="s">
        <v>31</v>
      </c>
      <c r="M815" s="30" t="s">
        <v>2613</v>
      </c>
      <c r="N815" s="30" t="s">
        <v>1073</v>
      </c>
      <c r="O815" s="29" t="s">
        <v>2614</v>
      </c>
      <c r="P815" s="14" t="s">
        <v>533</v>
      </c>
      <c r="Q815" s="14" t="s">
        <v>562</v>
      </c>
      <c r="R815" s="16" t="str">
        <f t="shared" si="2"/>
        <v>Diferente</v>
      </c>
    </row>
    <row r="816">
      <c r="A816" s="7"/>
      <c r="B816" s="16"/>
      <c r="C816" s="12"/>
      <c r="D816" s="12"/>
      <c r="E816" s="9"/>
      <c r="F816" s="10"/>
      <c r="G816" s="11"/>
      <c r="H816" s="9"/>
      <c r="I816" s="31"/>
      <c r="J816" s="9"/>
      <c r="K816" s="9"/>
      <c r="L816" s="21" t="s">
        <v>36</v>
      </c>
      <c r="M816" s="30" t="s">
        <v>2615</v>
      </c>
      <c r="N816" s="30" t="s">
        <v>2616</v>
      </c>
      <c r="O816" s="29" t="s">
        <v>2617</v>
      </c>
      <c r="P816" s="14" t="s">
        <v>533</v>
      </c>
      <c r="Q816" s="14" t="s">
        <v>533</v>
      </c>
      <c r="R816" s="16" t="str">
        <f t="shared" si="2"/>
        <v>Igual</v>
      </c>
    </row>
    <row r="817">
      <c r="A817" s="7"/>
      <c r="B817" s="16"/>
      <c r="C817" s="12"/>
      <c r="D817" s="12"/>
      <c r="E817" s="9"/>
      <c r="F817" s="10"/>
      <c r="G817" s="11"/>
      <c r="H817" s="9"/>
      <c r="I817" s="31"/>
      <c r="J817" s="9"/>
      <c r="K817" s="9"/>
      <c r="L817" s="21" t="s">
        <v>41</v>
      </c>
      <c r="M817" s="30" t="s">
        <v>2618</v>
      </c>
      <c r="N817" s="30" t="s">
        <v>1073</v>
      </c>
      <c r="O817" s="29" t="s">
        <v>2619</v>
      </c>
      <c r="P817" s="14" t="s">
        <v>533</v>
      </c>
      <c r="Q817" s="14" t="s">
        <v>533</v>
      </c>
      <c r="R817" s="16" t="str">
        <f t="shared" si="2"/>
        <v>Igual</v>
      </c>
    </row>
    <row r="818">
      <c r="A818" s="7"/>
      <c r="B818" s="16"/>
      <c r="C818" s="12"/>
      <c r="D818" s="12"/>
      <c r="E818" s="9"/>
      <c r="F818" s="10"/>
      <c r="G818" s="11"/>
      <c r="H818" s="9"/>
      <c r="I818" s="31"/>
      <c r="J818" s="9"/>
      <c r="K818" s="9"/>
      <c r="L818" s="21" t="s">
        <v>47</v>
      </c>
      <c r="M818" s="30" t="s">
        <v>2620</v>
      </c>
      <c r="N818" s="30" t="s">
        <v>2621</v>
      </c>
      <c r="O818" s="29" t="s">
        <v>2622</v>
      </c>
      <c r="P818" s="14" t="s">
        <v>533</v>
      </c>
      <c r="Q818" s="14" t="s">
        <v>542</v>
      </c>
      <c r="R818" s="16" t="str">
        <f t="shared" si="2"/>
        <v>Diferente</v>
      </c>
    </row>
    <row r="819">
      <c r="A819" s="7"/>
      <c r="B819" s="16"/>
      <c r="C819" s="12"/>
      <c r="D819" s="12"/>
      <c r="E819" s="9"/>
      <c r="F819" s="10"/>
      <c r="G819" s="11"/>
      <c r="H819" s="9"/>
      <c r="I819" s="31"/>
      <c r="J819" s="9"/>
      <c r="K819" s="9"/>
      <c r="L819" s="21" t="s">
        <v>53</v>
      </c>
      <c r="M819" s="30" t="s">
        <v>2623</v>
      </c>
      <c r="N819" s="30" t="s">
        <v>1073</v>
      </c>
      <c r="O819" s="29" t="s">
        <v>2624</v>
      </c>
      <c r="P819" s="14" t="s">
        <v>533</v>
      </c>
      <c r="Q819" s="14" t="s">
        <v>533</v>
      </c>
      <c r="R819" s="16" t="str">
        <f t="shared" si="2"/>
        <v>Igual</v>
      </c>
    </row>
    <row r="820">
      <c r="A820" s="7"/>
      <c r="B820" s="16"/>
      <c r="C820" s="12"/>
      <c r="D820" s="12"/>
      <c r="E820" s="9"/>
      <c r="F820" s="10"/>
      <c r="G820" s="11"/>
      <c r="H820" s="9"/>
      <c r="I820" s="31"/>
      <c r="J820" s="9"/>
      <c r="K820" s="9"/>
      <c r="L820" s="21" t="s">
        <v>59</v>
      </c>
      <c r="M820" s="30" t="s">
        <v>2625</v>
      </c>
      <c r="N820" s="30" t="s">
        <v>2626</v>
      </c>
      <c r="O820" s="29" t="s">
        <v>2627</v>
      </c>
      <c r="P820" s="14" t="s">
        <v>533</v>
      </c>
      <c r="Q820" s="14" t="s">
        <v>533</v>
      </c>
      <c r="R820" s="16" t="str">
        <f t="shared" si="2"/>
        <v>Igual</v>
      </c>
    </row>
    <row r="821">
      <c r="A821" s="7"/>
      <c r="B821" s="16"/>
      <c r="C821" s="12"/>
      <c r="D821" s="12"/>
      <c r="E821" s="9"/>
      <c r="F821" s="10"/>
      <c r="G821" s="11"/>
      <c r="H821" s="9"/>
      <c r="I821" s="31"/>
      <c r="J821" s="9"/>
      <c r="K821" s="9"/>
      <c r="L821" s="21" t="s">
        <v>65</v>
      </c>
      <c r="M821" s="30" t="s">
        <v>2628</v>
      </c>
      <c r="N821" s="30" t="s">
        <v>1073</v>
      </c>
      <c r="O821" s="31"/>
      <c r="P821" s="14" t="s">
        <v>533</v>
      </c>
      <c r="Q821" s="14" t="s">
        <v>533</v>
      </c>
      <c r="R821" s="16" t="str">
        <f t="shared" si="2"/>
        <v>Igual</v>
      </c>
    </row>
    <row r="822">
      <c r="A822" s="7"/>
      <c r="B822" s="16"/>
      <c r="C822" s="12"/>
      <c r="D822" s="12"/>
      <c r="E822" s="9"/>
      <c r="F822" s="10"/>
      <c r="G822" s="11"/>
      <c r="H822" s="9"/>
      <c r="I822" s="31"/>
      <c r="J822" s="9"/>
      <c r="K822" s="9"/>
      <c r="L822" s="21" t="s">
        <v>71</v>
      </c>
      <c r="M822" s="30" t="s">
        <v>2629</v>
      </c>
      <c r="N822" s="30" t="s">
        <v>2630</v>
      </c>
      <c r="O822" s="29" t="s">
        <v>2631</v>
      </c>
      <c r="P822" s="14" t="s">
        <v>542</v>
      </c>
      <c r="Q822" s="14" t="s">
        <v>533</v>
      </c>
      <c r="R822" s="16" t="str">
        <f t="shared" si="2"/>
        <v>Diferente</v>
      </c>
    </row>
    <row r="823">
      <c r="A823" s="7" t="s">
        <v>425</v>
      </c>
      <c r="B823" s="14" t="s">
        <v>20</v>
      </c>
      <c r="C823" s="12"/>
      <c r="D823" s="17" t="s">
        <v>2052</v>
      </c>
      <c r="E823" s="9" t="s">
        <v>426</v>
      </c>
      <c r="F823" s="10" t="s">
        <v>427</v>
      </c>
      <c r="G823" s="22" t="s">
        <v>110</v>
      </c>
      <c r="H823" s="9" t="s">
        <v>428</v>
      </c>
      <c r="I823" s="29" t="s">
        <v>698</v>
      </c>
      <c r="J823" s="9"/>
      <c r="K823" s="9" t="s">
        <v>392</v>
      </c>
      <c r="L823" s="21" t="s">
        <v>25</v>
      </c>
      <c r="M823" s="30" t="s">
        <v>2632</v>
      </c>
      <c r="N823" s="30" t="s">
        <v>1073</v>
      </c>
      <c r="O823" s="29" t="s">
        <v>2633</v>
      </c>
      <c r="P823" s="14" t="s">
        <v>533</v>
      </c>
      <c r="Q823" s="14" t="s">
        <v>533</v>
      </c>
      <c r="R823" s="16" t="str">
        <f t="shared" si="2"/>
        <v>Igual</v>
      </c>
    </row>
    <row r="824">
      <c r="A824" s="7"/>
      <c r="B824" s="16"/>
      <c r="C824" s="12"/>
      <c r="D824" s="12"/>
      <c r="E824" s="9"/>
      <c r="F824" s="10"/>
      <c r="G824" s="11"/>
      <c r="H824" s="9"/>
      <c r="I824" s="31"/>
      <c r="J824" s="9"/>
      <c r="K824" s="9"/>
      <c r="L824" s="21" t="s">
        <v>31</v>
      </c>
      <c r="M824" s="30" t="s">
        <v>2634</v>
      </c>
      <c r="N824" s="30" t="s">
        <v>1073</v>
      </c>
      <c r="O824" s="29" t="s">
        <v>2635</v>
      </c>
      <c r="P824" s="14" t="s">
        <v>533</v>
      </c>
      <c r="Q824" s="14" t="s">
        <v>562</v>
      </c>
      <c r="R824" s="16" t="str">
        <f t="shared" si="2"/>
        <v>Diferente</v>
      </c>
    </row>
    <row r="825">
      <c r="A825" s="7"/>
      <c r="B825" s="16"/>
      <c r="C825" s="12"/>
      <c r="D825" s="12"/>
      <c r="E825" s="9"/>
      <c r="F825" s="10"/>
      <c r="G825" s="11"/>
      <c r="H825" s="9"/>
      <c r="I825" s="31"/>
      <c r="J825" s="9"/>
      <c r="K825" s="9"/>
      <c r="L825" s="21" t="s">
        <v>36</v>
      </c>
      <c r="M825" s="30" t="s">
        <v>1073</v>
      </c>
      <c r="N825" s="30" t="s">
        <v>1073</v>
      </c>
      <c r="O825" s="29" t="s">
        <v>2636</v>
      </c>
      <c r="P825" s="14" t="s">
        <v>533</v>
      </c>
      <c r="Q825" s="14" t="s">
        <v>533</v>
      </c>
      <c r="R825" s="16" t="str">
        <f t="shared" si="2"/>
        <v>Igual</v>
      </c>
    </row>
    <row r="826">
      <c r="A826" s="7"/>
      <c r="B826" s="16"/>
      <c r="C826" s="12"/>
      <c r="D826" s="12"/>
      <c r="E826" s="9"/>
      <c r="F826" s="10"/>
      <c r="G826" s="11"/>
      <c r="H826" s="9"/>
      <c r="I826" s="31"/>
      <c r="J826" s="9"/>
      <c r="K826" s="9"/>
      <c r="L826" s="21" t="s">
        <v>41</v>
      </c>
      <c r="M826" s="30" t="s">
        <v>1073</v>
      </c>
      <c r="N826" s="30" t="s">
        <v>1073</v>
      </c>
      <c r="O826" s="29" t="s">
        <v>2637</v>
      </c>
      <c r="P826" s="14" t="s">
        <v>533</v>
      </c>
      <c r="Q826" s="14" t="s">
        <v>533</v>
      </c>
      <c r="R826" s="16" t="str">
        <f t="shared" si="2"/>
        <v>Igual</v>
      </c>
    </row>
    <row r="827">
      <c r="A827" s="7"/>
      <c r="B827" s="16"/>
      <c r="C827" s="12"/>
      <c r="D827" s="12"/>
      <c r="E827" s="9"/>
      <c r="F827" s="10"/>
      <c r="G827" s="11"/>
      <c r="H827" s="9"/>
      <c r="I827" s="31"/>
      <c r="J827" s="9"/>
      <c r="K827" s="9"/>
      <c r="L827" s="21" t="s">
        <v>47</v>
      </c>
      <c r="M827" s="30" t="s">
        <v>1073</v>
      </c>
      <c r="N827" s="30" t="s">
        <v>1073</v>
      </c>
      <c r="O827" s="29" t="s">
        <v>2638</v>
      </c>
      <c r="P827" s="14" t="s">
        <v>533</v>
      </c>
      <c r="Q827" s="14" t="s">
        <v>533</v>
      </c>
      <c r="R827" s="16" t="str">
        <f t="shared" si="2"/>
        <v>Igual</v>
      </c>
    </row>
    <row r="828">
      <c r="A828" s="7"/>
      <c r="B828" s="16"/>
      <c r="C828" s="12"/>
      <c r="D828" s="12"/>
      <c r="E828" s="9"/>
      <c r="F828" s="10"/>
      <c r="G828" s="11"/>
      <c r="H828" s="9"/>
      <c r="I828" s="31"/>
      <c r="J828" s="9"/>
      <c r="K828" s="9"/>
      <c r="L828" s="21" t="s">
        <v>53</v>
      </c>
      <c r="M828" s="30" t="s">
        <v>1073</v>
      </c>
      <c r="N828" s="30" t="s">
        <v>1073</v>
      </c>
      <c r="O828" s="29" t="s">
        <v>2639</v>
      </c>
      <c r="P828" s="14" t="s">
        <v>533</v>
      </c>
      <c r="Q828" s="14" t="s">
        <v>533</v>
      </c>
      <c r="R828" s="16" t="str">
        <f t="shared" si="2"/>
        <v>Igual</v>
      </c>
    </row>
    <row r="829">
      <c r="A829" s="7"/>
      <c r="B829" s="16"/>
      <c r="C829" s="12"/>
      <c r="D829" s="12"/>
      <c r="E829" s="9"/>
      <c r="F829" s="10"/>
      <c r="G829" s="11"/>
      <c r="H829" s="9"/>
      <c r="I829" s="31"/>
      <c r="J829" s="9"/>
      <c r="K829" s="9"/>
      <c r="L829" s="21" t="s">
        <v>59</v>
      </c>
      <c r="M829" s="30" t="s">
        <v>1073</v>
      </c>
      <c r="N829" s="30" t="s">
        <v>1073</v>
      </c>
      <c r="O829" s="29" t="s">
        <v>2640</v>
      </c>
      <c r="P829" s="14" t="s">
        <v>533</v>
      </c>
      <c r="Q829" s="14" t="s">
        <v>533</v>
      </c>
      <c r="R829" s="16" t="str">
        <f t="shared" si="2"/>
        <v>Igual</v>
      </c>
    </row>
    <row r="830">
      <c r="A830" s="7"/>
      <c r="B830" s="16"/>
      <c r="C830" s="12"/>
      <c r="D830" s="12"/>
      <c r="E830" s="9"/>
      <c r="F830" s="10"/>
      <c r="G830" s="11"/>
      <c r="H830" s="9"/>
      <c r="I830" s="31"/>
      <c r="J830" s="9"/>
      <c r="K830" s="9"/>
      <c r="L830" s="21" t="s">
        <v>65</v>
      </c>
      <c r="M830" s="30" t="s">
        <v>1073</v>
      </c>
      <c r="N830" s="30" t="s">
        <v>1073</v>
      </c>
      <c r="O830" s="29" t="s">
        <v>2641</v>
      </c>
      <c r="P830" s="14" t="s">
        <v>533</v>
      </c>
      <c r="Q830" s="14" t="s">
        <v>533</v>
      </c>
      <c r="R830" s="16" t="str">
        <f t="shared" si="2"/>
        <v>Igual</v>
      </c>
    </row>
    <row r="831">
      <c r="A831" s="7"/>
      <c r="B831" s="16"/>
      <c r="C831" s="12"/>
      <c r="D831" s="12"/>
      <c r="E831" s="9"/>
      <c r="F831" s="10"/>
      <c r="G831" s="11"/>
      <c r="H831" s="9"/>
      <c r="I831" s="31"/>
      <c r="J831" s="9"/>
      <c r="K831" s="9"/>
      <c r="L831" s="21" t="s">
        <v>71</v>
      </c>
      <c r="M831" s="30" t="s">
        <v>1073</v>
      </c>
      <c r="N831" s="30" t="s">
        <v>1073</v>
      </c>
      <c r="O831" s="29" t="s">
        <v>2642</v>
      </c>
      <c r="P831" s="14" t="s">
        <v>533</v>
      </c>
      <c r="Q831" s="14" t="s">
        <v>533</v>
      </c>
      <c r="R831" s="16" t="str">
        <f t="shared" si="2"/>
        <v>Igual</v>
      </c>
    </row>
    <row r="832">
      <c r="A832" s="7" t="s">
        <v>429</v>
      </c>
      <c r="B832" s="14" t="s">
        <v>20</v>
      </c>
      <c r="C832" s="12"/>
      <c r="D832" s="17" t="s">
        <v>2041</v>
      </c>
      <c r="E832" s="9" t="s">
        <v>430</v>
      </c>
      <c r="F832" s="10" t="s">
        <v>431</v>
      </c>
      <c r="G832" s="22" t="s">
        <v>110</v>
      </c>
      <c r="H832" s="9" t="s">
        <v>432</v>
      </c>
      <c r="I832" s="29" t="s">
        <v>528</v>
      </c>
      <c r="J832" s="9"/>
      <c r="K832" s="9" t="s">
        <v>392</v>
      </c>
      <c r="L832" s="21" t="s">
        <v>25</v>
      </c>
      <c r="M832" s="30" t="s">
        <v>1073</v>
      </c>
      <c r="N832" s="30" t="s">
        <v>1073</v>
      </c>
      <c r="O832" s="29" t="s">
        <v>2643</v>
      </c>
      <c r="P832" s="14" t="s">
        <v>533</v>
      </c>
      <c r="Q832" s="14" t="s">
        <v>533</v>
      </c>
      <c r="R832" s="16" t="str">
        <f t="shared" si="2"/>
        <v>Igual</v>
      </c>
    </row>
    <row r="833">
      <c r="A833" s="7"/>
      <c r="B833" s="16"/>
      <c r="C833" s="12"/>
      <c r="D833" s="12"/>
      <c r="E833" s="9"/>
      <c r="F833" s="10"/>
      <c r="G833" s="11"/>
      <c r="H833" s="9"/>
      <c r="I833" s="31"/>
      <c r="J833" s="9"/>
      <c r="K833" s="9"/>
      <c r="L833" s="21" t="s">
        <v>31</v>
      </c>
      <c r="M833" s="30" t="s">
        <v>1073</v>
      </c>
      <c r="N833" s="30" t="s">
        <v>1073</v>
      </c>
      <c r="O833" s="29" t="s">
        <v>2644</v>
      </c>
      <c r="P833" s="14" t="s">
        <v>533</v>
      </c>
      <c r="Q833" s="14" t="s">
        <v>533</v>
      </c>
      <c r="R833" s="16" t="str">
        <f t="shared" si="2"/>
        <v>Igual</v>
      </c>
    </row>
    <row r="834">
      <c r="A834" s="7"/>
      <c r="B834" s="16"/>
      <c r="C834" s="12"/>
      <c r="D834" s="12"/>
      <c r="E834" s="9"/>
      <c r="F834" s="10"/>
      <c r="G834" s="11"/>
      <c r="H834" s="9"/>
      <c r="I834" s="31"/>
      <c r="J834" s="9"/>
      <c r="K834" s="9"/>
      <c r="L834" s="21" t="s">
        <v>36</v>
      </c>
      <c r="M834" s="30" t="s">
        <v>1073</v>
      </c>
      <c r="N834" s="30" t="s">
        <v>1073</v>
      </c>
      <c r="O834" s="29" t="s">
        <v>2645</v>
      </c>
      <c r="P834" s="14" t="s">
        <v>533</v>
      </c>
      <c r="Q834" s="14" t="s">
        <v>533</v>
      </c>
      <c r="R834" s="16" t="str">
        <f t="shared" si="2"/>
        <v>Igual</v>
      </c>
    </row>
    <row r="835">
      <c r="A835" s="7"/>
      <c r="B835" s="16"/>
      <c r="C835" s="12"/>
      <c r="D835" s="12"/>
      <c r="E835" s="9"/>
      <c r="F835" s="10"/>
      <c r="G835" s="11"/>
      <c r="H835" s="9"/>
      <c r="I835" s="31"/>
      <c r="J835" s="9"/>
      <c r="K835" s="9"/>
      <c r="L835" s="21" t="s">
        <v>41</v>
      </c>
      <c r="M835" s="14" t="s">
        <v>1073</v>
      </c>
      <c r="N835" s="30" t="s">
        <v>1073</v>
      </c>
      <c r="O835" s="29" t="s">
        <v>2646</v>
      </c>
      <c r="P835" s="14" t="s">
        <v>533</v>
      </c>
      <c r="Q835" s="14" t="s">
        <v>533</v>
      </c>
      <c r="R835" s="16" t="str">
        <f t="shared" si="2"/>
        <v>Igual</v>
      </c>
    </row>
    <row r="836">
      <c r="A836" s="7"/>
      <c r="B836" s="16"/>
      <c r="C836" s="12"/>
      <c r="D836" s="12"/>
      <c r="E836" s="9"/>
      <c r="F836" s="10"/>
      <c r="G836" s="11"/>
      <c r="H836" s="9"/>
      <c r="I836" s="31"/>
      <c r="J836" s="9"/>
      <c r="K836" s="9"/>
      <c r="L836" s="21" t="s">
        <v>47</v>
      </c>
      <c r="M836" s="30" t="s">
        <v>1073</v>
      </c>
      <c r="N836" s="30" t="s">
        <v>1073</v>
      </c>
      <c r="O836" s="29" t="s">
        <v>2647</v>
      </c>
      <c r="P836" s="14" t="s">
        <v>533</v>
      </c>
      <c r="Q836" s="14" t="s">
        <v>533</v>
      </c>
      <c r="R836" s="16" t="str">
        <f t="shared" si="2"/>
        <v>Igual</v>
      </c>
    </row>
    <row r="837">
      <c r="A837" s="7"/>
      <c r="B837" s="16"/>
      <c r="C837" s="12"/>
      <c r="D837" s="12"/>
      <c r="E837" s="9"/>
      <c r="F837" s="10"/>
      <c r="G837" s="11"/>
      <c r="H837" s="9"/>
      <c r="I837" s="31"/>
      <c r="J837" s="9"/>
      <c r="K837" s="9"/>
      <c r="L837" s="21" t="s">
        <v>53</v>
      </c>
      <c r="M837" s="30" t="s">
        <v>1073</v>
      </c>
      <c r="N837" s="30" t="s">
        <v>1073</v>
      </c>
      <c r="O837" s="29" t="s">
        <v>2648</v>
      </c>
      <c r="P837" s="14" t="s">
        <v>533</v>
      </c>
      <c r="Q837" s="14" t="s">
        <v>533</v>
      </c>
      <c r="R837" s="16" t="str">
        <f t="shared" si="2"/>
        <v>Igual</v>
      </c>
    </row>
    <row r="838">
      <c r="A838" s="7"/>
      <c r="B838" s="16"/>
      <c r="C838" s="12"/>
      <c r="D838" s="12"/>
      <c r="E838" s="9"/>
      <c r="F838" s="10"/>
      <c r="G838" s="11"/>
      <c r="H838" s="9"/>
      <c r="I838" s="31"/>
      <c r="J838" s="9"/>
      <c r="K838" s="9"/>
      <c r="L838" s="21" t="s">
        <v>59</v>
      </c>
      <c r="M838" s="30" t="s">
        <v>1073</v>
      </c>
      <c r="N838" s="30" t="s">
        <v>1073</v>
      </c>
      <c r="O838" s="29" t="s">
        <v>2649</v>
      </c>
      <c r="P838" s="14" t="s">
        <v>533</v>
      </c>
      <c r="Q838" s="14" t="s">
        <v>533</v>
      </c>
      <c r="R838" s="16" t="str">
        <f t="shared" si="2"/>
        <v>Igual</v>
      </c>
    </row>
    <row r="839">
      <c r="A839" s="7"/>
      <c r="B839" s="16"/>
      <c r="C839" s="12"/>
      <c r="D839" s="12"/>
      <c r="E839" s="9"/>
      <c r="F839" s="10"/>
      <c r="G839" s="11"/>
      <c r="H839" s="9"/>
      <c r="I839" s="31"/>
      <c r="J839" s="9"/>
      <c r="K839" s="9"/>
      <c r="L839" s="21" t="s">
        <v>65</v>
      </c>
      <c r="M839" s="30" t="s">
        <v>1073</v>
      </c>
      <c r="N839" s="30" t="s">
        <v>1073</v>
      </c>
      <c r="O839" s="29" t="s">
        <v>2650</v>
      </c>
      <c r="P839" s="14" t="s">
        <v>533</v>
      </c>
      <c r="Q839" s="14" t="s">
        <v>533</v>
      </c>
      <c r="R839" s="16" t="str">
        <f t="shared" si="2"/>
        <v>Igual</v>
      </c>
    </row>
    <row r="840">
      <c r="A840" s="7"/>
      <c r="B840" s="16"/>
      <c r="C840" s="12"/>
      <c r="D840" s="12"/>
      <c r="E840" s="9"/>
      <c r="F840" s="10"/>
      <c r="G840" s="11"/>
      <c r="H840" s="9"/>
      <c r="I840" s="31"/>
      <c r="J840" s="9"/>
      <c r="K840" s="9"/>
      <c r="L840" s="21" t="s">
        <v>71</v>
      </c>
      <c r="M840" s="30" t="s">
        <v>1073</v>
      </c>
      <c r="N840" s="30" t="s">
        <v>1073</v>
      </c>
      <c r="O840" s="29" t="s">
        <v>2651</v>
      </c>
      <c r="P840" s="14" t="s">
        <v>533</v>
      </c>
      <c r="Q840" s="14" t="s">
        <v>533</v>
      </c>
      <c r="R840" s="16" t="str">
        <f t="shared" si="2"/>
        <v>Igual</v>
      </c>
    </row>
    <row r="841">
      <c r="A841" s="7" t="s">
        <v>433</v>
      </c>
      <c r="B841" s="14" t="s">
        <v>20</v>
      </c>
      <c r="C841" s="12"/>
      <c r="D841" s="17" t="s">
        <v>2053</v>
      </c>
      <c r="E841" s="9" t="s">
        <v>434</v>
      </c>
      <c r="F841" s="10" t="s">
        <v>435</v>
      </c>
      <c r="G841" s="22" t="s">
        <v>110</v>
      </c>
      <c r="H841" s="9" t="s">
        <v>436</v>
      </c>
      <c r="I841" s="29" t="s">
        <v>2054</v>
      </c>
      <c r="J841" s="9"/>
      <c r="K841" s="9" t="s">
        <v>392</v>
      </c>
      <c r="L841" s="21" t="s">
        <v>25</v>
      </c>
      <c r="M841" s="30" t="s">
        <v>1073</v>
      </c>
      <c r="N841" s="30" t="s">
        <v>2652</v>
      </c>
      <c r="O841" s="29" t="s">
        <v>2653</v>
      </c>
      <c r="P841" s="14" t="s">
        <v>562</v>
      </c>
      <c r="Q841" s="14" t="s">
        <v>533</v>
      </c>
      <c r="R841" s="16" t="str">
        <f t="shared" si="2"/>
        <v>Diferente</v>
      </c>
    </row>
    <row r="842">
      <c r="A842" s="7"/>
      <c r="B842" s="16"/>
      <c r="C842" s="12"/>
      <c r="D842" s="12"/>
      <c r="E842" s="9"/>
      <c r="F842" s="10"/>
      <c r="G842" s="11"/>
      <c r="H842" s="9"/>
      <c r="I842" s="31"/>
      <c r="J842" s="9"/>
      <c r="K842" s="9"/>
      <c r="L842" s="21" t="s">
        <v>31</v>
      </c>
      <c r="M842" s="30" t="s">
        <v>1073</v>
      </c>
      <c r="N842" s="30" t="s">
        <v>2654</v>
      </c>
      <c r="O842" s="29" t="s">
        <v>2655</v>
      </c>
      <c r="P842" s="14" t="s">
        <v>562</v>
      </c>
      <c r="Q842" s="14" t="s">
        <v>533</v>
      </c>
      <c r="R842" s="16" t="str">
        <f t="shared" si="2"/>
        <v>Diferente</v>
      </c>
    </row>
    <row r="843">
      <c r="A843" s="7"/>
      <c r="B843" s="16"/>
      <c r="C843" s="12"/>
      <c r="D843" s="12"/>
      <c r="E843" s="9"/>
      <c r="F843" s="10"/>
      <c r="G843" s="11"/>
      <c r="H843" s="9"/>
      <c r="I843" s="31"/>
      <c r="J843" s="9"/>
      <c r="K843" s="9"/>
      <c r="L843" s="21" t="s">
        <v>36</v>
      </c>
      <c r="M843" s="30" t="s">
        <v>1073</v>
      </c>
      <c r="N843" s="30" t="s">
        <v>2656</v>
      </c>
      <c r="O843" s="29" t="s">
        <v>2657</v>
      </c>
      <c r="P843" s="14" t="s">
        <v>562</v>
      </c>
      <c r="Q843" s="14" t="s">
        <v>533</v>
      </c>
      <c r="R843" s="16" t="str">
        <f t="shared" si="2"/>
        <v>Diferente</v>
      </c>
    </row>
    <row r="844">
      <c r="A844" s="7"/>
      <c r="B844" s="16"/>
      <c r="C844" s="12"/>
      <c r="D844" s="12"/>
      <c r="E844" s="9"/>
      <c r="F844" s="10"/>
      <c r="G844" s="11"/>
      <c r="H844" s="9"/>
      <c r="I844" s="31"/>
      <c r="J844" s="9"/>
      <c r="K844" s="9"/>
      <c r="L844" s="21" t="s">
        <v>41</v>
      </c>
      <c r="M844" s="30" t="s">
        <v>1073</v>
      </c>
      <c r="N844" s="30" t="s">
        <v>2658</v>
      </c>
      <c r="O844" s="29" t="s">
        <v>2659</v>
      </c>
      <c r="P844" s="14" t="s">
        <v>562</v>
      </c>
      <c r="Q844" s="14" t="s">
        <v>542</v>
      </c>
      <c r="R844" s="16" t="str">
        <f t="shared" si="2"/>
        <v>Diferente</v>
      </c>
    </row>
    <row r="845">
      <c r="A845" s="7"/>
      <c r="B845" s="16"/>
      <c r="C845" s="12"/>
      <c r="D845" s="12"/>
      <c r="E845" s="9"/>
      <c r="F845" s="10"/>
      <c r="G845" s="11"/>
      <c r="H845" s="9"/>
      <c r="I845" s="31"/>
      <c r="J845" s="9"/>
      <c r="K845" s="9"/>
      <c r="L845" s="21" t="s">
        <v>47</v>
      </c>
      <c r="M845" s="30" t="s">
        <v>1073</v>
      </c>
      <c r="N845" s="30" t="s">
        <v>2660</v>
      </c>
      <c r="O845" s="29" t="s">
        <v>2661</v>
      </c>
      <c r="P845" s="14" t="s">
        <v>562</v>
      </c>
      <c r="Q845" s="14" t="s">
        <v>533</v>
      </c>
      <c r="R845" s="16" t="str">
        <f t="shared" si="2"/>
        <v>Diferente</v>
      </c>
    </row>
    <row r="846">
      <c r="A846" s="7"/>
      <c r="B846" s="16"/>
      <c r="C846" s="12"/>
      <c r="D846" s="12"/>
      <c r="E846" s="9"/>
      <c r="F846" s="10"/>
      <c r="G846" s="11"/>
      <c r="H846" s="9"/>
      <c r="I846" s="31"/>
      <c r="J846" s="9"/>
      <c r="K846" s="9"/>
      <c r="L846" s="21" t="s">
        <v>53</v>
      </c>
      <c r="M846" s="30" t="s">
        <v>1073</v>
      </c>
      <c r="N846" s="30" t="s">
        <v>2662</v>
      </c>
      <c r="O846" s="29" t="s">
        <v>2663</v>
      </c>
      <c r="P846" s="14" t="s">
        <v>562</v>
      </c>
      <c r="Q846" s="14" t="s">
        <v>533</v>
      </c>
      <c r="R846" s="16" t="str">
        <f t="shared" si="2"/>
        <v>Diferente</v>
      </c>
    </row>
    <row r="847">
      <c r="A847" s="7"/>
      <c r="B847" s="16"/>
      <c r="C847" s="12"/>
      <c r="D847" s="12"/>
      <c r="E847" s="9"/>
      <c r="F847" s="10"/>
      <c r="G847" s="11"/>
      <c r="H847" s="9"/>
      <c r="I847" s="31"/>
      <c r="J847" s="9"/>
      <c r="K847" s="9"/>
      <c r="L847" s="21" t="s">
        <v>59</v>
      </c>
      <c r="M847" s="30" t="s">
        <v>1073</v>
      </c>
      <c r="N847" s="30" t="s">
        <v>2664</v>
      </c>
      <c r="O847" s="29" t="s">
        <v>2665</v>
      </c>
      <c r="P847" s="14" t="s">
        <v>562</v>
      </c>
      <c r="Q847" s="14" t="s">
        <v>533</v>
      </c>
      <c r="R847" s="16" t="str">
        <f t="shared" si="2"/>
        <v>Diferente</v>
      </c>
    </row>
    <row r="848">
      <c r="A848" s="7"/>
      <c r="B848" s="16"/>
      <c r="C848" s="12"/>
      <c r="D848" s="12"/>
      <c r="E848" s="9"/>
      <c r="F848" s="10"/>
      <c r="G848" s="11"/>
      <c r="H848" s="9"/>
      <c r="I848" s="31"/>
      <c r="J848" s="9"/>
      <c r="K848" s="9"/>
      <c r="L848" s="21" t="s">
        <v>65</v>
      </c>
      <c r="M848" s="30" t="s">
        <v>1073</v>
      </c>
      <c r="N848" s="30" t="s">
        <v>2666</v>
      </c>
      <c r="O848" s="29" t="s">
        <v>2667</v>
      </c>
      <c r="P848" s="14" t="s">
        <v>562</v>
      </c>
      <c r="Q848" s="14" t="s">
        <v>533</v>
      </c>
      <c r="R848" s="16" t="str">
        <f t="shared" si="2"/>
        <v>Diferente</v>
      </c>
    </row>
    <row r="849">
      <c r="A849" s="7"/>
      <c r="B849" s="16"/>
      <c r="C849" s="12"/>
      <c r="D849" s="12"/>
      <c r="E849" s="9"/>
      <c r="F849" s="10"/>
      <c r="G849" s="11"/>
      <c r="H849" s="9"/>
      <c r="I849" s="31"/>
      <c r="J849" s="9"/>
      <c r="K849" s="9"/>
      <c r="L849" s="21" t="s">
        <v>71</v>
      </c>
      <c r="M849" s="30" t="s">
        <v>1073</v>
      </c>
      <c r="N849" s="30" t="s">
        <v>2668</v>
      </c>
      <c r="O849" s="29" t="s">
        <v>2669</v>
      </c>
      <c r="P849" s="14" t="s">
        <v>562</v>
      </c>
      <c r="Q849" s="14" t="s">
        <v>542</v>
      </c>
      <c r="R849" s="16" t="str">
        <f t="shared" si="2"/>
        <v>Diferente</v>
      </c>
    </row>
    <row r="850">
      <c r="A850" s="7" t="s">
        <v>437</v>
      </c>
      <c r="B850" s="14" t="s">
        <v>1057</v>
      </c>
      <c r="C850" s="12"/>
      <c r="D850" s="49" t="s">
        <v>2055</v>
      </c>
      <c r="E850" s="9" t="s">
        <v>438</v>
      </c>
      <c r="F850" s="10" t="s">
        <v>439</v>
      </c>
      <c r="G850" s="22" t="s">
        <v>110</v>
      </c>
      <c r="H850" s="9" t="s">
        <v>440</v>
      </c>
      <c r="I850" s="29" t="s">
        <v>528</v>
      </c>
      <c r="J850" s="9"/>
      <c r="K850" s="9" t="s">
        <v>392</v>
      </c>
      <c r="L850" s="21" t="s">
        <v>25</v>
      </c>
      <c r="M850" s="14" t="s">
        <v>1073</v>
      </c>
      <c r="N850" s="30" t="s">
        <v>1073</v>
      </c>
      <c r="O850" s="29" t="s">
        <v>2670</v>
      </c>
      <c r="P850" s="14" t="s">
        <v>533</v>
      </c>
      <c r="Q850" s="14" t="s">
        <v>533</v>
      </c>
      <c r="R850" s="16" t="str">
        <f t="shared" si="2"/>
        <v>Igual</v>
      </c>
    </row>
    <row r="851">
      <c r="A851" s="7"/>
      <c r="B851" s="16"/>
      <c r="C851" s="12"/>
      <c r="D851" s="50"/>
      <c r="E851" s="9"/>
      <c r="F851" s="10"/>
      <c r="G851" s="11"/>
      <c r="H851" s="9"/>
      <c r="I851" s="31"/>
      <c r="J851" s="9"/>
      <c r="K851" s="9"/>
      <c r="L851" s="21" t="s">
        <v>31</v>
      </c>
      <c r="M851" s="14" t="s">
        <v>1073</v>
      </c>
      <c r="N851" s="14" t="s">
        <v>1073</v>
      </c>
      <c r="O851" s="29" t="s">
        <v>2671</v>
      </c>
      <c r="P851" s="14" t="s">
        <v>533</v>
      </c>
      <c r="Q851" s="14" t="s">
        <v>533</v>
      </c>
      <c r="R851" s="16" t="str">
        <f t="shared" si="2"/>
        <v>Igual</v>
      </c>
    </row>
    <row r="852">
      <c r="A852" s="7"/>
      <c r="B852" s="16"/>
      <c r="C852" s="12"/>
      <c r="D852" s="12"/>
      <c r="E852" s="9"/>
      <c r="F852" s="10"/>
      <c r="G852" s="11"/>
      <c r="H852" s="9"/>
      <c r="I852" s="31"/>
      <c r="J852" s="9"/>
      <c r="K852" s="9"/>
      <c r="L852" s="21" t="s">
        <v>36</v>
      </c>
      <c r="M852" s="14" t="s">
        <v>1073</v>
      </c>
      <c r="N852" s="14" t="s">
        <v>1073</v>
      </c>
      <c r="O852" s="29" t="s">
        <v>2672</v>
      </c>
      <c r="P852" s="14" t="s">
        <v>533</v>
      </c>
      <c r="Q852" s="14" t="s">
        <v>533</v>
      </c>
      <c r="R852" s="16" t="str">
        <f t="shared" si="2"/>
        <v>Igual</v>
      </c>
    </row>
    <row r="853">
      <c r="A853" s="7"/>
      <c r="B853" s="16"/>
      <c r="C853" s="12"/>
      <c r="D853" s="12"/>
      <c r="E853" s="9"/>
      <c r="F853" s="10"/>
      <c r="G853" s="11"/>
      <c r="H853" s="9"/>
      <c r="I853" s="31"/>
      <c r="J853" s="9"/>
      <c r="K853" s="9"/>
      <c r="L853" s="21" t="s">
        <v>41</v>
      </c>
      <c r="M853" s="14" t="s">
        <v>1073</v>
      </c>
      <c r="N853" s="14" t="s">
        <v>1073</v>
      </c>
      <c r="O853" s="29" t="s">
        <v>2673</v>
      </c>
      <c r="P853" s="14" t="s">
        <v>533</v>
      </c>
      <c r="Q853" s="14" t="s">
        <v>533</v>
      </c>
      <c r="R853" s="16" t="str">
        <f t="shared" si="2"/>
        <v>Igual</v>
      </c>
    </row>
    <row r="854">
      <c r="A854" s="7"/>
      <c r="B854" s="16"/>
      <c r="C854" s="12"/>
      <c r="D854" s="12"/>
      <c r="E854" s="9"/>
      <c r="F854" s="10"/>
      <c r="G854" s="11"/>
      <c r="H854" s="9"/>
      <c r="I854" s="31"/>
      <c r="J854" s="9"/>
      <c r="K854" s="9"/>
      <c r="L854" s="21" t="s">
        <v>47</v>
      </c>
      <c r="M854" s="14" t="s">
        <v>1073</v>
      </c>
      <c r="N854" s="14" t="s">
        <v>1073</v>
      </c>
      <c r="O854" s="29" t="s">
        <v>2674</v>
      </c>
      <c r="P854" s="14" t="s">
        <v>533</v>
      </c>
      <c r="Q854" s="14" t="s">
        <v>533</v>
      </c>
      <c r="R854" s="16" t="str">
        <f t="shared" si="2"/>
        <v>Igual</v>
      </c>
    </row>
    <row r="855">
      <c r="A855" s="7"/>
      <c r="B855" s="16"/>
      <c r="C855" s="12"/>
      <c r="D855" s="12"/>
      <c r="E855" s="9"/>
      <c r="F855" s="10"/>
      <c r="G855" s="11"/>
      <c r="H855" s="9"/>
      <c r="I855" s="31"/>
      <c r="J855" s="9"/>
      <c r="K855" s="9"/>
      <c r="L855" s="21" t="s">
        <v>53</v>
      </c>
      <c r="M855" s="14" t="s">
        <v>1073</v>
      </c>
      <c r="N855" s="14" t="s">
        <v>1073</v>
      </c>
      <c r="O855" s="29" t="s">
        <v>2675</v>
      </c>
      <c r="P855" s="14" t="s">
        <v>533</v>
      </c>
      <c r="Q855" s="14" t="s">
        <v>533</v>
      </c>
      <c r="R855" s="16" t="str">
        <f t="shared" si="2"/>
        <v>Igual</v>
      </c>
    </row>
    <row r="856">
      <c r="A856" s="7"/>
      <c r="B856" s="16"/>
      <c r="C856" s="12"/>
      <c r="D856" s="12"/>
      <c r="E856" s="9"/>
      <c r="F856" s="10"/>
      <c r="G856" s="11"/>
      <c r="H856" s="9"/>
      <c r="I856" s="31"/>
      <c r="J856" s="9"/>
      <c r="K856" s="9"/>
      <c r="L856" s="21" t="s">
        <v>59</v>
      </c>
      <c r="M856" s="14" t="s">
        <v>1073</v>
      </c>
      <c r="N856" s="14" t="s">
        <v>1073</v>
      </c>
      <c r="O856" s="29" t="s">
        <v>2676</v>
      </c>
      <c r="P856" s="14" t="s">
        <v>533</v>
      </c>
      <c r="Q856" s="14" t="s">
        <v>533</v>
      </c>
      <c r="R856" s="16" t="str">
        <f t="shared" si="2"/>
        <v>Igual</v>
      </c>
    </row>
    <row r="857">
      <c r="A857" s="7"/>
      <c r="B857" s="16"/>
      <c r="C857" s="12"/>
      <c r="D857" s="12"/>
      <c r="E857" s="9"/>
      <c r="F857" s="10"/>
      <c r="G857" s="11"/>
      <c r="H857" s="9"/>
      <c r="I857" s="31"/>
      <c r="J857" s="9"/>
      <c r="K857" s="9"/>
      <c r="L857" s="21" t="s">
        <v>65</v>
      </c>
      <c r="M857" s="14" t="s">
        <v>1073</v>
      </c>
      <c r="N857" s="14" t="s">
        <v>1073</v>
      </c>
      <c r="O857" s="29" t="s">
        <v>2676</v>
      </c>
      <c r="P857" s="14" t="s">
        <v>533</v>
      </c>
      <c r="Q857" s="14" t="s">
        <v>533</v>
      </c>
      <c r="R857" s="16" t="str">
        <f t="shared" si="2"/>
        <v>Igual</v>
      </c>
    </row>
    <row r="858">
      <c r="A858" s="7"/>
      <c r="B858" s="16"/>
      <c r="C858" s="12"/>
      <c r="D858" s="12"/>
      <c r="E858" s="9"/>
      <c r="F858" s="10"/>
      <c r="G858" s="11"/>
      <c r="H858" s="9"/>
      <c r="I858" s="31"/>
      <c r="J858" s="9"/>
      <c r="K858" s="9"/>
      <c r="L858" s="21" t="s">
        <v>71</v>
      </c>
      <c r="M858" s="46"/>
      <c r="N858" s="14" t="s">
        <v>1073</v>
      </c>
      <c r="O858" s="29" t="s">
        <v>2677</v>
      </c>
      <c r="P858" s="14" t="s">
        <v>533</v>
      </c>
      <c r="Q858" s="14" t="s">
        <v>533</v>
      </c>
      <c r="R858" s="16" t="str">
        <f t="shared" si="2"/>
        <v>Igual</v>
      </c>
    </row>
    <row r="859">
      <c r="A859" s="7" t="s">
        <v>441</v>
      </c>
      <c r="B859" s="14" t="s">
        <v>20</v>
      </c>
      <c r="C859" s="12"/>
      <c r="D859" s="17" t="s">
        <v>2056</v>
      </c>
      <c r="E859" s="9" t="s">
        <v>442</v>
      </c>
      <c r="F859" s="10" t="s">
        <v>443</v>
      </c>
      <c r="G859" s="22" t="s">
        <v>110</v>
      </c>
      <c r="H859" s="9" t="s">
        <v>444</v>
      </c>
      <c r="I859" s="29" t="s">
        <v>2057</v>
      </c>
      <c r="J859" s="9"/>
      <c r="K859" s="9" t="s">
        <v>392</v>
      </c>
      <c r="L859" s="21" t="s">
        <v>25</v>
      </c>
      <c r="M859" s="14" t="s">
        <v>1073</v>
      </c>
      <c r="N859" s="30" t="s">
        <v>2678</v>
      </c>
      <c r="O859" s="29" t="s">
        <v>2679</v>
      </c>
      <c r="P859" s="14" t="s">
        <v>562</v>
      </c>
      <c r="Q859" s="14" t="s">
        <v>533</v>
      </c>
      <c r="R859" s="16" t="str">
        <f t="shared" si="2"/>
        <v>Diferente</v>
      </c>
    </row>
    <row r="860">
      <c r="A860" s="7"/>
      <c r="B860" s="16"/>
      <c r="C860" s="12"/>
      <c r="D860" s="12"/>
      <c r="E860" s="9"/>
      <c r="F860" s="10"/>
      <c r="G860" s="11"/>
      <c r="H860" s="9"/>
      <c r="I860" s="31"/>
      <c r="J860" s="9"/>
      <c r="K860" s="9"/>
      <c r="L860" s="21" t="s">
        <v>31</v>
      </c>
      <c r="M860" s="14" t="s">
        <v>1073</v>
      </c>
      <c r="N860" s="30" t="s">
        <v>2680</v>
      </c>
      <c r="O860" s="29" t="s">
        <v>2681</v>
      </c>
      <c r="P860" s="14" t="s">
        <v>562</v>
      </c>
      <c r="Q860" s="14" t="s">
        <v>533</v>
      </c>
      <c r="R860" s="16" t="str">
        <f t="shared" si="2"/>
        <v>Diferente</v>
      </c>
    </row>
    <row r="861">
      <c r="A861" s="7"/>
      <c r="B861" s="16"/>
      <c r="C861" s="12"/>
      <c r="D861" s="12"/>
      <c r="E861" s="9"/>
      <c r="F861" s="10"/>
      <c r="G861" s="11"/>
      <c r="H861" s="9"/>
      <c r="I861" s="31"/>
      <c r="J861" s="9"/>
      <c r="K861" s="9"/>
      <c r="L861" s="21" t="s">
        <v>36</v>
      </c>
      <c r="M861" s="14" t="s">
        <v>1073</v>
      </c>
      <c r="N861" s="30" t="s">
        <v>2682</v>
      </c>
      <c r="O861" s="29" t="s">
        <v>2683</v>
      </c>
      <c r="P861" s="14" t="s">
        <v>562</v>
      </c>
      <c r="Q861" s="14" t="s">
        <v>533</v>
      </c>
      <c r="R861" s="16" t="str">
        <f t="shared" si="2"/>
        <v>Diferente</v>
      </c>
    </row>
    <row r="862">
      <c r="A862" s="7"/>
      <c r="B862" s="16"/>
      <c r="C862" s="12"/>
      <c r="D862" s="12"/>
      <c r="E862" s="9"/>
      <c r="F862" s="10"/>
      <c r="G862" s="11"/>
      <c r="H862" s="9"/>
      <c r="I862" s="31"/>
      <c r="J862" s="9"/>
      <c r="K862" s="9"/>
      <c r="L862" s="21" t="s">
        <v>41</v>
      </c>
      <c r="M862" s="14" t="s">
        <v>1073</v>
      </c>
      <c r="N862" s="30" t="s">
        <v>2684</v>
      </c>
      <c r="O862" s="29" t="s">
        <v>2685</v>
      </c>
      <c r="P862" s="14" t="s">
        <v>562</v>
      </c>
      <c r="Q862" s="14" t="s">
        <v>533</v>
      </c>
      <c r="R862" s="16" t="str">
        <f t="shared" si="2"/>
        <v>Diferente</v>
      </c>
    </row>
    <row r="863">
      <c r="A863" s="7"/>
      <c r="B863" s="16"/>
      <c r="C863" s="12"/>
      <c r="D863" s="12"/>
      <c r="E863" s="9"/>
      <c r="F863" s="10"/>
      <c r="G863" s="11"/>
      <c r="H863" s="9"/>
      <c r="I863" s="31"/>
      <c r="J863" s="9"/>
      <c r="K863" s="9"/>
      <c r="L863" s="21" t="s">
        <v>47</v>
      </c>
      <c r="M863" s="14" t="s">
        <v>1073</v>
      </c>
      <c r="N863" s="30" t="s">
        <v>1073</v>
      </c>
      <c r="O863" s="29" t="s">
        <v>2686</v>
      </c>
      <c r="P863" s="14" t="s">
        <v>533</v>
      </c>
      <c r="Q863" s="14" t="s">
        <v>533</v>
      </c>
      <c r="R863" s="16" t="str">
        <f t="shared" si="2"/>
        <v>Igual</v>
      </c>
    </row>
    <row r="864">
      <c r="A864" s="7"/>
      <c r="B864" s="16"/>
      <c r="C864" s="12"/>
      <c r="D864" s="12"/>
      <c r="E864" s="9"/>
      <c r="F864" s="10"/>
      <c r="G864" s="11"/>
      <c r="H864" s="9"/>
      <c r="I864" s="31"/>
      <c r="J864" s="9"/>
      <c r="K864" s="9"/>
      <c r="L864" s="21" t="s">
        <v>53</v>
      </c>
      <c r="M864" s="14" t="s">
        <v>1073</v>
      </c>
      <c r="N864" s="14" t="s">
        <v>1073</v>
      </c>
      <c r="O864" s="29" t="s">
        <v>2687</v>
      </c>
      <c r="P864" s="14" t="s">
        <v>533</v>
      </c>
      <c r="Q864" s="14" t="s">
        <v>533</v>
      </c>
      <c r="R864" s="16" t="str">
        <f t="shared" si="2"/>
        <v>Igual</v>
      </c>
    </row>
    <row r="865">
      <c r="A865" s="7"/>
      <c r="B865" s="16"/>
      <c r="C865" s="12"/>
      <c r="D865" s="12"/>
      <c r="E865" s="9"/>
      <c r="F865" s="10"/>
      <c r="G865" s="11"/>
      <c r="H865" s="9"/>
      <c r="I865" s="31"/>
      <c r="J865" s="9"/>
      <c r="K865" s="9"/>
      <c r="L865" s="21" t="s">
        <v>59</v>
      </c>
      <c r="M865" s="14" t="s">
        <v>1073</v>
      </c>
      <c r="N865" s="14" t="s">
        <v>1073</v>
      </c>
      <c r="O865" s="29" t="s">
        <v>2687</v>
      </c>
      <c r="P865" s="14" t="s">
        <v>533</v>
      </c>
      <c r="Q865" s="14" t="s">
        <v>533</v>
      </c>
      <c r="R865" s="16" t="str">
        <f t="shared" si="2"/>
        <v>Igual</v>
      </c>
    </row>
    <row r="866">
      <c r="A866" s="7"/>
      <c r="B866" s="16"/>
      <c r="C866" s="12"/>
      <c r="D866" s="12"/>
      <c r="E866" s="9"/>
      <c r="F866" s="10"/>
      <c r="G866" s="11"/>
      <c r="H866" s="9"/>
      <c r="I866" s="31"/>
      <c r="J866" s="9"/>
      <c r="K866" s="9"/>
      <c r="L866" s="21" t="s">
        <v>65</v>
      </c>
      <c r="M866" s="14" t="s">
        <v>1073</v>
      </c>
      <c r="N866" s="14" t="s">
        <v>1073</v>
      </c>
      <c r="O866" s="29" t="s">
        <v>2687</v>
      </c>
      <c r="P866" s="14" t="s">
        <v>533</v>
      </c>
      <c r="Q866" s="14" t="s">
        <v>533</v>
      </c>
      <c r="R866" s="16" t="str">
        <f t="shared" si="2"/>
        <v>Igual</v>
      </c>
    </row>
    <row r="867">
      <c r="A867" s="7"/>
      <c r="B867" s="16"/>
      <c r="C867" s="12"/>
      <c r="D867" s="12"/>
      <c r="E867" s="9"/>
      <c r="F867" s="10"/>
      <c r="G867" s="11"/>
      <c r="H867" s="9"/>
      <c r="I867" s="31"/>
      <c r="J867" s="9"/>
      <c r="K867" s="9"/>
      <c r="L867" s="21" t="s">
        <v>71</v>
      </c>
      <c r="M867" s="14" t="s">
        <v>1073</v>
      </c>
      <c r="N867" s="14" t="s">
        <v>1073</v>
      </c>
      <c r="O867" s="29" t="s">
        <v>2687</v>
      </c>
      <c r="P867" s="14" t="s">
        <v>533</v>
      </c>
      <c r="Q867" s="14" t="s">
        <v>533</v>
      </c>
      <c r="R867" s="16" t="str">
        <f t="shared" si="2"/>
        <v>Igual</v>
      </c>
    </row>
    <row r="868">
      <c r="A868" s="7" t="s">
        <v>445</v>
      </c>
      <c r="B868" s="14" t="s">
        <v>20</v>
      </c>
      <c r="C868" s="12"/>
      <c r="D868" s="17" t="s">
        <v>2058</v>
      </c>
      <c r="E868" s="9" t="s">
        <v>446</v>
      </c>
      <c r="F868" s="10" t="s">
        <v>447</v>
      </c>
      <c r="G868" s="22" t="s">
        <v>97</v>
      </c>
      <c r="H868" s="9" t="s">
        <v>448</v>
      </c>
      <c r="I868" s="29" t="s">
        <v>528</v>
      </c>
      <c r="J868" s="9"/>
      <c r="K868" s="9" t="s">
        <v>392</v>
      </c>
      <c r="L868" s="21" t="s">
        <v>25</v>
      </c>
      <c r="M868" s="30" t="s">
        <v>1073</v>
      </c>
      <c r="N868" s="14" t="s">
        <v>1073</v>
      </c>
      <c r="O868" s="29" t="s">
        <v>2688</v>
      </c>
      <c r="P868" s="14" t="s">
        <v>533</v>
      </c>
      <c r="Q868" s="14" t="s">
        <v>533</v>
      </c>
      <c r="R868" s="16" t="str">
        <f t="shared" si="2"/>
        <v>Igual</v>
      </c>
    </row>
    <row r="869">
      <c r="A869" s="7"/>
      <c r="B869" s="16"/>
      <c r="C869" s="12"/>
      <c r="D869" s="12"/>
      <c r="E869" s="9"/>
      <c r="F869" s="10"/>
      <c r="G869" s="11"/>
      <c r="H869" s="9"/>
      <c r="I869" s="31"/>
      <c r="J869" s="9"/>
      <c r="K869" s="9"/>
      <c r="L869" s="21" t="s">
        <v>31</v>
      </c>
      <c r="M869" s="14" t="s">
        <v>1073</v>
      </c>
      <c r="N869" s="14" t="s">
        <v>1073</v>
      </c>
      <c r="O869" s="29" t="s">
        <v>2688</v>
      </c>
      <c r="P869" s="14" t="s">
        <v>533</v>
      </c>
      <c r="Q869" s="14" t="s">
        <v>533</v>
      </c>
      <c r="R869" s="16" t="str">
        <f t="shared" si="2"/>
        <v>Igual</v>
      </c>
    </row>
    <row r="870">
      <c r="A870" s="7"/>
      <c r="B870" s="16"/>
      <c r="C870" s="12"/>
      <c r="D870" s="12"/>
      <c r="E870" s="9"/>
      <c r="F870" s="10"/>
      <c r="G870" s="11"/>
      <c r="H870" s="9"/>
      <c r="I870" s="31"/>
      <c r="J870" s="9"/>
      <c r="K870" s="9"/>
      <c r="L870" s="21" t="s">
        <v>36</v>
      </c>
      <c r="M870" s="14" t="s">
        <v>1073</v>
      </c>
      <c r="N870" s="14" t="s">
        <v>1073</v>
      </c>
      <c r="O870" s="29" t="s">
        <v>2688</v>
      </c>
      <c r="P870" s="14" t="s">
        <v>533</v>
      </c>
      <c r="Q870" s="14" t="s">
        <v>533</v>
      </c>
      <c r="R870" s="16" t="str">
        <f t="shared" si="2"/>
        <v>Igual</v>
      </c>
    </row>
    <row r="871">
      <c r="A871" s="7"/>
      <c r="B871" s="16"/>
      <c r="C871" s="12"/>
      <c r="D871" s="12"/>
      <c r="E871" s="9"/>
      <c r="F871" s="10"/>
      <c r="G871" s="11"/>
      <c r="H871" s="9"/>
      <c r="I871" s="31"/>
      <c r="J871" s="9"/>
      <c r="K871" s="9"/>
      <c r="L871" s="21" t="s">
        <v>41</v>
      </c>
      <c r="M871" s="14" t="s">
        <v>1073</v>
      </c>
      <c r="N871" s="14" t="s">
        <v>1073</v>
      </c>
      <c r="O871" s="29" t="s">
        <v>2688</v>
      </c>
      <c r="P871" s="14" t="s">
        <v>533</v>
      </c>
      <c r="Q871" s="14" t="s">
        <v>533</v>
      </c>
      <c r="R871" s="16" t="str">
        <f t="shared" si="2"/>
        <v>Igual</v>
      </c>
    </row>
    <row r="872">
      <c r="A872" s="7"/>
      <c r="B872" s="16"/>
      <c r="C872" s="12"/>
      <c r="D872" s="12"/>
      <c r="E872" s="9"/>
      <c r="F872" s="10"/>
      <c r="G872" s="11"/>
      <c r="H872" s="9"/>
      <c r="I872" s="31"/>
      <c r="J872" s="9"/>
      <c r="K872" s="9"/>
      <c r="L872" s="21" t="s">
        <v>47</v>
      </c>
      <c r="M872" s="14" t="s">
        <v>1073</v>
      </c>
      <c r="N872" s="14" t="s">
        <v>1073</v>
      </c>
      <c r="O872" s="29" t="s">
        <v>2688</v>
      </c>
      <c r="P872" s="14" t="s">
        <v>533</v>
      </c>
      <c r="Q872" s="14" t="s">
        <v>533</v>
      </c>
      <c r="R872" s="16" t="str">
        <f t="shared" si="2"/>
        <v>Igual</v>
      </c>
    </row>
    <row r="873">
      <c r="A873" s="7"/>
      <c r="B873" s="16"/>
      <c r="C873" s="12"/>
      <c r="D873" s="12"/>
      <c r="E873" s="9"/>
      <c r="F873" s="10"/>
      <c r="G873" s="11"/>
      <c r="H873" s="9"/>
      <c r="I873" s="31"/>
      <c r="J873" s="9"/>
      <c r="K873" s="9"/>
      <c r="L873" s="21" t="s">
        <v>53</v>
      </c>
      <c r="M873" s="14" t="s">
        <v>1073</v>
      </c>
      <c r="N873" s="14" t="s">
        <v>1073</v>
      </c>
      <c r="O873" s="29" t="s">
        <v>2688</v>
      </c>
      <c r="P873" s="14" t="s">
        <v>533</v>
      </c>
      <c r="Q873" s="14" t="s">
        <v>533</v>
      </c>
      <c r="R873" s="16" t="str">
        <f t="shared" si="2"/>
        <v>Igual</v>
      </c>
    </row>
    <row r="874">
      <c r="A874" s="7"/>
      <c r="B874" s="16"/>
      <c r="C874" s="12"/>
      <c r="D874" s="12"/>
      <c r="E874" s="9"/>
      <c r="F874" s="10"/>
      <c r="G874" s="11"/>
      <c r="H874" s="9"/>
      <c r="I874" s="31"/>
      <c r="J874" s="9"/>
      <c r="K874" s="9"/>
      <c r="L874" s="21" t="s">
        <v>59</v>
      </c>
      <c r="M874" s="14" t="s">
        <v>1073</v>
      </c>
      <c r="N874" s="14" t="s">
        <v>1073</v>
      </c>
      <c r="O874" s="29" t="s">
        <v>2688</v>
      </c>
      <c r="P874" s="14" t="s">
        <v>533</v>
      </c>
      <c r="Q874" s="14" t="s">
        <v>533</v>
      </c>
      <c r="R874" s="16" t="str">
        <f t="shared" si="2"/>
        <v>Igual</v>
      </c>
    </row>
    <row r="875">
      <c r="A875" s="7"/>
      <c r="B875" s="16"/>
      <c r="C875" s="12"/>
      <c r="D875" s="12"/>
      <c r="E875" s="9"/>
      <c r="F875" s="10"/>
      <c r="G875" s="11"/>
      <c r="H875" s="9"/>
      <c r="I875" s="31"/>
      <c r="J875" s="9"/>
      <c r="K875" s="9"/>
      <c r="L875" s="21" t="s">
        <v>65</v>
      </c>
      <c r="M875" s="14" t="s">
        <v>1073</v>
      </c>
      <c r="N875" s="14" t="s">
        <v>1073</v>
      </c>
      <c r="O875" s="29" t="s">
        <v>2688</v>
      </c>
      <c r="P875" s="14" t="s">
        <v>533</v>
      </c>
      <c r="Q875" s="14" t="s">
        <v>533</v>
      </c>
      <c r="R875" s="16" t="str">
        <f t="shared" si="2"/>
        <v>Igual</v>
      </c>
    </row>
    <row r="876">
      <c r="A876" s="7"/>
      <c r="B876" s="16"/>
      <c r="C876" s="12"/>
      <c r="D876" s="12"/>
      <c r="E876" s="9"/>
      <c r="F876" s="10"/>
      <c r="G876" s="11"/>
      <c r="H876" s="9"/>
      <c r="I876" s="31"/>
      <c r="J876" s="9"/>
      <c r="K876" s="9"/>
      <c r="L876" s="21" t="s">
        <v>71</v>
      </c>
      <c r="M876" s="14" t="s">
        <v>1073</v>
      </c>
      <c r="N876" s="14" t="s">
        <v>1073</v>
      </c>
      <c r="O876" s="29" t="s">
        <v>2688</v>
      </c>
      <c r="P876" s="14" t="s">
        <v>533</v>
      </c>
      <c r="Q876" s="14" t="s">
        <v>533</v>
      </c>
      <c r="R876" s="16" t="str">
        <f t="shared" si="2"/>
        <v>Igual</v>
      </c>
    </row>
    <row r="877">
      <c r="A877" s="7" t="s">
        <v>449</v>
      </c>
      <c r="B877" s="14" t="s">
        <v>20</v>
      </c>
      <c r="C877" s="12"/>
      <c r="D877" s="17" t="s">
        <v>2059</v>
      </c>
      <c r="E877" s="9" t="s">
        <v>450</v>
      </c>
      <c r="F877" s="10" t="s">
        <v>451</v>
      </c>
      <c r="G877" s="22" t="s">
        <v>97</v>
      </c>
      <c r="H877" s="9" t="s">
        <v>452</v>
      </c>
      <c r="I877" s="29" t="s">
        <v>680</v>
      </c>
      <c r="J877" s="9"/>
      <c r="K877" s="9" t="s">
        <v>392</v>
      </c>
      <c r="L877" s="21" t="s">
        <v>25</v>
      </c>
      <c r="M877" s="30" t="s">
        <v>2689</v>
      </c>
      <c r="N877" s="14" t="s">
        <v>1073</v>
      </c>
      <c r="O877" s="29" t="s">
        <v>2690</v>
      </c>
      <c r="P877" s="14" t="s">
        <v>533</v>
      </c>
      <c r="Q877" s="14" t="s">
        <v>562</v>
      </c>
      <c r="R877" s="16" t="str">
        <f t="shared" si="2"/>
        <v>Diferente</v>
      </c>
    </row>
    <row r="878">
      <c r="A878" s="7"/>
      <c r="B878" s="16"/>
      <c r="C878" s="12"/>
      <c r="D878" s="12"/>
      <c r="E878" s="9"/>
      <c r="F878" s="10"/>
      <c r="G878" s="11"/>
      <c r="H878" s="9"/>
      <c r="I878" s="31"/>
      <c r="J878" s="9"/>
      <c r="K878" s="9"/>
      <c r="L878" s="21" t="s">
        <v>31</v>
      </c>
      <c r="M878" s="30" t="s">
        <v>2691</v>
      </c>
      <c r="N878" s="14" t="s">
        <v>1073</v>
      </c>
      <c r="O878" s="29" t="s">
        <v>2692</v>
      </c>
      <c r="P878" s="14" t="s">
        <v>533</v>
      </c>
      <c r="Q878" s="14" t="s">
        <v>562</v>
      </c>
      <c r="R878" s="16" t="str">
        <f t="shared" si="2"/>
        <v>Diferente</v>
      </c>
    </row>
    <row r="879">
      <c r="A879" s="7"/>
      <c r="B879" s="16"/>
      <c r="C879" s="12"/>
      <c r="D879" s="12"/>
      <c r="E879" s="9"/>
      <c r="F879" s="10"/>
      <c r="G879" s="11"/>
      <c r="H879" s="9"/>
      <c r="I879" s="31"/>
      <c r="J879" s="9"/>
      <c r="K879" s="9"/>
      <c r="L879" s="21" t="s">
        <v>36</v>
      </c>
      <c r="M879" s="30" t="s">
        <v>2693</v>
      </c>
      <c r="N879" s="14" t="s">
        <v>1073</v>
      </c>
      <c r="O879" s="29" t="s">
        <v>2694</v>
      </c>
      <c r="P879" s="14" t="s">
        <v>533</v>
      </c>
      <c r="Q879" s="14" t="s">
        <v>562</v>
      </c>
      <c r="R879" s="16" t="str">
        <f t="shared" si="2"/>
        <v>Diferente</v>
      </c>
    </row>
    <row r="880">
      <c r="A880" s="7"/>
      <c r="B880" s="16"/>
      <c r="C880" s="12"/>
      <c r="D880" s="12"/>
      <c r="E880" s="9"/>
      <c r="F880" s="10"/>
      <c r="G880" s="11"/>
      <c r="H880" s="9"/>
      <c r="I880" s="31"/>
      <c r="J880" s="9"/>
      <c r="K880" s="9"/>
      <c r="L880" s="21" t="s">
        <v>41</v>
      </c>
      <c r="M880" s="30" t="s">
        <v>2695</v>
      </c>
      <c r="N880" s="14" t="s">
        <v>1073</v>
      </c>
      <c r="O880" s="29" t="s">
        <v>2696</v>
      </c>
      <c r="P880" s="14" t="s">
        <v>533</v>
      </c>
      <c r="Q880" s="14" t="s">
        <v>562</v>
      </c>
      <c r="R880" s="16" t="str">
        <f t="shared" si="2"/>
        <v>Diferente</v>
      </c>
    </row>
    <row r="881">
      <c r="A881" s="7"/>
      <c r="B881" s="16"/>
      <c r="C881" s="12"/>
      <c r="D881" s="12"/>
      <c r="E881" s="9"/>
      <c r="F881" s="10"/>
      <c r="G881" s="11"/>
      <c r="H881" s="9"/>
      <c r="I881" s="31"/>
      <c r="J881" s="9"/>
      <c r="K881" s="9"/>
      <c r="L881" s="21" t="s">
        <v>47</v>
      </c>
      <c r="M881" s="30" t="s">
        <v>1073</v>
      </c>
      <c r="N881" s="14" t="s">
        <v>1073</v>
      </c>
      <c r="O881" s="29" t="s">
        <v>2697</v>
      </c>
      <c r="P881" s="14" t="s">
        <v>533</v>
      </c>
      <c r="Q881" s="14" t="s">
        <v>533</v>
      </c>
      <c r="R881" s="16" t="str">
        <f t="shared" si="2"/>
        <v>Igual</v>
      </c>
    </row>
    <row r="882">
      <c r="A882" s="7"/>
      <c r="B882" s="16"/>
      <c r="C882" s="12"/>
      <c r="D882" s="12"/>
      <c r="E882" s="9"/>
      <c r="F882" s="10"/>
      <c r="G882" s="11"/>
      <c r="H882" s="9"/>
      <c r="I882" s="31"/>
      <c r="J882" s="9"/>
      <c r="K882" s="9"/>
      <c r="L882" s="21" t="s">
        <v>53</v>
      </c>
      <c r="M882" s="14" t="s">
        <v>1117</v>
      </c>
      <c r="N882" s="14" t="s">
        <v>1073</v>
      </c>
      <c r="O882" s="29" t="s">
        <v>2697</v>
      </c>
      <c r="P882" s="14" t="s">
        <v>533</v>
      </c>
      <c r="Q882" s="14" t="s">
        <v>533</v>
      </c>
      <c r="R882" s="16" t="str">
        <f t="shared" si="2"/>
        <v>Igual</v>
      </c>
    </row>
    <row r="883">
      <c r="A883" s="7"/>
      <c r="B883" s="16"/>
      <c r="C883" s="12"/>
      <c r="D883" s="12"/>
      <c r="E883" s="9"/>
      <c r="F883" s="10"/>
      <c r="G883" s="11"/>
      <c r="H883" s="9"/>
      <c r="I883" s="31"/>
      <c r="J883" s="9"/>
      <c r="K883" s="9"/>
      <c r="L883" s="21" t="s">
        <v>59</v>
      </c>
      <c r="M883" s="14" t="s">
        <v>1117</v>
      </c>
      <c r="N883" s="14" t="s">
        <v>1073</v>
      </c>
      <c r="O883" s="29" t="s">
        <v>2697</v>
      </c>
      <c r="P883" s="14" t="s">
        <v>533</v>
      </c>
      <c r="Q883" s="14" t="s">
        <v>533</v>
      </c>
      <c r="R883" s="16" t="str">
        <f t="shared" si="2"/>
        <v>Igual</v>
      </c>
    </row>
    <row r="884">
      <c r="A884" s="7"/>
      <c r="B884" s="16"/>
      <c r="C884" s="12"/>
      <c r="D884" s="12"/>
      <c r="E884" s="9"/>
      <c r="F884" s="10"/>
      <c r="G884" s="11"/>
      <c r="H884" s="9"/>
      <c r="I884" s="31"/>
      <c r="J884" s="9"/>
      <c r="K884" s="9"/>
      <c r="L884" s="21" t="s">
        <v>65</v>
      </c>
      <c r="M884" s="14" t="s">
        <v>1117</v>
      </c>
      <c r="N884" s="14" t="s">
        <v>1073</v>
      </c>
      <c r="O884" s="29" t="s">
        <v>2697</v>
      </c>
      <c r="P884" s="14" t="s">
        <v>533</v>
      </c>
      <c r="Q884" s="14" t="s">
        <v>533</v>
      </c>
      <c r="R884" s="16" t="str">
        <f t="shared" si="2"/>
        <v>Igual</v>
      </c>
    </row>
    <row r="885">
      <c r="A885" s="7"/>
      <c r="B885" s="16"/>
      <c r="C885" s="12"/>
      <c r="D885" s="12"/>
      <c r="E885" s="9"/>
      <c r="F885" s="10"/>
      <c r="G885" s="11"/>
      <c r="H885" s="9"/>
      <c r="I885" s="31"/>
      <c r="J885" s="9"/>
      <c r="K885" s="9"/>
      <c r="L885" s="21" t="s">
        <v>71</v>
      </c>
      <c r="M885" s="14" t="s">
        <v>1117</v>
      </c>
      <c r="N885" s="14" t="s">
        <v>1073</v>
      </c>
      <c r="O885" s="29" t="s">
        <v>2697</v>
      </c>
      <c r="P885" s="14" t="s">
        <v>533</v>
      </c>
      <c r="Q885" s="14" t="s">
        <v>533</v>
      </c>
      <c r="R885" s="16" t="str">
        <f t="shared" si="2"/>
        <v>Igual</v>
      </c>
    </row>
    <row r="886">
      <c r="A886" s="7" t="s">
        <v>453</v>
      </c>
      <c r="B886" s="14" t="s">
        <v>20</v>
      </c>
      <c r="C886" s="12"/>
      <c r="D886" s="17" t="s">
        <v>2060</v>
      </c>
      <c r="E886" s="9" t="s">
        <v>454</v>
      </c>
      <c r="F886" s="10" t="s">
        <v>455</v>
      </c>
      <c r="G886" s="22" t="s">
        <v>97</v>
      </c>
      <c r="H886" s="9" t="s">
        <v>456</v>
      </c>
      <c r="I886" s="29" t="s">
        <v>715</v>
      </c>
      <c r="J886" s="9"/>
      <c r="K886" s="9" t="s">
        <v>392</v>
      </c>
      <c r="L886" s="21" t="s">
        <v>25</v>
      </c>
      <c r="M886" s="14" t="s">
        <v>1117</v>
      </c>
      <c r="N886" s="30" t="s">
        <v>1073</v>
      </c>
      <c r="O886" s="29" t="s">
        <v>2698</v>
      </c>
      <c r="P886" s="14" t="s">
        <v>533</v>
      </c>
      <c r="Q886" s="14" t="s">
        <v>533</v>
      </c>
      <c r="R886" s="16" t="str">
        <f t="shared" si="2"/>
        <v>Igual</v>
      </c>
    </row>
    <row r="887">
      <c r="A887" s="7"/>
      <c r="B887" s="16"/>
      <c r="C887" s="12"/>
      <c r="D887" s="12"/>
      <c r="E887" s="9"/>
      <c r="F887" s="10"/>
      <c r="G887" s="11"/>
      <c r="H887" s="9"/>
      <c r="I887" s="31"/>
      <c r="J887" s="9"/>
      <c r="K887" s="9"/>
      <c r="L887" s="21" t="s">
        <v>31</v>
      </c>
      <c r="M887" s="14" t="s">
        <v>1117</v>
      </c>
      <c r="N887" s="30" t="s">
        <v>1073</v>
      </c>
      <c r="O887" s="29" t="s">
        <v>2699</v>
      </c>
      <c r="P887" s="14" t="s">
        <v>533</v>
      </c>
      <c r="Q887" s="14" t="s">
        <v>533</v>
      </c>
      <c r="R887" s="16" t="str">
        <f t="shared" si="2"/>
        <v>Igual</v>
      </c>
    </row>
    <row r="888">
      <c r="A888" s="7"/>
      <c r="B888" s="16"/>
      <c r="C888" s="12"/>
      <c r="D888" s="12"/>
      <c r="E888" s="9"/>
      <c r="F888" s="10"/>
      <c r="G888" s="11"/>
      <c r="H888" s="9"/>
      <c r="I888" s="31"/>
      <c r="J888" s="9"/>
      <c r="K888" s="9"/>
      <c r="L888" s="21" t="s">
        <v>36</v>
      </c>
      <c r="M888" s="14" t="s">
        <v>1117</v>
      </c>
      <c r="N888" s="30" t="s">
        <v>1073</v>
      </c>
      <c r="O888" s="29" t="s">
        <v>2700</v>
      </c>
      <c r="P888" s="14" t="s">
        <v>533</v>
      </c>
      <c r="Q888" s="14" t="s">
        <v>533</v>
      </c>
      <c r="R888" s="16" t="str">
        <f t="shared" si="2"/>
        <v>Igual</v>
      </c>
    </row>
    <row r="889">
      <c r="A889" s="7"/>
      <c r="B889" s="16"/>
      <c r="C889" s="12"/>
      <c r="D889" s="12"/>
      <c r="E889" s="9"/>
      <c r="F889" s="10"/>
      <c r="G889" s="11"/>
      <c r="H889" s="9"/>
      <c r="I889" s="31"/>
      <c r="J889" s="9"/>
      <c r="K889" s="9"/>
      <c r="L889" s="21" t="s">
        <v>41</v>
      </c>
      <c r="M889" s="14" t="s">
        <v>1117</v>
      </c>
      <c r="N889" s="30" t="s">
        <v>1073</v>
      </c>
      <c r="O889" s="29" t="s">
        <v>2701</v>
      </c>
      <c r="P889" s="14" t="s">
        <v>533</v>
      </c>
      <c r="Q889" s="14" t="s">
        <v>533</v>
      </c>
      <c r="R889" s="16" t="str">
        <f t="shared" si="2"/>
        <v>Igual</v>
      </c>
    </row>
    <row r="890">
      <c r="A890" s="7"/>
      <c r="B890" s="16"/>
      <c r="C890" s="12"/>
      <c r="D890" s="12"/>
      <c r="E890" s="9"/>
      <c r="F890" s="10"/>
      <c r="G890" s="11"/>
      <c r="H890" s="9"/>
      <c r="I890" s="31"/>
      <c r="J890" s="9"/>
      <c r="K890" s="9"/>
      <c r="L890" s="21" t="s">
        <v>47</v>
      </c>
      <c r="M890" s="14" t="s">
        <v>1117</v>
      </c>
      <c r="N890" s="30" t="s">
        <v>1073</v>
      </c>
      <c r="O890" s="29" t="s">
        <v>2702</v>
      </c>
      <c r="P890" s="14" t="s">
        <v>533</v>
      </c>
      <c r="Q890" s="14" t="s">
        <v>533</v>
      </c>
      <c r="R890" s="16" t="str">
        <f t="shared" si="2"/>
        <v>Igual</v>
      </c>
    </row>
    <row r="891">
      <c r="A891" s="7"/>
      <c r="B891" s="16"/>
      <c r="C891" s="12"/>
      <c r="D891" s="12"/>
      <c r="E891" s="9"/>
      <c r="F891" s="10"/>
      <c r="G891" s="11"/>
      <c r="H891" s="9"/>
      <c r="I891" s="31"/>
      <c r="J891" s="9"/>
      <c r="K891" s="9"/>
      <c r="L891" s="21" t="s">
        <v>53</v>
      </c>
      <c r="M891" s="14" t="s">
        <v>1117</v>
      </c>
      <c r="N891" s="30" t="s">
        <v>1073</v>
      </c>
      <c r="O891" s="29" t="s">
        <v>2703</v>
      </c>
      <c r="P891" s="14" t="s">
        <v>533</v>
      </c>
      <c r="Q891" s="14" t="s">
        <v>533</v>
      </c>
      <c r="R891" s="16" t="str">
        <f t="shared" si="2"/>
        <v>Igual</v>
      </c>
    </row>
    <row r="892">
      <c r="A892" s="7"/>
      <c r="B892" s="16"/>
      <c r="C892" s="12"/>
      <c r="D892" s="12"/>
      <c r="E892" s="9"/>
      <c r="F892" s="10"/>
      <c r="G892" s="11"/>
      <c r="H892" s="9"/>
      <c r="I892" s="31"/>
      <c r="J892" s="9"/>
      <c r="K892" s="9"/>
      <c r="L892" s="21" t="s">
        <v>59</v>
      </c>
      <c r="M892" s="14" t="s">
        <v>1117</v>
      </c>
      <c r="N892" s="30" t="s">
        <v>1073</v>
      </c>
      <c r="O892" s="29" t="s">
        <v>2704</v>
      </c>
      <c r="P892" s="14" t="s">
        <v>533</v>
      </c>
      <c r="Q892" s="14" t="s">
        <v>533</v>
      </c>
      <c r="R892" s="16" t="str">
        <f t="shared" si="2"/>
        <v>Igual</v>
      </c>
    </row>
    <row r="893">
      <c r="A893" s="7"/>
      <c r="B893" s="16"/>
      <c r="C893" s="12"/>
      <c r="D893" s="12"/>
      <c r="E893" s="9"/>
      <c r="F893" s="10"/>
      <c r="G893" s="11"/>
      <c r="H893" s="9"/>
      <c r="I893" s="31"/>
      <c r="J893" s="9"/>
      <c r="K893" s="9"/>
      <c r="L893" s="21" t="s">
        <v>65</v>
      </c>
      <c r="M893" s="14" t="s">
        <v>1117</v>
      </c>
      <c r="N893" s="30" t="s">
        <v>1073</v>
      </c>
      <c r="O893" s="29" t="s">
        <v>2705</v>
      </c>
      <c r="P893" s="14" t="s">
        <v>533</v>
      </c>
      <c r="Q893" s="14" t="s">
        <v>533</v>
      </c>
      <c r="R893" s="16" t="str">
        <f t="shared" si="2"/>
        <v>Igual</v>
      </c>
    </row>
    <row r="894">
      <c r="A894" s="7"/>
      <c r="B894" s="16"/>
      <c r="C894" s="12"/>
      <c r="D894" s="12"/>
      <c r="E894" s="9"/>
      <c r="F894" s="10"/>
      <c r="G894" s="11"/>
      <c r="H894" s="9"/>
      <c r="I894" s="31"/>
      <c r="J894" s="9"/>
      <c r="K894" s="9"/>
      <c r="L894" s="21" t="s">
        <v>71</v>
      </c>
      <c r="M894" s="14" t="s">
        <v>1117</v>
      </c>
      <c r="N894" s="30" t="s">
        <v>1073</v>
      </c>
      <c r="O894" s="29" t="s">
        <v>2706</v>
      </c>
      <c r="P894" s="14" t="s">
        <v>533</v>
      </c>
      <c r="Q894" s="14" t="s">
        <v>533</v>
      </c>
      <c r="R894" s="16" t="str">
        <f t="shared" si="2"/>
        <v>Igual</v>
      </c>
    </row>
    <row r="895">
      <c r="A895" s="7" t="s">
        <v>457</v>
      </c>
      <c r="B895" s="14" t="s">
        <v>20</v>
      </c>
      <c r="C895" s="12"/>
      <c r="D895" s="51" t="s">
        <v>2061</v>
      </c>
      <c r="E895" s="9" t="s">
        <v>458</v>
      </c>
      <c r="F895" s="10" t="s">
        <v>459</v>
      </c>
      <c r="G895" s="22" t="s">
        <v>97</v>
      </c>
      <c r="H895" s="9" t="s">
        <v>460</v>
      </c>
      <c r="I895" s="29" t="s">
        <v>715</v>
      </c>
      <c r="J895" s="9"/>
      <c r="K895" s="9" t="s">
        <v>392</v>
      </c>
      <c r="L895" s="21" t="s">
        <v>25</v>
      </c>
      <c r="M895" s="14" t="s">
        <v>1117</v>
      </c>
      <c r="N895" s="30" t="s">
        <v>2707</v>
      </c>
      <c r="O895" s="31"/>
      <c r="P895" s="14" t="s">
        <v>562</v>
      </c>
      <c r="Q895" s="14" t="s">
        <v>533</v>
      </c>
      <c r="R895" s="16" t="str">
        <f t="shared" si="2"/>
        <v>Diferente</v>
      </c>
    </row>
    <row r="896">
      <c r="A896" s="7"/>
      <c r="B896" s="16"/>
      <c r="C896" s="12"/>
      <c r="D896" s="50"/>
      <c r="E896" s="9"/>
      <c r="F896" s="10"/>
      <c r="G896" s="11"/>
      <c r="H896" s="9"/>
      <c r="I896" s="31"/>
      <c r="J896" s="9"/>
      <c r="K896" s="9"/>
      <c r="L896" s="21" t="s">
        <v>31</v>
      </c>
      <c r="M896" s="14" t="s">
        <v>1117</v>
      </c>
      <c r="N896" s="30" t="s">
        <v>1117</v>
      </c>
      <c r="O896" s="31"/>
      <c r="P896" s="14" t="s">
        <v>533</v>
      </c>
      <c r="Q896" s="14" t="s">
        <v>533</v>
      </c>
      <c r="R896" s="16" t="str">
        <f t="shared" si="2"/>
        <v>Igual</v>
      </c>
    </row>
    <row r="897">
      <c r="A897" s="7"/>
      <c r="B897" s="16"/>
      <c r="C897" s="12"/>
      <c r="D897" s="12"/>
      <c r="E897" s="9"/>
      <c r="F897" s="10"/>
      <c r="G897" s="11"/>
      <c r="H897" s="9"/>
      <c r="I897" s="31"/>
      <c r="J897" s="9"/>
      <c r="K897" s="9"/>
      <c r="L897" s="21" t="s">
        <v>36</v>
      </c>
      <c r="M897" s="14" t="s">
        <v>1117</v>
      </c>
      <c r="N897" s="30" t="s">
        <v>1117</v>
      </c>
      <c r="O897" s="31"/>
      <c r="P897" s="14" t="s">
        <v>533</v>
      </c>
      <c r="Q897" s="14" t="s">
        <v>533</v>
      </c>
      <c r="R897" s="16" t="str">
        <f t="shared" si="2"/>
        <v>Igual</v>
      </c>
    </row>
    <row r="898">
      <c r="A898" s="7"/>
      <c r="B898" s="16"/>
      <c r="C898" s="12"/>
      <c r="D898" s="12"/>
      <c r="E898" s="9"/>
      <c r="F898" s="10"/>
      <c r="G898" s="11"/>
      <c r="H898" s="9"/>
      <c r="I898" s="31"/>
      <c r="J898" s="9"/>
      <c r="K898" s="9"/>
      <c r="L898" s="21" t="s">
        <v>41</v>
      </c>
      <c r="M898" s="14" t="s">
        <v>1117</v>
      </c>
      <c r="N898" s="30" t="s">
        <v>2708</v>
      </c>
      <c r="O898" s="31"/>
      <c r="P898" s="14" t="s">
        <v>562</v>
      </c>
      <c r="Q898" s="14" t="s">
        <v>542</v>
      </c>
      <c r="R898" s="16" t="str">
        <f t="shared" si="2"/>
        <v>Diferente</v>
      </c>
    </row>
    <row r="899">
      <c r="A899" s="7"/>
      <c r="B899" s="16"/>
      <c r="C899" s="12"/>
      <c r="D899" s="12"/>
      <c r="E899" s="9"/>
      <c r="F899" s="10"/>
      <c r="G899" s="11"/>
      <c r="H899" s="9"/>
      <c r="I899" s="31"/>
      <c r="J899" s="9"/>
      <c r="K899" s="9"/>
      <c r="L899" s="21" t="s">
        <v>47</v>
      </c>
      <c r="M899" s="14" t="s">
        <v>1117</v>
      </c>
      <c r="N899" s="30" t="s">
        <v>2709</v>
      </c>
      <c r="O899" s="31"/>
      <c r="P899" s="14" t="s">
        <v>562</v>
      </c>
      <c r="Q899" s="14" t="s">
        <v>533</v>
      </c>
      <c r="R899" s="16" t="str">
        <f t="shared" si="2"/>
        <v>Diferente</v>
      </c>
    </row>
    <row r="900">
      <c r="A900" s="7"/>
      <c r="B900" s="16"/>
      <c r="C900" s="12"/>
      <c r="D900" s="12"/>
      <c r="E900" s="9"/>
      <c r="F900" s="10"/>
      <c r="G900" s="11"/>
      <c r="H900" s="9"/>
      <c r="I900" s="31"/>
      <c r="J900" s="9"/>
      <c r="K900" s="9"/>
      <c r="L900" s="21" t="s">
        <v>53</v>
      </c>
      <c r="M900" s="14" t="s">
        <v>1117</v>
      </c>
      <c r="N900" s="30" t="s">
        <v>1117</v>
      </c>
      <c r="O900" s="31"/>
      <c r="P900" s="14" t="s">
        <v>533</v>
      </c>
      <c r="Q900" s="14" t="s">
        <v>533</v>
      </c>
      <c r="R900" s="16" t="str">
        <f t="shared" si="2"/>
        <v>Igual</v>
      </c>
    </row>
    <row r="901">
      <c r="A901" s="7"/>
      <c r="B901" s="16"/>
      <c r="C901" s="12"/>
      <c r="D901" s="12"/>
      <c r="E901" s="9"/>
      <c r="F901" s="10"/>
      <c r="G901" s="11"/>
      <c r="H901" s="9"/>
      <c r="I901" s="31"/>
      <c r="J901" s="9"/>
      <c r="K901" s="9"/>
      <c r="L901" s="21" t="s">
        <v>59</v>
      </c>
      <c r="M901" s="14" t="s">
        <v>1117</v>
      </c>
      <c r="N901" s="30" t="s">
        <v>1117</v>
      </c>
      <c r="O901" s="31"/>
      <c r="P901" s="14" t="s">
        <v>533</v>
      </c>
      <c r="Q901" s="14" t="s">
        <v>533</v>
      </c>
      <c r="R901" s="16" t="str">
        <f t="shared" si="2"/>
        <v>Igual</v>
      </c>
    </row>
    <row r="902">
      <c r="A902" s="7"/>
      <c r="B902" s="16"/>
      <c r="C902" s="12"/>
      <c r="D902" s="12"/>
      <c r="E902" s="9"/>
      <c r="F902" s="10"/>
      <c r="G902" s="11"/>
      <c r="H902" s="9"/>
      <c r="I902" s="31"/>
      <c r="J902" s="9"/>
      <c r="K902" s="9"/>
      <c r="L902" s="21" t="s">
        <v>65</v>
      </c>
      <c r="M902" s="14" t="s">
        <v>1117</v>
      </c>
      <c r="N902" s="30" t="s">
        <v>1117</v>
      </c>
      <c r="O902" s="31"/>
      <c r="P902" s="14" t="s">
        <v>533</v>
      </c>
      <c r="Q902" s="14" t="s">
        <v>533</v>
      </c>
      <c r="R902" s="16" t="str">
        <f t="shared" si="2"/>
        <v>Igual</v>
      </c>
    </row>
    <row r="903">
      <c r="A903" s="7"/>
      <c r="B903" s="16"/>
      <c r="C903" s="12"/>
      <c r="D903" s="12"/>
      <c r="E903" s="9"/>
      <c r="F903" s="10"/>
      <c r="G903" s="11"/>
      <c r="H903" s="9"/>
      <c r="I903" s="31"/>
      <c r="J903" s="9"/>
      <c r="K903" s="9"/>
      <c r="L903" s="21" t="s">
        <v>71</v>
      </c>
      <c r="M903" s="14" t="s">
        <v>1117</v>
      </c>
      <c r="N903" s="30" t="s">
        <v>1117</v>
      </c>
      <c r="O903" s="31"/>
      <c r="P903" s="14" t="s">
        <v>533</v>
      </c>
      <c r="Q903" s="14" t="s">
        <v>533</v>
      </c>
      <c r="R903" s="16" t="str">
        <f t="shared" si="2"/>
        <v>Igual</v>
      </c>
    </row>
    <row r="904">
      <c r="A904" s="7" t="s">
        <v>461</v>
      </c>
      <c r="B904" s="14" t="s">
        <v>20</v>
      </c>
      <c r="C904" s="12"/>
      <c r="D904" s="17" t="s">
        <v>2062</v>
      </c>
      <c r="E904" s="9" t="s">
        <v>462</v>
      </c>
      <c r="F904" s="10" t="s">
        <v>463</v>
      </c>
      <c r="G904" s="22" t="s">
        <v>97</v>
      </c>
      <c r="H904" s="9" t="s">
        <v>464</v>
      </c>
      <c r="I904" s="29" t="s">
        <v>680</v>
      </c>
      <c r="J904" s="9"/>
      <c r="K904" s="9" t="s">
        <v>392</v>
      </c>
      <c r="L904" s="21" t="s">
        <v>25</v>
      </c>
      <c r="M904" s="14" t="s">
        <v>1117</v>
      </c>
      <c r="N904" s="30" t="s">
        <v>2710</v>
      </c>
      <c r="O904" s="31"/>
      <c r="P904" s="14" t="s">
        <v>562</v>
      </c>
      <c r="Q904" s="14" t="s">
        <v>533</v>
      </c>
      <c r="R904" s="16" t="str">
        <f t="shared" si="2"/>
        <v>Diferente</v>
      </c>
    </row>
    <row r="905">
      <c r="A905" s="7"/>
      <c r="B905" s="16"/>
      <c r="C905" s="12"/>
      <c r="D905" s="12"/>
      <c r="E905" s="9"/>
      <c r="F905" s="10"/>
      <c r="G905" s="11"/>
      <c r="H905" s="9"/>
      <c r="I905" s="31"/>
      <c r="J905" s="9"/>
      <c r="K905" s="9"/>
      <c r="L905" s="21" t="s">
        <v>31</v>
      </c>
      <c r="M905" s="14" t="s">
        <v>1117</v>
      </c>
      <c r="N905" s="30" t="s">
        <v>2711</v>
      </c>
      <c r="O905" s="31"/>
      <c r="P905" s="14" t="s">
        <v>562</v>
      </c>
      <c r="Q905" s="14" t="s">
        <v>533</v>
      </c>
      <c r="R905" s="16" t="str">
        <f t="shared" si="2"/>
        <v>Diferente</v>
      </c>
    </row>
    <row r="906">
      <c r="A906" s="7"/>
      <c r="B906" s="16"/>
      <c r="C906" s="12"/>
      <c r="D906" s="12"/>
      <c r="E906" s="9"/>
      <c r="F906" s="10"/>
      <c r="G906" s="11"/>
      <c r="H906" s="9"/>
      <c r="I906" s="31"/>
      <c r="J906" s="9"/>
      <c r="K906" s="9"/>
      <c r="L906" s="21" t="s">
        <v>36</v>
      </c>
      <c r="M906" s="14" t="s">
        <v>1117</v>
      </c>
      <c r="N906" s="30" t="s">
        <v>2712</v>
      </c>
      <c r="O906" s="31"/>
      <c r="P906" s="14" t="s">
        <v>562</v>
      </c>
      <c r="Q906" s="14" t="s">
        <v>533</v>
      </c>
      <c r="R906" s="16" t="str">
        <f t="shared" si="2"/>
        <v>Diferente</v>
      </c>
    </row>
    <row r="907">
      <c r="A907" s="7"/>
      <c r="B907" s="16"/>
      <c r="C907" s="12"/>
      <c r="D907" s="12"/>
      <c r="E907" s="9"/>
      <c r="F907" s="10"/>
      <c r="G907" s="11"/>
      <c r="H907" s="9"/>
      <c r="I907" s="31"/>
      <c r="J907" s="9"/>
      <c r="K907" s="9"/>
      <c r="L907" s="21" t="s">
        <v>41</v>
      </c>
      <c r="M907" s="14" t="s">
        <v>1117</v>
      </c>
      <c r="N907" s="30" t="s">
        <v>2713</v>
      </c>
      <c r="O907" s="31"/>
      <c r="P907" s="14" t="s">
        <v>562</v>
      </c>
      <c r="Q907" s="14" t="s">
        <v>542</v>
      </c>
      <c r="R907" s="16" t="str">
        <f t="shared" si="2"/>
        <v>Diferente</v>
      </c>
    </row>
    <row r="908">
      <c r="A908" s="7"/>
      <c r="B908" s="16"/>
      <c r="C908" s="12"/>
      <c r="D908" s="12"/>
      <c r="E908" s="9"/>
      <c r="F908" s="10"/>
      <c r="G908" s="11"/>
      <c r="H908" s="9"/>
      <c r="I908" s="31"/>
      <c r="J908" s="9"/>
      <c r="K908" s="9"/>
      <c r="L908" s="21" t="s">
        <v>47</v>
      </c>
      <c r="M908" s="14" t="s">
        <v>1117</v>
      </c>
      <c r="N908" s="30" t="s">
        <v>2714</v>
      </c>
      <c r="O908" s="31"/>
      <c r="P908" s="14" t="s">
        <v>562</v>
      </c>
      <c r="Q908" s="14" t="s">
        <v>533</v>
      </c>
      <c r="R908" s="16" t="str">
        <f t="shared" si="2"/>
        <v>Diferente</v>
      </c>
    </row>
    <row r="909">
      <c r="A909" s="7"/>
      <c r="B909" s="16"/>
      <c r="C909" s="12"/>
      <c r="D909" s="12"/>
      <c r="E909" s="9"/>
      <c r="F909" s="10"/>
      <c r="G909" s="11"/>
      <c r="H909" s="9"/>
      <c r="I909" s="31"/>
      <c r="J909" s="9"/>
      <c r="K909" s="9"/>
      <c r="L909" s="21" t="s">
        <v>53</v>
      </c>
      <c r="M909" s="14" t="s">
        <v>1117</v>
      </c>
      <c r="N909" s="30" t="s">
        <v>1117</v>
      </c>
      <c r="O909" s="31"/>
      <c r="P909" s="14" t="s">
        <v>562</v>
      </c>
      <c r="Q909" s="14" t="s">
        <v>533</v>
      </c>
      <c r="R909" s="16" t="str">
        <f t="shared" si="2"/>
        <v>Diferente</v>
      </c>
    </row>
    <row r="910">
      <c r="A910" s="7"/>
      <c r="B910" s="16"/>
      <c r="C910" s="12"/>
      <c r="D910" s="12"/>
      <c r="E910" s="9"/>
      <c r="F910" s="10"/>
      <c r="G910" s="11"/>
      <c r="H910" s="9"/>
      <c r="I910" s="31"/>
      <c r="J910" s="9"/>
      <c r="K910" s="9"/>
      <c r="L910" s="21" t="s">
        <v>59</v>
      </c>
      <c r="M910" s="14" t="s">
        <v>1117</v>
      </c>
      <c r="N910" s="30" t="s">
        <v>1117</v>
      </c>
      <c r="O910" s="31"/>
      <c r="P910" s="14" t="s">
        <v>562</v>
      </c>
      <c r="Q910" s="14" t="s">
        <v>562</v>
      </c>
      <c r="R910" s="16" t="str">
        <f t="shared" si="2"/>
        <v>Igual</v>
      </c>
    </row>
    <row r="911">
      <c r="A911" s="7"/>
      <c r="B911" s="16"/>
      <c r="C911" s="12"/>
      <c r="D911" s="12"/>
      <c r="E911" s="9"/>
      <c r="F911" s="10"/>
      <c r="G911" s="11"/>
      <c r="H911" s="9"/>
      <c r="I911" s="31"/>
      <c r="J911" s="9"/>
      <c r="K911" s="9"/>
      <c r="L911" s="21" t="s">
        <v>65</v>
      </c>
      <c r="M911" s="14" t="s">
        <v>1117</v>
      </c>
      <c r="N911" s="30" t="s">
        <v>1117</v>
      </c>
      <c r="O911" s="31"/>
      <c r="P911" s="14" t="s">
        <v>562</v>
      </c>
      <c r="Q911" s="14" t="s">
        <v>533</v>
      </c>
      <c r="R911" s="16" t="str">
        <f t="shared" si="2"/>
        <v>Diferente</v>
      </c>
    </row>
    <row r="912">
      <c r="A912" s="7"/>
      <c r="B912" s="16"/>
      <c r="C912" s="12"/>
      <c r="D912" s="12"/>
      <c r="E912" s="9"/>
      <c r="F912" s="10"/>
      <c r="G912" s="11"/>
      <c r="H912" s="9"/>
      <c r="I912" s="31"/>
      <c r="J912" s="9"/>
      <c r="K912" s="9"/>
      <c r="L912" s="21" t="s">
        <v>71</v>
      </c>
      <c r="M912" s="14" t="s">
        <v>1117</v>
      </c>
      <c r="N912" s="30" t="s">
        <v>2715</v>
      </c>
      <c r="O912" s="31"/>
      <c r="P912" s="14" t="s">
        <v>533</v>
      </c>
      <c r="Q912" s="14" t="s">
        <v>562</v>
      </c>
      <c r="R912" s="16" t="str">
        <f t="shared" si="2"/>
        <v>Diferente</v>
      </c>
    </row>
    <row r="913">
      <c r="A913" s="7" t="s">
        <v>465</v>
      </c>
      <c r="B913" s="14" t="s">
        <v>20</v>
      </c>
      <c r="C913" s="12"/>
      <c r="D913" s="52" t="s">
        <v>2063</v>
      </c>
      <c r="E913" s="9" t="s">
        <v>466</v>
      </c>
      <c r="F913" s="10" t="s">
        <v>467</v>
      </c>
      <c r="G913" s="22" t="s">
        <v>97</v>
      </c>
      <c r="H913" s="9" t="s">
        <v>468</v>
      </c>
      <c r="I913" s="29" t="s">
        <v>739</v>
      </c>
      <c r="J913" s="9"/>
      <c r="K913" s="9" t="s">
        <v>392</v>
      </c>
      <c r="L913" s="21" t="s">
        <v>25</v>
      </c>
      <c r="M913" s="14" t="s">
        <v>1117</v>
      </c>
      <c r="N913" s="46"/>
      <c r="O913" s="31"/>
      <c r="P913" s="14" t="s">
        <v>533</v>
      </c>
      <c r="Q913" s="14" t="s">
        <v>533</v>
      </c>
      <c r="R913" s="16" t="str">
        <f t="shared" si="2"/>
        <v>Igual</v>
      </c>
    </row>
    <row r="914">
      <c r="A914" s="7"/>
      <c r="B914" s="16"/>
      <c r="C914" s="12"/>
      <c r="D914" s="50"/>
      <c r="E914" s="9"/>
      <c r="F914" s="10"/>
      <c r="G914" s="11"/>
      <c r="H914" s="9"/>
      <c r="I914" s="31"/>
      <c r="J914" s="9"/>
      <c r="K914" s="9"/>
      <c r="L914" s="21" t="s">
        <v>31</v>
      </c>
      <c r="M914" s="14" t="s">
        <v>1117</v>
      </c>
      <c r="N914" s="30" t="s">
        <v>2716</v>
      </c>
      <c r="O914" s="31"/>
      <c r="P914" s="14" t="s">
        <v>562</v>
      </c>
      <c r="Q914" s="14" t="s">
        <v>533</v>
      </c>
      <c r="R914" s="16" t="str">
        <f t="shared" si="2"/>
        <v>Diferente</v>
      </c>
    </row>
    <row r="915">
      <c r="A915" s="7"/>
      <c r="B915" s="16"/>
      <c r="C915" s="12"/>
      <c r="D915" s="12"/>
      <c r="E915" s="9"/>
      <c r="F915" s="10"/>
      <c r="G915" s="11"/>
      <c r="H915" s="9"/>
      <c r="I915" s="31"/>
      <c r="J915" s="9"/>
      <c r="K915" s="9"/>
      <c r="L915" s="21" t="s">
        <v>36</v>
      </c>
      <c r="M915" s="14" t="s">
        <v>1117</v>
      </c>
      <c r="N915" s="30" t="s">
        <v>2717</v>
      </c>
      <c r="O915" s="31"/>
      <c r="P915" s="14" t="s">
        <v>562</v>
      </c>
      <c r="Q915" s="14" t="s">
        <v>533</v>
      </c>
      <c r="R915" s="16" t="str">
        <f t="shared" si="2"/>
        <v>Diferente</v>
      </c>
    </row>
    <row r="916">
      <c r="A916" s="7"/>
      <c r="B916" s="16"/>
      <c r="C916" s="12"/>
      <c r="D916" s="12"/>
      <c r="E916" s="9"/>
      <c r="F916" s="10"/>
      <c r="G916" s="11"/>
      <c r="H916" s="9"/>
      <c r="I916" s="31"/>
      <c r="J916" s="9"/>
      <c r="K916" s="9"/>
      <c r="L916" s="21" t="s">
        <v>41</v>
      </c>
      <c r="M916" s="14" t="s">
        <v>1117</v>
      </c>
      <c r="N916" s="30" t="s">
        <v>1073</v>
      </c>
      <c r="O916" s="31"/>
      <c r="P916" s="14" t="s">
        <v>533</v>
      </c>
      <c r="Q916" s="14" t="s">
        <v>533</v>
      </c>
      <c r="R916" s="16" t="str">
        <f t="shared" si="2"/>
        <v>Igual</v>
      </c>
    </row>
    <row r="917">
      <c r="A917" s="7"/>
      <c r="B917" s="16"/>
      <c r="C917" s="12"/>
      <c r="D917" s="12"/>
      <c r="E917" s="9"/>
      <c r="F917" s="10"/>
      <c r="G917" s="11"/>
      <c r="H917" s="9"/>
      <c r="I917" s="31"/>
      <c r="J917" s="9"/>
      <c r="K917" s="9"/>
      <c r="L917" s="21" t="s">
        <v>47</v>
      </c>
      <c r="M917" s="14" t="s">
        <v>1117</v>
      </c>
      <c r="N917" s="30" t="s">
        <v>1073</v>
      </c>
      <c r="O917" s="31"/>
      <c r="P917" s="14" t="s">
        <v>533</v>
      </c>
      <c r="Q917" s="14" t="s">
        <v>533</v>
      </c>
      <c r="R917" s="16" t="str">
        <f t="shared" si="2"/>
        <v>Igual</v>
      </c>
    </row>
    <row r="918">
      <c r="A918" s="7"/>
      <c r="B918" s="16"/>
      <c r="C918" s="12"/>
      <c r="D918" s="12"/>
      <c r="E918" s="9"/>
      <c r="F918" s="10"/>
      <c r="G918" s="11"/>
      <c r="H918" s="9"/>
      <c r="I918" s="31"/>
      <c r="J918" s="9"/>
      <c r="K918" s="9"/>
      <c r="L918" s="21" t="s">
        <v>53</v>
      </c>
      <c r="M918" s="14" t="s">
        <v>1117</v>
      </c>
      <c r="N918" s="30" t="s">
        <v>1073</v>
      </c>
      <c r="O918" s="31"/>
      <c r="P918" s="14" t="s">
        <v>533</v>
      </c>
      <c r="Q918" s="14" t="s">
        <v>533</v>
      </c>
      <c r="R918" s="16" t="str">
        <f t="shared" si="2"/>
        <v>Igual</v>
      </c>
    </row>
    <row r="919">
      <c r="A919" s="7"/>
      <c r="B919" s="16"/>
      <c r="C919" s="12"/>
      <c r="D919" s="12"/>
      <c r="E919" s="9"/>
      <c r="F919" s="10"/>
      <c r="G919" s="11"/>
      <c r="H919" s="9"/>
      <c r="I919" s="31"/>
      <c r="J919" s="9"/>
      <c r="K919" s="9"/>
      <c r="L919" s="21" t="s">
        <v>59</v>
      </c>
      <c r="M919" s="14" t="s">
        <v>1117</v>
      </c>
      <c r="N919" s="30" t="s">
        <v>1073</v>
      </c>
      <c r="O919" s="31"/>
      <c r="P919" s="14" t="s">
        <v>533</v>
      </c>
      <c r="Q919" s="14" t="s">
        <v>533</v>
      </c>
      <c r="R919" s="16" t="str">
        <f t="shared" si="2"/>
        <v>Igual</v>
      </c>
    </row>
    <row r="920">
      <c r="A920" s="7"/>
      <c r="B920" s="16"/>
      <c r="C920" s="12"/>
      <c r="D920" s="12"/>
      <c r="E920" s="9"/>
      <c r="F920" s="10"/>
      <c r="G920" s="11"/>
      <c r="H920" s="9"/>
      <c r="I920" s="31"/>
      <c r="J920" s="9"/>
      <c r="K920" s="9"/>
      <c r="L920" s="21" t="s">
        <v>65</v>
      </c>
      <c r="M920" s="14" t="s">
        <v>1117</v>
      </c>
      <c r="N920" s="30" t="s">
        <v>1073</v>
      </c>
      <c r="O920" s="31"/>
      <c r="P920" s="14" t="s">
        <v>533</v>
      </c>
      <c r="Q920" s="14" t="s">
        <v>533</v>
      </c>
      <c r="R920" s="16" t="str">
        <f t="shared" si="2"/>
        <v>Igual</v>
      </c>
    </row>
    <row r="921">
      <c r="A921" s="7"/>
      <c r="B921" s="16"/>
      <c r="C921" s="12"/>
      <c r="D921" s="12"/>
      <c r="E921" s="9"/>
      <c r="F921" s="10"/>
      <c r="G921" s="11"/>
      <c r="H921" s="9"/>
      <c r="I921" s="31"/>
      <c r="J921" s="9"/>
      <c r="K921" s="9"/>
      <c r="L921" s="21" t="s">
        <v>71</v>
      </c>
      <c r="M921" s="14" t="s">
        <v>1117</v>
      </c>
      <c r="N921" s="30" t="s">
        <v>1073</v>
      </c>
      <c r="O921" s="31"/>
      <c r="P921" s="14" t="s">
        <v>533</v>
      </c>
      <c r="Q921" s="14" t="s">
        <v>533</v>
      </c>
      <c r="R921" s="16" t="str">
        <f t="shared" si="2"/>
        <v>Igual</v>
      </c>
    </row>
    <row r="922">
      <c r="A922" s="7" t="s">
        <v>469</v>
      </c>
      <c r="B922" s="14" t="s">
        <v>20</v>
      </c>
      <c r="C922" s="12"/>
      <c r="D922" s="17" t="s">
        <v>2041</v>
      </c>
      <c r="E922" s="9" t="s">
        <v>470</v>
      </c>
      <c r="F922" s="10" t="s">
        <v>471</v>
      </c>
      <c r="G922" s="22" t="s">
        <v>97</v>
      </c>
      <c r="H922" s="9" t="s">
        <v>472</v>
      </c>
      <c r="I922" s="29" t="s">
        <v>680</v>
      </c>
      <c r="J922" s="9"/>
      <c r="K922" s="9" t="s">
        <v>392</v>
      </c>
      <c r="L922" s="21" t="s">
        <v>25</v>
      </c>
      <c r="M922" s="14" t="s">
        <v>1117</v>
      </c>
      <c r="N922" s="30" t="s">
        <v>2718</v>
      </c>
      <c r="O922" s="31"/>
      <c r="P922" s="14" t="s">
        <v>533</v>
      </c>
      <c r="Q922" s="14" t="s">
        <v>542</v>
      </c>
      <c r="R922" s="16" t="str">
        <f t="shared" si="2"/>
        <v>Diferente</v>
      </c>
    </row>
    <row r="923">
      <c r="A923" s="7"/>
      <c r="B923" s="16"/>
      <c r="C923" s="12"/>
      <c r="D923" s="12"/>
      <c r="E923" s="9"/>
      <c r="F923" s="10"/>
      <c r="G923" s="11"/>
      <c r="H923" s="9"/>
      <c r="I923" s="31"/>
      <c r="J923" s="9"/>
      <c r="K923" s="9"/>
      <c r="L923" s="21" t="s">
        <v>31</v>
      </c>
      <c r="M923" s="14" t="s">
        <v>1117</v>
      </c>
      <c r="N923" s="30" t="s">
        <v>1073</v>
      </c>
      <c r="O923" s="31"/>
      <c r="P923" s="14" t="s">
        <v>533</v>
      </c>
      <c r="Q923" s="14" t="s">
        <v>533</v>
      </c>
      <c r="R923" s="16" t="str">
        <f t="shared" si="2"/>
        <v>Igual</v>
      </c>
    </row>
    <row r="924">
      <c r="A924" s="7"/>
      <c r="B924" s="16"/>
      <c r="C924" s="12"/>
      <c r="D924" s="12"/>
      <c r="E924" s="9"/>
      <c r="F924" s="10"/>
      <c r="G924" s="11"/>
      <c r="H924" s="9"/>
      <c r="I924" s="31"/>
      <c r="J924" s="9"/>
      <c r="K924" s="9"/>
      <c r="L924" s="21" t="s">
        <v>36</v>
      </c>
      <c r="M924" s="14" t="s">
        <v>1117</v>
      </c>
      <c r="N924" s="30" t="s">
        <v>2719</v>
      </c>
      <c r="O924" s="31"/>
      <c r="P924" s="14" t="s">
        <v>562</v>
      </c>
      <c r="Q924" s="14" t="s">
        <v>533</v>
      </c>
      <c r="R924" s="16" t="str">
        <f t="shared" si="2"/>
        <v>Diferente</v>
      </c>
    </row>
    <row r="925">
      <c r="A925" s="7"/>
      <c r="B925" s="16"/>
      <c r="C925" s="12"/>
      <c r="D925" s="12"/>
      <c r="E925" s="9"/>
      <c r="F925" s="10"/>
      <c r="G925" s="11"/>
      <c r="H925" s="9"/>
      <c r="I925" s="31"/>
      <c r="J925" s="9"/>
      <c r="K925" s="9"/>
      <c r="L925" s="21" t="s">
        <v>41</v>
      </c>
      <c r="M925" s="14" t="s">
        <v>1117</v>
      </c>
      <c r="N925" s="30" t="s">
        <v>2720</v>
      </c>
      <c r="O925" s="31"/>
      <c r="P925" s="14" t="s">
        <v>562</v>
      </c>
      <c r="Q925" s="14" t="s">
        <v>533</v>
      </c>
      <c r="R925" s="16" t="str">
        <f t="shared" si="2"/>
        <v>Diferente</v>
      </c>
    </row>
    <row r="926">
      <c r="A926" s="7"/>
      <c r="B926" s="16"/>
      <c r="C926" s="12"/>
      <c r="D926" s="12"/>
      <c r="E926" s="9"/>
      <c r="F926" s="10"/>
      <c r="G926" s="11"/>
      <c r="H926" s="9"/>
      <c r="I926" s="31"/>
      <c r="J926" s="9"/>
      <c r="K926" s="9"/>
      <c r="L926" s="21" t="s">
        <v>47</v>
      </c>
      <c r="M926" s="14" t="s">
        <v>1117</v>
      </c>
      <c r="N926" s="30" t="s">
        <v>1073</v>
      </c>
      <c r="O926" s="31"/>
      <c r="P926" s="14" t="s">
        <v>533</v>
      </c>
      <c r="Q926" s="14" t="s">
        <v>533</v>
      </c>
      <c r="R926" s="16" t="str">
        <f t="shared" si="2"/>
        <v>Igual</v>
      </c>
    </row>
    <row r="927">
      <c r="A927" s="7"/>
      <c r="B927" s="16"/>
      <c r="C927" s="12"/>
      <c r="D927" s="12"/>
      <c r="E927" s="9"/>
      <c r="F927" s="10"/>
      <c r="G927" s="11"/>
      <c r="H927" s="9"/>
      <c r="I927" s="31"/>
      <c r="J927" s="9"/>
      <c r="K927" s="9"/>
      <c r="L927" s="21" t="s">
        <v>53</v>
      </c>
      <c r="M927" s="14" t="s">
        <v>1117</v>
      </c>
      <c r="N927" s="30" t="s">
        <v>1073</v>
      </c>
      <c r="O927" s="31"/>
      <c r="P927" s="14" t="s">
        <v>562</v>
      </c>
      <c r="Q927" s="14" t="s">
        <v>562</v>
      </c>
      <c r="R927" s="16" t="str">
        <f t="shared" si="2"/>
        <v>Igual</v>
      </c>
    </row>
    <row r="928">
      <c r="A928" s="7"/>
      <c r="B928" s="16"/>
      <c r="C928" s="12"/>
      <c r="D928" s="12"/>
      <c r="E928" s="9"/>
      <c r="F928" s="10"/>
      <c r="G928" s="11"/>
      <c r="H928" s="9"/>
      <c r="I928" s="31"/>
      <c r="J928" s="9"/>
      <c r="K928" s="9"/>
      <c r="L928" s="21" t="s">
        <v>59</v>
      </c>
      <c r="M928" s="14" t="s">
        <v>1117</v>
      </c>
      <c r="N928" s="30" t="s">
        <v>1073</v>
      </c>
      <c r="O928" s="31"/>
      <c r="P928" s="14" t="s">
        <v>533</v>
      </c>
      <c r="Q928" s="14" t="s">
        <v>533</v>
      </c>
      <c r="R928" s="16" t="str">
        <f t="shared" si="2"/>
        <v>Igual</v>
      </c>
    </row>
    <row r="929">
      <c r="A929" s="7"/>
      <c r="B929" s="16"/>
      <c r="C929" s="12"/>
      <c r="D929" s="12"/>
      <c r="E929" s="9"/>
      <c r="F929" s="10"/>
      <c r="G929" s="11"/>
      <c r="H929" s="9"/>
      <c r="I929" s="31"/>
      <c r="J929" s="9"/>
      <c r="K929" s="9"/>
      <c r="L929" s="21" t="s">
        <v>65</v>
      </c>
      <c r="M929" s="14" t="s">
        <v>1117</v>
      </c>
      <c r="N929" s="30" t="s">
        <v>1073</v>
      </c>
      <c r="O929" s="31"/>
      <c r="P929" s="14" t="s">
        <v>533</v>
      </c>
      <c r="Q929" s="14" t="s">
        <v>533</v>
      </c>
      <c r="R929" s="16" t="str">
        <f t="shared" si="2"/>
        <v>Igual</v>
      </c>
    </row>
    <row r="930">
      <c r="A930" s="7"/>
      <c r="B930" s="16"/>
      <c r="C930" s="12"/>
      <c r="D930" s="12"/>
      <c r="E930" s="9"/>
      <c r="F930" s="10"/>
      <c r="G930" s="11"/>
      <c r="H930" s="9"/>
      <c r="I930" s="31"/>
      <c r="J930" s="9"/>
      <c r="K930" s="9"/>
      <c r="L930" s="21" t="s">
        <v>71</v>
      </c>
      <c r="M930" s="14" t="s">
        <v>1117</v>
      </c>
      <c r="N930" s="30" t="s">
        <v>2721</v>
      </c>
      <c r="O930" s="31"/>
      <c r="P930" s="14" t="s">
        <v>562</v>
      </c>
      <c r="Q930" s="14" t="s">
        <v>533</v>
      </c>
      <c r="R930" s="16" t="str">
        <f t="shared" si="2"/>
        <v>Diferente</v>
      </c>
    </row>
    <row r="931">
      <c r="A931" s="7" t="s">
        <v>473</v>
      </c>
      <c r="B931" s="14" t="s">
        <v>20</v>
      </c>
      <c r="C931" s="12"/>
      <c r="D931" s="17" t="s">
        <v>2041</v>
      </c>
      <c r="E931" s="9" t="s">
        <v>474</v>
      </c>
      <c r="F931" s="10" t="s">
        <v>475</v>
      </c>
      <c r="G931" s="22" t="s">
        <v>97</v>
      </c>
      <c r="H931" s="9" t="s">
        <v>476</v>
      </c>
      <c r="I931" s="29" t="s">
        <v>2064</v>
      </c>
      <c r="J931" s="9"/>
      <c r="K931" s="9" t="s">
        <v>392</v>
      </c>
      <c r="L931" s="21" t="s">
        <v>25</v>
      </c>
      <c r="M931" s="14" t="s">
        <v>1117</v>
      </c>
      <c r="N931" s="30" t="s">
        <v>1073</v>
      </c>
      <c r="O931" s="31"/>
      <c r="P931" s="14" t="s">
        <v>533</v>
      </c>
      <c r="Q931" s="14" t="s">
        <v>533</v>
      </c>
      <c r="R931" s="16" t="str">
        <f t="shared" si="2"/>
        <v>Igual</v>
      </c>
    </row>
    <row r="932">
      <c r="A932" s="7"/>
      <c r="B932" s="16"/>
      <c r="C932" s="12"/>
      <c r="D932" s="12"/>
      <c r="E932" s="9"/>
      <c r="F932" s="10"/>
      <c r="G932" s="11"/>
      <c r="H932" s="9"/>
      <c r="I932" s="31"/>
      <c r="J932" s="9"/>
      <c r="K932" s="9"/>
      <c r="L932" s="21" t="s">
        <v>31</v>
      </c>
      <c r="M932" s="14" t="s">
        <v>1117</v>
      </c>
      <c r="N932" s="30" t="s">
        <v>2722</v>
      </c>
      <c r="O932" s="31"/>
      <c r="P932" s="14" t="s">
        <v>562</v>
      </c>
      <c r="Q932" s="14" t="s">
        <v>533</v>
      </c>
      <c r="R932" s="16" t="str">
        <f t="shared" si="2"/>
        <v>Diferente</v>
      </c>
    </row>
    <row r="933">
      <c r="A933" s="7"/>
      <c r="B933" s="16"/>
      <c r="C933" s="12"/>
      <c r="D933" s="12"/>
      <c r="E933" s="9"/>
      <c r="F933" s="10"/>
      <c r="G933" s="11"/>
      <c r="H933" s="9"/>
      <c r="I933" s="31"/>
      <c r="J933" s="9"/>
      <c r="K933" s="9"/>
      <c r="L933" s="21" t="s">
        <v>36</v>
      </c>
      <c r="M933" s="14" t="s">
        <v>1117</v>
      </c>
      <c r="N933" s="30" t="s">
        <v>2723</v>
      </c>
      <c r="O933" s="31"/>
      <c r="P933" s="14" t="s">
        <v>562</v>
      </c>
      <c r="Q933" s="14" t="s">
        <v>533</v>
      </c>
      <c r="R933" s="16" t="str">
        <f t="shared" si="2"/>
        <v>Diferente</v>
      </c>
    </row>
    <row r="934">
      <c r="A934" s="7"/>
      <c r="B934" s="16"/>
      <c r="C934" s="12"/>
      <c r="D934" s="12"/>
      <c r="E934" s="9"/>
      <c r="F934" s="10"/>
      <c r="G934" s="11"/>
      <c r="H934" s="9"/>
      <c r="I934" s="31"/>
      <c r="J934" s="9"/>
      <c r="K934" s="9"/>
      <c r="L934" s="21" t="s">
        <v>41</v>
      </c>
      <c r="M934" s="14" t="s">
        <v>1117</v>
      </c>
      <c r="N934" s="30" t="s">
        <v>2724</v>
      </c>
      <c r="O934" s="31"/>
      <c r="P934" s="14" t="s">
        <v>562</v>
      </c>
      <c r="Q934" s="14" t="s">
        <v>533</v>
      </c>
      <c r="R934" s="16" t="str">
        <f t="shared" si="2"/>
        <v>Diferente</v>
      </c>
    </row>
    <row r="935">
      <c r="A935" s="7"/>
      <c r="B935" s="16"/>
      <c r="C935" s="12"/>
      <c r="D935" s="12"/>
      <c r="E935" s="9"/>
      <c r="F935" s="10"/>
      <c r="G935" s="11"/>
      <c r="H935" s="9"/>
      <c r="I935" s="31"/>
      <c r="J935" s="9"/>
      <c r="K935" s="9"/>
      <c r="L935" s="21" t="s">
        <v>47</v>
      </c>
      <c r="M935" s="14" t="s">
        <v>1117</v>
      </c>
      <c r="N935" s="14" t="s">
        <v>1073</v>
      </c>
      <c r="O935" s="31"/>
      <c r="P935" s="14" t="s">
        <v>533</v>
      </c>
      <c r="Q935" s="14" t="s">
        <v>533</v>
      </c>
      <c r="R935" s="16" t="str">
        <f t="shared" si="2"/>
        <v>Igual</v>
      </c>
    </row>
    <row r="936">
      <c r="A936" s="7"/>
      <c r="B936" s="16"/>
      <c r="C936" s="12"/>
      <c r="D936" s="12"/>
      <c r="E936" s="9"/>
      <c r="F936" s="10"/>
      <c r="G936" s="11"/>
      <c r="H936" s="9"/>
      <c r="I936" s="31"/>
      <c r="J936" s="9"/>
      <c r="K936" s="9"/>
      <c r="L936" s="21" t="s">
        <v>53</v>
      </c>
      <c r="M936" s="14" t="s">
        <v>1117</v>
      </c>
      <c r="N936" s="14" t="s">
        <v>1073</v>
      </c>
      <c r="O936" s="31"/>
      <c r="P936" s="14" t="s">
        <v>533</v>
      </c>
      <c r="Q936" s="14" t="s">
        <v>533</v>
      </c>
      <c r="R936" s="16" t="str">
        <f t="shared" si="2"/>
        <v>Igual</v>
      </c>
    </row>
    <row r="937">
      <c r="A937" s="7"/>
      <c r="B937" s="16"/>
      <c r="C937" s="12"/>
      <c r="D937" s="12"/>
      <c r="E937" s="9"/>
      <c r="F937" s="10"/>
      <c r="G937" s="11"/>
      <c r="H937" s="9"/>
      <c r="I937" s="31"/>
      <c r="J937" s="9"/>
      <c r="K937" s="9"/>
      <c r="L937" s="21" t="s">
        <v>59</v>
      </c>
      <c r="M937" s="14" t="s">
        <v>1117</v>
      </c>
      <c r="N937" s="14" t="s">
        <v>1073</v>
      </c>
      <c r="O937" s="31"/>
      <c r="P937" s="14" t="s">
        <v>533</v>
      </c>
      <c r="Q937" s="14" t="s">
        <v>533</v>
      </c>
      <c r="R937" s="16" t="str">
        <f t="shared" si="2"/>
        <v>Igual</v>
      </c>
    </row>
    <row r="938">
      <c r="A938" s="7"/>
      <c r="B938" s="16"/>
      <c r="C938" s="12"/>
      <c r="D938" s="12"/>
      <c r="E938" s="9"/>
      <c r="F938" s="10"/>
      <c r="G938" s="11"/>
      <c r="H938" s="9"/>
      <c r="I938" s="31"/>
      <c r="J938" s="9"/>
      <c r="K938" s="9"/>
      <c r="L938" s="21" t="s">
        <v>65</v>
      </c>
      <c r="M938" s="14" t="s">
        <v>1117</v>
      </c>
      <c r="N938" s="14" t="s">
        <v>1073</v>
      </c>
      <c r="O938" s="31"/>
      <c r="P938" s="14" t="s">
        <v>533</v>
      </c>
      <c r="Q938" s="14" t="s">
        <v>533</v>
      </c>
      <c r="R938" s="16" t="str">
        <f t="shared" si="2"/>
        <v>Igual</v>
      </c>
    </row>
    <row r="939">
      <c r="A939" s="7"/>
      <c r="B939" s="16"/>
      <c r="C939" s="12"/>
      <c r="D939" s="12"/>
      <c r="E939" s="9"/>
      <c r="F939" s="10"/>
      <c r="G939" s="11"/>
      <c r="H939" s="9"/>
      <c r="I939" s="31"/>
      <c r="J939" s="9"/>
      <c r="K939" s="9"/>
      <c r="L939" s="21" t="s">
        <v>71</v>
      </c>
      <c r="M939" s="14" t="s">
        <v>1117</v>
      </c>
      <c r="N939" s="60" t="s">
        <v>2725</v>
      </c>
      <c r="O939" s="31"/>
      <c r="P939" s="14" t="s">
        <v>533</v>
      </c>
      <c r="Q939" s="14" t="s">
        <v>533</v>
      </c>
      <c r="R939" s="16" t="str">
        <f t="shared" si="2"/>
        <v>Igual</v>
      </c>
    </row>
    <row r="940">
      <c r="A940" s="7" t="s">
        <v>477</v>
      </c>
      <c r="B940" s="14" t="s">
        <v>20</v>
      </c>
      <c r="C940" s="12"/>
      <c r="D940" s="17" t="s">
        <v>2065</v>
      </c>
      <c r="E940" s="9" t="s">
        <v>478</v>
      </c>
      <c r="F940" s="10" t="s">
        <v>479</v>
      </c>
      <c r="G940" s="22" t="s">
        <v>97</v>
      </c>
      <c r="H940" s="9" t="s">
        <v>480</v>
      </c>
      <c r="I940" s="29" t="s">
        <v>2064</v>
      </c>
      <c r="J940" s="9"/>
      <c r="K940" s="9" t="s">
        <v>392</v>
      </c>
      <c r="L940" s="21" t="s">
        <v>25</v>
      </c>
      <c r="M940" s="14" t="s">
        <v>1117</v>
      </c>
      <c r="N940" s="30" t="s">
        <v>2726</v>
      </c>
      <c r="O940" s="31"/>
      <c r="P940" s="14" t="s">
        <v>562</v>
      </c>
      <c r="Q940" s="14" t="s">
        <v>562</v>
      </c>
      <c r="R940" s="16" t="str">
        <f t="shared" si="2"/>
        <v>Igual</v>
      </c>
    </row>
    <row r="941">
      <c r="A941" s="7"/>
      <c r="B941" s="16"/>
      <c r="C941" s="12"/>
      <c r="D941" s="12"/>
      <c r="E941" s="9"/>
      <c r="F941" s="10"/>
      <c r="G941" s="11"/>
      <c r="H941" s="9"/>
      <c r="I941" s="31"/>
      <c r="J941" s="9"/>
      <c r="K941" s="9"/>
      <c r="L941" s="21" t="s">
        <v>31</v>
      </c>
      <c r="M941" s="14" t="s">
        <v>1117</v>
      </c>
      <c r="N941" s="14" t="s">
        <v>1073</v>
      </c>
      <c r="O941" s="31"/>
      <c r="P941" s="14" t="s">
        <v>562</v>
      </c>
      <c r="Q941" s="14" t="s">
        <v>533</v>
      </c>
      <c r="R941" s="16" t="str">
        <f t="shared" si="2"/>
        <v>Diferente</v>
      </c>
    </row>
    <row r="942">
      <c r="A942" s="7"/>
      <c r="B942" s="16"/>
      <c r="C942" s="12"/>
      <c r="D942" s="12"/>
      <c r="E942" s="9"/>
      <c r="F942" s="10"/>
      <c r="G942" s="11"/>
      <c r="H942" s="9"/>
      <c r="I942" s="31"/>
      <c r="J942" s="9"/>
      <c r="K942" s="9"/>
      <c r="L942" s="21" t="s">
        <v>36</v>
      </c>
      <c r="M942" s="14" t="s">
        <v>1117</v>
      </c>
      <c r="N942" s="30" t="s">
        <v>2727</v>
      </c>
      <c r="O942" s="31"/>
      <c r="P942" s="14" t="s">
        <v>562</v>
      </c>
      <c r="Q942" s="14" t="s">
        <v>533</v>
      </c>
      <c r="R942" s="16" t="str">
        <f t="shared" si="2"/>
        <v>Diferente</v>
      </c>
    </row>
    <row r="943">
      <c r="A943" s="7"/>
      <c r="B943" s="16"/>
      <c r="C943" s="12"/>
      <c r="D943" s="12"/>
      <c r="E943" s="9"/>
      <c r="F943" s="10"/>
      <c r="G943" s="11"/>
      <c r="H943" s="9"/>
      <c r="I943" s="31"/>
      <c r="J943" s="9"/>
      <c r="K943" s="9"/>
      <c r="L943" s="21" t="s">
        <v>41</v>
      </c>
      <c r="M943" s="14" t="s">
        <v>1117</v>
      </c>
      <c r="N943" s="30" t="s">
        <v>2728</v>
      </c>
      <c r="O943" s="31"/>
      <c r="P943" s="14" t="s">
        <v>562</v>
      </c>
      <c r="Q943" s="14" t="s">
        <v>533</v>
      </c>
      <c r="R943" s="16" t="str">
        <f t="shared" si="2"/>
        <v>Diferente</v>
      </c>
    </row>
    <row r="944">
      <c r="A944" s="7"/>
      <c r="B944" s="16"/>
      <c r="C944" s="12"/>
      <c r="D944" s="12"/>
      <c r="E944" s="9"/>
      <c r="F944" s="10"/>
      <c r="G944" s="11"/>
      <c r="H944" s="9"/>
      <c r="I944" s="31"/>
      <c r="J944" s="9"/>
      <c r="K944" s="9"/>
      <c r="L944" s="21" t="s">
        <v>47</v>
      </c>
      <c r="M944" s="14" t="s">
        <v>1117</v>
      </c>
      <c r="N944" s="14" t="s">
        <v>1117</v>
      </c>
      <c r="O944" s="31"/>
      <c r="P944" s="14" t="s">
        <v>562</v>
      </c>
      <c r="Q944" s="14" t="s">
        <v>533</v>
      </c>
      <c r="R944" s="16" t="str">
        <f t="shared" si="2"/>
        <v>Diferente</v>
      </c>
    </row>
    <row r="945">
      <c r="A945" s="7"/>
      <c r="B945" s="16"/>
      <c r="C945" s="12"/>
      <c r="D945" s="12"/>
      <c r="E945" s="9"/>
      <c r="F945" s="10"/>
      <c r="G945" s="11"/>
      <c r="H945" s="9"/>
      <c r="I945" s="31"/>
      <c r="J945" s="9"/>
      <c r="K945" s="9"/>
      <c r="L945" s="21" t="s">
        <v>53</v>
      </c>
      <c r="M945" s="14" t="s">
        <v>1117</v>
      </c>
      <c r="N945" s="14" t="s">
        <v>1117</v>
      </c>
      <c r="O945" s="31"/>
      <c r="P945" s="14" t="s">
        <v>562</v>
      </c>
      <c r="Q945" s="14" t="s">
        <v>533</v>
      </c>
      <c r="R945" s="16" t="str">
        <f t="shared" si="2"/>
        <v>Diferente</v>
      </c>
    </row>
    <row r="946">
      <c r="A946" s="7"/>
      <c r="B946" s="16"/>
      <c r="C946" s="12"/>
      <c r="D946" s="12"/>
      <c r="E946" s="9"/>
      <c r="F946" s="10"/>
      <c r="G946" s="11"/>
      <c r="H946" s="9"/>
      <c r="I946" s="31"/>
      <c r="J946" s="9"/>
      <c r="K946" s="9"/>
      <c r="L946" s="21" t="s">
        <v>59</v>
      </c>
      <c r="M946" s="14" t="s">
        <v>1117</v>
      </c>
      <c r="N946" s="30" t="s">
        <v>2729</v>
      </c>
      <c r="O946" s="31"/>
      <c r="P946" s="14" t="s">
        <v>562</v>
      </c>
      <c r="Q946" s="14" t="s">
        <v>533</v>
      </c>
      <c r="R946" s="16" t="str">
        <f t="shared" si="2"/>
        <v>Diferente</v>
      </c>
    </row>
    <row r="947">
      <c r="A947" s="7"/>
      <c r="B947" s="16"/>
      <c r="C947" s="12"/>
      <c r="D947" s="12"/>
      <c r="E947" s="9"/>
      <c r="F947" s="10"/>
      <c r="G947" s="11"/>
      <c r="H947" s="9"/>
      <c r="I947" s="31"/>
      <c r="J947" s="9"/>
      <c r="K947" s="9"/>
      <c r="L947" s="21" t="s">
        <v>65</v>
      </c>
      <c r="M947" s="14" t="s">
        <v>1117</v>
      </c>
      <c r="N947" s="14" t="s">
        <v>1117</v>
      </c>
      <c r="O947" s="31"/>
      <c r="P947" s="14" t="s">
        <v>562</v>
      </c>
      <c r="Q947" s="14" t="s">
        <v>533</v>
      </c>
      <c r="R947" s="16" t="str">
        <f t="shared" si="2"/>
        <v>Diferente</v>
      </c>
    </row>
    <row r="948">
      <c r="A948" s="7"/>
      <c r="B948" s="16"/>
      <c r="C948" s="12"/>
      <c r="D948" s="12"/>
      <c r="E948" s="9"/>
      <c r="F948" s="10"/>
      <c r="G948" s="11"/>
      <c r="H948" s="9"/>
      <c r="I948" s="31"/>
      <c r="J948" s="9"/>
      <c r="K948" s="9"/>
      <c r="L948" s="21" t="s">
        <v>71</v>
      </c>
      <c r="M948" s="14" t="s">
        <v>1117</v>
      </c>
      <c r="N948" s="30" t="s">
        <v>2730</v>
      </c>
      <c r="O948" s="31"/>
      <c r="P948" s="14" t="s">
        <v>562</v>
      </c>
      <c r="Q948" s="14" t="s">
        <v>533</v>
      </c>
      <c r="R948" s="16" t="str">
        <f t="shared" si="2"/>
        <v>Diferente</v>
      </c>
    </row>
    <row r="949">
      <c r="A949" s="7" t="s">
        <v>481</v>
      </c>
      <c r="B949" s="14" t="s">
        <v>20</v>
      </c>
      <c r="C949" s="12"/>
      <c r="D949" s="17" t="s">
        <v>2066</v>
      </c>
      <c r="E949" s="9" t="s">
        <v>482</v>
      </c>
      <c r="F949" s="10" t="s">
        <v>483</v>
      </c>
      <c r="G949" s="22" t="s">
        <v>97</v>
      </c>
      <c r="H949" s="9" t="s">
        <v>484</v>
      </c>
      <c r="I949" s="29" t="s">
        <v>1021</v>
      </c>
      <c r="J949" s="9"/>
      <c r="K949" s="9" t="s">
        <v>392</v>
      </c>
      <c r="L949" s="21" t="s">
        <v>25</v>
      </c>
      <c r="M949" s="30" t="s">
        <v>2731</v>
      </c>
      <c r="N949" s="30" t="s">
        <v>2732</v>
      </c>
      <c r="O949" s="31"/>
      <c r="P949" s="14" t="s">
        <v>533</v>
      </c>
      <c r="Q949" s="14" t="s">
        <v>533</v>
      </c>
      <c r="R949" s="16" t="str">
        <f t="shared" si="2"/>
        <v>Igual</v>
      </c>
    </row>
    <row r="950">
      <c r="A950" s="7"/>
      <c r="B950" s="16"/>
      <c r="C950" s="12"/>
      <c r="D950" s="12"/>
      <c r="E950" s="9"/>
      <c r="F950" s="10"/>
      <c r="G950" s="11"/>
      <c r="H950" s="9"/>
      <c r="I950" s="31"/>
      <c r="J950" s="9"/>
      <c r="K950" s="9"/>
      <c r="L950" s="21" t="s">
        <v>31</v>
      </c>
      <c r="M950" s="30" t="s">
        <v>2733</v>
      </c>
      <c r="N950" s="30" t="s">
        <v>2734</v>
      </c>
      <c r="O950" s="31"/>
      <c r="P950" s="14" t="s">
        <v>533</v>
      </c>
      <c r="Q950" s="14" t="s">
        <v>533</v>
      </c>
      <c r="R950" s="16" t="str">
        <f t="shared" si="2"/>
        <v>Igual</v>
      </c>
    </row>
    <row r="951">
      <c r="A951" s="7"/>
      <c r="B951" s="16"/>
      <c r="C951" s="12"/>
      <c r="D951" s="12"/>
      <c r="E951" s="9"/>
      <c r="F951" s="10"/>
      <c r="G951" s="11"/>
      <c r="H951" s="9"/>
      <c r="I951" s="31"/>
      <c r="J951" s="9"/>
      <c r="K951" s="9"/>
      <c r="L951" s="21" t="s">
        <v>36</v>
      </c>
      <c r="M951" s="30" t="s">
        <v>2735</v>
      </c>
      <c r="N951" s="30" t="s">
        <v>2736</v>
      </c>
      <c r="O951" s="31"/>
      <c r="P951" s="14" t="s">
        <v>533</v>
      </c>
      <c r="Q951" s="14" t="s">
        <v>533</v>
      </c>
      <c r="R951" s="16" t="str">
        <f t="shared" si="2"/>
        <v>Igual</v>
      </c>
    </row>
    <row r="952">
      <c r="A952" s="7"/>
      <c r="B952" s="16"/>
      <c r="C952" s="12"/>
      <c r="D952" s="12"/>
      <c r="E952" s="9"/>
      <c r="F952" s="10"/>
      <c r="G952" s="11"/>
      <c r="H952" s="9"/>
      <c r="I952" s="31"/>
      <c r="J952" s="9"/>
      <c r="K952" s="9"/>
      <c r="L952" s="21" t="s">
        <v>41</v>
      </c>
      <c r="M952" s="14" t="s">
        <v>1073</v>
      </c>
      <c r="N952" s="14" t="s">
        <v>1073</v>
      </c>
      <c r="O952" s="31"/>
      <c r="P952" s="14" t="s">
        <v>533</v>
      </c>
      <c r="Q952" s="14" t="s">
        <v>533</v>
      </c>
      <c r="R952" s="16" t="str">
        <f t="shared" si="2"/>
        <v>Igual</v>
      </c>
    </row>
    <row r="953">
      <c r="A953" s="7"/>
      <c r="B953" s="16"/>
      <c r="C953" s="12"/>
      <c r="D953" s="12"/>
      <c r="E953" s="9"/>
      <c r="F953" s="10"/>
      <c r="G953" s="11"/>
      <c r="H953" s="9"/>
      <c r="I953" s="31"/>
      <c r="J953" s="9"/>
      <c r="K953" s="9"/>
      <c r="L953" s="21" t="s">
        <v>47</v>
      </c>
      <c r="M953" s="14" t="s">
        <v>1073</v>
      </c>
      <c r="N953" s="14" t="s">
        <v>1073</v>
      </c>
      <c r="O953" s="31"/>
      <c r="P953" s="14" t="s">
        <v>533</v>
      </c>
      <c r="Q953" s="14" t="s">
        <v>533</v>
      </c>
      <c r="R953" s="16" t="str">
        <f t="shared" si="2"/>
        <v>Igual</v>
      </c>
    </row>
    <row r="954">
      <c r="A954" s="7"/>
      <c r="B954" s="16"/>
      <c r="C954" s="12"/>
      <c r="D954" s="12"/>
      <c r="E954" s="9"/>
      <c r="F954" s="10"/>
      <c r="G954" s="11"/>
      <c r="H954" s="9"/>
      <c r="I954" s="31"/>
      <c r="J954" s="9"/>
      <c r="K954" s="9"/>
      <c r="L954" s="21" t="s">
        <v>53</v>
      </c>
      <c r="M954" s="14" t="s">
        <v>1073</v>
      </c>
      <c r="N954" s="14" t="s">
        <v>1073</v>
      </c>
      <c r="O954" s="31"/>
      <c r="P954" s="14" t="s">
        <v>533</v>
      </c>
      <c r="Q954" s="14" t="s">
        <v>533</v>
      </c>
      <c r="R954" s="16" t="str">
        <f t="shared" si="2"/>
        <v>Igual</v>
      </c>
    </row>
    <row r="955">
      <c r="A955" s="7"/>
      <c r="B955" s="16"/>
      <c r="C955" s="12"/>
      <c r="D955" s="12"/>
      <c r="E955" s="9"/>
      <c r="F955" s="10"/>
      <c r="G955" s="11"/>
      <c r="H955" s="9"/>
      <c r="I955" s="31"/>
      <c r="J955" s="9"/>
      <c r="K955" s="9"/>
      <c r="L955" s="21" t="s">
        <v>59</v>
      </c>
      <c r="M955" s="14" t="s">
        <v>1073</v>
      </c>
      <c r="N955" s="14" t="s">
        <v>1073</v>
      </c>
      <c r="O955" s="31"/>
      <c r="P955" s="14" t="s">
        <v>533</v>
      </c>
      <c r="Q955" s="14" t="s">
        <v>533</v>
      </c>
      <c r="R955" s="16" t="str">
        <f t="shared" si="2"/>
        <v>Igual</v>
      </c>
    </row>
    <row r="956">
      <c r="A956" s="7"/>
      <c r="B956" s="16"/>
      <c r="C956" s="12"/>
      <c r="D956" s="12"/>
      <c r="E956" s="9"/>
      <c r="F956" s="10"/>
      <c r="G956" s="11"/>
      <c r="H956" s="9"/>
      <c r="I956" s="31"/>
      <c r="J956" s="9"/>
      <c r="K956" s="9"/>
      <c r="L956" s="21" t="s">
        <v>65</v>
      </c>
      <c r="M956" s="14" t="s">
        <v>1073</v>
      </c>
      <c r="N956" s="14" t="s">
        <v>1073</v>
      </c>
      <c r="O956" s="31"/>
      <c r="P956" s="14" t="s">
        <v>533</v>
      </c>
      <c r="Q956" s="14" t="s">
        <v>533</v>
      </c>
      <c r="R956" s="16" t="str">
        <f t="shared" si="2"/>
        <v>Igual</v>
      </c>
    </row>
    <row r="957">
      <c r="A957" s="7"/>
      <c r="B957" s="16"/>
      <c r="C957" s="12"/>
      <c r="D957" s="12"/>
      <c r="E957" s="9"/>
      <c r="F957" s="10"/>
      <c r="G957" s="11"/>
      <c r="H957" s="9"/>
      <c r="I957" s="31"/>
      <c r="J957" s="9"/>
      <c r="K957" s="9"/>
      <c r="L957" s="21" t="s">
        <v>71</v>
      </c>
      <c r="M957" s="14" t="s">
        <v>1073</v>
      </c>
      <c r="N957" s="30" t="s">
        <v>2737</v>
      </c>
      <c r="O957" s="31"/>
      <c r="P957" s="14" t="s">
        <v>562</v>
      </c>
      <c r="Q957" s="14" t="s">
        <v>533</v>
      </c>
      <c r="R957" s="16" t="str">
        <f t="shared" si="2"/>
        <v>Diferente</v>
      </c>
    </row>
    <row r="958">
      <c r="A958" s="7" t="s">
        <v>485</v>
      </c>
      <c r="B958" s="14" t="s">
        <v>20</v>
      </c>
      <c r="C958" s="12"/>
      <c r="D958" s="17" t="s">
        <v>2067</v>
      </c>
      <c r="E958" s="9" t="s">
        <v>486</v>
      </c>
      <c r="F958" s="10" t="s">
        <v>487</v>
      </c>
      <c r="G958" s="22" t="s">
        <v>97</v>
      </c>
      <c r="H958" s="9" t="s">
        <v>488</v>
      </c>
      <c r="I958" s="29" t="s">
        <v>2068</v>
      </c>
      <c r="J958" s="9"/>
      <c r="K958" s="9" t="s">
        <v>392</v>
      </c>
      <c r="L958" s="21" t="s">
        <v>25</v>
      </c>
      <c r="M958" s="14" t="s">
        <v>1073</v>
      </c>
      <c r="N958" s="46"/>
      <c r="O958" s="31"/>
      <c r="P958" s="14" t="s">
        <v>533</v>
      </c>
      <c r="Q958" s="14" t="s">
        <v>533</v>
      </c>
      <c r="R958" s="16" t="str">
        <f t="shared" si="2"/>
        <v>Igual</v>
      </c>
    </row>
    <row r="959">
      <c r="A959" s="7"/>
      <c r="B959" s="16"/>
      <c r="C959" s="12"/>
      <c r="D959" s="12"/>
      <c r="E959" s="9"/>
      <c r="F959" s="10"/>
      <c r="G959" s="11"/>
      <c r="H959" s="9"/>
      <c r="I959" s="31"/>
      <c r="J959" s="9"/>
      <c r="K959" s="9"/>
      <c r="L959" s="21" t="s">
        <v>31</v>
      </c>
      <c r="M959" s="14" t="s">
        <v>1073</v>
      </c>
      <c r="N959" s="46"/>
      <c r="O959" s="31"/>
      <c r="P959" s="14" t="s">
        <v>533</v>
      </c>
      <c r="Q959" s="14" t="s">
        <v>533</v>
      </c>
      <c r="R959" s="16" t="str">
        <f t="shared" si="2"/>
        <v>Igual</v>
      </c>
    </row>
    <row r="960">
      <c r="A960" s="7"/>
      <c r="B960" s="16"/>
      <c r="C960" s="12"/>
      <c r="D960" s="12"/>
      <c r="E960" s="9"/>
      <c r="F960" s="10"/>
      <c r="G960" s="11"/>
      <c r="H960" s="9"/>
      <c r="I960" s="31"/>
      <c r="J960" s="9"/>
      <c r="K960" s="9"/>
      <c r="L960" s="21" t="s">
        <v>36</v>
      </c>
      <c r="M960" s="14" t="s">
        <v>1073</v>
      </c>
      <c r="N960" s="30" t="s">
        <v>2738</v>
      </c>
      <c r="O960" s="31"/>
      <c r="P960" s="14" t="s">
        <v>562</v>
      </c>
      <c r="Q960" s="14" t="s">
        <v>533</v>
      </c>
      <c r="R960" s="16" t="str">
        <f t="shared" si="2"/>
        <v>Diferente</v>
      </c>
    </row>
    <row r="961">
      <c r="A961" s="7"/>
      <c r="B961" s="16"/>
      <c r="C961" s="12"/>
      <c r="D961" s="12"/>
      <c r="E961" s="9"/>
      <c r="F961" s="10"/>
      <c r="G961" s="11"/>
      <c r="H961" s="9"/>
      <c r="I961" s="31"/>
      <c r="J961" s="9"/>
      <c r="K961" s="9"/>
      <c r="L961" s="21" t="s">
        <v>41</v>
      </c>
      <c r="M961" s="14" t="s">
        <v>1073</v>
      </c>
      <c r="N961" s="30" t="s">
        <v>2739</v>
      </c>
      <c r="O961" s="31"/>
      <c r="P961" s="14" t="s">
        <v>562</v>
      </c>
      <c r="Q961" s="14" t="s">
        <v>533</v>
      </c>
      <c r="R961" s="16" t="str">
        <f t="shared" si="2"/>
        <v>Diferente</v>
      </c>
    </row>
    <row r="962">
      <c r="A962" s="7"/>
      <c r="B962" s="16"/>
      <c r="C962" s="12"/>
      <c r="D962" s="12"/>
      <c r="E962" s="9"/>
      <c r="F962" s="10"/>
      <c r="G962" s="11"/>
      <c r="H962" s="9"/>
      <c r="I962" s="31"/>
      <c r="J962" s="9"/>
      <c r="K962" s="9"/>
      <c r="L962" s="21" t="s">
        <v>47</v>
      </c>
      <c r="M962" s="14" t="s">
        <v>1073</v>
      </c>
      <c r="N962" s="30" t="s">
        <v>2740</v>
      </c>
      <c r="O962" s="31"/>
      <c r="P962" s="14" t="s">
        <v>562</v>
      </c>
      <c r="Q962" s="14" t="s">
        <v>533</v>
      </c>
      <c r="R962" s="16" t="str">
        <f t="shared" si="2"/>
        <v>Diferente</v>
      </c>
    </row>
    <row r="963">
      <c r="A963" s="7"/>
      <c r="B963" s="16"/>
      <c r="C963" s="12"/>
      <c r="D963" s="12"/>
      <c r="E963" s="9"/>
      <c r="F963" s="10"/>
      <c r="G963" s="11"/>
      <c r="H963" s="9"/>
      <c r="I963" s="31"/>
      <c r="J963" s="9"/>
      <c r="K963" s="9"/>
      <c r="L963" s="21" t="s">
        <v>53</v>
      </c>
      <c r="M963" s="14" t="s">
        <v>1073</v>
      </c>
      <c r="N963" s="46"/>
      <c r="O963" s="31"/>
      <c r="P963" s="14" t="s">
        <v>562</v>
      </c>
      <c r="Q963" s="14" t="s">
        <v>533</v>
      </c>
      <c r="R963" s="16" t="str">
        <f t="shared" si="2"/>
        <v>Diferente</v>
      </c>
    </row>
    <row r="964">
      <c r="A964" s="7"/>
      <c r="B964" s="16"/>
      <c r="C964" s="12"/>
      <c r="D964" s="12"/>
      <c r="E964" s="9"/>
      <c r="F964" s="10"/>
      <c r="G964" s="11"/>
      <c r="H964" s="9"/>
      <c r="I964" s="31"/>
      <c r="J964" s="9"/>
      <c r="K964" s="9"/>
      <c r="L964" s="21" t="s">
        <v>59</v>
      </c>
      <c r="M964" s="14" t="s">
        <v>1073</v>
      </c>
      <c r="N964" s="30" t="s">
        <v>2741</v>
      </c>
      <c r="O964" s="31"/>
      <c r="P964" s="14" t="s">
        <v>562</v>
      </c>
      <c r="Q964" s="14" t="s">
        <v>533</v>
      </c>
      <c r="R964" s="16" t="str">
        <f t="shared" si="2"/>
        <v>Diferente</v>
      </c>
    </row>
    <row r="965">
      <c r="A965" s="7"/>
      <c r="B965" s="16"/>
      <c r="C965" s="12"/>
      <c r="D965" s="12"/>
      <c r="E965" s="9"/>
      <c r="F965" s="10"/>
      <c r="G965" s="11"/>
      <c r="H965" s="9"/>
      <c r="I965" s="31"/>
      <c r="J965" s="9"/>
      <c r="K965" s="9"/>
      <c r="L965" s="21" t="s">
        <v>65</v>
      </c>
      <c r="M965" s="14" t="s">
        <v>1073</v>
      </c>
      <c r="N965" s="14" t="s">
        <v>1073</v>
      </c>
      <c r="O965" s="31"/>
      <c r="P965" s="14" t="s">
        <v>562</v>
      </c>
      <c r="Q965" s="14" t="s">
        <v>533</v>
      </c>
      <c r="R965" s="16" t="str">
        <f t="shared" si="2"/>
        <v>Diferente</v>
      </c>
    </row>
    <row r="966">
      <c r="A966" s="7"/>
      <c r="B966" s="16"/>
      <c r="C966" s="12"/>
      <c r="D966" s="12"/>
      <c r="E966" s="9"/>
      <c r="F966" s="10"/>
      <c r="G966" s="11"/>
      <c r="H966" s="9"/>
      <c r="I966" s="31"/>
      <c r="J966" s="9"/>
      <c r="K966" s="9"/>
      <c r="L966" s="21" t="s">
        <v>71</v>
      </c>
      <c r="M966" s="14" t="s">
        <v>1073</v>
      </c>
      <c r="N966" s="30" t="s">
        <v>2742</v>
      </c>
      <c r="O966" s="31"/>
      <c r="P966" s="14" t="s">
        <v>562</v>
      </c>
      <c r="Q966" s="14" t="s">
        <v>533</v>
      </c>
      <c r="R966" s="16" t="str">
        <f t="shared" si="2"/>
        <v>Diferente</v>
      </c>
    </row>
    <row r="967">
      <c r="A967" s="7" t="s">
        <v>489</v>
      </c>
      <c r="B967" s="14" t="s">
        <v>20</v>
      </c>
      <c r="C967" s="12"/>
      <c r="D967" s="17" t="s">
        <v>2069</v>
      </c>
      <c r="E967" s="9" t="s">
        <v>490</v>
      </c>
      <c r="F967" s="10" t="s">
        <v>491</v>
      </c>
      <c r="G967" s="22" t="s">
        <v>86</v>
      </c>
      <c r="H967" s="9" t="s">
        <v>492</v>
      </c>
      <c r="I967" s="29" t="s">
        <v>680</v>
      </c>
      <c r="J967" s="9"/>
      <c r="K967" s="9" t="s">
        <v>392</v>
      </c>
      <c r="L967" s="21" t="s">
        <v>25</v>
      </c>
      <c r="M967" s="14" t="s">
        <v>1073</v>
      </c>
      <c r="N967" s="14" t="s">
        <v>1073</v>
      </c>
      <c r="O967" s="31"/>
      <c r="P967" s="14" t="s">
        <v>562</v>
      </c>
      <c r="Q967" s="14" t="s">
        <v>533</v>
      </c>
      <c r="R967" s="16" t="str">
        <f t="shared" si="2"/>
        <v>Diferente</v>
      </c>
    </row>
    <row r="968">
      <c r="A968" s="7"/>
      <c r="B968" s="16"/>
      <c r="C968" s="12"/>
      <c r="D968" s="12"/>
      <c r="E968" s="9"/>
      <c r="F968" s="10"/>
      <c r="G968" s="11"/>
      <c r="H968" s="9"/>
      <c r="I968" s="31"/>
      <c r="J968" s="9"/>
      <c r="K968" s="9"/>
      <c r="L968" s="21" t="s">
        <v>31</v>
      </c>
      <c r="M968" s="14" t="s">
        <v>1073</v>
      </c>
      <c r="N968" s="30" t="s">
        <v>2743</v>
      </c>
      <c r="O968" s="31"/>
      <c r="P968" s="14" t="s">
        <v>562</v>
      </c>
      <c r="Q968" s="14" t="s">
        <v>533</v>
      </c>
      <c r="R968" s="16" t="str">
        <f t="shared" si="2"/>
        <v>Diferente</v>
      </c>
    </row>
    <row r="969">
      <c r="A969" s="7"/>
      <c r="B969" s="16"/>
      <c r="C969" s="12"/>
      <c r="D969" s="12"/>
      <c r="E969" s="9"/>
      <c r="F969" s="10"/>
      <c r="G969" s="11"/>
      <c r="H969" s="9"/>
      <c r="I969" s="31"/>
      <c r="J969" s="9"/>
      <c r="K969" s="9"/>
      <c r="L969" s="21" t="s">
        <v>36</v>
      </c>
      <c r="M969" s="14" t="s">
        <v>1073</v>
      </c>
      <c r="N969" s="30" t="s">
        <v>2744</v>
      </c>
      <c r="O969" s="31"/>
      <c r="P969" s="14" t="s">
        <v>562</v>
      </c>
      <c r="Q969" s="14" t="s">
        <v>533</v>
      </c>
      <c r="R969" s="16" t="str">
        <f t="shared" si="2"/>
        <v>Diferente</v>
      </c>
    </row>
    <row r="970">
      <c r="A970" s="7"/>
      <c r="B970" s="16"/>
      <c r="C970" s="12"/>
      <c r="D970" s="12"/>
      <c r="E970" s="9"/>
      <c r="F970" s="10"/>
      <c r="G970" s="11"/>
      <c r="H970" s="9"/>
      <c r="I970" s="31"/>
      <c r="J970" s="9"/>
      <c r="K970" s="9"/>
      <c r="L970" s="21" t="s">
        <v>41</v>
      </c>
      <c r="M970" s="14" t="s">
        <v>1073</v>
      </c>
      <c r="N970" s="30" t="s">
        <v>2745</v>
      </c>
      <c r="O970" s="31"/>
      <c r="P970" s="14" t="s">
        <v>562</v>
      </c>
      <c r="Q970" s="14" t="s">
        <v>533</v>
      </c>
      <c r="R970" s="16" t="str">
        <f t="shared" si="2"/>
        <v>Diferente</v>
      </c>
    </row>
    <row r="971">
      <c r="A971" s="7"/>
      <c r="B971" s="16"/>
      <c r="C971" s="12"/>
      <c r="D971" s="12"/>
      <c r="E971" s="9"/>
      <c r="F971" s="10"/>
      <c r="G971" s="11"/>
      <c r="H971" s="9"/>
      <c r="I971" s="31"/>
      <c r="J971" s="9"/>
      <c r="K971" s="9"/>
      <c r="L971" s="21" t="s">
        <v>47</v>
      </c>
      <c r="M971" s="14" t="s">
        <v>1073</v>
      </c>
      <c r="N971" s="14" t="s">
        <v>1073</v>
      </c>
      <c r="O971" s="31"/>
      <c r="P971" s="14" t="s">
        <v>533</v>
      </c>
      <c r="Q971" s="14" t="s">
        <v>533</v>
      </c>
      <c r="R971" s="16" t="str">
        <f t="shared" si="2"/>
        <v>Igual</v>
      </c>
    </row>
    <row r="972">
      <c r="A972" s="7"/>
      <c r="B972" s="16"/>
      <c r="C972" s="12"/>
      <c r="D972" s="12"/>
      <c r="E972" s="9"/>
      <c r="F972" s="10"/>
      <c r="G972" s="11"/>
      <c r="H972" s="9"/>
      <c r="I972" s="31"/>
      <c r="J972" s="9"/>
      <c r="K972" s="9"/>
      <c r="L972" s="21" t="s">
        <v>53</v>
      </c>
      <c r="M972" s="14" t="s">
        <v>1073</v>
      </c>
      <c r="N972" s="14" t="s">
        <v>1073</v>
      </c>
      <c r="O972" s="31"/>
      <c r="P972" s="14" t="s">
        <v>533</v>
      </c>
      <c r="Q972" s="14" t="s">
        <v>533</v>
      </c>
      <c r="R972" s="16" t="str">
        <f t="shared" si="2"/>
        <v>Igual</v>
      </c>
    </row>
    <row r="973">
      <c r="A973" s="7"/>
      <c r="B973" s="16"/>
      <c r="C973" s="12"/>
      <c r="D973" s="12"/>
      <c r="E973" s="9"/>
      <c r="F973" s="10"/>
      <c r="G973" s="11"/>
      <c r="H973" s="9"/>
      <c r="I973" s="31"/>
      <c r="J973" s="9"/>
      <c r="K973" s="9"/>
      <c r="L973" s="21" t="s">
        <v>59</v>
      </c>
      <c r="M973" s="14" t="s">
        <v>1073</v>
      </c>
      <c r="N973" s="14" t="s">
        <v>1073</v>
      </c>
      <c r="O973" s="31"/>
      <c r="P973" s="14" t="s">
        <v>533</v>
      </c>
      <c r="Q973" s="14" t="s">
        <v>533</v>
      </c>
      <c r="R973" s="16" t="str">
        <f t="shared" si="2"/>
        <v>Igual</v>
      </c>
    </row>
    <row r="974">
      <c r="A974" s="7"/>
      <c r="B974" s="16"/>
      <c r="C974" s="12"/>
      <c r="D974" s="12"/>
      <c r="E974" s="9"/>
      <c r="F974" s="10"/>
      <c r="G974" s="11"/>
      <c r="H974" s="9"/>
      <c r="I974" s="31"/>
      <c r="J974" s="9"/>
      <c r="K974" s="9"/>
      <c r="L974" s="21" t="s">
        <v>65</v>
      </c>
      <c r="M974" s="14" t="s">
        <v>1073</v>
      </c>
      <c r="N974" s="14" t="s">
        <v>1073</v>
      </c>
      <c r="O974" s="31"/>
      <c r="P974" s="14" t="s">
        <v>533</v>
      </c>
      <c r="Q974" s="14" t="s">
        <v>533</v>
      </c>
      <c r="R974" s="16" t="str">
        <f t="shared" si="2"/>
        <v>Igual</v>
      </c>
    </row>
    <row r="975">
      <c r="A975" s="7"/>
      <c r="B975" s="16"/>
      <c r="C975" s="12"/>
      <c r="D975" s="12"/>
      <c r="E975" s="9"/>
      <c r="F975" s="10"/>
      <c r="G975" s="11"/>
      <c r="H975" s="9"/>
      <c r="I975" s="31"/>
      <c r="J975" s="9"/>
      <c r="K975" s="9"/>
      <c r="L975" s="21" t="s">
        <v>71</v>
      </c>
      <c r="M975" s="14" t="s">
        <v>1073</v>
      </c>
      <c r="N975" s="30" t="s">
        <v>2746</v>
      </c>
      <c r="O975" s="31"/>
      <c r="P975" s="14" t="s">
        <v>562</v>
      </c>
      <c r="Q975" s="14" t="s">
        <v>542</v>
      </c>
      <c r="R975" s="16" t="str">
        <f t="shared" si="2"/>
        <v>Diferente</v>
      </c>
    </row>
    <row r="976">
      <c r="A976" s="7" t="s">
        <v>493</v>
      </c>
      <c r="B976" s="16"/>
      <c r="C976" s="12"/>
      <c r="D976" s="17" t="s">
        <v>2050</v>
      </c>
      <c r="E976" s="9" t="s">
        <v>494</v>
      </c>
      <c r="F976" s="10" t="s">
        <v>495</v>
      </c>
      <c r="G976" s="22" t="s">
        <v>86</v>
      </c>
      <c r="H976" s="9" t="s">
        <v>496</v>
      </c>
      <c r="I976" s="29" t="s">
        <v>898</v>
      </c>
      <c r="J976" s="9"/>
      <c r="K976" s="9" t="s">
        <v>392</v>
      </c>
      <c r="L976" s="21" t="s">
        <v>25</v>
      </c>
      <c r="M976" s="14" t="s">
        <v>1073</v>
      </c>
      <c r="N976" s="30" t="s">
        <v>2747</v>
      </c>
      <c r="O976" s="31"/>
      <c r="P976" s="14" t="s">
        <v>562</v>
      </c>
      <c r="Q976" s="14" t="s">
        <v>533</v>
      </c>
      <c r="R976" s="16" t="str">
        <f t="shared" si="2"/>
        <v>Diferente</v>
      </c>
    </row>
    <row r="977">
      <c r="A977" s="7"/>
      <c r="B977" s="16"/>
      <c r="C977" s="12"/>
      <c r="D977" s="12"/>
      <c r="E977" s="9"/>
      <c r="F977" s="10"/>
      <c r="G977" s="11"/>
      <c r="H977" s="9"/>
      <c r="I977" s="31"/>
      <c r="J977" s="9"/>
      <c r="K977" s="9"/>
      <c r="L977" s="21" t="s">
        <v>31</v>
      </c>
      <c r="M977" s="14" t="s">
        <v>1073</v>
      </c>
      <c r="N977" s="46"/>
      <c r="O977" s="31"/>
      <c r="P977" s="14" t="s">
        <v>562</v>
      </c>
      <c r="Q977" s="14" t="s">
        <v>533</v>
      </c>
      <c r="R977" s="16" t="str">
        <f t="shared" si="2"/>
        <v>Diferente</v>
      </c>
    </row>
    <row r="978">
      <c r="A978" s="7"/>
      <c r="B978" s="16"/>
      <c r="C978" s="12"/>
      <c r="D978" s="12"/>
      <c r="E978" s="9"/>
      <c r="F978" s="10"/>
      <c r="G978" s="11"/>
      <c r="H978" s="9"/>
      <c r="I978" s="31"/>
      <c r="J978" s="9"/>
      <c r="K978" s="9"/>
      <c r="L978" s="21" t="s">
        <v>36</v>
      </c>
      <c r="M978" s="14" t="s">
        <v>1073</v>
      </c>
      <c r="N978" s="30" t="s">
        <v>2748</v>
      </c>
      <c r="O978" s="31"/>
      <c r="P978" s="14" t="s">
        <v>562</v>
      </c>
      <c r="Q978" s="14" t="s">
        <v>533</v>
      </c>
      <c r="R978" s="16" t="str">
        <f t="shared" si="2"/>
        <v>Diferente</v>
      </c>
    </row>
    <row r="979">
      <c r="A979" s="7"/>
      <c r="B979" s="16"/>
      <c r="C979" s="12"/>
      <c r="D979" s="12"/>
      <c r="E979" s="9"/>
      <c r="F979" s="10"/>
      <c r="G979" s="11"/>
      <c r="H979" s="9"/>
      <c r="I979" s="31"/>
      <c r="J979" s="9"/>
      <c r="K979" s="9"/>
      <c r="L979" s="21" t="s">
        <v>41</v>
      </c>
      <c r="M979" s="14" t="s">
        <v>1073</v>
      </c>
      <c r="N979" s="30" t="s">
        <v>2749</v>
      </c>
      <c r="O979" s="31"/>
      <c r="P979" s="14" t="s">
        <v>562</v>
      </c>
      <c r="Q979" s="14" t="s">
        <v>533</v>
      </c>
      <c r="R979" s="16" t="str">
        <f t="shared" si="2"/>
        <v>Diferente</v>
      </c>
    </row>
    <row r="980">
      <c r="A980" s="7"/>
      <c r="B980" s="16"/>
      <c r="C980" s="12"/>
      <c r="D980" s="12"/>
      <c r="E980" s="9"/>
      <c r="F980" s="10"/>
      <c r="G980" s="11"/>
      <c r="H980" s="9"/>
      <c r="I980" s="31"/>
      <c r="J980" s="9"/>
      <c r="K980" s="9"/>
      <c r="L980" s="21" t="s">
        <v>47</v>
      </c>
      <c r="M980" s="14" t="s">
        <v>1073</v>
      </c>
      <c r="N980" s="46"/>
      <c r="O980" s="31"/>
      <c r="P980" s="14" t="s">
        <v>562</v>
      </c>
      <c r="Q980" s="14" t="s">
        <v>542</v>
      </c>
      <c r="R980" s="16" t="str">
        <f t="shared" si="2"/>
        <v>Diferente</v>
      </c>
    </row>
    <row r="981">
      <c r="A981" s="7"/>
      <c r="B981" s="16"/>
      <c r="C981" s="12"/>
      <c r="D981" s="12"/>
      <c r="E981" s="9"/>
      <c r="F981" s="10"/>
      <c r="G981" s="11"/>
      <c r="H981" s="9"/>
      <c r="I981" s="31"/>
      <c r="J981" s="9"/>
      <c r="K981" s="9"/>
      <c r="L981" s="21" t="s">
        <v>53</v>
      </c>
      <c r="M981" s="14" t="s">
        <v>1073</v>
      </c>
      <c r="N981" s="46"/>
      <c r="O981" s="31"/>
      <c r="P981" s="14" t="s">
        <v>562</v>
      </c>
      <c r="Q981" s="16"/>
      <c r="R981" s="16" t="str">
        <f t="shared" si="2"/>
        <v/>
      </c>
    </row>
    <row r="982">
      <c r="A982" s="7"/>
      <c r="B982" s="16"/>
      <c r="C982" s="12"/>
      <c r="D982" s="12"/>
      <c r="E982" s="9"/>
      <c r="F982" s="10"/>
      <c r="G982" s="11"/>
      <c r="H982" s="9"/>
      <c r="I982" s="31"/>
      <c r="J982" s="9"/>
      <c r="K982" s="9"/>
      <c r="L982" s="21" t="s">
        <v>59</v>
      </c>
      <c r="M982" s="14" t="s">
        <v>1073</v>
      </c>
      <c r="N982" s="30" t="s">
        <v>2750</v>
      </c>
      <c r="O982" s="31"/>
      <c r="P982" s="14" t="s">
        <v>562</v>
      </c>
      <c r="Q982" s="14" t="s">
        <v>542</v>
      </c>
      <c r="R982" s="16" t="str">
        <f t="shared" si="2"/>
        <v>Diferente</v>
      </c>
    </row>
    <row r="983">
      <c r="A983" s="7"/>
      <c r="B983" s="16"/>
      <c r="C983" s="12"/>
      <c r="D983" s="12"/>
      <c r="E983" s="9"/>
      <c r="F983" s="10"/>
      <c r="G983" s="11"/>
      <c r="H983" s="9"/>
      <c r="I983" s="31"/>
      <c r="J983" s="9"/>
      <c r="K983" s="9"/>
      <c r="L983" s="21" t="s">
        <v>65</v>
      </c>
      <c r="M983" s="14" t="s">
        <v>1073</v>
      </c>
      <c r="N983" s="46"/>
      <c r="O983" s="31"/>
      <c r="P983" s="14" t="s">
        <v>562</v>
      </c>
      <c r="Q983" s="14" t="s">
        <v>533</v>
      </c>
      <c r="R983" s="16" t="str">
        <f t="shared" si="2"/>
        <v>Diferente</v>
      </c>
    </row>
    <row r="984">
      <c r="A984" s="7"/>
      <c r="B984" s="16"/>
      <c r="C984" s="12"/>
      <c r="D984" s="12"/>
      <c r="E984" s="9"/>
      <c r="F984" s="10"/>
      <c r="G984" s="11"/>
      <c r="H984" s="9"/>
      <c r="I984" s="31"/>
      <c r="J984" s="9"/>
      <c r="K984" s="9"/>
      <c r="L984" s="21" t="s">
        <v>71</v>
      </c>
      <c r="M984" s="14" t="s">
        <v>1073</v>
      </c>
      <c r="N984" s="30" t="s">
        <v>2751</v>
      </c>
      <c r="O984" s="31"/>
      <c r="P984" s="14" t="s">
        <v>562</v>
      </c>
      <c r="Q984" s="14" t="s">
        <v>533</v>
      </c>
      <c r="R984" s="16" t="str">
        <f t="shared" si="2"/>
        <v>Diferente</v>
      </c>
    </row>
    <row r="985">
      <c r="A985" s="7" t="s">
        <v>497</v>
      </c>
      <c r="B985" s="14" t="s">
        <v>20</v>
      </c>
      <c r="C985" s="12"/>
      <c r="D985" s="17" t="s">
        <v>2069</v>
      </c>
      <c r="E985" s="9" t="s">
        <v>498</v>
      </c>
      <c r="F985" s="10" t="s">
        <v>499</v>
      </c>
      <c r="G985" s="22" t="s">
        <v>86</v>
      </c>
      <c r="H985" s="9" t="s">
        <v>500</v>
      </c>
      <c r="I985" s="29" t="s">
        <v>565</v>
      </c>
      <c r="J985" s="9"/>
      <c r="K985" s="9" t="s">
        <v>392</v>
      </c>
      <c r="L985" s="21" t="s">
        <v>25</v>
      </c>
      <c r="M985" s="46"/>
      <c r="N985" s="46"/>
      <c r="O985" s="31"/>
      <c r="P985" s="16"/>
      <c r="Q985" s="16"/>
      <c r="R985" s="16" t="str">
        <f t="shared" si="2"/>
        <v/>
      </c>
    </row>
    <row r="986">
      <c r="A986" s="7"/>
      <c r="B986" s="16"/>
      <c r="C986" s="12"/>
      <c r="D986" s="12"/>
      <c r="E986" s="9"/>
      <c r="F986" s="10"/>
      <c r="G986" s="11"/>
      <c r="H986" s="9"/>
      <c r="I986" s="31"/>
      <c r="J986" s="9"/>
      <c r="K986" s="9"/>
      <c r="L986" s="21" t="s">
        <v>31</v>
      </c>
      <c r="M986" s="46"/>
      <c r="N986" s="46"/>
      <c r="O986" s="31"/>
      <c r="P986" s="16"/>
      <c r="Q986" s="16"/>
      <c r="R986" s="16" t="str">
        <f t="shared" si="2"/>
        <v/>
      </c>
    </row>
    <row r="987">
      <c r="A987" s="7"/>
      <c r="B987" s="16"/>
      <c r="C987" s="12"/>
      <c r="D987" s="12"/>
      <c r="E987" s="9"/>
      <c r="F987" s="10"/>
      <c r="G987" s="11"/>
      <c r="H987" s="9"/>
      <c r="I987" s="31"/>
      <c r="J987" s="9"/>
      <c r="K987" s="9"/>
      <c r="L987" s="21" t="s">
        <v>36</v>
      </c>
      <c r="M987" s="46"/>
      <c r="N987" s="46"/>
      <c r="O987" s="31"/>
      <c r="P987" s="16"/>
      <c r="Q987" s="16"/>
      <c r="R987" s="16" t="str">
        <f t="shared" si="2"/>
        <v/>
      </c>
    </row>
    <row r="988">
      <c r="A988" s="7"/>
      <c r="B988" s="16"/>
      <c r="C988" s="12"/>
      <c r="D988" s="12"/>
      <c r="E988" s="9"/>
      <c r="F988" s="10"/>
      <c r="G988" s="11"/>
      <c r="H988" s="9"/>
      <c r="I988" s="31"/>
      <c r="J988" s="9"/>
      <c r="K988" s="9"/>
      <c r="L988" s="21" t="s">
        <v>41</v>
      </c>
      <c r="M988" s="46"/>
      <c r="N988" s="46"/>
      <c r="O988" s="31"/>
      <c r="P988" s="16"/>
      <c r="Q988" s="16"/>
      <c r="R988" s="16" t="str">
        <f t="shared" si="2"/>
        <v/>
      </c>
    </row>
    <row r="989">
      <c r="A989" s="7"/>
      <c r="B989" s="16"/>
      <c r="C989" s="12"/>
      <c r="D989" s="12"/>
      <c r="E989" s="9"/>
      <c r="F989" s="10"/>
      <c r="G989" s="11"/>
      <c r="H989" s="9"/>
      <c r="I989" s="31"/>
      <c r="J989" s="9"/>
      <c r="K989" s="9"/>
      <c r="L989" s="21" t="s">
        <v>47</v>
      </c>
      <c r="M989" s="46"/>
      <c r="N989" s="46"/>
      <c r="O989" s="31"/>
      <c r="P989" s="16"/>
      <c r="Q989" s="16"/>
      <c r="R989" s="16" t="str">
        <f t="shared" si="2"/>
        <v/>
      </c>
    </row>
    <row r="990">
      <c r="A990" s="7"/>
      <c r="B990" s="16"/>
      <c r="C990" s="12"/>
      <c r="D990" s="12"/>
      <c r="E990" s="9"/>
      <c r="F990" s="10"/>
      <c r="G990" s="11"/>
      <c r="H990" s="9"/>
      <c r="I990" s="31"/>
      <c r="J990" s="9"/>
      <c r="K990" s="9"/>
      <c r="L990" s="21" t="s">
        <v>53</v>
      </c>
      <c r="M990" s="46"/>
      <c r="N990" s="46"/>
      <c r="O990" s="31"/>
      <c r="P990" s="16"/>
      <c r="Q990" s="16"/>
      <c r="R990" s="16" t="str">
        <f t="shared" si="2"/>
        <v/>
      </c>
    </row>
    <row r="991">
      <c r="A991" s="7"/>
      <c r="B991" s="16"/>
      <c r="C991" s="12"/>
      <c r="D991" s="12"/>
      <c r="E991" s="9"/>
      <c r="F991" s="10"/>
      <c r="G991" s="11"/>
      <c r="H991" s="9"/>
      <c r="I991" s="31"/>
      <c r="J991" s="9"/>
      <c r="K991" s="9"/>
      <c r="L991" s="21" t="s">
        <v>59</v>
      </c>
      <c r="M991" s="46"/>
      <c r="N991" s="46"/>
      <c r="O991" s="31"/>
      <c r="P991" s="16"/>
      <c r="Q991" s="16"/>
      <c r="R991" s="16" t="str">
        <f t="shared" si="2"/>
        <v/>
      </c>
    </row>
    <row r="992">
      <c r="A992" s="7"/>
      <c r="B992" s="16"/>
      <c r="C992" s="12"/>
      <c r="D992" s="12"/>
      <c r="E992" s="9"/>
      <c r="F992" s="10"/>
      <c r="G992" s="11"/>
      <c r="H992" s="9"/>
      <c r="I992" s="31"/>
      <c r="J992" s="9"/>
      <c r="K992" s="9"/>
      <c r="L992" s="21" t="s">
        <v>65</v>
      </c>
      <c r="M992" s="46"/>
      <c r="N992" s="46"/>
      <c r="O992" s="31"/>
      <c r="P992" s="16"/>
      <c r="Q992" s="16"/>
      <c r="R992" s="16" t="str">
        <f t="shared" si="2"/>
        <v/>
      </c>
    </row>
    <row r="993">
      <c r="A993" s="7"/>
      <c r="B993" s="16"/>
      <c r="C993" s="12"/>
      <c r="D993" s="12"/>
      <c r="E993" s="9"/>
      <c r="F993" s="10"/>
      <c r="G993" s="11"/>
      <c r="H993" s="9"/>
      <c r="I993" s="31"/>
      <c r="J993" s="9"/>
      <c r="K993" s="9"/>
      <c r="L993" s="21" t="s">
        <v>71</v>
      </c>
      <c r="M993" s="46"/>
      <c r="N993" s="46"/>
      <c r="O993" s="31"/>
      <c r="P993" s="16"/>
      <c r="Q993" s="16"/>
      <c r="R993" s="16" t="str">
        <f t="shared" si="2"/>
        <v/>
      </c>
    </row>
    <row r="994">
      <c r="A994" s="7" t="s">
        <v>504</v>
      </c>
      <c r="B994" s="14" t="s">
        <v>20</v>
      </c>
      <c r="C994" s="12"/>
      <c r="D994" s="17" t="s">
        <v>2071</v>
      </c>
      <c r="E994" s="9" t="s">
        <v>505</v>
      </c>
      <c r="F994" s="10" t="s">
        <v>506</v>
      </c>
      <c r="G994" s="22" t="s">
        <v>74</v>
      </c>
      <c r="H994" s="9" t="s">
        <v>507</v>
      </c>
      <c r="I994" s="29" t="s">
        <v>680</v>
      </c>
      <c r="J994" s="9"/>
      <c r="K994" s="9" t="s">
        <v>392</v>
      </c>
      <c r="L994" s="21" t="s">
        <v>25</v>
      </c>
      <c r="M994" s="46"/>
      <c r="N994" s="46"/>
      <c r="O994" s="31"/>
      <c r="P994" s="16"/>
      <c r="Q994" s="16"/>
      <c r="R994" s="16" t="str">
        <f t="shared" si="2"/>
        <v/>
      </c>
    </row>
    <row r="995">
      <c r="A995" s="7"/>
      <c r="B995" s="16"/>
      <c r="C995" s="12"/>
      <c r="D995" s="12"/>
      <c r="E995" s="9"/>
      <c r="F995" s="10"/>
      <c r="G995" s="11"/>
      <c r="H995" s="9"/>
      <c r="I995" s="31"/>
      <c r="J995" s="9"/>
      <c r="K995" s="9"/>
      <c r="L995" s="21" t="s">
        <v>31</v>
      </c>
      <c r="M995" s="46"/>
      <c r="N995" s="46"/>
      <c r="O995" s="31"/>
      <c r="P995" s="16"/>
      <c r="Q995" s="16"/>
      <c r="R995" s="16" t="str">
        <f t="shared" si="2"/>
        <v/>
      </c>
    </row>
    <row r="996">
      <c r="A996" s="7"/>
      <c r="B996" s="16"/>
      <c r="C996" s="12"/>
      <c r="D996" s="12"/>
      <c r="E996" s="9"/>
      <c r="F996" s="10"/>
      <c r="G996" s="11"/>
      <c r="H996" s="9"/>
      <c r="I996" s="31"/>
      <c r="J996" s="9"/>
      <c r="K996" s="9"/>
      <c r="L996" s="21" t="s">
        <v>36</v>
      </c>
      <c r="M996" s="46"/>
      <c r="N996" s="46"/>
      <c r="O996" s="31"/>
      <c r="P996" s="16"/>
      <c r="Q996" s="16"/>
      <c r="R996" s="16" t="str">
        <f t="shared" si="2"/>
        <v/>
      </c>
    </row>
    <row r="997">
      <c r="A997" s="7"/>
      <c r="B997" s="16"/>
      <c r="C997" s="12"/>
      <c r="D997" s="12"/>
      <c r="E997" s="9"/>
      <c r="F997" s="10"/>
      <c r="G997" s="11"/>
      <c r="H997" s="9"/>
      <c r="I997" s="31"/>
      <c r="J997" s="9"/>
      <c r="K997" s="9"/>
      <c r="L997" s="21" t="s">
        <v>41</v>
      </c>
      <c r="M997" s="46"/>
      <c r="N997" s="46"/>
      <c r="O997" s="31"/>
      <c r="P997" s="16"/>
      <c r="Q997" s="16"/>
      <c r="R997" s="16" t="str">
        <f t="shared" si="2"/>
        <v/>
      </c>
    </row>
    <row r="998">
      <c r="A998" s="7"/>
      <c r="B998" s="16"/>
      <c r="C998" s="12"/>
      <c r="D998" s="12"/>
      <c r="E998" s="9"/>
      <c r="F998" s="10"/>
      <c r="G998" s="11"/>
      <c r="H998" s="9"/>
      <c r="I998" s="31"/>
      <c r="J998" s="9"/>
      <c r="K998" s="9"/>
      <c r="L998" s="21" t="s">
        <v>47</v>
      </c>
      <c r="M998" s="46"/>
      <c r="N998" s="46"/>
      <c r="O998" s="31"/>
      <c r="P998" s="16"/>
      <c r="Q998" s="16"/>
      <c r="R998" s="16" t="str">
        <f t="shared" si="2"/>
        <v/>
      </c>
    </row>
    <row r="999">
      <c r="A999" s="7"/>
      <c r="B999" s="16"/>
      <c r="C999" s="12"/>
      <c r="D999" s="12"/>
      <c r="E999" s="9"/>
      <c r="F999" s="10"/>
      <c r="G999" s="11"/>
      <c r="H999" s="9"/>
      <c r="I999" s="31"/>
      <c r="J999" s="9"/>
      <c r="K999" s="9"/>
      <c r="L999" s="21" t="s">
        <v>53</v>
      </c>
      <c r="M999" s="46"/>
      <c r="N999" s="46"/>
      <c r="O999" s="31"/>
      <c r="P999" s="16"/>
      <c r="Q999" s="16"/>
      <c r="R999" s="16" t="str">
        <f t="shared" si="2"/>
        <v/>
      </c>
    </row>
    <row r="1000">
      <c r="A1000" s="7"/>
      <c r="B1000" s="16"/>
      <c r="C1000" s="12"/>
      <c r="D1000" s="12"/>
      <c r="E1000" s="9"/>
      <c r="F1000" s="10"/>
      <c r="G1000" s="11"/>
      <c r="H1000" s="9"/>
      <c r="I1000" s="31"/>
      <c r="J1000" s="9"/>
      <c r="K1000" s="9"/>
      <c r="L1000" s="21" t="s">
        <v>59</v>
      </c>
      <c r="M1000" s="46"/>
      <c r="N1000" s="46"/>
      <c r="O1000" s="31"/>
      <c r="P1000" s="16"/>
      <c r="Q1000" s="16"/>
      <c r="R1000" s="16" t="str">
        <f t="shared" si="2"/>
        <v/>
      </c>
    </row>
    <row r="1001">
      <c r="A1001" s="7"/>
      <c r="B1001" s="16"/>
      <c r="C1001" s="12"/>
      <c r="D1001" s="12"/>
      <c r="E1001" s="9"/>
      <c r="F1001" s="10"/>
      <c r="G1001" s="11"/>
      <c r="H1001" s="9"/>
      <c r="I1001" s="31"/>
      <c r="J1001" s="9"/>
      <c r="K1001" s="9"/>
      <c r="L1001" s="21" t="s">
        <v>65</v>
      </c>
      <c r="M1001" s="46"/>
      <c r="N1001" s="46"/>
      <c r="O1001" s="31"/>
      <c r="P1001" s="16"/>
      <c r="Q1001" s="16"/>
      <c r="R1001" s="16" t="str">
        <f t="shared" si="2"/>
        <v/>
      </c>
    </row>
    <row r="1002">
      <c r="A1002" s="7"/>
      <c r="B1002" s="16"/>
      <c r="C1002" s="12"/>
      <c r="D1002" s="12"/>
      <c r="E1002" s="9"/>
      <c r="F1002" s="10"/>
      <c r="G1002" s="11"/>
      <c r="H1002" s="9"/>
      <c r="I1002" s="31"/>
      <c r="J1002" s="9"/>
      <c r="K1002" s="9"/>
      <c r="L1002" s="21" t="s">
        <v>71</v>
      </c>
      <c r="M1002" s="46"/>
      <c r="N1002" s="46"/>
      <c r="O1002" s="31"/>
      <c r="P1002" s="16"/>
      <c r="Q1002" s="16"/>
      <c r="R1002" s="16" t="str">
        <f t="shared" si="2"/>
        <v/>
      </c>
    </row>
    <row r="1003">
      <c r="A1003" s="7" t="s">
        <v>508</v>
      </c>
      <c r="B1003" s="14" t="s">
        <v>20</v>
      </c>
      <c r="C1003" s="12"/>
      <c r="D1003" s="17" t="s">
        <v>2072</v>
      </c>
      <c r="E1003" s="9" t="s">
        <v>509</v>
      </c>
      <c r="F1003" s="10" t="s">
        <v>510</v>
      </c>
      <c r="G1003" s="22" t="s">
        <v>74</v>
      </c>
      <c r="H1003" s="9" t="s">
        <v>511</v>
      </c>
      <c r="I1003" s="29" t="s">
        <v>2064</v>
      </c>
      <c r="J1003" s="9"/>
      <c r="K1003" s="9" t="s">
        <v>392</v>
      </c>
      <c r="L1003" s="21" t="s">
        <v>25</v>
      </c>
      <c r="M1003" s="46"/>
      <c r="N1003" s="46"/>
      <c r="O1003" s="31"/>
      <c r="P1003" s="16"/>
      <c r="Q1003" s="16"/>
      <c r="R1003" s="16" t="str">
        <f t="shared" si="2"/>
        <v/>
      </c>
    </row>
    <row r="1004">
      <c r="A1004" s="7"/>
      <c r="B1004" s="16"/>
      <c r="C1004" s="12"/>
      <c r="D1004" s="12"/>
      <c r="E1004" s="9"/>
      <c r="F1004" s="10"/>
      <c r="G1004" s="11"/>
      <c r="H1004" s="9"/>
      <c r="I1004" s="31"/>
      <c r="J1004" s="9"/>
      <c r="K1004" s="9"/>
      <c r="L1004" s="21" t="s">
        <v>31</v>
      </c>
      <c r="M1004" s="46"/>
      <c r="N1004" s="46"/>
      <c r="O1004" s="31"/>
      <c r="P1004" s="16"/>
      <c r="Q1004" s="16"/>
      <c r="R1004" s="16" t="str">
        <f t="shared" si="2"/>
        <v/>
      </c>
    </row>
    <row r="1005">
      <c r="A1005" s="7"/>
      <c r="B1005" s="16"/>
      <c r="C1005" s="12"/>
      <c r="D1005" s="12"/>
      <c r="E1005" s="9"/>
      <c r="F1005" s="10"/>
      <c r="G1005" s="11"/>
      <c r="H1005" s="9"/>
      <c r="I1005" s="31"/>
      <c r="J1005" s="9"/>
      <c r="K1005" s="9"/>
      <c r="L1005" s="21" t="s">
        <v>36</v>
      </c>
      <c r="M1005" s="46"/>
      <c r="N1005" s="46"/>
      <c r="O1005" s="31"/>
      <c r="P1005" s="16"/>
      <c r="Q1005" s="16"/>
      <c r="R1005" s="16" t="str">
        <f t="shared" si="2"/>
        <v/>
      </c>
    </row>
    <row r="1006">
      <c r="A1006" s="7"/>
      <c r="B1006" s="16"/>
      <c r="C1006" s="12"/>
      <c r="D1006" s="12"/>
      <c r="E1006" s="9"/>
      <c r="F1006" s="10"/>
      <c r="G1006" s="11"/>
      <c r="H1006" s="9"/>
      <c r="I1006" s="31"/>
      <c r="J1006" s="9"/>
      <c r="K1006" s="9"/>
      <c r="L1006" s="21" t="s">
        <v>41</v>
      </c>
      <c r="M1006" s="46"/>
      <c r="N1006" s="46"/>
      <c r="O1006" s="31"/>
      <c r="P1006" s="16"/>
      <c r="Q1006" s="16"/>
      <c r="R1006" s="16" t="str">
        <f t="shared" si="2"/>
        <v/>
      </c>
    </row>
    <row r="1007">
      <c r="A1007" s="7"/>
      <c r="B1007" s="16"/>
      <c r="C1007" s="12"/>
      <c r="D1007" s="12"/>
      <c r="E1007" s="9"/>
      <c r="F1007" s="10"/>
      <c r="G1007" s="11"/>
      <c r="H1007" s="9"/>
      <c r="I1007" s="31"/>
      <c r="J1007" s="9"/>
      <c r="K1007" s="9"/>
      <c r="L1007" s="21" t="s">
        <v>47</v>
      </c>
      <c r="M1007" s="46"/>
      <c r="N1007" s="46"/>
      <c r="O1007" s="31"/>
      <c r="P1007" s="16"/>
      <c r="Q1007" s="16"/>
      <c r="R1007" s="16" t="str">
        <f t="shared" si="2"/>
        <v/>
      </c>
    </row>
    <row r="1008">
      <c r="A1008" s="7"/>
      <c r="B1008" s="16"/>
      <c r="C1008" s="12"/>
      <c r="D1008" s="12"/>
      <c r="E1008" s="9"/>
      <c r="F1008" s="10"/>
      <c r="G1008" s="11"/>
      <c r="H1008" s="9"/>
      <c r="I1008" s="31"/>
      <c r="J1008" s="9"/>
      <c r="K1008" s="9"/>
      <c r="L1008" s="21" t="s">
        <v>53</v>
      </c>
      <c r="M1008" s="46"/>
      <c r="N1008" s="46"/>
      <c r="O1008" s="31"/>
      <c r="P1008" s="16"/>
      <c r="Q1008" s="16"/>
      <c r="R1008" s="16" t="str">
        <f t="shared" si="2"/>
        <v/>
      </c>
    </row>
    <row r="1009">
      <c r="A1009" s="7"/>
      <c r="B1009" s="16"/>
      <c r="C1009" s="12"/>
      <c r="D1009" s="12"/>
      <c r="E1009" s="9"/>
      <c r="F1009" s="10"/>
      <c r="G1009" s="11"/>
      <c r="H1009" s="9"/>
      <c r="I1009" s="31"/>
      <c r="J1009" s="9"/>
      <c r="K1009" s="9"/>
      <c r="L1009" s="21" t="s">
        <v>59</v>
      </c>
      <c r="M1009" s="46"/>
      <c r="N1009" s="46"/>
      <c r="O1009" s="31"/>
      <c r="P1009" s="16"/>
      <c r="Q1009" s="16"/>
      <c r="R1009" s="16" t="str">
        <f t="shared" si="2"/>
        <v/>
      </c>
    </row>
    <row r="1010">
      <c r="A1010" s="7"/>
      <c r="B1010" s="16"/>
      <c r="C1010" s="12"/>
      <c r="D1010" s="12"/>
      <c r="E1010" s="9"/>
      <c r="F1010" s="10"/>
      <c r="G1010" s="11"/>
      <c r="H1010" s="9"/>
      <c r="I1010" s="31"/>
      <c r="J1010" s="9"/>
      <c r="K1010" s="9"/>
      <c r="L1010" s="21" t="s">
        <v>65</v>
      </c>
      <c r="M1010" s="46"/>
      <c r="N1010" s="46"/>
      <c r="O1010" s="31"/>
      <c r="P1010" s="16"/>
      <c r="Q1010" s="16"/>
      <c r="R1010" s="16" t="str">
        <f t="shared" si="2"/>
        <v/>
      </c>
    </row>
    <row r="1011">
      <c r="A1011" s="7"/>
      <c r="B1011" s="16"/>
      <c r="C1011" s="12"/>
      <c r="D1011" s="12"/>
      <c r="E1011" s="9"/>
      <c r="F1011" s="10"/>
      <c r="G1011" s="11"/>
      <c r="H1011" s="9"/>
      <c r="I1011" s="31"/>
      <c r="J1011" s="9"/>
      <c r="K1011" s="9"/>
      <c r="L1011" s="21" t="s">
        <v>71</v>
      </c>
      <c r="M1011" s="46"/>
      <c r="N1011" s="46"/>
      <c r="O1011" s="31"/>
      <c r="P1011" s="16"/>
      <c r="Q1011" s="16"/>
      <c r="R1011" s="16" t="str">
        <f t="shared" si="2"/>
        <v/>
      </c>
    </row>
    <row r="1012">
      <c r="A1012" s="7" t="s">
        <v>512</v>
      </c>
      <c r="B1012" s="14" t="s">
        <v>20</v>
      </c>
      <c r="C1012" s="12"/>
      <c r="D1012" s="17" t="s">
        <v>2073</v>
      </c>
      <c r="E1012" s="9" t="s">
        <v>513</v>
      </c>
      <c r="F1012" s="10" t="s">
        <v>514</v>
      </c>
      <c r="G1012" s="22" t="s">
        <v>74</v>
      </c>
      <c r="H1012" s="9" t="s">
        <v>515</v>
      </c>
      <c r="I1012" s="29" t="s">
        <v>715</v>
      </c>
      <c r="J1012" s="9"/>
      <c r="K1012" s="9" t="s">
        <v>392</v>
      </c>
      <c r="L1012" s="21" t="s">
        <v>25</v>
      </c>
      <c r="M1012" s="46"/>
      <c r="N1012" s="46"/>
      <c r="O1012" s="31"/>
      <c r="P1012" s="16"/>
      <c r="Q1012" s="16"/>
      <c r="R1012" s="16" t="str">
        <f t="shared" si="2"/>
        <v/>
      </c>
    </row>
    <row r="1013">
      <c r="A1013" s="7"/>
      <c r="B1013" s="16"/>
      <c r="C1013" s="12"/>
      <c r="D1013" s="12"/>
      <c r="E1013" s="9"/>
      <c r="F1013" s="10"/>
      <c r="G1013" s="11"/>
      <c r="H1013" s="9"/>
      <c r="I1013" s="31"/>
      <c r="J1013" s="9"/>
      <c r="K1013" s="9"/>
      <c r="L1013" s="21" t="s">
        <v>31</v>
      </c>
      <c r="M1013" s="46"/>
      <c r="N1013" s="46"/>
      <c r="O1013" s="31"/>
      <c r="P1013" s="16"/>
      <c r="Q1013" s="16"/>
      <c r="R1013" s="16" t="str">
        <f t="shared" si="2"/>
        <v/>
      </c>
    </row>
    <row r="1014">
      <c r="A1014" s="7"/>
      <c r="B1014" s="16"/>
      <c r="C1014" s="12"/>
      <c r="D1014" s="12"/>
      <c r="E1014" s="9"/>
      <c r="F1014" s="10"/>
      <c r="G1014" s="11"/>
      <c r="H1014" s="9"/>
      <c r="I1014" s="31"/>
      <c r="J1014" s="9"/>
      <c r="K1014" s="9"/>
      <c r="L1014" s="21" t="s">
        <v>36</v>
      </c>
      <c r="M1014" s="46"/>
      <c r="N1014" s="46"/>
      <c r="O1014" s="31"/>
      <c r="P1014" s="16"/>
      <c r="Q1014" s="16"/>
      <c r="R1014" s="16" t="str">
        <f t="shared" si="2"/>
        <v/>
      </c>
    </row>
    <row r="1015">
      <c r="A1015" s="7"/>
      <c r="B1015" s="16"/>
      <c r="C1015" s="12"/>
      <c r="D1015" s="12"/>
      <c r="E1015" s="9"/>
      <c r="F1015" s="10"/>
      <c r="G1015" s="11"/>
      <c r="H1015" s="9"/>
      <c r="I1015" s="31"/>
      <c r="J1015" s="9"/>
      <c r="K1015" s="9"/>
      <c r="L1015" s="21" t="s">
        <v>41</v>
      </c>
      <c r="M1015" s="46"/>
      <c r="N1015" s="46"/>
      <c r="O1015" s="31"/>
      <c r="P1015" s="16"/>
      <c r="Q1015" s="16"/>
      <c r="R1015" s="16" t="str">
        <f t="shared" si="2"/>
        <v/>
      </c>
    </row>
    <row r="1016">
      <c r="A1016" s="7"/>
      <c r="B1016" s="16"/>
      <c r="C1016" s="12"/>
      <c r="D1016" s="12"/>
      <c r="E1016" s="9"/>
      <c r="F1016" s="10"/>
      <c r="G1016" s="11"/>
      <c r="H1016" s="9"/>
      <c r="I1016" s="31"/>
      <c r="J1016" s="9"/>
      <c r="K1016" s="9"/>
      <c r="L1016" s="21" t="s">
        <v>47</v>
      </c>
      <c r="M1016" s="46"/>
      <c r="N1016" s="46"/>
      <c r="O1016" s="31"/>
      <c r="P1016" s="16"/>
      <c r="Q1016" s="16"/>
      <c r="R1016" s="16" t="str">
        <f t="shared" si="2"/>
        <v/>
      </c>
    </row>
    <row r="1017">
      <c r="A1017" s="7"/>
      <c r="B1017" s="16"/>
      <c r="C1017" s="12"/>
      <c r="D1017" s="12"/>
      <c r="E1017" s="9"/>
      <c r="F1017" s="10"/>
      <c r="G1017" s="11"/>
      <c r="H1017" s="9"/>
      <c r="I1017" s="31"/>
      <c r="J1017" s="9"/>
      <c r="K1017" s="9"/>
      <c r="L1017" s="21" t="s">
        <v>53</v>
      </c>
      <c r="M1017" s="46"/>
      <c r="N1017" s="46"/>
      <c r="O1017" s="31"/>
      <c r="P1017" s="16"/>
      <c r="Q1017" s="16"/>
      <c r="R1017" s="16" t="str">
        <f t="shared" si="2"/>
        <v/>
      </c>
    </row>
    <row r="1018">
      <c r="A1018" s="7"/>
      <c r="B1018" s="16"/>
      <c r="C1018" s="12"/>
      <c r="D1018" s="12"/>
      <c r="E1018" s="9"/>
      <c r="F1018" s="10"/>
      <c r="G1018" s="11"/>
      <c r="H1018" s="9"/>
      <c r="I1018" s="31"/>
      <c r="J1018" s="9"/>
      <c r="K1018" s="9"/>
      <c r="L1018" s="21" t="s">
        <v>59</v>
      </c>
      <c r="M1018" s="46"/>
      <c r="N1018" s="46"/>
      <c r="O1018" s="31"/>
      <c r="P1018" s="16"/>
      <c r="Q1018" s="16"/>
      <c r="R1018" s="16" t="str">
        <f t="shared" si="2"/>
        <v/>
      </c>
    </row>
    <row r="1019">
      <c r="A1019" s="7"/>
      <c r="B1019" s="16"/>
      <c r="C1019" s="12"/>
      <c r="D1019" s="12"/>
      <c r="E1019" s="9"/>
      <c r="F1019" s="10"/>
      <c r="G1019" s="11"/>
      <c r="H1019" s="9"/>
      <c r="I1019" s="31"/>
      <c r="J1019" s="9"/>
      <c r="K1019" s="9"/>
      <c r="L1019" s="21" t="s">
        <v>65</v>
      </c>
      <c r="M1019" s="46"/>
      <c r="N1019" s="46"/>
      <c r="O1019" s="31"/>
      <c r="P1019" s="16"/>
      <c r="Q1019" s="16"/>
      <c r="R1019" s="16" t="str">
        <f t="shared" si="2"/>
        <v/>
      </c>
    </row>
    <row r="1020">
      <c r="A1020" s="7"/>
      <c r="B1020" s="16"/>
      <c r="C1020" s="12"/>
      <c r="D1020" s="12"/>
      <c r="E1020" s="9"/>
      <c r="F1020" s="10"/>
      <c r="G1020" s="11"/>
      <c r="H1020" s="9"/>
      <c r="I1020" s="31"/>
      <c r="J1020" s="9"/>
      <c r="K1020" s="9"/>
      <c r="L1020" s="21" t="s">
        <v>71</v>
      </c>
      <c r="M1020" s="46"/>
      <c r="N1020" s="46"/>
      <c r="O1020" s="31"/>
      <c r="P1020" s="16"/>
      <c r="Q1020" s="16"/>
      <c r="R1020" s="16" t="str">
        <f t="shared" si="2"/>
        <v/>
      </c>
    </row>
    <row r="1021">
      <c r="A1021" s="7" t="s">
        <v>516</v>
      </c>
      <c r="B1021" s="14" t="s">
        <v>20</v>
      </c>
      <c r="C1021" s="12"/>
      <c r="D1021" s="52" t="s">
        <v>2074</v>
      </c>
      <c r="E1021" s="9" t="s">
        <v>517</v>
      </c>
      <c r="F1021" s="10" t="s">
        <v>518</v>
      </c>
      <c r="G1021" s="22" t="s">
        <v>74</v>
      </c>
      <c r="H1021" s="9" t="s">
        <v>519</v>
      </c>
      <c r="I1021" s="29" t="s">
        <v>1686</v>
      </c>
      <c r="J1021" s="9"/>
      <c r="K1021" s="9" t="s">
        <v>392</v>
      </c>
      <c r="L1021" s="21" t="s">
        <v>25</v>
      </c>
      <c r="M1021" s="46"/>
      <c r="N1021" s="46"/>
      <c r="O1021" s="31"/>
      <c r="P1021" s="16"/>
      <c r="Q1021" s="16"/>
      <c r="R1021" s="16" t="str">
        <f t="shared" si="2"/>
        <v/>
      </c>
    </row>
    <row r="1022">
      <c r="A1022" s="7"/>
      <c r="B1022" s="16"/>
      <c r="C1022" s="12"/>
      <c r="D1022" s="50"/>
      <c r="E1022" s="9"/>
      <c r="F1022" s="10"/>
      <c r="G1022" s="11"/>
      <c r="H1022" s="9"/>
      <c r="I1022" s="31"/>
      <c r="J1022" s="9"/>
      <c r="K1022" s="9"/>
      <c r="L1022" s="21" t="s">
        <v>31</v>
      </c>
      <c r="M1022" s="46"/>
      <c r="N1022" s="46"/>
      <c r="O1022" s="31"/>
      <c r="P1022" s="16"/>
      <c r="Q1022" s="16"/>
      <c r="R1022" s="16" t="str">
        <f t="shared" si="2"/>
        <v/>
      </c>
    </row>
    <row r="1023">
      <c r="A1023" s="7"/>
      <c r="B1023" s="16"/>
      <c r="C1023" s="12"/>
      <c r="D1023" s="12"/>
      <c r="E1023" s="9"/>
      <c r="F1023" s="10"/>
      <c r="G1023" s="11"/>
      <c r="H1023" s="9"/>
      <c r="I1023" s="31"/>
      <c r="J1023" s="9"/>
      <c r="K1023" s="9"/>
      <c r="L1023" s="21" t="s">
        <v>36</v>
      </c>
      <c r="M1023" s="46"/>
      <c r="N1023" s="46"/>
      <c r="O1023" s="31"/>
      <c r="P1023" s="16"/>
      <c r="Q1023" s="16"/>
      <c r="R1023" s="16" t="str">
        <f t="shared" si="2"/>
        <v/>
      </c>
    </row>
    <row r="1024">
      <c r="A1024" s="7"/>
      <c r="B1024" s="16"/>
      <c r="C1024" s="12"/>
      <c r="D1024" s="12"/>
      <c r="E1024" s="9"/>
      <c r="F1024" s="10"/>
      <c r="G1024" s="11"/>
      <c r="H1024" s="9"/>
      <c r="I1024" s="31"/>
      <c r="J1024" s="9"/>
      <c r="K1024" s="9"/>
      <c r="L1024" s="21" t="s">
        <v>41</v>
      </c>
      <c r="M1024" s="46"/>
      <c r="N1024" s="46"/>
      <c r="O1024" s="31"/>
      <c r="P1024" s="16"/>
      <c r="Q1024" s="16"/>
      <c r="R1024" s="16" t="str">
        <f t="shared" si="2"/>
        <v/>
      </c>
    </row>
    <row r="1025">
      <c r="A1025" s="7"/>
      <c r="B1025" s="16"/>
      <c r="C1025" s="12"/>
      <c r="D1025" s="12"/>
      <c r="E1025" s="9"/>
      <c r="F1025" s="10"/>
      <c r="G1025" s="11"/>
      <c r="H1025" s="9"/>
      <c r="I1025" s="31"/>
      <c r="J1025" s="9"/>
      <c r="K1025" s="9"/>
      <c r="L1025" s="21" t="s">
        <v>47</v>
      </c>
      <c r="M1025" s="46"/>
      <c r="N1025" s="46"/>
      <c r="O1025" s="31"/>
      <c r="P1025" s="16"/>
      <c r="Q1025" s="16"/>
      <c r="R1025" s="16" t="str">
        <f t="shared" si="2"/>
        <v/>
      </c>
    </row>
    <row r="1026">
      <c r="A1026" s="7"/>
      <c r="B1026" s="16"/>
      <c r="C1026" s="12"/>
      <c r="D1026" s="12"/>
      <c r="E1026" s="9"/>
      <c r="F1026" s="10"/>
      <c r="G1026" s="11"/>
      <c r="H1026" s="9"/>
      <c r="I1026" s="31"/>
      <c r="J1026" s="9"/>
      <c r="K1026" s="9"/>
      <c r="L1026" s="21" t="s">
        <v>53</v>
      </c>
      <c r="M1026" s="46"/>
      <c r="N1026" s="46"/>
      <c r="O1026" s="31"/>
      <c r="P1026" s="16"/>
      <c r="Q1026" s="16"/>
      <c r="R1026" s="16" t="str">
        <f t="shared" si="2"/>
        <v/>
      </c>
    </row>
    <row r="1027">
      <c r="A1027" s="7"/>
      <c r="B1027" s="16"/>
      <c r="C1027" s="12"/>
      <c r="D1027" s="12"/>
      <c r="E1027" s="9"/>
      <c r="F1027" s="10"/>
      <c r="G1027" s="11"/>
      <c r="H1027" s="9"/>
      <c r="I1027" s="31"/>
      <c r="J1027" s="9"/>
      <c r="K1027" s="9"/>
      <c r="L1027" s="21" t="s">
        <v>59</v>
      </c>
      <c r="M1027" s="46"/>
      <c r="N1027" s="46"/>
      <c r="O1027" s="31"/>
      <c r="P1027" s="16"/>
      <c r="Q1027" s="16"/>
      <c r="R1027" s="16" t="str">
        <f t="shared" si="2"/>
        <v/>
      </c>
    </row>
    <row r="1028">
      <c r="A1028" s="7"/>
      <c r="B1028" s="16"/>
      <c r="C1028" s="12"/>
      <c r="D1028" s="12"/>
      <c r="E1028" s="9"/>
      <c r="F1028" s="10"/>
      <c r="G1028" s="11"/>
      <c r="H1028" s="9"/>
      <c r="I1028" s="31"/>
      <c r="J1028" s="9"/>
      <c r="K1028" s="9"/>
      <c r="L1028" s="21" t="s">
        <v>65</v>
      </c>
      <c r="M1028" s="46"/>
      <c r="N1028" s="46"/>
      <c r="O1028" s="31"/>
      <c r="P1028" s="16"/>
      <c r="Q1028" s="16"/>
      <c r="R1028" s="16" t="str">
        <f t="shared" si="2"/>
        <v/>
      </c>
    </row>
    <row r="1029">
      <c r="A1029" s="7"/>
      <c r="B1029" s="16"/>
      <c r="C1029" s="12"/>
      <c r="D1029" s="12"/>
      <c r="E1029" s="9"/>
      <c r="F1029" s="10"/>
      <c r="G1029" s="11"/>
      <c r="H1029" s="9"/>
      <c r="I1029" s="31"/>
      <c r="J1029" s="9"/>
      <c r="K1029" s="9"/>
      <c r="L1029" s="21" t="s">
        <v>71</v>
      </c>
      <c r="M1029" s="46"/>
      <c r="N1029" s="46"/>
      <c r="O1029" s="31"/>
      <c r="P1029" s="16"/>
      <c r="Q1029" s="16"/>
      <c r="R1029" s="16" t="str">
        <f t="shared" si="2"/>
        <v/>
      </c>
    </row>
    <row r="1030">
      <c r="A1030" s="7" t="s">
        <v>520</v>
      </c>
      <c r="B1030" s="14" t="s">
        <v>20</v>
      </c>
      <c r="C1030" s="12"/>
      <c r="D1030" s="17" t="s">
        <v>2075</v>
      </c>
      <c r="E1030" s="9" t="s">
        <v>521</v>
      </c>
      <c r="F1030" s="10" t="s">
        <v>522</v>
      </c>
      <c r="G1030" s="22" t="s">
        <v>74</v>
      </c>
      <c r="H1030" s="9" t="s">
        <v>523</v>
      </c>
      <c r="I1030" s="29" t="s">
        <v>2076</v>
      </c>
      <c r="J1030" s="9"/>
      <c r="K1030" s="9" t="s">
        <v>392</v>
      </c>
      <c r="L1030" s="21" t="s">
        <v>25</v>
      </c>
      <c r="M1030" s="46"/>
      <c r="N1030" s="46"/>
      <c r="O1030" s="31"/>
      <c r="P1030" s="16"/>
      <c r="Q1030" s="16"/>
      <c r="R1030" s="16" t="str">
        <f t="shared" si="2"/>
        <v/>
      </c>
    </row>
    <row r="1031">
      <c r="B1031" s="16"/>
      <c r="C1031" s="12"/>
      <c r="D1031" s="12"/>
      <c r="E1031" s="12"/>
      <c r="F1031" s="12"/>
      <c r="G1031" s="25"/>
      <c r="H1031" s="12"/>
      <c r="I1031" s="31"/>
      <c r="J1031" s="12"/>
      <c r="K1031" s="12"/>
      <c r="L1031" s="21" t="s">
        <v>31</v>
      </c>
      <c r="M1031" s="46"/>
      <c r="N1031" s="46"/>
      <c r="O1031" s="31"/>
      <c r="P1031" s="16"/>
      <c r="Q1031" s="16"/>
      <c r="R1031" s="16" t="str">
        <f t="shared" si="2"/>
        <v/>
      </c>
    </row>
    <row r="1032">
      <c r="B1032" s="16"/>
      <c r="C1032" s="12"/>
      <c r="D1032" s="12"/>
      <c r="E1032" s="12"/>
      <c r="F1032" s="12"/>
      <c r="G1032" s="25"/>
      <c r="H1032" s="12"/>
      <c r="I1032" s="31"/>
      <c r="J1032" s="12"/>
      <c r="K1032" s="12"/>
      <c r="L1032" s="21" t="s">
        <v>36</v>
      </c>
      <c r="M1032" s="46"/>
      <c r="N1032" s="46"/>
      <c r="O1032" s="31"/>
      <c r="P1032" s="16"/>
      <c r="Q1032" s="16"/>
      <c r="R1032" s="16" t="str">
        <f t="shared" si="2"/>
        <v/>
      </c>
    </row>
    <row r="1033">
      <c r="B1033" s="16"/>
      <c r="C1033" s="12"/>
      <c r="D1033" s="12"/>
      <c r="E1033" s="12"/>
      <c r="F1033" s="12"/>
      <c r="G1033" s="25"/>
      <c r="H1033" s="12"/>
      <c r="I1033" s="31"/>
      <c r="J1033" s="12"/>
      <c r="K1033" s="12"/>
      <c r="L1033" s="21" t="s">
        <v>41</v>
      </c>
      <c r="M1033" s="46"/>
      <c r="N1033" s="46"/>
      <c r="O1033" s="31"/>
      <c r="P1033" s="16"/>
      <c r="Q1033" s="16"/>
      <c r="R1033" s="16" t="str">
        <f t="shared" si="2"/>
        <v/>
      </c>
    </row>
    <row r="1034">
      <c r="B1034" s="16"/>
      <c r="C1034" s="12"/>
      <c r="D1034" s="12"/>
      <c r="E1034" s="12"/>
      <c r="F1034" s="12"/>
      <c r="G1034" s="25"/>
      <c r="H1034" s="12"/>
      <c r="I1034" s="31"/>
      <c r="J1034" s="12"/>
      <c r="K1034" s="12"/>
      <c r="L1034" s="21" t="s">
        <v>47</v>
      </c>
      <c r="M1034" s="46"/>
      <c r="N1034" s="46"/>
      <c r="O1034" s="31"/>
      <c r="P1034" s="16"/>
      <c r="Q1034" s="16"/>
      <c r="R1034" s="16" t="str">
        <f t="shared" si="2"/>
        <v/>
      </c>
    </row>
    <row r="1035">
      <c r="B1035" s="16"/>
      <c r="C1035" s="12"/>
      <c r="D1035" s="12"/>
      <c r="E1035" s="12"/>
      <c r="F1035" s="12"/>
      <c r="G1035" s="25"/>
      <c r="H1035" s="12"/>
      <c r="I1035" s="31"/>
      <c r="J1035" s="12"/>
      <c r="K1035" s="12"/>
      <c r="L1035" s="21" t="s">
        <v>53</v>
      </c>
      <c r="M1035" s="46"/>
      <c r="N1035" s="46"/>
      <c r="O1035" s="31"/>
      <c r="P1035" s="16"/>
      <c r="Q1035" s="16"/>
      <c r="R1035" s="16" t="str">
        <f t="shared" si="2"/>
        <v/>
      </c>
    </row>
    <row r="1036">
      <c r="B1036" s="16"/>
      <c r="C1036" s="12"/>
      <c r="D1036" s="12"/>
      <c r="E1036" s="12"/>
      <c r="F1036" s="12"/>
      <c r="G1036" s="25"/>
      <c r="H1036" s="12"/>
      <c r="I1036" s="31"/>
      <c r="J1036" s="12"/>
      <c r="K1036" s="12"/>
      <c r="L1036" s="21" t="s">
        <v>59</v>
      </c>
      <c r="M1036" s="46"/>
      <c r="N1036" s="46"/>
      <c r="O1036" s="31"/>
      <c r="P1036" s="16"/>
      <c r="Q1036" s="16"/>
      <c r="R1036" s="16" t="str">
        <f t="shared" si="2"/>
        <v/>
      </c>
    </row>
    <row r="1037">
      <c r="B1037" s="16"/>
      <c r="C1037" s="12"/>
      <c r="D1037" s="12"/>
      <c r="E1037" s="12"/>
      <c r="F1037" s="12"/>
      <c r="G1037" s="25"/>
      <c r="H1037" s="12"/>
      <c r="I1037" s="31"/>
      <c r="J1037" s="12"/>
      <c r="K1037" s="12"/>
      <c r="L1037" s="21" t="s">
        <v>65</v>
      </c>
      <c r="M1037" s="46"/>
      <c r="N1037" s="46"/>
      <c r="O1037" s="31"/>
      <c r="P1037" s="16"/>
      <c r="Q1037" s="16"/>
      <c r="R1037" s="16" t="str">
        <f t="shared" si="2"/>
        <v/>
      </c>
    </row>
    <row r="1038">
      <c r="B1038" s="16"/>
      <c r="C1038" s="12"/>
      <c r="D1038" s="12"/>
      <c r="E1038" s="12"/>
      <c r="F1038" s="12"/>
      <c r="G1038" s="25"/>
      <c r="H1038" s="12"/>
      <c r="I1038" s="31"/>
      <c r="J1038" s="12"/>
      <c r="K1038" s="12"/>
      <c r="L1038" s="21" t="s">
        <v>71</v>
      </c>
      <c r="M1038" s="46"/>
      <c r="N1038" s="46"/>
      <c r="O1038" s="31"/>
      <c r="P1038" s="16"/>
      <c r="Q1038" s="16"/>
      <c r="R1038" s="16" t="str">
        <f t="shared" si="2"/>
        <v/>
      </c>
    </row>
    <row r="1039">
      <c r="B1039" s="16"/>
      <c r="C1039" s="12"/>
      <c r="D1039" s="12"/>
      <c r="E1039" s="12"/>
      <c r="F1039" s="12"/>
      <c r="G1039" s="25"/>
      <c r="H1039" s="12"/>
      <c r="I1039" s="31"/>
      <c r="J1039" s="12"/>
      <c r="K1039" s="12"/>
      <c r="L1039" s="16"/>
      <c r="M1039" s="46"/>
      <c r="N1039" s="46"/>
      <c r="O1039" s="31"/>
      <c r="P1039" s="16"/>
      <c r="Q1039" s="16"/>
      <c r="R1039" s="16" t="str">
        <f t="shared" si="2"/>
        <v/>
      </c>
    </row>
    <row r="1040">
      <c r="B1040" s="16"/>
      <c r="C1040" s="12"/>
      <c r="D1040" s="12"/>
      <c r="E1040" s="12"/>
      <c r="F1040" s="12"/>
      <c r="G1040" s="25"/>
      <c r="H1040" s="12"/>
      <c r="I1040" s="31"/>
      <c r="J1040" s="12"/>
      <c r="K1040" s="12"/>
      <c r="L1040" s="16"/>
      <c r="M1040" s="46"/>
      <c r="N1040" s="46"/>
      <c r="O1040" s="31"/>
      <c r="P1040" s="16"/>
      <c r="Q1040" s="16"/>
      <c r="R1040" s="16" t="str">
        <f t="shared" si="2"/>
        <v/>
      </c>
    </row>
    <row r="1041">
      <c r="B1041" s="16"/>
      <c r="C1041" s="12"/>
      <c r="D1041" s="12"/>
      <c r="E1041" s="12"/>
      <c r="F1041" s="12"/>
      <c r="G1041" s="25"/>
      <c r="H1041" s="12"/>
      <c r="I1041" s="31"/>
      <c r="J1041" s="12"/>
      <c r="K1041" s="12"/>
      <c r="L1041" s="16"/>
      <c r="M1041" s="46"/>
      <c r="N1041" s="46"/>
      <c r="O1041" s="31"/>
      <c r="P1041" s="16"/>
      <c r="Q1041" s="16"/>
      <c r="R1041" s="16" t="str">
        <f t="shared" si="2"/>
        <v/>
      </c>
    </row>
    <row r="1042">
      <c r="B1042" s="16"/>
      <c r="C1042" s="12"/>
      <c r="D1042" s="12"/>
      <c r="E1042" s="12"/>
      <c r="F1042" s="12"/>
      <c r="G1042" s="25"/>
      <c r="H1042" s="12"/>
      <c r="I1042" s="31"/>
      <c r="J1042" s="12"/>
      <c r="K1042" s="12"/>
      <c r="L1042" s="16"/>
      <c r="M1042" s="46"/>
      <c r="N1042" s="46"/>
      <c r="O1042" s="31"/>
      <c r="P1042" s="16"/>
      <c r="Q1042" s="16"/>
      <c r="R1042" s="16" t="str">
        <f t="shared" si="2"/>
        <v/>
      </c>
    </row>
    <row r="1043">
      <c r="B1043" s="16"/>
      <c r="C1043" s="12"/>
      <c r="D1043" s="12"/>
      <c r="E1043" s="12"/>
      <c r="F1043" s="12"/>
      <c r="G1043" s="25"/>
      <c r="H1043" s="12"/>
      <c r="I1043" s="31"/>
      <c r="J1043" s="12"/>
      <c r="K1043" s="12"/>
      <c r="L1043" s="16"/>
      <c r="M1043" s="46"/>
      <c r="N1043" s="46"/>
      <c r="O1043" s="31"/>
      <c r="P1043" s="16"/>
      <c r="Q1043" s="16"/>
      <c r="R1043" s="16" t="str">
        <f t="shared" si="2"/>
        <v/>
      </c>
    </row>
    <row r="1044">
      <c r="B1044" s="16"/>
      <c r="C1044" s="12"/>
      <c r="D1044" s="12"/>
      <c r="E1044" s="12"/>
      <c r="F1044" s="12"/>
      <c r="G1044" s="25"/>
      <c r="H1044" s="12"/>
      <c r="I1044" s="31"/>
      <c r="J1044" s="12"/>
      <c r="K1044" s="12"/>
      <c r="L1044" s="16"/>
      <c r="M1044" s="46"/>
      <c r="N1044" s="46"/>
      <c r="O1044" s="31"/>
      <c r="P1044" s="16"/>
      <c r="Q1044" s="16"/>
      <c r="R1044" s="16" t="str">
        <f t="shared" si="2"/>
        <v/>
      </c>
    </row>
    <row r="1045">
      <c r="B1045" s="16"/>
      <c r="C1045" s="12"/>
      <c r="D1045" s="12"/>
      <c r="E1045" s="12"/>
      <c r="F1045" s="12"/>
      <c r="G1045" s="25"/>
      <c r="H1045" s="12"/>
      <c r="I1045" s="31"/>
      <c r="J1045" s="12"/>
      <c r="K1045" s="12"/>
      <c r="L1045" s="16"/>
      <c r="M1045" s="46"/>
      <c r="N1045" s="46"/>
      <c r="O1045" s="31"/>
      <c r="P1045" s="16"/>
      <c r="Q1045" s="16"/>
      <c r="R1045" s="16" t="str">
        <f t="shared" si="2"/>
        <v/>
      </c>
    </row>
    <row r="1046">
      <c r="B1046" s="16"/>
      <c r="C1046" s="12"/>
      <c r="D1046" s="12"/>
      <c r="E1046" s="12"/>
      <c r="F1046" s="12"/>
      <c r="G1046" s="25"/>
      <c r="H1046" s="12"/>
      <c r="I1046" s="31"/>
      <c r="J1046" s="12"/>
      <c r="K1046" s="12"/>
      <c r="L1046" s="16"/>
      <c r="M1046" s="46"/>
      <c r="N1046" s="46"/>
      <c r="O1046" s="31"/>
      <c r="P1046" s="16"/>
      <c r="Q1046" s="16"/>
      <c r="R1046" s="16" t="str">
        <f t="shared" si="2"/>
        <v/>
      </c>
    </row>
    <row r="1047">
      <c r="B1047" s="16"/>
      <c r="C1047" s="12"/>
      <c r="D1047" s="12"/>
      <c r="E1047" s="12"/>
      <c r="F1047" s="12"/>
      <c r="G1047" s="25"/>
      <c r="H1047" s="12"/>
      <c r="I1047" s="31"/>
      <c r="J1047" s="12"/>
      <c r="K1047" s="12"/>
      <c r="L1047" s="16"/>
      <c r="M1047" s="46"/>
      <c r="N1047" s="46"/>
      <c r="O1047" s="31"/>
      <c r="P1047" s="16"/>
      <c r="Q1047" s="16"/>
      <c r="R1047" s="16" t="str">
        <f t="shared" si="2"/>
        <v/>
      </c>
    </row>
    <row r="1048">
      <c r="B1048" s="16"/>
      <c r="C1048" s="12"/>
      <c r="D1048" s="12"/>
      <c r="E1048" s="12"/>
      <c r="F1048" s="12"/>
      <c r="G1048" s="25"/>
      <c r="H1048" s="12"/>
      <c r="I1048" s="31"/>
      <c r="J1048" s="12"/>
      <c r="K1048" s="12"/>
      <c r="L1048" s="16"/>
      <c r="M1048" s="46"/>
      <c r="N1048" s="46"/>
      <c r="O1048" s="31"/>
      <c r="P1048" s="16"/>
      <c r="Q1048" s="16"/>
      <c r="R1048" s="16" t="str">
        <f t="shared" si="2"/>
        <v/>
      </c>
    </row>
    <row r="1049">
      <c r="B1049" s="16"/>
      <c r="C1049" s="12"/>
      <c r="D1049" s="12"/>
      <c r="E1049" s="12"/>
      <c r="F1049" s="12"/>
      <c r="G1049" s="25"/>
      <c r="H1049" s="12"/>
      <c r="I1049" s="31"/>
      <c r="J1049" s="12"/>
      <c r="K1049" s="12"/>
      <c r="L1049" s="16"/>
      <c r="M1049" s="46"/>
      <c r="N1049" s="46"/>
      <c r="O1049" s="31"/>
      <c r="P1049" s="16"/>
      <c r="Q1049" s="16"/>
      <c r="R1049" s="16" t="str">
        <f t="shared" si="2"/>
        <v/>
      </c>
    </row>
    <row r="1050">
      <c r="B1050" s="16"/>
      <c r="C1050" s="12"/>
      <c r="D1050" s="12"/>
      <c r="E1050" s="12"/>
      <c r="F1050" s="12"/>
      <c r="G1050" s="25"/>
      <c r="H1050" s="12"/>
      <c r="I1050" s="31"/>
      <c r="J1050" s="12"/>
      <c r="K1050" s="12"/>
      <c r="L1050" s="16"/>
      <c r="M1050" s="46"/>
      <c r="N1050" s="46"/>
      <c r="O1050" s="31"/>
      <c r="P1050" s="16"/>
      <c r="Q1050" s="16"/>
      <c r="R1050" s="16" t="str">
        <f t="shared" si="2"/>
        <v/>
      </c>
    </row>
    <row r="1051">
      <c r="B1051" s="16"/>
      <c r="C1051" s="12"/>
      <c r="D1051" s="12"/>
      <c r="E1051" s="12"/>
      <c r="F1051" s="12"/>
      <c r="G1051" s="25"/>
      <c r="H1051" s="12"/>
      <c r="I1051" s="31"/>
      <c r="J1051" s="12"/>
      <c r="K1051" s="12"/>
      <c r="L1051" s="16"/>
      <c r="M1051" s="46"/>
      <c r="N1051" s="46"/>
      <c r="O1051" s="31"/>
      <c r="P1051" s="16"/>
      <c r="Q1051" s="16"/>
      <c r="R1051" s="16" t="str">
        <f t="shared" si="2"/>
        <v/>
      </c>
    </row>
    <row r="1052">
      <c r="B1052" s="16"/>
      <c r="C1052" s="12"/>
      <c r="D1052" s="12"/>
      <c r="E1052" s="12"/>
      <c r="F1052" s="12"/>
      <c r="G1052" s="25"/>
      <c r="H1052" s="12"/>
      <c r="I1052" s="31"/>
      <c r="J1052" s="12"/>
      <c r="K1052" s="12"/>
      <c r="L1052" s="16"/>
      <c r="M1052" s="46"/>
      <c r="N1052" s="46"/>
      <c r="O1052" s="31"/>
      <c r="P1052" s="16"/>
      <c r="Q1052" s="16"/>
      <c r="R1052" s="16" t="str">
        <f t="shared" si="2"/>
        <v/>
      </c>
    </row>
    <row r="1053">
      <c r="B1053" s="16"/>
      <c r="C1053" s="12"/>
      <c r="D1053" s="12"/>
      <c r="E1053" s="12"/>
      <c r="F1053" s="12"/>
      <c r="G1053" s="25"/>
      <c r="H1053" s="12"/>
      <c r="I1053" s="31"/>
      <c r="J1053" s="12"/>
      <c r="K1053" s="12"/>
      <c r="L1053" s="16"/>
      <c r="M1053" s="46"/>
      <c r="N1053" s="46"/>
      <c r="O1053" s="31"/>
      <c r="P1053" s="16"/>
      <c r="Q1053" s="16"/>
      <c r="R1053" s="16" t="str">
        <f t="shared" si="2"/>
        <v/>
      </c>
    </row>
    <row r="1054">
      <c r="B1054" s="16"/>
      <c r="C1054" s="12"/>
      <c r="D1054" s="12"/>
      <c r="E1054" s="12"/>
      <c r="F1054" s="12"/>
      <c r="G1054" s="25"/>
      <c r="H1054" s="12"/>
      <c r="I1054" s="31"/>
      <c r="J1054" s="12"/>
      <c r="K1054" s="12"/>
      <c r="L1054" s="16"/>
      <c r="M1054" s="46"/>
      <c r="N1054" s="46"/>
      <c r="O1054" s="31"/>
      <c r="P1054" s="16"/>
      <c r="Q1054" s="16"/>
      <c r="R1054" s="16" t="str">
        <f t="shared" si="2"/>
        <v/>
      </c>
    </row>
    <row r="1055">
      <c r="B1055" s="16"/>
      <c r="C1055" s="12"/>
      <c r="D1055" s="12"/>
      <c r="E1055" s="12"/>
      <c r="F1055" s="12"/>
      <c r="G1055" s="25"/>
      <c r="H1055" s="12"/>
      <c r="I1055" s="31"/>
      <c r="J1055" s="12"/>
      <c r="K1055" s="12"/>
      <c r="L1055" s="16"/>
      <c r="M1055" s="46"/>
      <c r="N1055" s="46"/>
      <c r="O1055" s="31"/>
      <c r="P1055" s="16"/>
      <c r="Q1055" s="16"/>
      <c r="R1055" s="16" t="str">
        <f t="shared" si="2"/>
        <v/>
      </c>
    </row>
    <row r="1056">
      <c r="B1056" s="16"/>
      <c r="C1056" s="12"/>
      <c r="D1056" s="12"/>
      <c r="E1056" s="12"/>
      <c r="F1056" s="12"/>
      <c r="G1056" s="25"/>
      <c r="H1056" s="12"/>
      <c r="I1056" s="31"/>
      <c r="J1056" s="12"/>
      <c r="K1056" s="12"/>
      <c r="L1056" s="16"/>
      <c r="M1056" s="46"/>
      <c r="N1056" s="46"/>
      <c r="O1056" s="31"/>
      <c r="P1056" s="16"/>
      <c r="Q1056" s="16"/>
      <c r="R1056" s="16" t="str">
        <f t="shared" si="2"/>
        <v/>
      </c>
    </row>
    <row r="1057">
      <c r="B1057" s="16"/>
      <c r="C1057" s="12"/>
      <c r="D1057" s="12"/>
      <c r="E1057" s="12"/>
      <c r="F1057" s="12"/>
      <c r="G1057" s="25"/>
      <c r="H1057" s="12"/>
      <c r="I1057" s="31"/>
      <c r="J1057" s="12"/>
      <c r="K1057" s="12"/>
      <c r="L1057" s="16"/>
      <c r="M1057" s="46"/>
      <c r="N1057" s="46"/>
      <c r="O1057" s="31"/>
      <c r="P1057" s="16"/>
      <c r="Q1057" s="16"/>
      <c r="R1057" s="16" t="str">
        <f t="shared" si="2"/>
        <v/>
      </c>
    </row>
    <row r="1058">
      <c r="B1058" s="16"/>
      <c r="C1058" s="12"/>
      <c r="D1058" s="12"/>
      <c r="E1058" s="12"/>
      <c r="F1058" s="12"/>
      <c r="G1058" s="25"/>
      <c r="H1058" s="12"/>
      <c r="I1058" s="31"/>
      <c r="J1058" s="12"/>
      <c r="K1058" s="12"/>
      <c r="L1058" s="16"/>
      <c r="M1058" s="46"/>
      <c r="N1058" s="46"/>
      <c r="O1058" s="31"/>
      <c r="P1058" s="16"/>
      <c r="Q1058" s="16"/>
      <c r="R1058" s="16" t="str">
        <f t="shared" si="2"/>
        <v/>
      </c>
    </row>
    <row r="1059">
      <c r="B1059" s="16"/>
      <c r="C1059" s="12"/>
      <c r="D1059" s="12"/>
      <c r="E1059" s="12"/>
      <c r="F1059" s="12"/>
      <c r="G1059" s="25"/>
      <c r="H1059" s="12"/>
      <c r="I1059" s="31"/>
      <c r="J1059" s="12"/>
      <c r="K1059" s="12"/>
      <c r="L1059" s="16"/>
      <c r="M1059" s="46"/>
      <c r="N1059" s="46"/>
      <c r="O1059" s="31"/>
      <c r="P1059" s="16"/>
      <c r="Q1059" s="16"/>
      <c r="R1059" s="16" t="str">
        <f t="shared" si="2"/>
        <v/>
      </c>
    </row>
    <row r="1060">
      <c r="B1060" s="16"/>
      <c r="C1060" s="12"/>
      <c r="D1060" s="12"/>
      <c r="E1060" s="12"/>
      <c r="F1060" s="12"/>
      <c r="G1060" s="25"/>
      <c r="H1060" s="12"/>
      <c r="I1060" s="31"/>
      <c r="J1060" s="12"/>
      <c r="K1060" s="12"/>
      <c r="L1060" s="16"/>
      <c r="M1060" s="46"/>
      <c r="N1060" s="46"/>
      <c r="O1060" s="31"/>
      <c r="P1060" s="16"/>
      <c r="Q1060" s="16"/>
      <c r="R1060" s="16" t="str">
        <f t="shared" si="2"/>
        <v/>
      </c>
    </row>
    <row r="1061">
      <c r="B1061" s="16"/>
      <c r="C1061" s="12"/>
      <c r="D1061" s="12"/>
      <c r="E1061" s="12"/>
      <c r="F1061" s="12"/>
      <c r="G1061" s="25"/>
      <c r="H1061" s="12"/>
      <c r="I1061" s="31"/>
      <c r="J1061" s="12"/>
      <c r="K1061" s="12"/>
      <c r="L1061" s="16"/>
      <c r="M1061" s="46"/>
      <c r="N1061" s="46"/>
      <c r="O1061" s="31"/>
      <c r="P1061" s="16"/>
      <c r="Q1061" s="16"/>
      <c r="R1061" s="16" t="str">
        <f t="shared" si="2"/>
        <v/>
      </c>
    </row>
    <row r="1062">
      <c r="B1062" s="16"/>
      <c r="C1062" s="12"/>
      <c r="D1062" s="12"/>
      <c r="E1062" s="12"/>
      <c r="F1062" s="12"/>
      <c r="G1062" s="25"/>
      <c r="H1062" s="12"/>
      <c r="I1062" s="31"/>
      <c r="J1062" s="12"/>
      <c r="K1062" s="12"/>
      <c r="L1062" s="16"/>
      <c r="M1062" s="46"/>
      <c r="N1062" s="46"/>
      <c r="O1062" s="31"/>
      <c r="P1062" s="16"/>
      <c r="Q1062" s="16"/>
      <c r="R1062" s="16" t="str">
        <f t="shared" si="2"/>
        <v/>
      </c>
    </row>
    <row r="1063">
      <c r="B1063" s="16"/>
      <c r="C1063" s="12"/>
      <c r="D1063" s="12"/>
      <c r="E1063" s="12"/>
      <c r="F1063" s="12"/>
      <c r="G1063" s="25"/>
      <c r="H1063" s="12"/>
      <c r="I1063" s="31"/>
      <c r="J1063" s="12"/>
      <c r="K1063" s="12"/>
      <c r="L1063" s="16"/>
      <c r="M1063" s="46"/>
      <c r="N1063" s="46"/>
      <c r="O1063" s="31"/>
      <c r="P1063" s="16"/>
      <c r="Q1063" s="16"/>
      <c r="R1063" s="16" t="str">
        <f t="shared" si="2"/>
        <v/>
      </c>
    </row>
    <row r="1064">
      <c r="B1064" s="16"/>
      <c r="C1064" s="12"/>
      <c r="D1064" s="12"/>
      <c r="E1064" s="12"/>
      <c r="F1064" s="12"/>
      <c r="G1064" s="25"/>
      <c r="H1064" s="12"/>
      <c r="I1064" s="31"/>
      <c r="J1064" s="12"/>
      <c r="K1064" s="12"/>
      <c r="L1064" s="16"/>
      <c r="M1064" s="46"/>
      <c r="N1064" s="46"/>
      <c r="O1064" s="31"/>
      <c r="P1064" s="16"/>
      <c r="Q1064" s="16"/>
      <c r="R1064" s="16" t="str">
        <f t="shared" si="2"/>
        <v/>
      </c>
    </row>
    <row r="1065">
      <c r="B1065" s="16"/>
      <c r="C1065" s="12"/>
      <c r="D1065" s="12"/>
      <c r="E1065" s="12"/>
      <c r="F1065" s="12"/>
      <c r="G1065" s="25"/>
      <c r="H1065" s="12"/>
      <c r="I1065" s="31"/>
      <c r="J1065" s="12"/>
      <c r="K1065" s="12"/>
      <c r="L1065" s="16"/>
      <c r="M1065" s="46"/>
      <c r="N1065" s="46"/>
      <c r="O1065" s="31"/>
      <c r="P1065" s="16"/>
      <c r="Q1065" s="16"/>
      <c r="R1065" s="16" t="str">
        <f t="shared" si="2"/>
        <v/>
      </c>
    </row>
    <row r="1066">
      <c r="B1066" s="16"/>
      <c r="C1066" s="12"/>
      <c r="D1066" s="12"/>
      <c r="E1066" s="12"/>
      <c r="F1066" s="12"/>
      <c r="G1066" s="25"/>
      <c r="H1066" s="12"/>
      <c r="I1066" s="31"/>
      <c r="J1066" s="12"/>
      <c r="K1066" s="12"/>
      <c r="L1066" s="16"/>
      <c r="M1066" s="46"/>
      <c r="N1066" s="46"/>
      <c r="O1066" s="31"/>
      <c r="P1066" s="16"/>
      <c r="Q1066" s="16"/>
      <c r="R1066" s="16" t="str">
        <f t="shared" si="2"/>
        <v/>
      </c>
    </row>
    <row r="1067">
      <c r="B1067" s="16"/>
      <c r="C1067" s="12"/>
      <c r="D1067" s="12"/>
      <c r="E1067" s="12"/>
      <c r="F1067" s="12"/>
      <c r="G1067" s="25"/>
      <c r="H1067" s="12"/>
      <c r="I1067" s="31"/>
      <c r="J1067" s="12"/>
      <c r="K1067" s="12"/>
      <c r="L1067" s="16"/>
      <c r="M1067" s="46"/>
      <c r="N1067" s="46"/>
      <c r="O1067" s="31"/>
      <c r="P1067" s="16"/>
      <c r="Q1067" s="16"/>
      <c r="R1067" s="16" t="str">
        <f t="shared" si="2"/>
        <v/>
      </c>
    </row>
    <row r="1068">
      <c r="B1068" s="16"/>
      <c r="C1068" s="12"/>
      <c r="D1068" s="12"/>
      <c r="E1068" s="12"/>
      <c r="F1068" s="12"/>
      <c r="G1068" s="25"/>
      <c r="H1068" s="12"/>
      <c r="I1068" s="31"/>
      <c r="J1068" s="12"/>
      <c r="K1068" s="12"/>
      <c r="L1068" s="16"/>
      <c r="M1068" s="46"/>
      <c r="N1068" s="46"/>
      <c r="O1068" s="31"/>
      <c r="P1068" s="16"/>
      <c r="Q1068" s="16"/>
      <c r="R1068" s="16" t="str">
        <f t="shared" si="2"/>
        <v/>
      </c>
    </row>
    <row r="1069">
      <c r="B1069" s="16"/>
      <c r="C1069" s="12"/>
      <c r="D1069" s="12"/>
      <c r="E1069" s="12"/>
      <c r="F1069" s="12"/>
      <c r="G1069" s="25"/>
      <c r="H1069" s="12"/>
      <c r="I1069" s="31"/>
      <c r="J1069" s="12"/>
      <c r="K1069" s="12"/>
      <c r="L1069" s="16"/>
      <c r="M1069" s="46"/>
      <c r="N1069" s="46"/>
      <c r="O1069" s="31"/>
      <c r="P1069" s="16"/>
      <c r="Q1069" s="16"/>
      <c r="R1069" s="16" t="str">
        <f t="shared" si="2"/>
        <v/>
      </c>
    </row>
    <row r="1070">
      <c r="B1070" s="16"/>
      <c r="C1070" s="12"/>
      <c r="D1070" s="12"/>
      <c r="E1070" s="12"/>
      <c r="F1070" s="12"/>
      <c r="G1070" s="25"/>
      <c r="H1070" s="12"/>
      <c r="I1070" s="31"/>
      <c r="J1070" s="12"/>
      <c r="K1070" s="12"/>
      <c r="L1070" s="16"/>
      <c r="M1070" s="46"/>
      <c r="N1070" s="46"/>
      <c r="O1070" s="31"/>
      <c r="P1070" s="16"/>
      <c r="Q1070" s="16"/>
      <c r="R1070" s="16" t="str">
        <f t="shared" si="2"/>
        <v/>
      </c>
    </row>
    <row r="1071">
      <c r="B1071" s="16"/>
      <c r="C1071" s="12"/>
      <c r="D1071" s="12"/>
      <c r="E1071" s="12"/>
      <c r="F1071" s="12"/>
      <c r="G1071" s="25"/>
      <c r="H1071" s="12"/>
      <c r="I1071" s="31"/>
      <c r="J1071" s="12"/>
      <c r="K1071" s="12"/>
      <c r="L1071" s="16"/>
      <c r="M1071" s="46"/>
      <c r="N1071" s="46"/>
      <c r="O1071" s="31"/>
      <c r="P1071" s="16"/>
      <c r="Q1071" s="16"/>
      <c r="R1071" s="16" t="str">
        <f t="shared" si="2"/>
        <v/>
      </c>
    </row>
    <row r="1072">
      <c r="B1072" s="16"/>
      <c r="C1072" s="12"/>
      <c r="D1072" s="12"/>
      <c r="E1072" s="12"/>
      <c r="F1072" s="12"/>
      <c r="G1072" s="25"/>
      <c r="H1072" s="12"/>
      <c r="I1072" s="31"/>
      <c r="J1072" s="12"/>
      <c r="K1072" s="12"/>
      <c r="L1072" s="16"/>
      <c r="M1072" s="46"/>
      <c r="N1072" s="46"/>
      <c r="O1072" s="31"/>
      <c r="P1072" s="16"/>
      <c r="Q1072" s="16"/>
      <c r="R1072" s="16" t="str">
        <f t="shared" si="2"/>
        <v/>
      </c>
    </row>
    <row r="1073">
      <c r="B1073" s="16"/>
      <c r="C1073" s="12"/>
      <c r="D1073" s="12"/>
      <c r="E1073" s="12"/>
      <c r="F1073" s="12"/>
      <c r="G1073" s="25"/>
      <c r="H1073" s="12"/>
      <c r="I1073" s="31"/>
      <c r="J1073" s="12"/>
      <c r="K1073" s="12"/>
      <c r="L1073" s="16"/>
      <c r="M1073" s="46"/>
      <c r="N1073" s="46"/>
      <c r="O1073" s="31"/>
      <c r="P1073" s="16"/>
      <c r="Q1073" s="16"/>
      <c r="R1073" s="16" t="str">
        <f t="shared" si="2"/>
        <v/>
      </c>
    </row>
    <row r="1074">
      <c r="B1074" s="16"/>
      <c r="C1074" s="12"/>
      <c r="D1074" s="12"/>
      <c r="E1074" s="12"/>
      <c r="F1074" s="12"/>
      <c r="G1074" s="25"/>
      <c r="H1074" s="12"/>
      <c r="I1074" s="31"/>
      <c r="J1074" s="12"/>
      <c r="K1074" s="12"/>
      <c r="L1074" s="16"/>
      <c r="M1074" s="46"/>
      <c r="N1074" s="46"/>
      <c r="O1074" s="31"/>
      <c r="P1074" s="16"/>
      <c r="Q1074" s="16"/>
      <c r="R1074" s="16" t="str">
        <f t="shared" si="2"/>
        <v/>
      </c>
    </row>
    <row r="1075">
      <c r="B1075" s="16"/>
      <c r="C1075" s="12"/>
      <c r="D1075" s="12"/>
      <c r="E1075" s="12"/>
      <c r="F1075" s="12"/>
      <c r="G1075" s="25"/>
      <c r="H1075" s="12"/>
      <c r="I1075" s="31"/>
      <c r="J1075" s="12"/>
      <c r="K1075" s="12"/>
      <c r="L1075" s="16"/>
      <c r="M1075" s="46"/>
      <c r="N1075" s="46"/>
      <c r="O1075" s="31"/>
      <c r="P1075" s="16"/>
      <c r="Q1075" s="16"/>
      <c r="R1075" s="16" t="str">
        <f t="shared" si="2"/>
        <v/>
      </c>
    </row>
    <row r="1076">
      <c r="B1076" s="16"/>
      <c r="C1076" s="12"/>
      <c r="D1076" s="12"/>
      <c r="E1076" s="12"/>
      <c r="F1076" s="12"/>
      <c r="G1076" s="25"/>
      <c r="H1076" s="12"/>
      <c r="I1076" s="31"/>
      <c r="J1076" s="12"/>
      <c r="K1076" s="12"/>
      <c r="L1076" s="16"/>
      <c r="M1076" s="46"/>
      <c r="N1076" s="46"/>
      <c r="O1076" s="31"/>
      <c r="P1076" s="16"/>
      <c r="Q1076" s="16"/>
      <c r="R1076" s="16" t="str">
        <f t="shared" si="2"/>
        <v/>
      </c>
    </row>
    <row r="1077">
      <c r="B1077" s="16"/>
      <c r="C1077" s="12"/>
      <c r="D1077" s="12"/>
      <c r="E1077" s="12"/>
      <c r="F1077" s="12"/>
      <c r="G1077" s="25"/>
      <c r="H1077" s="12"/>
      <c r="I1077" s="31"/>
      <c r="J1077" s="12"/>
      <c r="K1077" s="12"/>
      <c r="L1077" s="16"/>
      <c r="M1077" s="46"/>
      <c r="N1077" s="46"/>
      <c r="O1077" s="31"/>
      <c r="P1077" s="16"/>
      <c r="Q1077" s="16"/>
      <c r="R1077" s="16" t="str">
        <f t="shared" si="2"/>
        <v/>
      </c>
    </row>
    <row r="1078">
      <c r="B1078" s="16"/>
      <c r="C1078" s="12"/>
      <c r="D1078" s="12"/>
      <c r="E1078" s="12"/>
      <c r="F1078" s="12"/>
      <c r="G1078" s="25"/>
      <c r="H1078" s="12"/>
      <c r="I1078" s="31"/>
      <c r="J1078" s="12"/>
      <c r="K1078" s="12"/>
      <c r="L1078" s="16"/>
      <c r="M1078" s="46"/>
      <c r="N1078" s="46"/>
      <c r="O1078" s="31"/>
      <c r="P1078" s="16"/>
      <c r="Q1078" s="16"/>
      <c r="R1078" s="16" t="str">
        <f t="shared" si="2"/>
        <v/>
      </c>
    </row>
    <row r="1079">
      <c r="B1079" s="16"/>
      <c r="C1079" s="12"/>
      <c r="D1079" s="12"/>
      <c r="E1079" s="12"/>
      <c r="F1079" s="12"/>
      <c r="G1079" s="25"/>
      <c r="H1079" s="12"/>
      <c r="I1079" s="31"/>
      <c r="J1079" s="12"/>
      <c r="K1079" s="12"/>
      <c r="L1079" s="16"/>
      <c r="M1079" s="46"/>
      <c r="N1079" s="46"/>
      <c r="O1079" s="31"/>
      <c r="P1079" s="16"/>
      <c r="Q1079" s="16"/>
      <c r="R1079" s="16" t="str">
        <f t="shared" si="2"/>
        <v/>
      </c>
    </row>
    <row r="1080">
      <c r="B1080" s="16"/>
      <c r="C1080" s="12"/>
      <c r="D1080" s="12"/>
      <c r="E1080" s="12"/>
      <c r="F1080" s="12"/>
      <c r="G1080" s="25"/>
      <c r="H1080" s="12"/>
      <c r="I1080" s="31"/>
      <c r="J1080" s="12"/>
      <c r="K1080" s="12"/>
      <c r="L1080" s="16"/>
      <c r="M1080" s="46"/>
      <c r="N1080" s="46"/>
      <c r="O1080" s="31"/>
      <c r="P1080" s="16"/>
      <c r="Q1080" s="16"/>
      <c r="R1080" s="16" t="str">
        <f t="shared" si="2"/>
        <v/>
      </c>
    </row>
    <row r="1081">
      <c r="B1081" s="16"/>
      <c r="C1081" s="12"/>
      <c r="D1081" s="12"/>
      <c r="E1081" s="12"/>
      <c r="F1081" s="12"/>
      <c r="G1081" s="25"/>
      <c r="H1081" s="12"/>
      <c r="I1081" s="31"/>
      <c r="J1081" s="12"/>
      <c r="K1081" s="12"/>
      <c r="L1081" s="16"/>
      <c r="M1081" s="46"/>
      <c r="N1081" s="46"/>
      <c r="O1081" s="31"/>
      <c r="P1081" s="16"/>
      <c r="Q1081" s="16"/>
      <c r="R1081" s="16" t="str">
        <f t="shared" si="2"/>
        <v/>
      </c>
    </row>
    <row r="1082">
      <c r="B1082" s="16"/>
      <c r="C1082" s="12"/>
      <c r="D1082" s="12"/>
      <c r="E1082" s="12"/>
      <c r="F1082" s="12"/>
      <c r="G1082" s="25"/>
      <c r="H1082" s="12"/>
      <c r="I1082" s="31"/>
      <c r="J1082" s="12"/>
      <c r="K1082" s="12"/>
      <c r="L1082" s="16"/>
      <c r="M1082" s="46"/>
      <c r="N1082" s="46"/>
      <c r="O1082" s="31"/>
      <c r="P1082" s="16"/>
      <c r="Q1082" s="16"/>
      <c r="R1082" s="16" t="str">
        <f t="shared" si="2"/>
        <v/>
      </c>
    </row>
    <row r="1083">
      <c r="B1083" s="16"/>
      <c r="C1083" s="12"/>
      <c r="D1083" s="12"/>
      <c r="E1083" s="12"/>
      <c r="F1083" s="12"/>
      <c r="G1083" s="25"/>
      <c r="H1083" s="12"/>
      <c r="I1083" s="31"/>
      <c r="J1083" s="12"/>
      <c r="K1083" s="12"/>
      <c r="L1083" s="16"/>
      <c r="M1083" s="46"/>
      <c r="N1083" s="46"/>
      <c r="O1083" s="31"/>
      <c r="P1083" s="16"/>
      <c r="Q1083" s="16"/>
      <c r="R1083" s="16" t="str">
        <f t="shared" si="2"/>
        <v/>
      </c>
    </row>
    <row r="1084">
      <c r="B1084" s="16"/>
      <c r="C1084" s="12"/>
      <c r="D1084" s="12"/>
      <c r="E1084" s="12"/>
      <c r="F1084" s="12"/>
      <c r="G1084" s="25"/>
      <c r="H1084" s="12"/>
      <c r="I1084" s="31"/>
      <c r="J1084" s="12"/>
      <c r="K1084" s="12"/>
      <c r="L1084" s="16"/>
      <c r="M1084" s="46"/>
      <c r="N1084" s="46"/>
      <c r="O1084" s="31"/>
      <c r="P1084" s="16"/>
      <c r="Q1084" s="16"/>
      <c r="R1084" s="16" t="str">
        <f t="shared" si="2"/>
        <v/>
      </c>
    </row>
    <row r="1085">
      <c r="B1085" s="16"/>
      <c r="C1085" s="12"/>
      <c r="D1085" s="12"/>
      <c r="E1085" s="12"/>
      <c r="F1085" s="12"/>
      <c r="G1085" s="25"/>
      <c r="H1085" s="12"/>
      <c r="I1085" s="31"/>
      <c r="J1085" s="12"/>
      <c r="K1085" s="12"/>
      <c r="L1085" s="16"/>
      <c r="M1085" s="46"/>
      <c r="N1085" s="46"/>
      <c r="O1085" s="31"/>
      <c r="P1085" s="16"/>
      <c r="Q1085" s="16"/>
      <c r="R1085" s="16" t="str">
        <f t="shared" si="2"/>
        <v/>
      </c>
    </row>
    <row r="1086">
      <c r="B1086" s="16"/>
      <c r="C1086" s="12"/>
      <c r="D1086" s="12"/>
      <c r="E1086" s="12"/>
      <c r="F1086" s="12"/>
      <c r="G1086" s="25"/>
      <c r="H1086" s="12"/>
      <c r="I1086" s="31"/>
      <c r="J1086" s="12"/>
      <c r="K1086" s="12"/>
      <c r="L1086" s="16"/>
      <c r="M1086" s="46"/>
      <c r="N1086" s="46"/>
      <c r="O1086" s="31"/>
      <c r="P1086" s="16"/>
      <c r="Q1086" s="16"/>
      <c r="R1086" s="16" t="str">
        <f t="shared" si="2"/>
        <v/>
      </c>
    </row>
    <row r="1087">
      <c r="B1087" s="16"/>
      <c r="C1087" s="12"/>
      <c r="D1087" s="12"/>
      <c r="E1087" s="12"/>
      <c r="F1087" s="12"/>
      <c r="G1087" s="25"/>
      <c r="H1087" s="12"/>
      <c r="I1087" s="31"/>
      <c r="J1087" s="12"/>
      <c r="K1087" s="12"/>
      <c r="L1087" s="16"/>
      <c r="M1087" s="46"/>
      <c r="N1087" s="46"/>
      <c r="O1087" s="31"/>
      <c r="P1087" s="16"/>
      <c r="Q1087" s="16"/>
      <c r="R1087" s="16" t="str">
        <f t="shared" si="2"/>
        <v/>
      </c>
    </row>
    <row r="1088">
      <c r="B1088" s="16"/>
      <c r="C1088" s="12"/>
      <c r="D1088" s="12"/>
      <c r="E1088" s="12"/>
      <c r="F1088" s="12"/>
      <c r="G1088" s="25"/>
      <c r="H1088" s="12"/>
      <c r="I1088" s="31"/>
      <c r="J1088" s="12"/>
      <c r="K1088" s="12"/>
      <c r="L1088" s="16"/>
      <c r="M1088" s="46"/>
      <c r="N1088" s="46"/>
      <c r="O1088" s="31"/>
      <c r="P1088" s="16"/>
      <c r="Q1088" s="16"/>
      <c r="R1088" s="16" t="str">
        <f t="shared" si="2"/>
        <v/>
      </c>
    </row>
    <row r="1089">
      <c r="B1089" s="16"/>
      <c r="C1089" s="12"/>
      <c r="D1089" s="12"/>
      <c r="E1089" s="12"/>
      <c r="F1089" s="12"/>
      <c r="G1089" s="25"/>
      <c r="H1089" s="12"/>
      <c r="I1089" s="31"/>
      <c r="J1089" s="12"/>
      <c r="K1089" s="12"/>
      <c r="L1089" s="16"/>
      <c r="M1089" s="46"/>
      <c r="N1089" s="46"/>
      <c r="O1089" s="31"/>
      <c r="P1089" s="16"/>
      <c r="Q1089" s="16"/>
      <c r="R1089" s="16" t="str">
        <f t="shared" si="2"/>
        <v/>
      </c>
    </row>
    <row r="1090">
      <c r="B1090" s="16"/>
      <c r="C1090" s="12"/>
      <c r="D1090" s="12"/>
      <c r="E1090" s="12"/>
      <c r="F1090" s="12"/>
      <c r="G1090" s="25"/>
      <c r="H1090" s="12"/>
      <c r="I1090" s="31"/>
      <c r="J1090" s="12"/>
      <c r="K1090" s="12"/>
      <c r="L1090" s="16"/>
      <c r="M1090" s="46"/>
      <c r="N1090" s="46"/>
      <c r="O1090" s="31"/>
      <c r="P1090" s="16"/>
      <c r="Q1090" s="16"/>
      <c r="R1090" s="16" t="str">
        <f t="shared" si="2"/>
        <v/>
      </c>
    </row>
    <row r="1091">
      <c r="B1091" s="16"/>
      <c r="C1091" s="12"/>
      <c r="D1091" s="12"/>
      <c r="E1091" s="12"/>
      <c r="F1091" s="12"/>
      <c r="G1091" s="25"/>
      <c r="H1091" s="12"/>
      <c r="I1091" s="31"/>
      <c r="J1091" s="12"/>
      <c r="K1091" s="12"/>
      <c r="L1091" s="16"/>
      <c r="M1091" s="46"/>
      <c r="N1091" s="46"/>
      <c r="O1091" s="31"/>
      <c r="P1091" s="16"/>
      <c r="Q1091" s="16"/>
      <c r="R1091" s="16" t="str">
        <f t="shared" si="2"/>
        <v/>
      </c>
    </row>
    <row r="1092">
      <c r="B1092" s="16"/>
      <c r="C1092" s="12"/>
      <c r="D1092" s="12"/>
      <c r="E1092" s="12"/>
      <c r="F1092" s="12"/>
      <c r="G1092" s="25"/>
      <c r="H1092" s="12"/>
      <c r="I1092" s="31"/>
      <c r="J1092" s="12"/>
      <c r="K1092" s="12"/>
      <c r="L1092" s="16"/>
      <c r="M1092" s="46"/>
      <c r="N1092" s="46"/>
      <c r="O1092" s="31"/>
      <c r="P1092" s="16"/>
      <c r="Q1092" s="16"/>
      <c r="R1092" s="16" t="str">
        <f t="shared" si="2"/>
        <v/>
      </c>
    </row>
    <row r="1093">
      <c r="B1093" s="16"/>
      <c r="C1093" s="12"/>
      <c r="D1093" s="12"/>
      <c r="E1093" s="12"/>
      <c r="F1093" s="12"/>
      <c r="G1093" s="25"/>
      <c r="H1093" s="12"/>
      <c r="I1093" s="31"/>
      <c r="J1093" s="12"/>
      <c r="K1093" s="12"/>
      <c r="L1093" s="16"/>
      <c r="M1093" s="46"/>
      <c r="N1093" s="46"/>
      <c r="O1093" s="31"/>
      <c r="P1093" s="16"/>
      <c r="Q1093" s="16"/>
      <c r="R1093" s="16" t="str">
        <f t="shared" si="2"/>
        <v/>
      </c>
    </row>
    <row r="1094">
      <c r="B1094" s="16"/>
      <c r="C1094" s="12"/>
      <c r="D1094" s="12"/>
      <c r="E1094" s="12"/>
      <c r="F1094" s="12"/>
      <c r="G1094" s="25"/>
      <c r="H1094" s="12"/>
      <c r="I1094" s="31"/>
      <c r="J1094" s="12"/>
      <c r="K1094" s="12"/>
      <c r="L1094" s="16"/>
      <c r="M1094" s="46"/>
      <c r="N1094" s="46"/>
      <c r="O1094" s="31"/>
      <c r="P1094" s="16"/>
      <c r="Q1094" s="16"/>
      <c r="R1094" s="16" t="str">
        <f t="shared" si="2"/>
        <v/>
      </c>
    </row>
    <row r="1095">
      <c r="B1095" s="16"/>
      <c r="C1095" s="12"/>
      <c r="D1095" s="12"/>
      <c r="E1095" s="12"/>
      <c r="F1095" s="12"/>
      <c r="G1095" s="25"/>
      <c r="H1095" s="12"/>
      <c r="I1095" s="31"/>
      <c r="J1095" s="12"/>
      <c r="K1095" s="12"/>
      <c r="L1095" s="16"/>
      <c r="M1095" s="46"/>
      <c r="N1095" s="46"/>
      <c r="O1095" s="31"/>
      <c r="P1095" s="16"/>
      <c r="Q1095" s="16"/>
      <c r="R1095" s="16" t="str">
        <f t="shared" si="2"/>
        <v/>
      </c>
    </row>
    <row r="1096">
      <c r="B1096" s="16"/>
      <c r="C1096" s="12"/>
      <c r="D1096" s="12"/>
      <c r="E1096" s="12"/>
      <c r="F1096" s="12"/>
      <c r="G1096" s="25"/>
      <c r="H1096" s="12"/>
      <c r="I1096" s="31"/>
      <c r="J1096" s="12"/>
      <c r="K1096" s="12"/>
      <c r="L1096" s="16"/>
      <c r="M1096" s="46"/>
      <c r="N1096" s="46"/>
      <c r="O1096" s="31"/>
      <c r="P1096" s="16"/>
      <c r="Q1096" s="16"/>
      <c r="R1096" s="16" t="str">
        <f t="shared" si="2"/>
        <v/>
      </c>
    </row>
    <row r="1097">
      <c r="B1097" s="16"/>
      <c r="C1097" s="12"/>
      <c r="D1097" s="12"/>
      <c r="E1097" s="12"/>
      <c r="F1097" s="12"/>
      <c r="G1097" s="25"/>
      <c r="H1097" s="12"/>
      <c r="I1097" s="31"/>
      <c r="J1097" s="12"/>
      <c r="K1097" s="12"/>
      <c r="L1097" s="16"/>
      <c r="M1097" s="46"/>
      <c r="N1097" s="46"/>
      <c r="O1097" s="31"/>
      <c r="P1097" s="16"/>
      <c r="Q1097" s="16"/>
      <c r="R1097" s="16" t="str">
        <f t="shared" si="2"/>
        <v/>
      </c>
    </row>
    <row r="1098">
      <c r="B1098" s="16"/>
      <c r="C1098" s="12"/>
      <c r="D1098" s="12"/>
      <c r="E1098" s="12"/>
      <c r="F1098" s="12"/>
      <c r="G1098" s="25"/>
      <c r="H1098" s="12"/>
      <c r="I1098" s="31"/>
      <c r="J1098" s="12"/>
      <c r="K1098" s="12"/>
      <c r="L1098" s="16"/>
      <c r="M1098" s="46"/>
      <c r="N1098" s="46"/>
      <c r="O1098" s="31"/>
      <c r="P1098" s="16"/>
      <c r="Q1098" s="16"/>
      <c r="R1098" s="16" t="str">
        <f t="shared" si="2"/>
        <v/>
      </c>
    </row>
    <row r="1099">
      <c r="B1099" s="16"/>
      <c r="C1099" s="12"/>
      <c r="D1099" s="12"/>
      <c r="E1099" s="12"/>
      <c r="F1099" s="12"/>
      <c r="G1099" s="25"/>
      <c r="H1099" s="12"/>
      <c r="I1099" s="31"/>
      <c r="J1099" s="12"/>
      <c r="K1099" s="12"/>
      <c r="L1099" s="16"/>
      <c r="M1099" s="46"/>
      <c r="N1099" s="46"/>
      <c r="O1099" s="31"/>
      <c r="P1099" s="16"/>
      <c r="Q1099" s="16"/>
      <c r="R1099" s="16" t="str">
        <f t="shared" si="2"/>
        <v/>
      </c>
    </row>
    <row r="1100">
      <c r="B1100" s="16"/>
      <c r="C1100" s="12"/>
      <c r="D1100" s="12"/>
      <c r="E1100" s="12"/>
      <c r="F1100" s="12"/>
      <c r="G1100" s="25"/>
      <c r="H1100" s="12"/>
      <c r="I1100" s="31"/>
      <c r="J1100" s="12"/>
      <c r="K1100" s="12"/>
      <c r="L1100" s="16"/>
      <c r="M1100" s="46"/>
      <c r="N1100" s="46"/>
      <c r="O1100" s="31"/>
      <c r="P1100" s="16"/>
      <c r="Q1100" s="16"/>
      <c r="R1100" s="16" t="str">
        <f t="shared" si="2"/>
        <v/>
      </c>
    </row>
    <row r="1101">
      <c r="B1101" s="16"/>
      <c r="C1101" s="12"/>
      <c r="D1101" s="12"/>
      <c r="E1101" s="12"/>
      <c r="F1101" s="12"/>
      <c r="G1101" s="25"/>
      <c r="H1101" s="12"/>
      <c r="I1101" s="31"/>
      <c r="J1101" s="12"/>
      <c r="K1101" s="12"/>
      <c r="L1101" s="16"/>
      <c r="M1101" s="46"/>
      <c r="N1101" s="46"/>
      <c r="O1101" s="31"/>
      <c r="P1101" s="16"/>
      <c r="Q1101" s="16"/>
      <c r="R1101" s="16" t="str">
        <f t="shared" si="2"/>
        <v/>
      </c>
    </row>
    <row r="1102">
      <c r="B1102" s="16"/>
      <c r="C1102" s="12"/>
      <c r="D1102" s="12"/>
      <c r="E1102" s="12"/>
      <c r="F1102" s="12"/>
      <c r="G1102" s="25"/>
      <c r="H1102" s="12"/>
      <c r="I1102" s="31"/>
      <c r="J1102" s="12"/>
      <c r="K1102" s="12"/>
      <c r="L1102" s="16"/>
      <c r="M1102" s="46"/>
      <c r="N1102" s="46"/>
      <c r="O1102" s="31"/>
      <c r="P1102" s="16"/>
      <c r="Q1102" s="16"/>
      <c r="R1102" s="16" t="str">
        <f t="shared" si="2"/>
        <v/>
      </c>
    </row>
    <row r="1103">
      <c r="B1103" s="16"/>
      <c r="C1103" s="12"/>
      <c r="D1103" s="12"/>
      <c r="E1103" s="12"/>
      <c r="F1103" s="12"/>
      <c r="G1103" s="25"/>
      <c r="H1103" s="12"/>
      <c r="I1103" s="31"/>
      <c r="J1103" s="12"/>
      <c r="K1103" s="12"/>
      <c r="L1103" s="16"/>
      <c r="M1103" s="46"/>
      <c r="N1103" s="46"/>
      <c r="O1103" s="31"/>
      <c r="P1103" s="16"/>
      <c r="Q1103" s="16"/>
      <c r="R1103" s="16" t="str">
        <f t="shared" si="2"/>
        <v/>
      </c>
    </row>
    <row r="1104">
      <c r="B1104" s="16"/>
      <c r="C1104" s="12"/>
      <c r="D1104" s="12"/>
      <c r="E1104" s="12"/>
      <c r="F1104" s="12"/>
      <c r="G1104" s="25"/>
      <c r="H1104" s="12"/>
      <c r="I1104" s="31"/>
      <c r="J1104" s="12"/>
      <c r="K1104" s="12"/>
      <c r="L1104" s="16"/>
      <c r="M1104" s="46"/>
      <c r="N1104" s="46"/>
      <c r="O1104" s="31"/>
      <c r="P1104" s="16"/>
      <c r="Q1104" s="16"/>
      <c r="R1104" s="16" t="str">
        <f t="shared" si="2"/>
        <v/>
      </c>
    </row>
    <row r="1105">
      <c r="B1105" s="16"/>
      <c r="C1105" s="12"/>
      <c r="D1105" s="12"/>
      <c r="E1105" s="12"/>
      <c r="F1105" s="12"/>
      <c r="G1105" s="25"/>
      <c r="H1105" s="12"/>
      <c r="I1105" s="31"/>
      <c r="J1105" s="12"/>
      <c r="K1105" s="12"/>
      <c r="L1105" s="16"/>
      <c r="M1105" s="46"/>
      <c r="N1105" s="46"/>
      <c r="O1105" s="31"/>
      <c r="P1105" s="16"/>
      <c r="Q1105" s="16"/>
      <c r="R1105" s="16" t="str">
        <f t="shared" si="2"/>
        <v/>
      </c>
    </row>
    <row r="1106">
      <c r="B1106" s="16"/>
      <c r="C1106" s="12"/>
      <c r="D1106" s="12"/>
      <c r="E1106" s="12"/>
      <c r="F1106" s="12"/>
      <c r="G1106" s="25"/>
      <c r="H1106" s="12"/>
      <c r="I1106" s="31"/>
      <c r="J1106" s="12"/>
      <c r="K1106" s="12"/>
      <c r="L1106" s="16"/>
      <c r="M1106" s="46"/>
      <c r="N1106" s="46"/>
      <c r="O1106" s="31"/>
      <c r="P1106" s="16"/>
      <c r="Q1106" s="16"/>
      <c r="R1106" s="16" t="str">
        <f t="shared" si="2"/>
        <v/>
      </c>
    </row>
    <row r="1107">
      <c r="B1107" s="16"/>
      <c r="C1107" s="12"/>
      <c r="D1107" s="12"/>
      <c r="E1107" s="12"/>
      <c r="F1107" s="12"/>
      <c r="G1107" s="25"/>
      <c r="H1107" s="12"/>
      <c r="I1107" s="31"/>
      <c r="J1107" s="12"/>
      <c r="K1107" s="12"/>
      <c r="L1107" s="16"/>
      <c r="M1107" s="46"/>
      <c r="N1107" s="46"/>
      <c r="O1107" s="31"/>
      <c r="P1107" s="16"/>
      <c r="Q1107" s="16"/>
      <c r="R1107" s="16" t="str">
        <f t="shared" si="2"/>
        <v/>
      </c>
    </row>
    <row r="1108">
      <c r="B1108" s="16"/>
      <c r="C1108" s="12"/>
      <c r="D1108" s="12"/>
      <c r="E1108" s="12"/>
      <c r="F1108" s="12"/>
      <c r="G1108" s="25"/>
      <c r="H1108" s="12"/>
      <c r="I1108" s="31"/>
      <c r="J1108" s="12"/>
      <c r="K1108" s="12"/>
      <c r="L1108" s="16"/>
      <c r="M1108" s="46"/>
      <c r="N1108" s="46"/>
      <c r="O1108" s="31"/>
      <c r="P1108" s="16"/>
      <c r="Q1108" s="16"/>
      <c r="R1108" s="16" t="str">
        <f t="shared" si="2"/>
        <v/>
      </c>
    </row>
    <row r="1109">
      <c r="B1109" s="16"/>
      <c r="C1109" s="12"/>
      <c r="D1109" s="12"/>
      <c r="E1109" s="12"/>
      <c r="F1109" s="12"/>
      <c r="G1109" s="25"/>
      <c r="H1109" s="12"/>
      <c r="I1109" s="31"/>
      <c r="J1109" s="12"/>
      <c r="K1109" s="12"/>
      <c r="L1109" s="16"/>
      <c r="M1109" s="46"/>
      <c r="N1109" s="46"/>
      <c r="O1109" s="31"/>
      <c r="P1109" s="16"/>
      <c r="Q1109" s="16"/>
      <c r="R1109" s="16" t="str">
        <f t="shared" si="2"/>
        <v/>
      </c>
    </row>
    <row r="1110">
      <c r="B1110" s="16"/>
      <c r="C1110" s="12"/>
      <c r="D1110" s="12"/>
      <c r="E1110" s="12"/>
      <c r="F1110" s="12"/>
      <c r="G1110" s="25"/>
      <c r="H1110" s="12"/>
      <c r="I1110" s="31"/>
      <c r="J1110" s="12"/>
      <c r="K1110" s="12"/>
      <c r="L1110" s="16"/>
      <c r="M1110" s="46"/>
      <c r="N1110" s="46"/>
      <c r="O1110" s="31"/>
      <c r="P1110" s="16"/>
      <c r="Q1110" s="16"/>
      <c r="R1110" s="16" t="str">
        <f t="shared" si="2"/>
        <v/>
      </c>
    </row>
    <row r="1111">
      <c r="B1111" s="16"/>
      <c r="C1111" s="12"/>
      <c r="D1111" s="12"/>
      <c r="E1111" s="12"/>
      <c r="F1111" s="12"/>
      <c r="G1111" s="25"/>
      <c r="H1111" s="12"/>
      <c r="I1111" s="31"/>
      <c r="J1111" s="12"/>
      <c r="K1111" s="12"/>
      <c r="L1111" s="16"/>
      <c r="M1111" s="46"/>
      <c r="N1111" s="46"/>
      <c r="O1111" s="31"/>
      <c r="P1111" s="16"/>
      <c r="Q1111" s="16"/>
      <c r="R1111" s="16" t="str">
        <f t="shared" si="2"/>
        <v/>
      </c>
    </row>
    <row r="1112">
      <c r="B1112" s="16"/>
      <c r="C1112" s="12"/>
      <c r="D1112" s="12"/>
      <c r="E1112" s="12"/>
      <c r="F1112" s="12"/>
      <c r="G1112" s="25"/>
      <c r="H1112" s="12"/>
      <c r="I1112" s="31"/>
      <c r="J1112" s="12"/>
      <c r="K1112" s="12"/>
      <c r="L1112" s="16"/>
      <c r="M1112" s="46"/>
      <c r="N1112" s="46"/>
      <c r="O1112" s="31"/>
      <c r="P1112" s="16"/>
      <c r="Q1112" s="16"/>
      <c r="R1112" s="16" t="str">
        <f t="shared" si="2"/>
        <v/>
      </c>
    </row>
    <row r="1113">
      <c r="B1113" s="16"/>
      <c r="C1113" s="12"/>
      <c r="D1113" s="12"/>
      <c r="E1113" s="12"/>
      <c r="F1113" s="12"/>
      <c r="G1113" s="25"/>
      <c r="H1113" s="12"/>
      <c r="I1113" s="31"/>
      <c r="J1113" s="12"/>
      <c r="K1113" s="12"/>
      <c r="L1113" s="16"/>
      <c r="M1113" s="46"/>
      <c r="N1113" s="46"/>
      <c r="O1113" s="31"/>
      <c r="P1113" s="16"/>
      <c r="Q1113" s="16"/>
      <c r="R1113" s="16" t="str">
        <f t="shared" si="2"/>
        <v/>
      </c>
    </row>
    <row r="1114">
      <c r="B1114" s="16"/>
      <c r="C1114" s="12"/>
      <c r="D1114" s="12"/>
      <c r="E1114" s="12"/>
      <c r="F1114" s="12"/>
      <c r="G1114" s="25"/>
      <c r="H1114" s="12"/>
      <c r="I1114" s="31"/>
      <c r="J1114" s="12"/>
      <c r="K1114" s="12"/>
      <c r="L1114" s="16"/>
      <c r="M1114" s="46"/>
      <c r="N1114" s="46"/>
      <c r="O1114" s="31"/>
      <c r="P1114" s="16"/>
      <c r="Q1114" s="16"/>
      <c r="R1114" s="16" t="str">
        <f t="shared" si="2"/>
        <v/>
      </c>
    </row>
    <row r="1115">
      <c r="B1115" s="16"/>
      <c r="C1115" s="12"/>
      <c r="D1115" s="12"/>
      <c r="E1115" s="12"/>
      <c r="F1115" s="12"/>
      <c r="G1115" s="25"/>
      <c r="H1115" s="12"/>
      <c r="I1115" s="31"/>
      <c r="J1115" s="12"/>
      <c r="K1115" s="12"/>
      <c r="L1115" s="16"/>
      <c r="M1115" s="46"/>
      <c r="N1115" s="46"/>
      <c r="O1115" s="31"/>
      <c r="P1115" s="16"/>
      <c r="Q1115" s="16"/>
      <c r="R1115" s="16" t="str">
        <f t="shared" si="2"/>
        <v/>
      </c>
    </row>
    <row r="1116">
      <c r="B1116" s="16"/>
      <c r="C1116" s="12"/>
      <c r="D1116" s="12"/>
      <c r="E1116" s="12"/>
      <c r="F1116" s="12"/>
      <c r="G1116" s="25"/>
      <c r="H1116" s="12"/>
      <c r="I1116" s="31"/>
      <c r="J1116" s="12"/>
      <c r="K1116" s="12"/>
      <c r="L1116" s="16"/>
      <c r="M1116" s="46"/>
      <c r="N1116" s="46"/>
      <c r="O1116" s="31"/>
      <c r="P1116" s="16"/>
      <c r="Q1116" s="16"/>
      <c r="R1116" s="16" t="str">
        <f t="shared" si="2"/>
        <v/>
      </c>
    </row>
    <row r="1117">
      <c r="B1117" s="16"/>
      <c r="C1117" s="12"/>
      <c r="D1117" s="12"/>
      <c r="E1117" s="12"/>
      <c r="F1117" s="12"/>
      <c r="G1117" s="25"/>
      <c r="H1117" s="12"/>
      <c r="I1117" s="31"/>
      <c r="J1117" s="12"/>
      <c r="K1117" s="12"/>
      <c r="L1117" s="16"/>
      <c r="M1117" s="46"/>
      <c r="N1117" s="46"/>
      <c r="O1117" s="31"/>
      <c r="P1117" s="16"/>
      <c r="Q1117" s="16"/>
      <c r="R1117" s="16" t="str">
        <f t="shared" si="2"/>
        <v/>
      </c>
    </row>
    <row r="1118">
      <c r="B1118" s="16"/>
      <c r="C1118" s="12"/>
      <c r="D1118" s="12"/>
      <c r="E1118" s="12"/>
      <c r="F1118" s="12"/>
      <c r="G1118" s="25"/>
      <c r="H1118" s="12"/>
      <c r="I1118" s="31"/>
      <c r="J1118" s="12"/>
      <c r="K1118" s="12"/>
      <c r="L1118" s="16"/>
      <c r="M1118" s="46"/>
      <c r="N1118" s="46"/>
      <c r="O1118" s="31"/>
      <c r="P1118" s="16"/>
      <c r="Q1118" s="16"/>
      <c r="R1118" s="16" t="str">
        <f t="shared" si="2"/>
        <v/>
      </c>
    </row>
    <row r="1119">
      <c r="B1119" s="16"/>
      <c r="C1119" s="12"/>
      <c r="D1119" s="12"/>
      <c r="E1119" s="12"/>
      <c r="F1119" s="12"/>
      <c r="G1119" s="25"/>
      <c r="H1119" s="12"/>
      <c r="I1119" s="31"/>
      <c r="J1119" s="12"/>
      <c r="K1119" s="12"/>
      <c r="L1119" s="16"/>
      <c r="M1119" s="46"/>
      <c r="N1119" s="46"/>
      <c r="O1119" s="31"/>
      <c r="P1119" s="16"/>
      <c r="Q1119" s="16"/>
      <c r="R1119" s="16" t="str">
        <f t="shared" si="2"/>
        <v/>
      </c>
    </row>
    <row r="1120">
      <c r="B1120" s="16"/>
      <c r="C1120" s="12"/>
      <c r="D1120" s="12"/>
      <c r="E1120" s="12"/>
      <c r="F1120" s="12"/>
      <c r="G1120" s="25"/>
      <c r="H1120" s="12"/>
      <c r="I1120" s="31"/>
      <c r="J1120" s="12"/>
      <c r="K1120" s="12"/>
      <c r="L1120" s="16"/>
      <c r="M1120" s="46"/>
      <c r="N1120" s="46"/>
      <c r="O1120" s="31"/>
      <c r="P1120" s="16"/>
      <c r="Q1120" s="16"/>
      <c r="R1120" s="16" t="str">
        <f t="shared" si="2"/>
        <v/>
      </c>
    </row>
    <row r="1121">
      <c r="B1121" s="16"/>
      <c r="C1121" s="12"/>
      <c r="D1121" s="12"/>
      <c r="E1121" s="12"/>
      <c r="F1121" s="12"/>
      <c r="G1121" s="25"/>
      <c r="H1121" s="12"/>
      <c r="I1121" s="31"/>
      <c r="J1121" s="12"/>
      <c r="K1121" s="12"/>
      <c r="L1121" s="16"/>
      <c r="M1121" s="46"/>
      <c r="N1121" s="46"/>
      <c r="O1121" s="31"/>
      <c r="P1121" s="16"/>
      <c r="Q1121" s="16"/>
      <c r="R1121" s="16" t="str">
        <f t="shared" si="2"/>
        <v/>
      </c>
    </row>
    <row r="1122">
      <c r="B1122" s="16"/>
      <c r="C1122" s="12"/>
      <c r="D1122" s="12"/>
      <c r="E1122" s="12"/>
      <c r="F1122" s="12"/>
      <c r="G1122" s="25"/>
      <c r="H1122" s="12"/>
      <c r="I1122" s="31"/>
      <c r="J1122" s="12"/>
      <c r="K1122" s="12"/>
      <c r="L1122" s="16"/>
      <c r="M1122" s="46"/>
      <c r="N1122" s="46"/>
      <c r="O1122" s="31"/>
      <c r="P1122" s="16"/>
      <c r="Q1122" s="16"/>
      <c r="R1122" s="16" t="str">
        <f t="shared" si="2"/>
        <v/>
      </c>
    </row>
    <row r="1123">
      <c r="B1123" s="16"/>
      <c r="C1123" s="12"/>
      <c r="D1123" s="12"/>
      <c r="E1123" s="12"/>
      <c r="F1123" s="12"/>
      <c r="G1123" s="25"/>
      <c r="H1123" s="12"/>
      <c r="I1123" s="31"/>
      <c r="J1123" s="12"/>
      <c r="K1123" s="12"/>
      <c r="L1123" s="16"/>
      <c r="M1123" s="46"/>
      <c r="N1123" s="46"/>
      <c r="O1123" s="31"/>
      <c r="P1123" s="16"/>
      <c r="Q1123" s="16"/>
      <c r="R1123" s="16" t="str">
        <f t="shared" si="2"/>
        <v/>
      </c>
    </row>
    <row r="1124">
      <c r="B1124" s="16"/>
      <c r="C1124" s="12"/>
      <c r="D1124" s="12"/>
      <c r="E1124" s="12"/>
      <c r="F1124" s="12"/>
      <c r="G1124" s="25"/>
      <c r="H1124" s="12"/>
      <c r="I1124" s="31"/>
      <c r="J1124" s="12"/>
      <c r="K1124" s="12"/>
      <c r="L1124" s="16"/>
      <c r="M1124" s="46"/>
      <c r="N1124" s="46"/>
      <c r="O1124" s="31"/>
      <c r="P1124" s="16"/>
      <c r="Q1124" s="16"/>
      <c r="R1124" s="16" t="str">
        <f t="shared" si="2"/>
        <v/>
      </c>
    </row>
    <row r="1125">
      <c r="B1125" s="16"/>
      <c r="C1125" s="12"/>
      <c r="D1125" s="12"/>
      <c r="E1125" s="12"/>
      <c r="F1125" s="12"/>
      <c r="G1125" s="25"/>
      <c r="H1125" s="12"/>
      <c r="I1125" s="31"/>
      <c r="J1125" s="12"/>
      <c r="K1125" s="12"/>
      <c r="L1125" s="16"/>
      <c r="M1125" s="46"/>
      <c r="N1125" s="46"/>
      <c r="O1125" s="31"/>
      <c r="P1125" s="16"/>
      <c r="Q1125" s="16"/>
      <c r="R1125" s="16" t="str">
        <f t="shared" si="2"/>
        <v/>
      </c>
    </row>
    <row r="1126">
      <c r="B1126" s="16"/>
      <c r="C1126" s="12"/>
      <c r="D1126" s="12"/>
      <c r="E1126" s="12"/>
      <c r="F1126" s="12"/>
      <c r="G1126" s="25"/>
      <c r="H1126" s="12"/>
      <c r="I1126" s="31"/>
      <c r="J1126" s="12"/>
      <c r="K1126" s="12"/>
      <c r="L1126" s="16"/>
      <c r="M1126" s="46"/>
      <c r="N1126" s="46"/>
      <c r="O1126" s="31"/>
      <c r="P1126" s="16"/>
      <c r="Q1126" s="16"/>
      <c r="R1126" s="16" t="str">
        <f t="shared" si="2"/>
        <v/>
      </c>
    </row>
    <row r="1127">
      <c r="B1127" s="16"/>
      <c r="C1127" s="12"/>
      <c r="D1127" s="12"/>
      <c r="E1127" s="12"/>
      <c r="F1127" s="12"/>
      <c r="G1127" s="25"/>
      <c r="H1127" s="12"/>
      <c r="I1127" s="31"/>
      <c r="J1127" s="12"/>
      <c r="K1127" s="12"/>
      <c r="L1127" s="16"/>
      <c r="M1127" s="46"/>
      <c r="N1127" s="46"/>
      <c r="O1127" s="31"/>
      <c r="P1127" s="16"/>
      <c r="Q1127" s="16"/>
      <c r="R1127" s="16" t="str">
        <f t="shared" si="2"/>
        <v/>
      </c>
    </row>
    <row r="1128">
      <c r="B1128" s="16"/>
      <c r="C1128" s="12"/>
      <c r="D1128" s="12"/>
      <c r="E1128" s="12"/>
      <c r="F1128" s="12"/>
      <c r="G1128" s="25"/>
      <c r="H1128" s="12"/>
      <c r="I1128" s="31"/>
      <c r="J1128" s="12"/>
      <c r="K1128" s="12"/>
      <c r="L1128" s="16"/>
      <c r="M1128" s="46"/>
      <c r="N1128" s="46"/>
      <c r="O1128" s="31"/>
      <c r="P1128" s="16"/>
      <c r="Q1128" s="16"/>
      <c r="R1128" s="16" t="str">
        <f t="shared" si="2"/>
        <v/>
      </c>
    </row>
    <row r="1129">
      <c r="B1129" s="16"/>
      <c r="C1129" s="12"/>
      <c r="D1129" s="12"/>
      <c r="E1129" s="12"/>
      <c r="F1129" s="12"/>
      <c r="G1129" s="25"/>
      <c r="H1129" s="12"/>
      <c r="I1129" s="31"/>
      <c r="J1129" s="12"/>
      <c r="K1129" s="12"/>
      <c r="L1129" s="16"/>
      <c r="M1129" s="46"/>
      <c r="N1129" s="46"/>
      <c r="O1129" s="31"/>
      <c r="P1129" s="16"/>
      <c r="Q1129" s="16"/>
      <c r="R1129" s="16" t="str">
        <f t="shared" si="2"/>
        <v/>
      </c>
    </row>
    <row r="1130">
      <c r="B1130" s="16"/>
      <c r="C1130" s="12"/>
      <c r="D1130" s="12"/>
      <c r="E1130" s="12"/>
      <c r="F1130" s="12"/>
      <c r="G1130" s="25"/>
      <c r="H1130" s="12"/>
      <c r="I1130" s="31"/>
      <c r="J1130" s="12"/>
      <c r="K1130" s="12"/>
      <c r="L1130" s="16"/>
      <c r="M1130" s="46"/>
      <c r="N1130" s="46"/>
      <c r="O1130" s="31"/>
      <c r="P1130" s="16"/>
      <c r="Q1130" s="16"/>
      <c r="R1130" s="16" t="str">
        <f t="shared" si="2"/>
        <v/>
      </c>
    </row>
    <row r="1131">
      <c r="B1131" s="16"/>
      <c r="C1131" s="12"/>
      <c r="D1131" s="12"/>
      <c r="E1131" s="12"/>
      <c r="F1131" s="12"/>
      <c r="G1131" s="25"/>
      <c r="H1131" s="12"/>
      <c r="I1131" s="31"/>
      <c r="J1131" s="12"/>
      <c r="K1131" s="12"/>
      <c r="L1131" s="16"/>
      <c r="M1131" s="46"/>
      <c r="N1131" s="46"/>
      <c r="O1131" s="31"/>
      <c r="P1131" s="16"/>
      <c r="Q1131" s="16"/>
      <c r="R1131" s="16" t="str">
        <f t="shared" si="2"/>
        <v/>
      </c>
    </row>
    <row r="1132">
      <c r="B1132" s="16"/>
      <c r="C1132" s="12"/>
      <c r="D1132" s="12"/>
      <c r="E1132" s="12"/>
      <c r="F1132" s="12"/>
      <c r="G1132" s="25"/>
      <c r="H1132" s="12"/>
      <c r="I1132" s="31"/>
      <c r="J1132" s="12"/>
      <c r="K1132" s="12"/>
      <c r="L1132" s="16"/>
      <c r="M1132" s="46"/>
      <c r="N1132" s="46"/>
      <c r="O1132" s="31"/>
      <c r="P1132" s="16"/>
      <c r="Q1132" s="16"/>
      <c r="R1132" s="16" t="str">
        <f t="shared" si="2"/>
        <v/>
      </c>
    </row>
    <row r="1133">
      <c r="B1133" s="16"/>
      <c r="C1133" s="12"/>
      <c r="D1133" s="12"/>
      <c r="E1133" s="12"/>
      <c r="F1133" s="12"/>
      <c r="G1133" s="25"/>
      <c r="H1133" s="12"/>
      <c r="I1133" s="31"/>
      <c r="J1133" s="12"/>
      <c r="K1133" s="12"/>
      <c r="L1133" s="16"/>
      <c r="M1133" s="46"/>
      <c r="N1133" s="46"/>
      <c r="O1133" s="31"/>
      <c r="P1133" s="16"/>
      <c r="Q1133" s="16"/>
      <c r="R1133" s="16" t="str">
        <f t="shared" si="2"/>
        <v/>
      </c>
    </row>
    <row r="1134">
      <c r="B1134" s="16"/>
      <c r="C1134" s="12"/>
      <c r="D1134" s="12"/>
      <c r="E1134" s="12"/>
      <c r="F1134" s="12"/>
      <c r="G1134" s="25"/>
      <c r="H1134" s="12"/>
      <c r="I1134" s="31"/>
      <c r="J1134" s="12"/>
      <c r="K1134" s="12"/>
      <c r="L1134" s="16"/>
      <c r="M1134" s="46"/>
      <c r="N1134" s="46"/>
      <c r="O1134" s="31"/>
      <c r="P1134" s="16"/>
      <c r="Q1134" s="16"/>
      <c r="R1134" s="16" t="str">
        <f t="shared" si="2"/>
        <v/>
      </c>
    </row>
    <row r="1135">
      <c r="B1135" s="16"/>
      <c r="C1135" s="12"/>
      <c r="D1135" s="12"/>
      <c r="E1135" s="12"/>
      <c r="F1135" s="12"/>
      <c r="G1135" s="25"/>
      <c r="H1135" s="12"/>
      <c r="I1135" s="31"/>
      <c r="J1135" s="12"/>
      <c r="K1135" s="12"/>
      <c r="L1135" s="16"/>
      <c r="M1135" s="46"/>
      <c r="N1135" s="46"/>
      <c r="O1135" s="31"/>
      <c r="P1135" s="16"/>
      <c r="Q1135" s="16"/>
      <c r="R1135" s="16" t="str">
        <f t="shared" si="2"/>
        <v/>
      </c>
    </row>
    <row r="1136">
      <c r="B1136" s="16"/>
      <c r="C1136" s="12"/>
      <c r="D1136" s="12"/>
      <c r="E1136" s="12"/>
      <c r="F1136" s="12"/>
      <c r="G1136" s="25"/>
      <c r="H1136" s="12"/>
      <c r="I1136" s="31"/>
      <c r="J1136" s="12"/>
      <c r="K1136" s="12"/>
      <c r="L1136" s="16"/>
      <c r="M1136" s="46"/>
      <c r="N1136" s="46"/>
      <c r="O1136" s="31"/>
      <c r="P1136" s="16"/>
      <c r="Q1136" s="16"/>
      <c r="R1136" s="16" t="str">
        <f t="shared" si="2"/>
        <v/>
      </c>
    </row>
    <row r="1137">
      <c r="B1137" s="16"/>
      <c r="C1137" s="12"/>
      <c r="D1137" s="12"/>
      <c r="E1137" s="12"/>
      <c r="F1137" s="12"/>
      <c r="G1137" s="25"/>
      <c r="H1137" s="12"/>
      <c r="I1137" s="31"/>
      <c r="J1137" s="12"/>
      <c r="K1137" s="12"/>
      <c r="L1137" s="16"/>
      <c r="M1137" s="46"/>
      <c r="N1137" s="46"/>
      <c r="O1137" s="31"/>
      <c r="P1137" s="16"/>
      <c r="Q1137" s="16"/>
      <c r="R1137" s="16" t="str">
        <f t="shared" si="2"/>
        <v/>
      </c>
    </row>
    <row r="1138">
      <c r="B1138" s="16"/>
      <c r="C1138" s="12"/>
      <c r="D1138" s="12"/>
      <c r="E1138" s="12"/>
      <c r="F1138" s="12"/>
      <c r="G1138" s="25"/>
      <c r="H1138" s="12"/>
      <c r="I1138" s="31"/>
      <c r="J1138" s="12"/>
      <c r="K1138" s="12"/>
      <c r="L1138" s="16"/>
      <c r="M1138" s="46"/>
      <c r="N1138" s="46"/>
      <c r="O1138" s="31"/>
      <c r="P1138" s="16"/>
      <c r="Q1138" s="16"/>
      <c r="R1138" s="16" t="str">
        <f t="shared" si="2"/>
        <v/>
      </c>
    </row>
    <row r="1139">
      <c r="B1139" s="16"/>
      <c r="C1139" s="12"/>
      <c r="D1139" s="12"/>
      <c r="E1139" s="12"/>
      <c r="F1139" s="12"/>
      <c r="G1139" s="25"/>
      <c r="H1139" s="12"/>
      <c r="I1139" s="31"/>
      <c r="J1139" s="12"/>
      <c r="K1139" s="12"/>
      <c r="L1139" s="16"/>
      <c r="M1139" s="46"/>
      <c r="N1139" s="46"/>
      <c r="O1139" s="31"/>
      <c r="P1139" s="16"/>
      <c r="Q1139" s="16"/>
      <c r="R1139" s="16" t="str">
        <f t="shared" si="2"/>
        <v/>
      </c>
    </row>
    <row r="1140">
      <c r="B1140" s="16"/>
      <c r="C1140" s="12"/>
      <c r="D1140" s="12"/>
      <c r="E1140" s="12"/>
      <c r="F1140" s="12"/>
      <c r="G1140" s="25"/>
      <c r="H1140" s="12"/>
      <c r="I1140" s="31"/>
      <c r="J1140" s="12"/>
      <c r="K1140" s="12"/>
      <c r="L1140" s="16"/>
      <c r="M1140" s="46"/>
      <c r="N1140" s="46"/>
      <c r="O1140" s="31"/>
      <c r="P1140" s="16"/>
      <c r="Q1140" s="16"/>
      <c r="R1140" s="16" t="str">
        <f t="shared" si="2"/>
        <v/>
      </c>
    </row>
    <row r="1141">
      <c r="B1141" s="16"/>
      <c r="C1141" s="12"/>
      <c r="D1141" s="12"/>
      <c r="E1141" s="12"/>
      <c r="F1141" s="12"/>
      <c r="G1141" s="25"/>
      <c r="H1141" s="12"/>
      <c r="I1141" s="31"/>
      <c r="J1141" s="12"/>
      <c r="K1141" s="12"/>
      <c r="L1141" s="16"/>
      <c r="M1141" s="46"/>
      <c r="N1141" s="46"/>
      <c r="O1141" s="31"/>
      <c r="P1141" s="16"/>
      <c r="Q1141" s="16"/>
      <c r="R1141" s="16" t="str">
        <f t="shared" si="2"/>
        <v/>
      </c>
    </row>
    <row r="1142">
      <c r="B1142" s="16"/>
      <c r="C1142" s="12"/>
      <c r="D1142" s="12"/>
      <c r="E1142" s="12"/>
      <c r="F1142" s="12"/>
      <c r="G1142" s="25"/>
      <c r="H1142" s="12"/>
      <c r="I1142" s="31"/>
      <c r="J1142" s="12"/>
      <c r="K1142" s="12"/>
      <c r="L1142" s="16"/>
      <c r="M1142" s="46"/>
      <c r="N1142" s="46"/>
      <c r="O1142" s="31"/>
      <c r="P1142" s="16"/>
      <c r="Q1142" s="16"/>
      <c r="R1142" s="16" t="str">
        <f t="shared" si="2"/>
        <v/>
      </c>
    </row>
    <row r="1143">
      <c r="B1143" s="16"/>
      <c r="C1143" s="12"/>
      <c r="D1143" s="12"/>
      <c r="E1143" s="12"/>
      <c r="F1143" s="12"/>
      <c r="G1143" s="25"/>
      <c r="H1143" s="12"/>
      <c r="I1143" s="31"/>
      <c r="J1143" s="12"/>
      <c r="K1143" s="12"/>
      <c r="L1143" s="16"/>
      <c r="M1143" s="46"/>
      <c r="N1143" s="46"/>
      <c r="O1143" s="31"/>
      <c r="P1143" s="16"/>
      <c r="Q1143" s="16"/>
      <c r="R1143" s="16" t="str">
        <f t="shared" si="2"/>
        <v/>
      </c>
    </row>
    <row r="1144">
      <c r="B1144" s="16"/>
      <c r="C1144" s="12"/>
      <c r="D1144" s="12"/>
      <c r="E1144" s="12"/>
      <c r="F1144" s="12"/>
      <c r="G1144" s="25"/>
      <c r="H1144" s="12"/>
      <c r="I1144" s="31"/>
      <c r="J1144" s="12"/>
      <c r="K1144" s="12"/>
      <c r="L1144" s="16"/>
      <c r="M1144" s="46"/>
      <c r="N1144" s="46"/>
      <c r="O1144" s="31"/>
      <c r="P1144" s="16"/>
      <c r="Q1144" s="16"/>
      <c r="R1144" s="16" t="str">
        <f t="shared" si="2"/>
        <v/>
      </c>
    </row>
    <row r="1145">
      <c r="B1145" s="16"/>
      <c r="C1145" s="12"/>
      <c r="D1145" s="12"/>
      <c r="E1145" s="12"/>
      <c r="F1145" s="12"/>
      <c r="G1145" s="25"/>
      <c r="H1145" s="12"/>
      <c r="I1145" s="31"/>
      <c r="J1145" s="12"/>
      <c r="K1145" s="12"/>
      <c r="L1145" s="16"/>
      <c r="M1145" s="46"/>
      <c r="N1145" s="46"/>
      <c r="O1145" s="31"/>
      <c r="P1145" s="16"/>
      <c r="Q1145" s="16"/>
      <c r="R1145" s="16" t="str">
        <f t="shared" si="2"/>
        <v/>
      </c>
    </row>
    <row r="1146">
      <c r="B1146" s="16"/>
      <c r="C1146" s="12"/>
      <c r="D1146" s="12"/>
      <c r="E1146" s="12"/>
      <c r="F1146" s="12"/>
      <c r="G1146" s="25"/>
      <c r="H1146" s="12"/>
      <c r="I1146" s="31"/>
      <c r="J1146" s="12"/>
      <c r="K1146" s="12"/>
      <c r="L1146" s="16"/>
      <c r="M1146" s="46"/>
      <c r="N1146" s="46"/>
      <c r="O1146" s="31"/>
      <c r="P1146" s="16"/>
      <c r="Q1146" s="16"/>
      <c r="R1146" s="16" t="str">
        <f t="shared" si="2"/>
        <v/>
      </c>
    </row>
    <row r="1147">
      <c r="B1147" s="16"/>
      <c r="C1147" s="12"/>
      <c r="D1147" s="12"/>
      <c r="E1147" s="12"/>
      <c r="F1147" s="12"/>
      <c r="G1147" s="25"/>
      <c r="H1147" s="12"/>
      <c r="I1147" s="31"/>
      <c r="J1147" s="12"/>
      <c r="K1147" s="12"/>
      <c r="L1147" s="16"/>
      <c r="M1147" s="46"/>
      <c r="N1147" s="46"/>
      <c r="O1147" s="31"/>
      <c r="P1147" s="16"/>
      <c r="Q1147" s="16"/>
      <c r="R1147" s="16" t="str">
        <f t="shared" si="2"/>
        <v/>
      </c>
    </row>
    <row r="1148">
      <c r="B1148" s="16"/>
      <c r="C1148" s="12"/>
      <c r="D1148" s="12"/>
      <c r="E1148" s="12"/>
      <c r="F1148" s="12"/>
      <c r="G1148" s="25"/>
      <c r="H1148" s="12"/>
      <c r="I1148" s="31"/>
      <c r="J1148" s="12"/>
      <c r="K1148" s="12"/>
      <c r="L1148" s="16"/>
      <c r="M1148" s="46"/>
      <c r="N1148" s="46"/>
      <c r="O1148" s="31"/>
      <c r="P1148" s="16"/>
      <c r="Q1148" s="16"/>
      <c r="R1148" s="16" t="str">
        <f t="shared" si="2"/>
        <v/>
      </c>
    </row>
    <row r="1149">
      <c r="B1149" s="16"/>
      <c r="C1149" s="12"/>
      <c r="D1149" s="12"/>
      <c r="E1149" s="12"/>
      <c r="F1149" s="12"/>
      <c r="G1149" s="25"/>
      <c r="H1149" s="12"/>
      <c r="I1149" s="31"/>
      <c r="J1149" s="12"/>
      <c r="K1149" s="12"/>
      <c r="L1149" s="16"/>
      <c r="M1149" s="46"/>
      <c r="N1149" s="46"/>
      <c r="O1149" s="31"/>
      <c r="P1149" s="16"/>
      <c r="Q1149" s="16"/>
      <c r="R1149" s="16" t="str">
        <f t="shared" si="2"/>
        <v/>
      </c>
    </row>
    <row r="1150">
      <c r="B1150" s="16"/>
      <c r="C1150" s="12"/>
      <c r="D1150" s="12"/>
      <c r="E1150" s="12"/>
      <c r="F1150" s="12"/>
      <c r="G1150" s="25"/>
      <c r="H1150" s="12"/>
      <c r="I1150" s="31"/>
      <c r="J1150" s="12"/>
      <c r="K1150" s="12"/>
      <c r="L1150" s="16"/>
      <c r="M1150" s="46"/>
      <c r="N1150" s="46"/>
      <c r="O1150" s="31"/>
      <c r="P1150" s="16"/>
      <c r="Q1150" s="16"/>
      <c r="R1150" s="16" t="str">
        <f t="shared" si="2"/>
        <v/>
      </c>
    </row>
    <row r="1151">
      <c r="B1151" s="16"/>
      <c r="C1151" s="12"/>
      <c r="D1151" s="12"/>
      <c r="E1151" s="12"/>
      <c r="F1151" s="12"/>
      <c r="G1151" s="25"/>
      <c r="H1151" s="12"/>
      <c r="I1151" s="31"/>
      <c r="J1151" s="12"/>
      <c r="K1151" s="12"/>
      <c r="L1151" s="16"/>
      <c r="M1151" s="46"/>
      <c r="N1151" s="46"/>
      <c r="O1151" s="31"/>
      <c r="P1151" s="16"/>
      <c r="Q1151" s="16"/>
      <c r="R1151" s="16" t="str">
        <f t="shared" si="2"/>
        <v/>
      </c>
    </row>
    <row r="1152">
      <c r="B1152" s="16"/>
      <c r="C1152" s="12"/>
      <c r="D1152" s="12"/>
      <c r="E1152" s="12"/>
      <c r="F1152" s="12"/>
      <c r="G1152" s="25"/>
      <c r="H1152" s="12"/>
      <c r="I1152" s="31"/>
      <c r="J1152" s="12"/>
      <c r="K1152" s="12"/>
      <c r="L1152" s="16"/>
      <c r="M1152" s="46"/>
      <c r="N1152" s="46"/>
      <c r="O1152" s="31"/>
      <c r="P1152" s="16"/>
      <c r="Q1152" s="16"/>
      <c r="R1152" s="16" t="str">
        <f t="shared" si="2"/>
        <v/>
      </c>
    </row>
    <row r="1153">
      <c r="B1153" s="16"/>
      <c r="C1153" s="12"/>
      <c r="D1153" s="12"/>
      <c r="E1153" s="12"/>
      <c r="F1153" s="12"/>
      <c r="G1153" s="25"/>
      <c r="H1153" s="12"/>
      <c r="I1153" s="31"/>
      <c r="J1153" s="12"/>
      <c r="K1153" s="12"/>
      <c r="L1153" s="16"/>
      <c r="M1153" s="46"/>
      <c r="N1153" s="46"/>
      <c r="O1153" s="31"/>
      <c r="P1153" s="16"/>
      <c r="Q1153" s="16"/>
      <c r="R1153" s="16" t="str">
        <f t="shared" si="2"/>
        <v/>
      </c>
    </row>
    <row r="1154">
      <c r="B1154" s="16"/>
      <c r="C1154" s="12"/>
      <c r="D1154" s="12"/>
      <c r="E1154" s="12"/>
      <c r="F1154" s="12"/>
      <c r="G1154" s="25"/>
      <c r="H1154" s="12"/>
      <c r="I1154" s="31"/>
      <c r="J1154" s="12"/>
      <c r="K1154" s="12"/>
      <c r="L1154" s="16"/>
      <c r="M1154" s="46"/>
      <c r="N1154" s="46"/>
      <c r="O1154" s="31"/>
      <c r="P1154" s="16"/>
      <c r="Q1154" s="16"/>
      <c r="R1154" s="16" t="str">
        <f t="shared" si="2"/>
        <v/>
      </c>
    </row>
    <row r="1155">
      <c r="B1155" s="16"/>
      <c r="C1155" s="12"/>
      <c r="D1155" s="12"/>
      <c r="E1155" s="12"/>
      <c r="F1155" s="12"/>
      <c r="G1155" s="25"/>
      <c r="H1155" s="12"/>
      <c r="I1155" s="31"/>
      <c r="J1155" s="12"/>
      <c r="K1155" s="12"/>
      <c r="L1155" s="16"/>
      <c r="M1155" s="46"/>
      <c r="N1155" s="46"/>
      <c r="O1155" s="31"/>
      <c r="P1155" s="16"/>
      <c r="Q1155" s="16"/>
      <c r="R1155" s="16" t="str">
        <f t="shared" si="2"/>
        <v/>
      </c>
    </row>
    <row r="1156">
      <c r="B1156" s="16"/>
      <c r="C1156" s="12"/>
      <c r="D1156" s="12"/>
      <c r="E1156" s="12"/>
      <c r="F1156" s="12"/>
      <c r="G1156" s="25"/>
      <c r="H1156" s="12"/>
      <c r="I1156" s="31"/>
      <c r="J1156" s="12"/>
      <c r="K1156" s="12"/>
      <c r="L1156" s="16"/>
      <c r="M1156" s="46"/>
      <c r="N1156" s="46"/>
      <c r="O1156" s="31"/>
      <c r="P1156" s="16"/>
      <c r="Q1156" s="16"/>
      <c r="R1156" s="16" t="str">
        <f t="shared" si="2"/>
        <v/>
      </c>
    </row>
    <row r="1157">
      <c r="B1157" s="16"/>
      <c r="C1157" s="12"/>
      <c r="D1157" s="12"/>
      <c r="E1157" s="12"/>
      <c r="F1157" s="12"/>
      <c r="G1157" s="25"/>
      <c r="H1157" s="12"/>
      <c r="I1157" s="31"/>
      <c r="J1157" s="12"/>
      <c r="K1157" s="12"/>
      <c r="L1157" s="16"/>
      <c r="M1157" s="46"/>
      <c r="N1157" s="46"/>
      <c r="O1157" s="31"/>
      <c r="P1157" s="16"/>
      <c r="Q1157" s="16"/>
      <c r="R1157" s="16" t="str">
        <f t="shared" si="2"/>
        <v/>
      </c>
    </row>
    <row r="1158">
      <c r="B1158" s="16"/>
      <c r="C1158" s="12"/>
      <c r="D1158" s="12"/>
      <c r="E1158" s="12"/>
      <c r="F1158" s="12"/>
      <c r="G1158" s="25"/>
      <c r="H1158" s="12"/>
      <c r="I1158" s="31"/>
      <c r="J1158" s="12"/>
      <c r="K1158" s="12"/>
      <c r="L1158" s="16"/>
      <c r="M1158" s="46"/>
      <c r="N1158" s="46"/>
      <c r="O1158" s="31"/>
      <c r="P1158" s="16"/>
      <c r="Q1158" s="16"/>
      <c r="R1158" s="16" t="str">
        <f t="shared" si="2"/>
        <v/>
      </c>
    </row>
    <row r="1159">
      <c r="B1159" s="16"/>
      <c r="C1159" s="12"/>
      <c r="D1159" s="12"/>
      <c r="E1159" s="12"/>
      <c r="F1159" s="12"/>
      <c r="G1159" s="25"/>
      <c r="H1159" s="12"/>
      <c r="I1159" s="31"/>
      <c r="J1159" s="12"/>
      <c r="K1159" s="12"/>
      <c r="L1159" s="16"/>
      <c r="M1159" s="46"/>
      <c r="N1159" s="46"/>
      <c r="O1159" s="31"/>
      <c r="P1159" s="16"/>
      <c r="Q1159" s="16"/>
      <c r="R1159" s="16" t="str">
        <f t="shared" si="2"/>
        <v/>
      </c>
    </row>
    <row r="1160">
      <c r="B1160" s="16"/>
      <c r="C1160" s="12"/>
      <c r="D1160" s="12"/>
      <c r="E1160" s="12"/>
      <c r="F1160" s="12"/>
      <c r="G1160" s="25"/>
      <c r="H1160" s="12"/>
      <c r="I1160" s="31"/>
      <c r="J1160" s="12"/>
      <c r="K1160" s="12"/>
      <c r="L1160" s="16"/>
      <c r="M1160" s="46"/>
      <c r="N1160" s="46"/>
      <c r="O1160" s="31"/>
      <c r="P1160" s="16"/>
      <c r="Q1160" s="16"/>
      <c r="R1160" s="16" t="str">
        <f t="shared" si="2"/>
        <v/>
      </c>
    </row>
    <row r="1161">
      <c r="B1161" s="16"/>
      <c r="C1161" s="12"/>
      <c r="D1161" s="12"/>
      <c r="E1161" s="12"/>
      <c r="F1161" s="12"/>
      <c r="G1161" s="25"/>
      <c r="H1161" s="12"/>
      <c r="I1161" s="31"/>
      <c r="J1161" s="12"/>
      <c r="K1161" s="12"/>
      <c r="L1161" s="16"/>
      <c r="M1161" s="46"/>
      <c r="N1161" s="46"/>
      <c r="O1161" s="31"/>
      <c r="P1161" s="16"/>
      <c r="Q1161" s="16"/>
      <c r="R1161" s="16" t="str">
        <f t="shared" si="2"/>
        <v/>
      </c>
    </row>
    <row r="1162">
      <c r="B1162" s="16"/>
      <c r="C1162" s="12"/>
      <c r="D1162" s="12"/>
      <c r="E1162" s="12"/>
      <c r="F1162" s="12"/>
      <c r="G1162" s="25"/>
      <c r="H1162" s="12"/>
      <c r="I1162" s="31"/>
      <c r="J1162" s="12"/>
      <c r="K1162" s="12"/>
      <c r="L1162" s="16"/>
      <c r="M1162" s="46"/>
      <c r="N1162" s="46"/>
      <c r="O1162" s="31"/>
      <c r="P1162" s="16"/>
      <c r="Q1162" s="16"/>
      <c r="R1162" s="16" t="str">
        <f t="shared" si="2"/>
        <v/>
      </c>
    </row>
    <row r="1163">
      <c r="B1163" s="16"/>
      <c r="C1163" s="12"/>
      <c r="D1163" s="12"/>
      <c r="E1163" s="12"/>
      <c r="F1163" s="12"/>
      <c r="G1163" s="25"/>
      <c r="H1163" s="12"/>
      <c r="I1163" s="31"/>
      <c r="J1163" s="12"/>
      <c r="K1163" s="12"/>
      <c r="L1163" s="16"/>
      <c r="M1163" s="46"/>
      <c r="N1163" s="46"/>
      <c r="O1163" s="31"/>
      <c r="P1163" s="16"/>
      <c r="Q1163" s="16"/>
      <c r="R1163" s="16" t="str">
        <f t="shared" si="2"/>
        <v/>
      </c>
    </row>
    <row r="1164">
      <c r="B1164" s="16"/>
      <c r="C1164" s="12"/>
      <c r="D1164" s="12"/>
      <c r="E1164" s="12"/>
      <c r="F1164" s="12"/>
      <c r="G1164" s="25"/>
      <c r="H1164" s="12"/>
      <c r="I1164" s="31"/>
      <c r="J1164" s="12"/>
      <c r="K1164" s="12"/>
      <c r="L1164" s="16"/>
      <c r="M1164" s="46"/>
      <c r="N1164" s="46"/>
      <c r="O1164" s="31"/>
      <c r="P1164" s="16"/>
      <c r="Q1164" s="16"/>
      <c r="R1164" s="16" t="str">
        <f t="shared" si="2"/>
        <v/>
      </c>
    </row>
    <row r="1165">
      <c r="B1165" s="16"/>
      <c r="C1165" s="12"/>
      <c r="D1165" s="12"/>
      <c r="E1165" s="12"/>
      <c r="F1165" s="12"/>
      <c r="G1165" s="25"/>
      <c r="H1165" s="12"/>
      <c r="I1165" s="31"/>
      <c r="J1165" s="12"/>
      <c r="K1165" s="12"/>
      <c r="L1165" s="16"/>
      <c r="M1165" s="46"/>
      <c r="N1165" s="46"/>
      <c r="O1165" s="31"/>
      <c r="P1165" s="16"/>
      <c r="Q1165" s="16"/>
      <c r="R1165" s="16" t="str">
        <f t="shared" si="2"/>
        <v/>
      </c>
    </row>
    <row r="1166">
      <c r="B1166" s="16"/>
      <c r="C1166" s="12"/>
      <c r="D1166" s="12"/>
      <c r="E1166" s="12"/>
      <c r="F1166" s="12"/>
      <c r="G1166" s="25"/>
      <c r="H1166" s="12"/>
      <c r="I1166" s="31"/>
      <c r="J1166" s="12"/>
      <c r="K1166" s="12"/>
      <c r="L1166" s="16"/>
      <c r="M1166" s="46"/>
      <c r="N1166" s="46"/>
      <c r="O1166" s="31"/>
      <c r="P1166" s="16"/>
      <c r="Q1166" s="16"/>
      <c r="R1166" s="16" t="str">
        <f t="shared" si="2"/>
        <v/>
      </c>
    </row>
    <row r="1167">
      <c r="B1167" s="16"/>
      <c r="C1167" s="12"/>
      <c r="D1167" s="12"/>
      <c r="E1167" s="12"/>
      <c r="F1167" s="12"/>
      <c r="G1167" s="25"/>
      <c r="H1167" s="12"/>
      <c r="I1167" s="31"/>
      <c r="J1167" s="12"/>
      <c r="K1167" s="12"/>
      <c r="L1167" s="16"/>
      <c r="M1167" s="46"/>
      <c r="N1167" s="46"/>
      <c r="O1167" s="31"/>
      <c r="P1167" s="16"/>
      <c r="Q1167" s="16"/>
      <c r="R1167" s="16" t="str">
        <f t="shared" si="2"/>
        <v/>
      </c>
    </row>
    <row r="1168">
      <c r="B1168" s="16"/>
      <c r="C1168" s="12"/>
      <c r="D1168" s="12"/>
      <c r="E1168" s="12"/>
      <c r="F1168" s="12"/>
      <c r="G1168" s="25"/>
      <c r="H1168" s="12"/>
      <c r="I1168" s="31"/>
      <c r="J1168" s="12"/>
      <c r="K1168" s="12"/>
      <c r="L1168" s="16"/>
      <c r="M1168" s="46"/>
      <c r="N1168" s="46"/>
      <c r="O1168" s="31"/>
      <c r="P1168" s="16"/>
      <c r="Q1168" s="16"/>
      <c r="R1168" s="16" t="str">
        <f t="shared" si="2"/>
        <v/>
      </c>
    </row>
    <row r="1169">
      <c r="B1169" s="16"/>
      <c r="C1169" s="12"/>
      <c r="D1169" s="12"/>
      <c r="E1169" s="12"/>
      <c r="F1169" s="12"/>
      <c r="G1169" s="25"/>
      <c r="H1169" s="12"/>
      <c r="I1169" s="31"/>
      <c r="J1169" s="12"/>
      <c r="K1169" s="12"/>
      <c r="L1169" s="16"/>
      <c r="M1169" s="46"/>
      <c r="N1169" s="46"/>
      <c r="O1169" s="31"/>
      <c r="P1169" s="16"/>
      <c r="Q1169" s="16"/>
      <c r="R1169" s="16" t="str">
        <f t="shared" si="2"/>
        <v/>
      </c>
    </row>
    <row r="1170">
      <c r="B1170" s="16"/>
      <c r="C1170" s="12"/>
      <c r="D1170" s="12"/>
      <c r="E1170" s="12"/>
      <c r="F1170" s="12"/>
      <c r="G1170" s="25"/>
      <c r="H1170" s="12"/>
      <c r="I1170" s="31"/>
      <c r="J1170" s="12"/>
      <c r="K1170" s="12"/>
      <c r="L1170" s="16"/>
      <c r="M1170" s="46"/>
      <c r="N1170" s="46"/>
      <c r="O1170" s="31"/>
      <c r="P1170" s="16"/>
      <c r="Q1170" s="16"/>
      <c r="R1170" s="16" t="str">
        <f t="shared" si="2"/>
        <v/>
      </c>
    </row>
    <row r="1171">
      <c r="B1171" s="16"/>
      <c r="C1171" s="12"/>
      <c r="D1171" s="12"/>
      <c r="E1171" s="12"/>
      <c r="F1171" s="12"/>
      <c r="G1171" s="25"/>
      <c r="H1171" s="12"/>
      <c r="I1171" s="31"/>
      <c r="J1171" s="12"/>
      <c r="K1171" s="12"/>
      <c r="L1171" s="16"/>
      <c r="M1171" s="46"/>
      <c r="N1171" s="46"/>
      <c r="O1171" s="31"/>
      <c r="P1171" s="16"/>
      <c r="Q1171" s="16"/>
      <c r="R1171" s="16" t="str">
        <f t="shared" si="2"/>
        <v/>
      </c>
    </row>
    <row r="1172">
      <c r="B1172" s="16"/>
      <c r="C1172" s="12"/>
      <c r="D1172" s="12"/>
      <c r="E1172" s="12"/>
      <c r="F1172" s="12"/>
      <c r="G1172" s="25"/>
      <c r="H1172" s="12"/>
      <c r="I1172" s="31"/>
      <c r="J1172" s="12"/>
      <c r="K1172" s="12"/>
      <c r="L1172" s="16"/>
      <c r="M1172" s="46"/>
      <c r="N1172" s="46"/>
      <c r="O1172" s="31"/>
      <c r="P1172" s="16"/>
      <c r="Q1172" s="16"/>
      <c r="R1172" s="16" t="str">
        <f t="shared" si="2"/>
        <v/>
      </c>
    </row>
    <row r="1173">
      <c r="B1173" s="16"/>
      <c r="C1173" s="12"/>
      <c r="D1173" s="12"/>
      <c r="E1173" s="12"/>
      <c r="F1173" s="12"/>
      <c r="G1173" s="25"/>
      <c r="H1173" s="12"/>
      <c r="I1173" s="31"/>
      <c r="J1173" s="12"/>
      <c r="K1173" s="12"/>
      <c r="L1173" s="16"/>
      <c r="M1173" s="46"/>
      <c r="N1173" s="46"/>
      <c r="O1173" s="31"/>
      <c r="P1173" s="16"/>
      <c r="Q1173" s="16"/>
      <c r="R1173" s="16" t="str">
        <f t="shared" si="2"/>
        <v/>
      </c>
    </row>
    <row r="1174">
      <c r="B1174" s="16"/>
      <c r="C1174" s="12"/>
      <c r="D1174" s="12"/>
      <c r="E1174" s="12"/>
      <c r="F1174" s="12"/>
      <c r="G1174" s="25"/>
      <c r="H1174" s="12"/>
      <c r="I1174" s="31"/>
      <c r="J1174" s="12"/>
      <c r="K1174" s="12"/>
      <c r="L1174" s="16"/>
      <c r="M1174" s="46"/>
      <c r="N1174" s="46"/>
      <c r="O1174" s="31"/>
      <c r="P1174" s="16"/>
      <c r="Q1174" s="16"/>
      <c r="R1174" s="16" t="str">
        <f t="shared" si="2"/>
        <v/>
      </c>
    </row>
    <row r="1175">
      <c r="B1175" s="16"/>
      <c r="C1175" s="12"/>
      <c r="D1175" s="12"/>
      <c r="E1175" s="12"/>
      <c r="F1175" s="12"/>
      <c r="G1175" s="25"/>
      <c r="H1175" s="12"/>
      <c r="I1175" s="31"/>
      <c r="J1175" s="12"/>
      <c r="K1175" s="12"/>
      <c r="L1175" s="16"/>
      <c r="M1175" s="46"/>
      <c r="N1175" s="46"/>
      <c r="O1175" s="31"/>
      <c r="P1175" s="16"/>
      <c r="Q1175" s="16"/>
      <c r="R1175" s="16" t="str">
        <f t="shared" si="2"/>
        <v/>
      </c>
    </row>
    <row r="1176">
      <c r="B1176" s="16"/>
      <c r="C1176" s="12"/>
      <c r="D1176" s="12"/>
      <c r="E1176" s="12"/>
      <c r="F1176" s="12"/>
      <c r="G1176" s="25"/>
      <c r="H1176" s="12"/>
      <c r="I1176" s="31"/>
      <c r="J1176" s="12"/>
      <c r="K1176" s="12"/>
      <c r="L1176" s="16"/>
      <c r="M1176" s="46"/>
      <c r="N1176" s="46"/>
      <c r="O1176" s="31"/>
      <c r="P1176" s="16"/>
      <c r="Q1176" s="16"/>
      <c r="R1176" s="16" t="str">
        <f t="shared" si="2"/>
        <v/>
      </c>
    </row>
    <row r="1177">
      <c r="B1177" s="16"/>
      <c r="C1177" s="12"/>
      <c r="D1177" s="12"/>
      <c r="E1177" s="12"/>
      <c r="F1177" s="12"/>
      <c r="G1177" s="25"/>
      <c r="H1177" s="12"/>
      <c r="I1177" s="31"/>
      <c r="J1177" s="12"/>
      <c r="K1177" s="12"/>
      <c r="L1177" s="16"/>
      <c r="M1177" s="46"/>
      <c r="N1177" s="46"/>
      <c r="O1177" s="31"/>
      <c r="P1177" s="16"/>
      <c r="Q1177" s="16"/>
      <c r="R1177" s="16" t="str">
        <f t="shared" si="2"/>
        <v/>
      </c>
    </row>
    <row r="1178">
      <c r="B1178" s="16"/>
      <c r="C1178" s="12"/>
      <c r="D1178" s="12"/>
      <c r="E1178" s="12"/>
      <c r="F1178" s="12"/>
      <c r="G1178" s="25"/>
      <c r="H1178" s="12"/>
      <c r="I1178" s="31"/>
      <c r="J1178" s="12"/>
      <c r="K1178" s="12"/>
      <c r="L1178" s="16"/>
      <c r="M1178" s="46"/>
      <c r="N1178" s="46"/>
      <c r="O1178" s="31"/>
      <c r="P1178" s="16"/>
      <c r="Q1178" s="16"/>
      <c r="R1178" s="16" t="str">
        <f t="shared" si="2"/>
        <v/>
      </c>
    </row>
    <row r="1179">
      <c r="B1179" s="16"/>
      <c r="C1179" s="12"/>
      <c r="D1179" s="12"/>
      <c r="E1179" s="12"/>
      <c r="F1179" s="12"/>
      <c r="G1179" s="25"/>
      <c r="H1179" s="12"/>
      <c r="I1179" s="31"/>
      <c r="J1179" s="12"/>
      <c r="K1179" s="12"/>
      <c r="L1179" s="16"/>
      <c r="M1179" s="46"/>
      <c r="N1179" s="46"/>
      <c r="O1179" s="31"/>
      <c r="P1179" s="16"/>
      <c r="Q1179" s="16"/>
      <c r="R1179" s="16" t="str">
        <f t="shared" si="2"/>
        <v/>
      </c>
    </row>
    <row r="1180">
      <c r="B1180" s="16"/>
      <c r="C1180" s="12"/>
      <c r="D1180" s="12"/>
      <c r="E1180" s="12"/>
      <c r="F1180" s="12"/>
      <c r="G1180" s="25"/>
      <c r="H1180" s="12"/>
      <c r="I1180" s="31"/>
      <c r="J1180" s="12"/>
      <c r="K1180" s="12"/>
      <c r="L1180" s="16"/>
      <c r="M1180" s="46"/>
      <c r="N1180" s="46"/>
      <c r="O1180" s="31"/>
      <c r="P1180" s="16"/>
      <c r="Q1180" s="16"/>
      <c r="R1180" s="16" t="str">
        <f t="shared" si="2"/>
        <v/>
      </c>
    </row>
    <row r="1181">
      <c r="B1181" s="16"/>
      <c r="C1181" s="12"/>
      <c r="D1181" s="12"/>
      <c r="E1181" s="12"/>
      <c r="F1181" s="12"/>
      <c r="G1181" s="25"/>
      <c r="H1181" s="12"/>
      <c r="I1181" s="31"/>
      <c r="J1181" s="12"/>
      <c r="K1181" s="12"/>
      <c r="L1181" s="16"/>
      <c r="M1181" s="46"/>
      <c r="N1181" s="46"/>
      <c r="O1181" s="31"/>
      <c r="P1181" s="16"/>
      <c r="Q1181" s="16"/>
      <c r="R1181" s="16" t="str">
        <f t="shared" si="2"/>
        <v/>
      </c>
    </row>
    <row r="1182">
      <c r="B1182" s="16"/>
      <c r="C1182" s="12"/>
      <c r="D1182" s="12"/>
      <c r="E1182" s="12"/>
      <c r="F1182" s="12"/>
      <c r="G1182" s="25"/>
      <c r="H1182" s="12"/>
      <c r="I1182" s="31"/>
      <c r="J1182" s="12"/>
      <c r="K1182" s="12"/>
      <c r="L1182" s="16"/>
      <c r="M1182" s="46"/>
      <c r="N1182" s="46"/>
      <c r="O1182" s="31"/>
      <c r="P1182" s="16"/>
      <c r="Q1182" s="16"/>
      <c r="R1182" s="16" t="str">
        <f t="shared" si="2"/>
        <v/>
      </c>
    </row>
    <row r="1183">
      <c r="B1183" s="16"/>
      <c r="C1183" s="12"/>
      <c r="D1183" s="12"/>
      <c r="E1183" s="12"/>
      <c r="F1183" s="12"/>
      <c r="G1183" s="25"/>
      <c r="H1183" s="12"/>
      <c r="I1183" s="31"/>
      <c r="J1183" s="12"/>
      <c r="K1183" s="12"/>
      <c r="L1183" s="16"/>
      <c r="M1183" s="46"/>
      <c r="N1183" s="46"/>
      <c r="O1183" s="31"/>
      <c r="P1183" s="16"/>
      <c r="Q1183" s="16"/>
      <c r="R1183" s="16" t="str">
        <f t="shared" si="2"/>
        <v/>
      </c>
    </row>
    <row r="1184">
      <c r="B1184" s="16"/>
      <c r="C1184" s="12"/>
      <c r="D1184" s="12"/>
      <c r="E1184" s="12"/>
      <c r="F1184" s="12"/>
      <c r="G1184" s="25"/>
      <c r="H1184" s="12"/>
      <c r="I1184" s="31"/>
      <c r="J1184" s="12"/>
      <c r="K1184" s="12"/>
      <c r="L1184" s="16"/>
      <c r="M1184" s="46"/>
      <c r="N1184" s="46"/>
      <c r="O1184" s="31"/>
      <c r="P1184" s="16"/>
      <c r="Q1184" s="16"/>
      <c r="R1184" s="16" t="str">
        <f t="shared" si="2"/>
        <v/>
      </c>
    </row>
    <row r="1185">
      <c r="B1185" s="16"/>
      <c r="C1185" s="12"/>
      <c r="D1185" s="12"/>
      <c r="E1185" s="12"/>
      <c r="F1185" s="12"/>
      <c r="G1185" s="25"/>
      <c r="H1185" s="12"/>
      <c r="I1185" s="31"/>
      <c r="J1185" s="12"/>
      <c r="K1185" s="12"/>
      <c r="L1185" s="16"/>
      <c r="M1185" s="46"/>
      <c r="N1185" s="46"/>
      <c r="O1185" s="31"/>
      <c r="P1185" s="16"/>
      <c r="Q1185" s="16"/>
      <c r="R1185" s="16" t="str">
        <f t="shared" si="2"/>
        <v/>
      </c>
    </row>
    <row r="1186">
      <c r="B1186" s="16"/>
      <c r="C1186" s="12"/>
      <c r="D1186" s="12"/>
      <c r="E1186" s="12"/>
      <c r="F1186" s="12"/>
      <c r="G1186" s="25"/>
      <c r="H1186" s="12"/>
      <c r="I1186" s="31"/>
      <c r="J1186" s="12"/>
      <c r="K1186" s="12"/>
      <c r="L1186" s="16"/>
      <c r="M1186" s="46"/>
      <c r="N1186" s="46"/>
      <c r="O1186" s="31"/>
      <c r="P1186" s="16"/>
      <c r="Q1186" s="16"/>
      <c r="R1186" s="16" t="str">
        <f t="shared" si="2"/>
        <v/>
      </c>
    </row>
    <row r="1187">
      <c r="B1187" s="16"/>
      <c r="C1187" s="12"/>
      <c r="D1187" s="12"/>
      <c r="E1187" s="12"/>
      <c r="F1187" s="12"/>
      <c r="G1187" s="25"/>
      <c r="H1187" s="12"/>
      <c r="I1187" s="31"/>
      <c r="J1187" s="12"/>
      <c r="K1187" s="12"/>
      <c r="L1187" s="16"/>
      <c r="M1187" s="46"/>
      <c r="N1187" s="46"/>
      <c r="O1187" s="31"/>
      <c r="P1187" s="16"/>
      <c r="Q1187" s="16"/>
      <c r="R1187" s="16" t="str">
        <f t="shared" si="2"/>
        <v/>
      </c>
    </row>
    <row r="1188">
      <c r="B1188" s="16"/>
      <c r="C1188" s="12"/>
      <c r="D1188" s="12"/>
      <c r="E1188" s="12"/>
      <c r="F1188" s="12"/>
      <c r="G1188" s="25"/>
      <c r="H1188" s="12"/>
      <c r="I1188" s="31"/>
      <c r="J1188" s="12"/>
      <c r="K1188" s="12"/>
      <c r="L1188" s="16"/>
      <c r="M1188" s="46"/>
      <c r="N1188" s="46"/>
      <c r="O1188" s="31"/>
      <c r="P1188" s="16"/>
      <c r="Q1188" s="16"/>
      <c r="R1188" s="16" t="str">
        <f t="shared" si="2"/>
        <v/>
      </c>
    </row>
    <row r="1189">
      <c r="B1189" s="16"/>
      <c r="C1189" s="12"/>
      <c r="D1189" s="12"/>
      <c r="E1189" s="12"/>
      <c r="F1189" s="12"/>
      <c r="G1189" s="25"/>
      <c r="H1189" s="12"/>
      <c r="I1189" s="31"/>
      <c r="J1189" s="12"/>
      <c r="K1189" s="12"/>
      <c r="L1189" s="16"/>
      <c r="M1189" s="46"/>
      <c r="N1189" s="46"/>
      <c r="O1189" s="31"/>
      <c r="P1189" s="16"/>
      <c r="Q1189" s="16"/>
      <c r="R1189" s="16" t="str">
        <f t="shared" si="2"/>
        <v/>
      </c>
    </row>
    <row r="1190">
      <c r="B1190" s="16"/>
      <c r="C1190" s="12"/>
      <c r="D1190" s="12"/>
      <c r="E1190" s="12"/>
      <c r="F1190" s="12"/>
      <c r="G1190" s="25"/>
      <c r="H1190" s="12"/>
      <c r="I1190" s="31"/>
      <c r="J1190" s="12"/>
      <c r="K1190" s="12"/>
      <c r="L1190" s="16"/>
      <c r="M1190" s="46"/>
      <c r="N1190" s="46"/>
      <c r="O1190" s="31"/>
      <c r="P1190" s="16"/>
      <c r="Q1190" s="16"/>
      <c r="R1190" s="16" t="str">
        <f t="shared" si="2"/>
        <v/>
      </c>
    </row>
    <row r="1191">
      <c r="B1191" s="16"/>
      <c r="C1191" s="12"/>
      <c r="D1191" s="12"/>
      <c r="E1191" s="12"/>
      <c r="F1191" s="12"/>
      <c r="G1191" s="25"/>
      <c r="H1191" s="12"/>
      <c r="I1191" s="31"/>
      <c r="J1191" s="12"/>
      <c r="K1191" s="12"/>
      <c r="L1191" s="16"/>
      <c r="M1191" s="46"/>
      <c r="N1191" s="46"/>
      <c r="O1191" s="31"/>
      <c r="P1191" s="16"/>
      <c r="Q1191" s="16"/>
      <c r="R1191" s="16" t="str">
        <f t="shared" si="2"/>
        <v/>
      </c>
    </row>
    <row r="1192">
      <c r="B1192" s="16"/>
      <c r="C1192" s="12"/>
      <c r="D1192" s="12"/>
      <c r="E1192" s="12"/>
      <c r="F1192" s="12"/>
      <c r="G1192" s="25"/>
      <c r="H1192" s="12"/>
      <c r="I1192" s="31"/>
      <c r="J1192" s="12"/>
      <c r="K1192" s="12"/>
      <c r="L1192" s="16"/>
      <c r="M1192" s="46"/>
      <c r="N1192" s="46"/>
      <c r="O1192" s="31"/>
      <c r="P1192" s="16"/>
      <c r="Q1192" s="16"/>
      <c r="R1192" s="16" t="str">
        <f t="shared" si="2"/>
        <v/>
      </c>
    </row>
    <row r="1193">
      <c r="B1193" s="16"/>
      <c r="C1193" s="12"/>
      <c r="D1193" s="12"/>
      <c r="E1193" s="12"/>
      <c r="F1193" s="12"/>
      <c r="G1193" s="25"/>
      <c r="H1193" s="12"/>
      <c r="I1193" s="31"/>
      <c r="J1193" s="12"/>
      <c r="K1193" s="12"/>
      <c r="L1193" s="16"/>
      <c r="M1193" s="46"/>
      <c r="N1193" s="46"/>
      <c r="O1193" s="31"/>
      <c r="P1193" s="16"/>
      <c r="Q1193" s="16"/>
      <c r="R1193" s="16" t="str">
        <f t="shared" si="2"/>
        <v/>
      </c>
    </row>
    <row r="1194">
      <c r="B1194" s="16"/>
      <c r="C1194" s="12"/>
      <c r="D1194" s="12"/>
      <c r="E1194" s="12"/>
      <c r="F1194" s="12"/>
      <c r="G1194" s="25"/>
      <c r="H1194" s="12"/>
      <c r="I1194" s="31"/>
      <c r="J1194" s="12"/>
      <c r="K1194" s="12"/>
      <c r="L1194" s="16"/>
      <c r="M1194" s="46"/>
      <c r="N1194" s="46"/>
      <c r="O1194" s="31"/>
      <c r="P1194" s="16"/>
      <c r="Q1194" s="16"/>
      <c r="R1194" s="16" t="str">
        <f t="shared" si="2"/>
        <v/>
      </c>
    </row>
    <row r="1195">
      <c r="B1195" s="16"/>
      <c r="C1195" s="12"/>
      <c r="D1195" s="12"/>
      <c r="E1195" s="12"/>
      <c r="F1195" s="12"/>
      <c r="G1195" s="25"/>
      <c r="H1195" s="12"/>
      <c r="I1195" s="31"/>
      <c r="J1195" s="12"/>
      <c r="K1195" s="12"/>
      <c r="L1195" s="16"/>
      <c r="M1195" s="46"/>
      <c r="N1195" s="46"/>
      <c r="O1195" s="31"/>
      <c r="P1195" s="16"/>
      <c r="Q1195" s="16"/>
      <c r="R1195" s="16" t="str">
        <f t="shared" si="2"/>
        <v/>
      </c>
    </row>
    <row r="1196">
      <c r="B1196" s="16"/>
      <c r="C1196" s="12"/>
      <c r="D1196" s="12"/>
      <c r="E1196" s="12"/>
      <c r="F1196" s="12"/>
      <c r="G1196" s="25"/>
      <c r="H1196" s="12"/>
      <c r="I1196" s="31"/>
      <c r="J1196" s="12"/>
      <c r="K1196" s="12"/>
      <c r="L1196" s="16"/>
      <c r="M1196" s="46"/>
      <c r="N1196" s="46"/>
      <c r="O1196" s="31"/>
      <c r="P1196" s="16"/>
      <c r="Q1196" s="16"/>
      <c r="R1196" s="16" t="str">
        <f t="shared" si="2"/>
        <v/>
      </c>
    </row>
    <row r="1197">
      <c r="B1197" s="16"/>
      <c r="C1197" s="12"/>
      <c r="D1197" s="12"/>
      <c r="E1197" s="12"/>
      <c r="F1197" s="12"/>
      <c r="G1197" s="25"/>
      <c r="H1197" s="12"/>
      <c r="I1197" s="31"/>
      <c r="J1197" s="12"/>
      <c r="K1197" s="12"/>
      <c r="L1197" s="16"/>
      <c r="M1197" s="46"/>
      <c r="N1197" s="46"/>
      <c r="O1197" s="31"/>
      <c r="P1197" s="16"/>
      <c r="Q1197" s="16"/>
      <c r="R1197" s="16" t="str">
        <f t="shared" si="2"/>
        <v/>
      </c>
    </row>
    <row r="1198">
      <c r="B1198" s="16"/>
      <c r="C1198" s="12"/>
      <c r="D1198" s="12"/>
      <c r="E1198" s="12"/>
      <c r="F1198" s="12"/>
      <c r="G1198" s="25"/>
      <c r="H1198" s="12"/>
      <c r="I1198" s="31"/>
      <c r="J1198" s="12"/>
      <c r="K1198" s="12"/>
      <c r="L1198" s="16"/>
      <c r="M1198" s="46"/>
      <c r="N1198" s="46"/>
      <c r="O1198" s="31"/>
      <c r="P1198" s="16"/>
      <c r="Q1198" s="16"/>
      <c r="R1198" s="16" t="str">
        <f t="shared" si="2"/>
        <v/>
      </c>
    </row>
    <row r="1199">
      <c r="B1199" s="16"/>
      <c r="C1199" s="12"/>
      <c r="D1199" s="12"/>
      <c r="E1199" s="12"/>
      <c r="F1199" s="12"/>
      <c r="G1199" s="25"/>
      <c r="H1199" s="12"/>
      <c r="I1199" s="31"/>
      <c r="J1199" s="12"/>
      <c r="K1199" s="12"/>
      <c r="L1199" s="16"/>
      <c r="M1199" s="46"/>
      <c r="N1199" s="46"/>
      <c r="O1199" s="31"/>
      <c r="P1199" s="16"/>
      <c r="Q1199" s="16"/>
      <c r="R1199" s="16" t="str">
        <f t="shared" si="2"/>
        <v/>
      </c>
    </row>
    <row r="1200">
      <c r="B1200" s="16"/>
      <c r="C1200" s="12"/>
      <c r="D1200" s="12"/>
      <c r="E1200" s="12"/>
      <c r="F1200" s="12"/>
      <c r="G1200" s="25"/>
      <c r="H1200" s="12"/>
      <c r="I1200" s="31"/>
      <c r="J1200" s="12"/>
      <c r="K1200" s="12"/>
      <c r="L1200" s="16"/>
      <c r="M1200" s="46"/>
      <c r="N1200" s="46"/>
      <c r="O1200" s="31"/>
      <c r="P1200" s="16"/>
      <c r="Q1200" s="16"/>
      <c r="R1200" s="16" t="str">
        <f t="shared" si="2"/>
        <v/>
      </c>
    </row>
    <row r="1201">
      <c r="B1201" s="16"/>
      <c r="C1201" s="12"/>
      <c r="D1201" s="12"/>
      <c r="E1201" s="12"/>
      <c r="F1201" s="12"/>
      <c r="G1201" s="25"/>
      <c r="H1201" s="12"/>
      <c r="I1201" s="31"/>
      <c r="J1201" s="12"/>
      <c r="K1201" s="12"/>
      <c r="L1201" s="16"/>
      <c r="M1201" s="46"/>
      <c r="N1201" s="46"/>
      <c r="O1201" s="31"/>
      <c r="P1201" s="16"/>
      <c r="Q1201" s="16"/>
      <c r="R1201" s="16" t="str">
        <f t="shared" si="2"/>
        <v/>
      </c>
    </row>
    <row r="1202">
      <c r="B1202" s="16"/>
      <c r="C1202" s="12"/>
      <c r="D1202" s="12"/>
      <c r="E1202" s="12"/>
      <c r="F1202" s="12"/>
      <c r="G1202" s="25"/>
      <c r="H1202" s="12"/>
      <c r="I1202" s="31"/>
      <c r="J1202" s="12"/>
      <c r="K1202" s="12"/>
      <c r="L1202" s="16"/>
      <c r="M1202" s="46"/>
      <c r="N1202" s="46"/>
      <c r="O1202" s="31"/>
      <c r="P1202" s="16"/>
      <c r="Q1202" s="16"/>
      <c r="R1202" s="16" t="str">
        <f t="shared" si="2"/>
        <v/>
      </c>
    </row>
    <row r="1203">
      <c r="B1203" s="16"/>
      <c r="C1203" s="12"/>
      <c r="D1203" s="12"/>
      <c r="E1203" s="12"/>
      <c r="F1203" s="12"/>
      <c r="G1203" s="25"/>
      <c r="H1203" s="12"/>
      <c r="I1203" s="31"/>
      <c r="J1203" s="12"/>
      <c r="K1203" s="12"/>
      <c r="L1203" s="16"/>
      <c r="M1203" s="46"/>
      <c r="N1203" s="46"/>
      <c r="O1203" s="31"/>
      <c r="P1203" s="16"/>
      <c r="Q1203" s="16"/>
      <c r="R1203" s="16" t="str">
        <f t="shared" si="2"/>
        <v/>
      </c>
    </row>
    <row r="1204">
      <c r="B1204" s="16"/>
      <c r="C1204" s="12"/>
      <c r="D1204" s="12"/>
      <c r="E1204" s="12"/>
      <c r="F1204" s="12"/>
      <c r="G1204" s="25"/>
      <c r="H1204" s="12"/>
      <c r="I1204" s="31"/>
      <c r="J1204" s="12"/>
      <c r="K1204" s="12"/>
      <c r="L1204" s="16"/>
      <c r="M1204" s="46"/>
      <c r="N1204" s="46"/>
      <c r="O1204" s="31"/>
      <c r="P1204" s="16"/>
      <c r="Q1204" s="16"/>
      <c r="R1204" s="16" t="str">
        <f t="shared" si="2"/>
        <v/>
      </c>
    </row>
    <row r="1205">
      <c r="B1205" s="16"/>
      <c r="C1205" s="12"/>
      <c r="D1205" s="12"/>
      <c r="E1205" s="12"/>
      <c r="F1205" s="12"/>
      <c r="G1205" s="25"/>
      <c r="H1205" s="12"/>
      <c r="I1205" s="31"/>
      <c r="J1205" s="12"/>
      <c r="K1205" s="12"/>
      <c r="L1205" s="16"/>
      <c r="M1205" s="46"/>
      <c r="N1205" s="46"/>
      <c r="O1205" s="31"/>
      <c r="P1205" s="16"/>
      <c r="Q1205" s="16"/>
      <c r="R1205" s="16" t="str">
        <f t="shared" si="2"/>
        <v/>
      </c>
    </row>
    <row r="1206">
      <c r="B1206" s="16"/>
      <c r="C1206" s="12"/>
      <c r="D1206" s="12"/>
      <c r="E1206" s="12"/>
      <c r="F1206" s="12"/>
      <c r="G1206" s="25"/>
      <c r="H1206" s="12"/>
      <c r="I1206" s="31"/>
      <c r="J1206" s="12"/>
      <c r="K1206" s="12"/>
      <c r="L1206" s="16"/>
      <c r="M1206" s="46"/>
      <c r="N1206" s="46"/>
      <c r="O1206" s="31"/>
      <c r="P1206" s="16"/>
      <c r="Q1206" s="16"/>
      <c r="R1206" s="16" t="str">
        <f t="shared" si="2"/>
        <v/>
      </c>
    </row>
    <row r="1207">
      <c r="B1207" s="16"/>
      <c r="C1207" s="12"/>
      <c r="D1207" s="12"/>
      <c r="E1207" s="12"/>
      <c r="F1207" s="12"/>
      <c r="G1207" s="25"/>
      <c r="H1207" s="12"/>
      <c r="I1207" s="31"/>
      <c r="J1207" s="12"/>
      <c r="K1207" s="12"/>
      <c r="L1207" s="16"/>
      <c r="M1207" s="46"/>
      <c r="N1207" s="46"/>
      <c r="O1207" s="31"/>
      <c r="P1207" s="16"/>
      <c r="Q1207" s="16"/>
      <c r="R1207" s="16" t="str">
        <f t="shared" si="2"/>
        <v/>
      </c>
    </row>
    <row r="1208">
      <c r="B1208" s="16"/>
      <c r="C1208" s="12"/>
      <c r="D1208" s="12"/>
      <c r="E1208" s="12"/>
      <c r="F1208" s="12"/>
      <c r="G1208" s="25"/>
      <c r="H1208" s="12"/>
      <c r="I1208" s="31"/>
      <c r="J1208" s="12"/>
      <c r="K1208" s="12"/>
      <c r="L1208" s="16"/>
      <c r="M1208" s="46"/>
      <c r="N1208" s="46"/>
      <c r="O1208" s="31"/>
      <c r="P1208" s="16"/>
      <c r="Q1208" s="16"/>
      <c r="R1208" s="16" t="str">
        <f t="shared" si="2"/>
        <v/>
      </c>
    </row>
    <row r="1209">
      <c r="B1209" s="16"/>
      <c r="C1209" s="12"/>
      <c r="D1209" s="12"/>
      <c r="E1209" s="12"/>
      <c r="F1209" s="12"/>
      <c r="G1209" s="25"/>
      <c r="H1209" s="12"/>
      <c r="I1209" s="31"/>
      <c r="J1209" s="12"/>
      <c r="K1209" s="12"/>
      <c r="L1209" s="16"/>
      <c r="M1209" s="46"/>
      <c r="N1209" s="46"/>
      <c r="O1209" s="31"/>
      <c r="P1209" s="16"/>
      <c r="Q1209" s="16"/>
      <c r="R1209" s="16" t="str">
        <f t="shared" si="2"/>
        <v/>
      </c>
    </row>
    <row r="1210">
      <c r="B1210" s="16"/>
      <c r="C1210" s="12"/>
      <c r="D1210" s="12"/>
      <c r="E1210" s="12"/>
      <c r="F1210" s="12"/>
      <c r="G1210" s="25"/>
      <c r="H1210" s="12"/>
      <c r="I1210" s="31"/>
      <c r="J1210" s="12"/>
      <c r="K1210" s="12"/>
      <c r="L1210" s="16"/>
      <c r="M1210" s="46"/>
      <c r="N1210" s="46"/>
      <c r="O1210" s="31"/>
      <c r="P1210" s="16"/>
      <c r="Q1210" s="16"/>
      <c r="R1210" s="16" t="str">
        <f t="shared" si="2"/>
        <v/>
      </c>
    </row>
    <row r="1211">
      <c r="B1211" s="16"/>
      <c r="C1211" s="12"/>
      <c r="D1211" s="12"/>
      <c r="E1211" s="12"/>
      <c r="F1211" s="12"/>
      <c r="G1211" s="25"/>
      <c r="H1211" s="12"/>
      <c r="I1211" s="31"/>
      <c r="J1211" s="12"/>
      <c r="K1211" s="12"/>
      <c r="L1211" s="16"/>
      <c r="M1211" s="46"/>
      <c r="N1211" s="46"/>
      <c r="O1211" s="31"/>
      <c r="P1211" s="16"/>
      <c r="Q1211" s="16"/>
      <c r="R1211" s="16" t="str">
        <f t="shared" si="2"/>
        <v/>
      </c>
    </row>
    <row r="1212">
      <c r="B1212" s="16"/>
      <c r="C1212" s="12"/>
      <c r="D1212" s="12"/>
      <c r="E1212" s="12"/>
      <c r="F1212" s="12"/>
      <c r="G1212" s="25"/>
      <c r="H1212" s="12"/>
      <c r="I1212" s="31"/>
      <c r="J1212" s="12"/>
      <c r="K1212" s="12"/>
      <c r="L1212" s="16"/>
      <c r="M1212" s="46"/>
      <c r="N1212" s="46"/>
      <c r="O1212" s="31"/>
      <c r="P1212" s="16"/>
      <c r="Q1212" s="16"/>
      <c r="R1212" s="16" t="str">
        <f t="shared" si="2"/>
        <v/>
      </c>
    </row>
    <row r="1213">
      <c r="B1213" s="16"/>
      <c r="C1213" s="12"/>
      <c r="D1213" s="12"/>
      <c r="E1213" s="12"/>
      <c r="F1213" s="12"/>
      <c r="G1213" s="25"/>
      <c r="H1213" s="12"/>
      <c r="I1213" s="31"/>
      <c r="J1213" s="12"/>
      <c r="K1213" s="12"/>
      <c r="L1213" s="16"/>
      <c r="M1213" s="46"/>
      <c r="N1213" s="46"/>
      <c r="O1213" s="31"/>
      <c r="P1213" s="16"/>
      <c r="Q1213" s="16"/>
      <c r="R1213" s="16" t="str">
        <f t="shared" si="2"/>
        <v/>
      </c>
    </row>
    <row r="1214">
      <c r="B1214" s="16"/>
      <c r="C1214" s="12"/>
      <c r="D1214" s="12"/>
      <c r="E1214" s="12"/>
      <c r="F1214" s="12"/>
      <c r="G1214" s="25"/>
      <c r="H1214" s="12"/>
      <c r="I1214" s="31"/>
      <c r="J1214" s="12"/>
      <c r="K1214" s="12"/>
      <c r="L1214" s="16"/>
      <c r="M1214" s="46"/>
      <c r="N1214" s="46"/>
      <c r="O1214" s="31"/>
      <c r="P1214" s="16"/>
      <c r="Q1214" s="16"/>
      <c r="R1214" s="16" t="str">
        <f t="shared" si="2"/>
        <v/>
      </c>
    </row>
    <row r="1215">
      <c r="B1215" s="16"/>
      <c r="C1215" s="12"/>
      <c r="D1215" s="12"/>
      <c r="E1215" s="12"/>
      <c r="F1215" s="12"/>
      <c r="G1215" s="25"/>
      <c r="H1215" s="12"/>
      <c r="I1215" s="31"/>
      <c r="J1215" s="12"/>
      <c r="K1215" s="12"/>
      <c r="L1215" s="16"/>
      <c r="M1215" s="46"/>
      <c r="N1215" s="46"/>
      <c r="O1215" s="31"/>
      <c r="P1215" s="16"/>
      <c r="Q1215" s="16"/>
      <c r="R1215" s="16" t="str">
        <f t="shared" si="2"/>
        <v/>
      </c>
    </row>
    <row r="1216">
      <c r="B1216" s="16"/>
      <c r="C1216" s="12"/>
      <c r="D1216" s="12"/>
      <c r="E1216" s="12"/>
      <c r="F1216" s="12"/>
      <c r="G1216" s="25"/>
      <c r="H1216" s="12"/>
      <c r="I1216" s="31"/>
      <c r="J1216" s="12"/>
      <c r="K1216" s="12"/>
      <c r="L1216" s="16"/>
      <c r="M1216" s="46"/>
      <c r="N1216" s="46"/>
      <c r="O1216" s="31"/>
      <c r="P1216" s="16"/>
      <c r="Q1216" s="16"/>
      <c r="R1216" s="16" t="str">
        <f t="shared" si="2"/>
        <v/>
      </c>
    </row>
    <row r="1217">
      <c r="B1217" s="16"/>
      <c r="C1217" s="12"/>
      <c r="D1217" s="12"/>
      <c r="E1217" s="12"/>
      <c r="F1217" s="12"/>
      <c r="G1217" s="25"/>
      <c r="H1217" s="12"/>
      <c r="I1217" s="31"/>
      <c r="J1217" s="12"/>
      <c r="K1217" s="12"/>
      <c r="L1217" s="16"/>
      <c r="M1217" s="46"/>
      <c r="N1217" s="46"/>
      <c r="O1217" s="31"/>
      <c r="P1217" s="16"/>
      <c r="Q1217" s="16"/>
      <c r="R1217" s="16" t="str">
        <f t="shared" si="2"/>
        <v/>
      </c>
    </row>
    <row r="1218">
      <c r="B1218" s="16"/>
      <c r="C1218" s="12"/>
      <c r="D1218" s="12"/>
      <c r="E1218" s="12"/>
      <c r="F1218" s="12"/>
      <c r="G1218" s="25"/>
      <c r="H1218" s="12"/>
      <c r="I1218" s="31"/>
      <c r="J1218" s="12"/>
      <c r="K1218" s="12"/>
      <c r="L1218" s="16"/>
      <c r="M1218" s="46"/>
      <c r="N1218" s="46"/>
      <c r="O1218" s="31"/>
      <c r="P1218" s="16"/>
      <c r="Q1218" s="16"/>
      <c r="R1218" s="16" t="str">
        <f t="shared" si="2"/>
        <v/>
      </c>
    </row>
    <row r="1219">
      <c r="B1219" s="16"/>
      <c r="C1219" s="12"/>
      <c r="D1219" s="12"/>
      <c r="E1219" s="12"/>
      <c r="F1219" s="12"/>
      <c r="G1219" s="25"/>
      <c r="H1219" s="12"/>
      <c r="I1219" s="31"/>
      <c r="J1219" s="12"/>
      <c r="K1219" s="12"/>
      <c r="L1219" s="16"/>
      <c r="M1219" s="46"/>
      <c r="N1219" s="46"/>
      <c r="O1219" s="31"/>
      <c r="P1219" s="16"/>
      <c r="Q1219" s="16"/>
      <c r="R1219" s="16" t="str">
        <f t="shared" si="2"/>
        <v/>
      </c>
    </row>
    <row r="1220">
      <c r="B1220" s="16"/>
      <c r="C1220" s="12"/>
      <c r="D1220" s="12"/>
      <c r="E1220" s="12"/>
      <c r="F1220" s="12"/>
      <c r="G1220" s="25"/>
      <c r="H1220" s="12"/>
      <c r="I1220" s="31"/>
      <c r="J1220" s="12"/>
      <c r="K1220" s="12"/>
      <c r="L1220" s="16"/>
      <c r="M1220" s="46"/>
      <c r="N1220" s="46"/>
      <c r="O1220" s="31"/>
      <c r="P1220" s="16"/>
      <c r="Q1220" s="16"/>
      <c r="R1220" s="16" t="str">
        <f t="shared" si="2"/>
        <v/>
      </c>
    </row>
    <row r="1221">
      <c r="B1221" s="16"/>
      <c r="C1221" s="12"/>
      <c r="D1221" s="12"/>
      <c r="E1221" s="12"/>
      <c r="F1221" s="12"/>
      <c r="G1221" s="25"/>
      <c r="H1221" s="12"/>
      <c r="I1221" s="31"/>
      <c r="J1221" s="12"/>
      <c r="K1221" s="12"/>
      <c r="L1221" s="16"/>
      <c r="M1221" s="46"/>
      <c r="N1221" s="46"/>
      <c r="O1221" s="31"/>
      <c r="P1221" s="16"/>
      <c r="Q1221" s="16"/>
      <c r="R1221" s="16" t="str">
        <f t="shared" si="2"/>
        <v/>
      </c>
    </row>
    <row r="1222">
      <c r="B1222" s="16"/>
      <c r="C1222" s="12"/>
      <c r="D1222" s="12"/>
      <c r="E1222" s="12"/>
      <c r="F1222" s="12"/>
      <c r="G1222" s="25"/>
      <c r="H1222" s="12"/>
      <c r="I1222" s="31"/>
      <c r="J1222" s="12"/>
      <c r="K1222" s="12"/>
      <c r="L1222" s="16"/>
      <c r="M1222" s="46"/>
      <c r="N1222" s="46"/>
      <c r="O1222" s="31"/>
      <c r="P1222" s="16"/>
      <c r="Q1222" s="16"/>
      <c r="R1222" s="16" t="str">
        <f t="shared" si="2"/>
        <v/>
      </c>
    </row>
    <row r="1223">
      <c r="B1223" s="16"/>
      <c r="C1223" s="12"/>
      <c r="D1223" s="12"/>
      <c r="E1223" s="12"/>
      <c r="F1223" s="12"/>
      <c r="G1223" s="25"/>
      <c r="H1223" s="12"/>
      <c r="I1223" s="31"/>
      <c r="J1223" s="12"/>
      <c r="K1223" s="12"/>
      <c r="L1223" s="16"/>
      <c r="M1223" s="46"/>
      <c r="N1223" s="46"/>
      <c r="O1223" s="31"/>
      <c r="P1223" s="16"/>
      <c r="Q1223" s="16"/>
      <c r="R1223" s="16" t="str">
        <f t="shared" si="2"/>
        <v/>
      </c>
    </row>
    <row r="1224">
      <c r="B1224" s="16"/>
      <c r="C1224" s="12"/>
      <c r="D1224" s="12"/>
      <c r="E1224" s="12"/>
      <c r="F1224" s="12"/>
      <c r="G1224" s="25"/>
      <c r="H1224" s="12"/>
      <c r="I1224" s="31"/>
      <c r="J1224" s="12"/>
      <c r="K1224" s="12"/>
      <c r="L1224" s="16"/>
      <c r="M1224" s="46"/>
      <c r="N1224" s="46"/>
      <c r="O1224" s="31"/>
      <c r="P1224" s="16"/>
      <c r="Q1224" s="16"/>
      <c r="R1224" s="16" t="str">
        <f t="shared" si="2"/>
        <v/>
      </c>
    </row>
    <row r="1225">
      <c r="B1225" s="16"/>
      <c r="C1225" s="12"/>
      <c r="D1225" s="12"/>
      <c r="E1225" s="12"/>
      <c r="F1225" s="12"/>
      <c r="G1225" s="25"/>
      <c r="H1225" s="12"/>
      <c r="I1225" s="31"/>
      <c r="J1225" s="12"/>
      <c r="K1225" s="12"/>
      <c r="L1225" s="16"/>
      <c r="M1225" s="46"/>
      <c r="N1225" s="46"/>
      <c r="O1225" s="31"/>
      <c r="P1225" s="16"/>
      <c r="Q1225" s="16"/>
      <c r="R1225" s="16" t="str">
        <f t="shared" si="2"/>
        <v/>
      </c>
    </row>
    <row r="1226">
      <c r="B1226" s="16"/>
      <c r="C1226" s="12"/>
      <c r="D1226" s="12"/>
      <c r="E1226" s="12"/>
      <c r="F1226" s="12"/>
      <c r="G1226" s="25"/>
      <c r="H1226" s="12"/>
      <c r="I1226" s="31"/>
      <c r="J1226" s="12"/>
      <c r="K1226" s="12"/>
      <c r="L1226" s="16"/>
      <c r="M1226" s="46"/>
      <c r="N1226" s="46"/>
      <c r="O1226" s="31"/>
      <c r="P1226" s="16"/>
      <c r="Q1226" s="16"/>
      <c r="R1226" s="16" t="str">
        <f t="shared" si="2"/>
        <v/>
      </c>
    </row>
    <row r="1227">
      <c r="B1227" s="16"/>
      <c r="C1227" s="12"/>
      <c r="D1227" s="12"/>
      <c r="E1227" s="12"/>
      <c r="F1227" s="12"/>
      <c r="G1227" s="25"/>
      <c r="H1227" s="12"/>
      <c r="I1227" s="31"/>
      <c r="J1227" s="12"/>
      <c r="K1227" s="12"/>
      <c r="L1227" s="16"/>
      <c r="M1227" s="46"/>
      <c r="N1227" s="46"/>
      <c r="O1227" s="31"/>
      <c r="P1227" s="16"/>
      <c r="Q1227" s="16"/>
      <c r="R1227" s="16" t="str">
        <f t="shared" si="2"/>
        <v/>
      </c>
    </row>
    <row r="1228">
      <c r="B1228" s="16"/>
      <c r="C1228" s="12"/>
      <c r="D1228" s="12"/>
      <c r="E1228" s="12"/>
      <c r="F1228" s="12"/>
      <c r="G1228" s="25"/>
      <c r="H1228" s="12"/>
      <c r="I1228" s="31"/>
      <c r="J1228" s="12"/>
      <c r="K1228" s="12"/>
      <c r="L1228" s="16"/>
      <c r="M1228" s="46"/>
      <c r="N1228" s="46"/>
      <c r="O1228" s="31"/>
      <c r="P1228" s="16"/>
      <c r="Q1228" s="16"/>
      <c r="R1228" s="16" t="str">
        <f t="shared" si="2"/>
        <v/>
      </c>
    </row>
    <row r="1229">
      <c r="B1229" s="16"/>
      <c r="C1229" s="12"/>
      <c r="D1229" s="12"/>
      <c r="E1229" s="12"/>
      <c r="F1229" s="12"/>
      <c r="G1229" s="25"/>
      <c r="H1229" s="12"/>
      <c r="I1229" s="31"/>
      <c r="J1229" s="12"/>
      <c r="K1229" s="12"/>
      <c r="L1229" s="16"/>
      <c r="M1229" s="46"/>
      <c r="N1229" s="46"/>
      <c r="O1229" s="31"/>
      <c r="P1229" s="16"/>
      <c r="Q1229" s="16"/>
      <c r="R1229" s="16" t="str">
        <f t="shared" si="2"/>
        <v/>
      </c>
    </row>
    <row r="1230">
      <c r="B1230" s="16"/>
      <c r="C1230" s="12"/>
      <c r="D1230" s="12"/>
      <c r="E1230" s="12"/>
      <c r="F1230" s="12"/>
      <c r="G1230" s="25"/>
      <c r="H1230" s="12"/>
      <c r="I1230" s="31"/>
      <c r="J1230" s="12"/>
      <c r="K1230" s="12"/>
      <c r="L1230" s="16"/>
      <c r="M1230" s="46"/>
      <c r="N1230" s="46"/>
      <c r="O1230" s="31"/>
      <c r="P1230" s="16"/>
      <c r="Q1230" s="16"/>
      <c r="R1230" s="16" t="str">
        <f t="shared" si="2"/>
        <v/>
      </c>
    </row>
    <row r="1231">
      <c r="B1231" s="16"/>
      <c r="C1231" s="12"/>
      <c r="D1231" s="12"/>
      <c r="E1231" s="12"/>
      <c r="F1231" s="12"/>
      <c r="G1231" s="25"/>
      <c r="H1231" s="12"/>
      <c r="I1231" s="31"/>
      <c r="J1231" s="12"/>
      <c r="K1231" s="12"/>
      <c r="L1231" s="16"/>
      <c r="M1231" s="46"/>
      <c r="N1231" s="46"/>
      <c r="O1231" s="31"/>
      <c r="P1231" s="16"/>
      <c r="Q1231" s="16"/>
      <c r="R1231" s="16" t="str">
        <f t="shared" si="2"/>
        <v/>
      </c>
    </row>
    <row r="1232">
      <c r="B1232" s="16"/>
      <c r="C1232" s="12"/>
      <c r="D1232" s="12"/>
      <c r="E1232" s="12"/>
      <c r="F1232" s="12"/>
      <c r="G1232" s="25"/>
      <c r="H1232" s="12"/>
      <c r="I1232" s="31"/>
      <c r="J1232" s="12"/>
      <c r="K1232" s="12"/>
      <c r="L1232" s="16"/>
      <c r="M1232" s="46"/>
      <c r="N1232" s="46"/>
      <c r="O1232" s="31"/>
      <c r="P1232" s="16"/>
      <c r="Q1232" s="16"/>
      <c r="R1232" s="16" t="str">
        <f t="shared" si="2"/>
        <v/>
      </c>
    </row>
    <row r="1233">
      <c r="B1233" s="16"/>
      <c r="C1233" s="12"/>
      <c r="D1233" s="12"/>
      <c r="E1233" s="12"/>
      <c r="F1233" s="12"/>
      <c r="G1233" s="25"/>
      <c r="H1233" s="12"/>
      <c r="I1233" s="31"/>
      <c r="J1233" s="12"/>
      <c r="K1233" s="12"/>
      <c r="L1233" s="16"/>
      <c r="M1233" s="46"/>
      <c r="N1233" s="46"/>
      <c r="O1233" s="31"/>
      <c r="P1233" s="16"/>
      <c r="Q1233" s="16"/>
      <c r="R1233" s="16" t="str">
        <f t="shared" si="2"/>
        <v/>
      </c>
    </row>
    <row r="1234">
      <c r="B1234" s="16"/>
      <c r="C1234" s="12"/>
      <c r="D1234" s="12"/>
      <c r="E1234" s="12"/>
      <c r="F1234" s="12"/>
      <c r="G1234" s="25"/>
      <c r="H1234" s="12"/>
      <c r="I1234" s="31"/>
      <c r="J1234" s="12"/>
      <c r="K1234" s="12"/>
      <c r="L1234" s="16"/>
      <c r="M1234" s="46"/>
      <c r="N1234" s="46"/>
      <c r="O1234" s="31"/>
      <c r="P1234" s="16"/>
      <c r="Q1234" s="16"/>
      <c r="R1234" s="16" t="str">
        <f t="shared" si="2"/>
        <v/>
      </c>
    </row>
    <row r="1235">
      <c r="B1235" s="16"/>
      <c r="C1235" s="12"/>
      <c r="D1235" s="12"/>
      <c r="E1235" s="12"/>
      <c r="F1235" s="12"/>
      <c r="G1235" s="25"/>
      <c r="H1235" s="12"/>
      <c r="I1235" s="31"/>
      <c r="J1235" s="12"/>
      <c r="K1235" s="12"/>
      <c r="L1235" s="16"/>
      <c r="M1235" s="46"/>
      <c r="N1235" s="46"/>
      <c r="O1235" s="31"/>
      <c r="P1235" s="16"/>
      <c r="Q1235" s="16"/>
      <c r="R1235" s="16" t="str">
        <f t="shared" si="2"/>
        <v/>
      </c>
    </row>
    <row r="1236">
      <c r="B1236" s="16"/>
      <c r="C1236" s="12"/>
      <c r="D1236" s="12"/>
      <c r="E1236" s="12"/>
      <c r="F1236" s="12"/>
      <c r="G1236" s="25"/>
      <c r="H1236" s="12"/>
      <c r="I1236" s="31"/>
      <c r="J1236" s="12"/>
      <c r="K1236" s="12"/>
      <c r="L1236" s="16"/>
      <c r="M1236" s="46"/>
      <c r="N1236" s="46"/>
      <c r="O1236" s="31"/>
      <c r="P1236" s="16"/>
      <c r="Q1236" s="16"/>
      <c r="R1236" s="16" t="str">
        <f t="shared" si="2"/>
        <v/>
      </c>
    </row>
    <row r="1237">
      <c r="B1237" s="16"/>
      <c r="C1237" s="12"/>
      <c r="D1237" s="12"/>
      <c r="E1237" s="12"/>
      <c r="F1237" s="12"/>
      <c r="G1237" s="25"/>
      <c r="H1237" s="12"/>
      <c r="I1237" s="31"/>
      <c r="J1237" s="12"/>
      <c r="K1237" s="12"/>
      <c r="L1237" s="16"/>
      <c r="M1237" s="46"/>
      <c r="N1237" s="46"/>
      <c r="O1237" s="31"/>
      <c r="P1237" s="16"/>
      <c r="Q1237" s="16"/>
      <c r="R1237" s="16" t="str">
        <f t="shared" si="2"/>
        <v/>
      </c>
    </row>
    <row r="1238">
      <c r="B1238" s="16"/>
      <c r="C1238" s="12"/>
      <c r="D1238" s="12"/>
      <c r="E1238" s="12"/>
      <c r="F1238" s="12"/>
      <c r="G1238" s="25"/>
      <c r="H1238" s="12"/>
      <c r="I1238" s="31"/>
      <c r="J1238" s="12"/>
      <c r="K1238" s="12"/>
      <c r="L1238" s="16"/>
      <c r="M1238" s="46"/>
      <c r="N1238" s="46"/>
      <c r="O1238" s="31"/>
      <c r="P1238" s="16"/>
      <c r="Q1238" s="16"/>
      <c r="R1238" s="16" t="str">
        <f t="shared" si="2"/>
        <v/>
      </c>
    </row>
    <row r="1239">
      <c r="B1239" s="16"/>
      <c r="C1239" s="12"/>
      <c r="D1239" s="12"/>
      <c r="E1239" s="12"/>
      <c r="F1239" s="12"/>
      <c r="G1239" s="25"/>
      <c r="H1239" s="12"/>
      <c r="I1239" s="31"/>
      <c r="J1239" s="12"/>
      <c r="K1239" s="12"/>
      <c r="L1239" s="16"/>
      <c r="M1239" s="46"/>
      <c r="N1239" s="46"/>
      <c r="O1239" s="31"/>
      <c r="P1239" s="16"/>
      <c r="Q1239" s="16"/>
      <c r="R1239" s="16" t="str">
        <f t="shared" si="2"/>
        <v/>
      </c>
    </row>
    <row r="1240">
      <c r="B1240" s="16"/>
      <c r="C1240" s="12"/>
      <c r="D1240" s="12"/>
      <c r="E1240" s="12"/>
      <c r="F1240" s="12"/>
      <c r="G1240" s="25"/>
      <c r="H1240" s="12"/>
      <c r="I1240" s="31"/>
      <c r="J1240" s="12"/>
      <c r="K1240" s="12"/>
      <c r="L1240" s="16"/>
      <c r="M1240" s="46"/>
      <c r="N1240" s="46"/>
      <c r="O1240" s="31"/>
      <c r="P1240" s="16"/>
      <c r="Q1240" s="16"/>
      <c r="R1240" s="16" t="str">
        <f t="shared" si="2"/>
        <v/>
      </c>
    </row>
    <row r="1241">
      <c r="B1241" s="16"/>
      <c r="C1241" s="12"/>
      <c r="D1241" s="12"/>
      <c r="E1241" s="12"/>
      <c r="F1241" s="12"/>
      <c r="G1241" s="25"/>
      <c r="H1241" s="12"/>
      <c r="I1241" s="31"/>
      <c r="J1241" s="12"/>
      <c r="K1241" s="12"/>
      <c r="L1241" s="16"/>
      <c r="M1241" s="46"/>
      <c r="N1241" s="46"/>
      <c r="O1241" s="31"/>
      <c r="P1241" s="16"/>
      <c r="Q1241" s="16"/>
      <c r="R1241" s="16" t="str">
        <f t="shared" si="2"/>
        <v/>
      </c>
    </row>
    <row r="1242">
      <c r="B1242" s="16"/>
      <c r="C1242" s="12"/>
      <c r="D1242" s="12"/>
      <c r="E1242" s="12"/>
      <c r="F1242" s="12"/>
      <c r="G1242" s="25"/>
      <c r="H1242" s="12"/>
      <c r="I1242" s="31"/>
      <c r="J1242" s="12"/>
      <c r="K1242" s="12"/>
      <c r="L1242" s="16"/>
      <c r="M1242" s="46"/>
      <c r="N1242" s="46"/>
      <c r="O1242" s="31"/>
      <c r="P1242" s="16"/>
      <c r="Q1242" s="16"/>
      <c r="R1242" s="16" t="str">
        <f t="shared" si="2"/>
        <v/>
      </c>
    </row>
    <row r="1243">
      <c r="B1243" s="16"/>
      <c r="C1243" s="12"/>
      <c r="D1243" s="12"/>
      <c r="E1243" s="12"/>
      <c r="F1243" s="12"/>
      <c r="G1243" s="25"/>
      <c r="H1243" s="12"/>
      <c r="I1243" s="31"/>
      <c r="J1243" s="12"/>
      <c r="K1243" s="12"/>
      <c r="L1243" s="16"/>
      <c r="M1243" s="46"/>
      <c r="N1243" s="46"/>
      <c r="O1243" s="31"/>
      <c r="P1243" s="16"/>
      <c r="Q1243" s="16"/>
      <c r="R1243" s="16" t="str">
        <f t="shared" si="2"/>
        <v/>
      </c>
    </row>
    <row r="1244">
      <c r="B1244" s="16"/>
      <c r="C1244" s="12"/>
      <c r="D1244" s="12"/>
      <c r="E1244" s="12"/>
      <c r="F1244" s="12"/>
      <c r="G1244" s="25"/>
      <c r="H1244" s="12"/>
      <c r="I1244" s="31"/>
      <c r="J1244" s="12"/>
      <c r="K1244" s="12"/>
      <c r="L1244" s="16"/>
      <c r="M1244" s="46"/>
      <c r="N1244" s="46"/>
      <c r="O1244" s="31"/>
      <c r="P1244" s="16"/>
      <c r="Q1244" s="16"/>
      <c r="R1244" s="16" t="str">
        <f t="shared" si="2"/>
        <v/>
      </c>
    </row>
    <row r="1245">
      <c r="B1245" s="16"/>
      <c r="C1245" s="12"/>
      <c r="D1245" s="12"/>
      <c r="E1245" s="12"/>
      <c r="F1245" s="12"/>
      <c r="G1245" s="25"/>
      <c r="H1245" s="12"/>
      <c r="I1245" s="31"/>
      <c r="J1245" s="12"/>
      <c r="K1245" s="12"/>
      <c r="L1245" s="16"/>
      <c r="M1245" s="46"/>
      <c r="N1245" s="46"/>
      <c r="O1245" s="31"/>
      <c r="P1245" s="16"/>
      <c r="Q1245" s="16"/>
      <c r="R1245" s="16" t="str">
        <f t="shared" si="2"/>
        <v/>
      </c>
    </row>
    <row r="1246">
      <c r="B1246" s="16"/>
      <c r="C1246" s="12"/>
      <c r="D1246" s="12"/>
      <c r="E1246" s="12"/>
      <c r="F1246" s="12"/>
      <c r="G1246" s="25"/>
      <c r="H1246" s="12"/>
      <c r="I1246" s="31"/>
      <c r="J1246" s="12"/>
      <c r="K1246" s="12"/>
      <c r="L1246" s="16"/>
      <c r="M1246" s="46"/>
      <c r="N1246" s="46"/>
      <c r="O1246" s="31"/>
      <c r="P1246" s="16"/>
      <c r="Q1246" s="16"/>
      <c r="R1246" s="16" t="str">
        <f t="shared" si="2"/>
        <v/>
      </c>
    </row>
    <row r="1247">
      <c r="B1247" s="16"/>
      <c r="C1247" s="12"/>
      <c r="D1247" s="12"/>
      <c r="E1247" s="12"/>
      <c r="F1247" s="12"/>
      <c r="G1247" s="25"/>
      <c r="H1247" s="12"/>
      <c r="I1247" s="31"/>
      <c r="J1247" s="12"/>
      <c r="K1247" s="12"/>
      <c r="L1247" s="16"/>
      <c r="M1247" s="46"/>
      <c r="N1247" s="46"/>
      <c r="O1247" s="31"/>
      <c r="P1247" s="16"/>
      <c r="Q1247" s="16"/>
      <c r="R1247" s="16" t="str">
        <f t="shared" si="2"/>
        <v/>
      </c>
    </row>
    <row r="1248">
      <c r="B1248" s="16"/>
      <c r="C1248" s="12"/>
      <c r="D1248" s="12"/>
      <c r="E1248" s="12"/>
      <c r="F1248" s="12"/>
      <c r="G1248" s="25"/>
      <c r="H1248" s="12"/>
      <c r="I1248" s="31"/>
      <c r="J1248" s="12"/>
      <c r="K1248" s="12"/>
      <c r="L1248" s="16"/>
      <c r="M1248" s="46"/>
      <c r="N1248" s="46"/>
      <c r="O1248" s="31"/>
      <c r="P1248" s="16"/>
      <c r="Q1248" s="16"/>
      <c r="R1248" s="16" t="str">
        <f t="shared" si="2"/>
        <v/>
      </c>
    </row>
    <row r="1249">
      <c r="B1249" s="16"/>
      <c r="C1249" s="12"/>
      <c r="D1249" s="12"/>
      <c r="E1249" s="12"/>
      <c r="F1249" s="12"/>
      <c r="G1249" s="25"/>
      <c r="H1249" s="12"/>
      <c r="I1249" s="31"/>
      <c r="J1249" s="12"/>
      <c r="K1249" s="12"/>
      <c r="L1249" s="16"/>
      <c r="M1249" s="46"/>
      <c r="N1249" s="46"/>
      <c r="O1249" s="31"/>
      <c r="P1249" s="16"/>
      <c r="Q1249" s="16"/>
      <c r="R1249" s="16" t="str">
        <f t="shared" si="2"/>
        <v/>
      </c>
    </row>
    <row r="1250">
      <c r="B1250" s="16"/>
      <c r="C1250" s="12"/>
      <c r="D1250" s="12"/>
      <c r="E1250" s="12"/>
      <c r="F1250" s="12"/>
      <c r="G1250" s="25"/>
      <c r="H1250" s="12"/>
      <c r="I1250" s="31"/>
      <c r="J1250" s="12"/>
      <c r="K1250" s="12"/>
      <c r="L1250" s="16"/>
      <c r="M1250" s="46"/>
      <c r="N1250" s="46"/>
      <c r="O1250" s="31"/>
      <c r="P1250" s="16"/>
      <c r="Q1250" s="16"/>
      <c r="R1250" s="16" t="str">
        <f t="shared" si="2"/>
        <v/>
      </c>
    </row>
    <row r="1251">
      <c r="B1251" s="16"/>
      <c r="C1251" s="12"/>
      <c r="D1251" s="12"/>
      <c r="E1251" s="12"/>
      <c r="F1251" s="12"/>
      <c r="G1251" s="25"/>
      <c r="H1251" s="12"/>
      <c r="I1251" s="31"/>
      <c r="J1251" s="12"/>
      <c r="K1251" s="12"/>
      <c r="L1251" s="16"/>
      <c r="M1251" s="46"/>
      <c r="N1251" s="46"/>
      <c r="O1251" s="31"/>
      <c r="P1251" s="16"/>
      <c r="Q1251" s="16"/>
      <c r="R1251" s="16" t="str">
        <f t="shared" si="2"/>
        <v/>
      </c>
    </row>
    <row r="1252">
      <c r="B1252" s="16"/>
      <c r="C1252" s="12"/>
      <c r="D1252" s="12"/>
      <c r="E1252" s="12"/>
      <c r="F1252" s="12"/>
      <c r="G1252" s="25"/>
      <c r="H1252" s="12"/>
      <c r="I1252" s="31"/>
      <c r="J1252" s="12"/>
      <c r="K1252" s="12"/>
      <c r="L1252" s="16"/>
      <c r="M1252" s="46"/>
      <c r="N1252" s="46"/>
      <c r="O1252" s="31"/>
      <c r="P1252" s="16"/>
      <c r="Q1252" s="16"/>
      <c r="R1252" s="16" t="str">
        <f t="shared" si="2"/>
        <v/>
      </c>
    </row>
    <row r="1253">
      <c r="B1253" s="16"/>
      <c r="C1253" s="12"/>
      <c r="D1253" s="12"/>
      <c r="E1253" s="12"/>
      <c r="F1253" s="12"/>
      <c r="G1253" s="25"/>
      <c r="H1253" s="12"/>
      <c r="I1253" s="31"/>
      <c r="J1253" s="12"/>
      <c r="K1253" s="12"/>
      <c r="L1253" s="16"/>
      <c r="M1253" s="46"/>
      <c r="N1253" s="46"/>
      <c r="O1253" s="31"/>
      <c r="P1253" s="16"/>
      <c r="Q1253" s="16"/>
      <c r="R1253" s="16" t="str">
        <f t="shared" si="2"/>
        <v/>
      </c>
    </row>
    <row r="1254">
      <c r="B1254" s="16"/>
      <c r="C1254" s="12"/>
      <c r="D1254" s="12"/>
      <c r="E1254" s="12"/>
      <c r="F1254" s="12"/>
      <c r="G1254" s="25"/>
      <c r="H1254" s="12"/>
      <c r="I1254" s="31"/>
      <c r="J1254" s="12"/>
      <c r="K1254" s="12"/>
      <c r="L1254" s="16"/>
      <c r="M1254" s="46"/>
      <c r="N1254" s="46"/>
      <c r="O1254" s="31"/>
      <c r="P1254" s="16"/>
      <c r="Q1254" s="16"/>
      <c r="R1254" s="16" t="str">
        <f t="shared" si="2"/>
        <v/>
      </c>
    </row>
    <row r="1255">
      <c r="B1255" s="16"/>
      <c r="C1255" s="12"/>
      <c r="D1255" s="12"/>
      <c r="E1255" s="12"/>
      <c r="F1255" s="12"/>
      <c r="G1255" s="25"/>
      <c r="H1255" s="12"/>
      <c r="I1255" s="31"/>
      <c r="J1255" s="12"/>
      <c r="K1255" s="12"/>
      <c r="L1255" s="16"/>
      <c r="M1255" s="46"/>
      <c r="N1255" s="46"/>
      <c r="O1255" s="31"/>
      <c r="P1255" s="16"/>
      <c r="Q1255" s="16"/>
      <c r="R1255" s="16" t="str">
        <f t="shared" si="2"/>
        <v/>
      </c>
    </row>
    <row r="1256">
      <c r="B1256" s="16"/>
      <c r="C1256" s="12"/>
      <c r="D1256" s="12"/>
      <c r="E1256" s="12"/>
      <c r="F1256" s="12"/>
      <c r="G1256" s="25"/>
      <c r="H1256" s="12"/>
      <c r="I1256" s="31"/>
      <c r="J1256" s="12"/>
      <c r="K1256" s="12"/>
      <c r="L1256" s="16"/>
      <c r="M1256" s="46"/>
      <c r="N1256" s="46"/>
      <c r="O1256" s="31"/>
      <c r="P1256" s="16"/>
      <c r="Q1256" s="16"/>
      <c r="R1256" s="16" t="str">
        <f t="shared" si="2"/>
        <v/>
      </c>
    </row>
    <row r="1257">
      <c r="B1257" s="16"/>
      <c r="C1257" s="12"/>
      <c r="D1257" s="12"/>
      <c r="E1257" s="12"/>
      <c r="F1257" s="12"/>
      <c r="G1257" s="25"/>
      <c r="H1257" s="12"/>
      <c r="I1257" s="31"/>
      <c r="J1257" s="12"/>
      <c r="K1257" s="12"/>
      <c r="L1257" s="16"/>
      <c r="M1257" s="46"/>
      <c r="N1257" s="46"/>
      <c r="O1257" s="31"/>
      <c r="P1257" s="16"/>
      <c r="Q1257" s="16"/>
      <c r="R1257" s="16" t="str">
        <f t="shared" si="2"/>
        <v/>
      </c>
    </row>
    <row r="1258">
      <c r="B1258" s="16"/>
      <c r="C1258" s="12"/>
      <c r="D1258" s="12"/>
      <c r="E1258" s="12"/>
      <c r="F1258" s="12"/>
      <c r="G1258" s="25"/>
      <c r="H1258" s="12"/>
      <c r="I1258" s="31"/>
      <c r="J1258" s="12"/>
      <c r="K1258" s="12"/>
      <c r="L1258" s="16"/>
      <c r="M1258" s="46"/>
      <c r="N1258" s="46"/>
      <c r="O1258" s="31"/>
      <c r="P1258" s="16"/>
      <c r="Q1258" s="16"/>
      <c r="R1258" s="16" t="str">
        <f t="shared" si="2"/>
        <v/>
      </c>
    </row>
    <row r="1259">
      <c r="B1259" s="16"/>
      <c r="C1259" s="12"/>
      <c r="D1259" s="12"/>
      <c r="E1259" s="12"/>
      <c r="F1259" s="12"/>
      <c r="G1259" s="25"/>
      <c r="H1259" s="12"/>
      <c r="I1259" s="31"/>
      <c r="J1259" s="12"/>
      <c r="K1259" s="12"/>
      <c r="L1259" s="16"/>
      <c r="M1259" s="46"/>
      <c r="N1259" s="46"/>
      <c r="O1259" s="31"/>
      <c r="P1259" s="16"/>
      <c r="Q1259" s="16"/>
      <c r="R1259" s="16" t="str">
        <f t="shared" si="2"/>
        <v/>
      </c>
    </row>
    <row r="1260">
      <c r="B1260" s="16"/>
      <c r="C1260" s="12"/>
      <c r="D1260" s="12"/>
      <c r="E1260" s="12"/>
      <c r="F1260" s="12"/>
      <c r="G1260" s="25"/>
      <c r="H1260" s="12"/>
      <c r="I1260" s="31"/>
      <c r="J1260" s="12"/>
      <c r="K1260" s="12"/>
      <c r="L1260" s="16"/>
      <c r="M1260" s="46"/>
      <c r="N1260" s="46"/>
      <c r="O1260" s="31"/>
      <c r="P1260" s="16"/>
      <c r="Q1260" s="16"/>
      <c r="R1260" s="16" t="str">
        <f t="shared" si="2"/>
        <v/>
      </c>
    </row>
    <row r="1261">
      <c r="B1261" s="16"/>
      <c r="C1261" s="12"/>
      <c r="D1261" s="12"/>
      <c r="E1261" s="12"/>
      <c r="F1261" s="12"/>
      <c r="G1261" s="25"/>
      <c r="H1261" s="12"/>
      <c r="I1261" s="31"/>
      <c r="J1261" s="12"/>
      <c r="K1261" s="12"/>
      <c r="L1261" s="16"/>
      <c r="M1261" s="46"/>
      <c r="N1261" s="46"/>
      <c r="O1261" s="31"/>
      <c r="P1261" s="16"/>
      <c r="Q1261" s="16"/>
      <c r="R1261" s="16" t="str">
        <f t="shared" si="2"/>
        <v/>
      </c>
    </row>
    <row r="1262">
      <c r="B1262" s="16"/>
      <c r="C1262" s="12"/>
      <c r="D1262" s="12"/>
      <c r="E1262" s="12"/>
      <c r="F1262" s="12"/>
      <c r="G1262" s="25"/>
      <c r="H1262" s="12"/>
      <c r="I1262" s="31"/>
      <c r="J1262" s="12"/>
      <c r="K1262" s="12"/>
      <c r="L1262" s="16"/>
      <c r="M1262" s="46"/>
      <c r="N1262" s="46"/>
      <c r="O1262" s="31"/>
      <c r="P1262" s="16"/>
      <c r="Q1262" s="16"/>
      <c r="R1262" s="16" t="str">
        <f t="shared" si="2"/>
        <v/>
      </c>
    </row>
    <row r="1263">
      <c r="B1263" s="16"/>
      <c r="C1263" s="12"/>
      <c r="D1263" s="12"/>
      <c r="E1263" s="12"/>
      <c r="F1263" s="12"/>
      <c r="G1263" s="25"/>
      <c r="H1263" s="12"/>
      <c r="I1263" s="31"/>
      <c r="J1263" s="12"/>
      <c r="K1263" s="12"/>
      <c r="L1263" s="16"/>
      <c r="M1263" s="46"/>
      <c r="N1263" s="46"/>
      <c r="O1263" s="31"/>
      <c r="P1263" s="16"/>
      <c r="Q1263" s="16"/>
      <c r="R1263" s="16" t="str">
        <f t="shared" si="2"/>
        <v/>
      </c>
    </row>
    <row r="1264">
      <c r="B1264" s="16"/>
      <c r="C1264" s="12"/>
      <c r="D1264" s="12"/>
      <c r="E1264" s="12"/>
      <c r="F1264" s="12"/>
      <c r="G1264" s="25"/>
      <c r="H1264" s="12"/>
      <c r="I1264" s="31"/>
      <c r="J1264" s="12"/>
      <c r="K1264" s="12"/>
      <c r="L1264" s="16"/>
      <c r="M1264" s="46"/>
      <c r="N1264" s="46"/>
      <c r="O1264" s="31"/>
      <c r="P1264" s="16"/>
      <c r="Q1264" s="16"/>
      <c r="R1264" s="16" t="str">
        <f t="shared" si="2"/>
        <v/>
      </c>
    </row>
    <row r="1265">
      <c r="B1265" s="16"/>
      <c r="C1265" s="12"/>
      <c r="D1265" s="12"/>
      <c r="E1265" s="12"/>
      <c r="F1265" s="12"/>
      <c r="G1265" s="25"/>
      <c r="H1265" s="12"/>
      <c r="I1265" s="31"/>
      <c r="J1265" s="12"/>
      <c r="K1265" s="12"/>
      <c r="L1265" s="16"/>
      <c r="M1265" s="46"/>
      <c r="N1265" s="46"/>
      <c r="O1265" s="31"/>
      <c r="P1265" s="16"/>
      <c r="Q1265" s="16"/>
      <c r="R1265" s="16" t="str">
        <f t="shared" si="2"/>
        <v/>
      </c>
    </row>
    <row r="1266">
      <c r="B1266" s="16"/>
      <c r="C1266" s="12"/>
      <c r="D1266" s="12"/>
      <c r="E1266" s="12"/>
      <c r="F1266" s="12"/>
      <c r="G1266" s="25"/>
      <c r="H1266" s="12"/>
      <c r="I1266" s="31"/>
      <c r="J1266" s="12"/>
      <c r="K1266" s="12"/>
      <c r="L1266" s="16"/>
      <c r="M1266" s="46"/>
      <c r="N1266" s="46"/>
      <c r="O1266" s="31"/>
      <c r="P1266" s="16"/>
      <c r="Q1266" s="16"/>
      <c r="R1266" s="16" t="str">
        <f t="shared" si="2"/>
        <v/>
      </c>
    </row>
    <row r="1267">
      <c r="B1267" s="16"/>
      <c r="C1267" s="12"/>
      <c r="D1267" s="12"/>
      <c r="E1267" s="12"/>
      <c r="F1267" s="12"/>
      <c r="G1267" s="25"/>
      <c r="H1267" s="12"/>
      <c r="I1267" s="31"/>
      <c r="J1267" s="12"/>
      <c r="K1267" s="12"/>
      <c r="L1267" s="16"/>
      <c r="M1267" s="46"/>
      <c r="N1267" s="46"/>
      <c r="O1267" s="31"/>
      <c r="P1267" s="16"/>
      <c r="Q1267" s="16"/>
      <c r="R1267" s="16" t="str">
        <f t="shared" si="2"/>
        <v/>
      </c>
    </row>
    <row r="1268">
      <c r="B1268" s="16"/>
      <c r="C1268" s="12"/>
      <c r="D1268" s="12"/>
      <c r="E1268" s="12"/>
      <c r="F1268" s="12"/>
      <c r="G1268" s="25"/>
      <c r="H1268" s="12"/>
      <c r="I1268" s="31"/>
      <c r="J1268" s="12"/>
      <c r="K1268" s="12"/>
      <c r="L1268" s="16"/>
      <c r="M1268" s="46"/>
      <c r="N1268" s="46"/>
      <c r="O1268" s="31"/>
      <c r="P1268" s="16"/>
      <c r="Q1268" s="16"/>
      <c r="R1268" s="16" t="str">
        <f t="shared" si="2"/>
        <v/>
      </c>
    </row>
    <row r="1269">
      <c r="B1269" s="16"/>
      <c r="C1269" s="12"/>
      <c r="D1269" s="12"/>
      <c r="E1269" s="12"/>
      <c r="F1269" s="12"/>
      <c r="G1269" s="25"/>
      <c r="H1269" s="12"/>
      <c r="I1269" s="31"/>
      <c r="J1269" s="12"/>
      <c r="K1269" s="12"/>
      <c r="L1269" s="16"/>
      <c r="M1269" s="46"/>
      <c r="N1269" s="46"/>
      <c r="O1269" s="31"/>
      <c r="P1269" s="16"/>
      <c r="Q1269" s="16"/>
      <c r="R1269" s="16" t="str">
        <f t="shared" si="2"/>
        <v/>
      </c>
    </row>
    <row r="1270">
      <c r="B1270" s="16"/>
      <c r="C1270" s="12"/>
      <c r="D1270" s="12"/>
      <c r="E1270" s="12"/>
      <c r="F1270" s="12"/>
      <c r="G1270" s="25"/>
      <c r="H1270" s="12"/>
      <c r="I1270" s="31"/>
      <c r="J1270" s="12"/>
      <c r="K1270" s="12"/>
      <c r="L1270" s="16"/>
      <c r="M1270" s="46"/>
      <c r="N1270" s="46"/>
      <c r="O1270" s="31"/>
      <c r="P1270" s="16"/>
      <c r="Q1270" s="16"/>
      <c r="R1270" s="16" t="str">
        <f t="shared" si="2"/>
        <v/>
      </c>
    </row>
    <row r="1271">
      <c r="B1271" s="16"/>
      <c r="C1271" s="12"/>
      <c r="D1271" s="12"/>
      <c r="E1271" s="12"/>
      <c r="F1271" s="12"/>
      <c r="G1271" s="25"/>
      <c r="H1271" s="12"/>
      <c r="I1271" s="31"/>
      <c r="J1271" s="12"/>
      <c r="K1271" s="12"/>
      <c r="L1271" s="16"/>
      <c r="M1271" s="46"/>
      <c r="N1271" s="46"/>
      <c r="O1271" s="31"/>
      <c r="P1271" s="16"/>
      <c r="Q1271" s="16"/>
      <c r="R1271" s="16" t="str">
        <f t="shared" si="2"/>
        <v/>
      </c>
    </row>
    <row r="1272">
      <c r="B1272" s="16"/>
      <c r="C1272" s="12"/>
      <c r="D1272" s="12"/>
      <c r="E1272" s="12"/>
      <c r="F1272" s="12"/>
      <c r="G1272" s="25"/>
      <c r="H1272" s="12"/>
      <c r="I1272" s="31"/>
      <c r="J1272" s="12"/>
      <c r="K1272" s="12"/>
      <c r="L1272" s="16"/>
      <c r="M1272" s="46"/>
      <c r="N1272" s="46"/>
      <c r="O1272" s="31"/>
      <c r="P1272" s="16"/>
      <c r="Q1272" s="16"/>
      <c r="R1272" s="16" t="str">
        <f t="shared" si="2"/>
        <v/>
      </c>
    </row>
    <row r="1273">
      <c r="B1273" s="16"/>
      <c r="C1273" s="12"/>
      <c r="D1273" s="12"/>
      <c r="E1273" s="12"/>
      <c r="F1273" s="12"/>
      <c r="G1273" s="25"/>
      <c r="H1273" s="12"/>
      <c r="I1273" s="31"/>
      <c r="J1273" s="12"/>
      <c r="K1273" s="12"/>
      <c r="L1273" s="16"/>
      <c r="M1273" s="46"/>
      <c r="N1273" s="46"/>
      <c r="O1273" s="31"/>
      <c r="P1273" s="16"/>
      <c r="Q1273" s="16"/>
      <c r="R1273" s="16" t="str">
        <f t="shared" si="2"/>
        <v/>
      </c>
    </row>
    <row r="1274">
      <c r="B1274" s="16"/>
      <c r="C1274" s="12"/>
      <c r="D1274" s="12"/>
      <c r="E1274" s="12"/>
      <c r="F1274" s="12"/>
      <c r="G1274" s="25"/>
      <c r="H1274" s="12"/>
      <c r="I1274" s="31"/>
      <c r="J1274" s="12"/>
      <c r="K1274" s="12"/>
      <c r="L1274" s="16"/>
      <c r="M1274" s="46"/>
      <c r="N1274" s="46"/>
      <c r="O1274" s="31"/>
      <c r="P1274" s="16"/>
      <c r="Q1274" s="16"/>
      <c r="R1274" s="16" t="str">
        <f t="shared" si="2"/>
        <v/>
      </c>
    </row>
    <row r="1275">
      <c r="B1275" s="16"/>
      <c r="C1275" s="12"/>
      <c r="D1275" s="12"/>
      <c r="E1275" s="12"/>
      <c r="F1275" s="12"/>
      <c r="G1275" s="25"/>
      <c r="H1275" s="12"/>
      <c r="I1275" s="31"/>
      <c r="J1275" s="12"/>
      <c r="K1275" s="12"/>
      <c r="L1275" s="16"/>
      <c r="M1275" s="46"/>
      <c r="N1275" s="46"/>
      <c r="O1275" s="31"/>
      <c r="P1275" s="16"/>
      <c r="Q1275" s="16"/>
      <c r="R1275" s="16" t="str">
        <f t="shared" si="2"/>
        <v/>
      </c>
    </row>
    <row r="1276">
      <c r="B1276" s="16"/>
      <c r="C1276" s="12"/>
      <c r="D1276" s="12"/>
      <c r="E1276" s="12"/>
      <c r="F1276" s="12"/>
      <c r="G1276" s="25"/>
      <c r="H1276" s="12"/>
      <c r="I1276" s="31"/>
      <c r="J1276" s="12"/>
      <c r="K1276" s="12"/>
      <c r="L1276" s="16"/>
      <c r="M1276" s="46"/>
      <c r="N1276" s="46"/>
      <c r="O1276" s="31"/>
      <c r="P1276" s="16"/>
      <c r="Q1276" s="16"/>
      <c r="R1276" s="16" t="str">
        <f t="shared" si="2"/>
        <v/>
      </c>
    </row>
    <row r="1277">
      <c r="B1277" s="16"/>
      <c r="C1277" s="12"/>
      <c r="D1277" s="12"/>
      <c r="E1277" s="12"/>
      <c r="F1277" s="12"/>
      <c r="G1277" s="25"/>
      <c r="H1277" s="12"/>
      <c r="I1277" s="31"/>
      <c r="J1277" s="12"/>
      <c r="K1277" s="12"/>
      <c r="L1277" s="16"/>
      <c r="M1277" s="46"/>
      <c r="N1277" s="46"/>
      <c r="O1277" s="31"/>
      <c r="P1277" s="16"/>
      <c r="Q1277" s="16"/>
      <c r="R1277" s="16" t="str">
        <f t="shared" si="2"/>
        <v/>
      </c>
    </row>
    <row r="1278">
      <c r="B1278" s="16"/>
      <c r="C1278" s="12"/>
      <c r="D1278" s="12"/>
      <c r="E1278" s="12"/>
      <c r="F1278" s="12"/>
      <c r="G1278" s="25"/>
      <c r="H1278" s="12"/>
      <c r="I1278" s="31"/>
      <c r="J1278" s="12"/>
      <c r="K1278" s="12"/>
      <c r="L1278" s="16"/>
      <c r="M1278" s="46"/>
      <c r="N1278" s="46"/>
      <c r="O1278" s="31"/>
      <c r="P1278" s="16"/>
      <c r="Q1278" s="16"/>
      <c r="R1278" s="16" t="str">
        <f t="shared" si="2"/>
        <v/>
      </c>
    </row>
    <row r="1279">
      <c r="B1279" s="16"/>
      <c r="C1279" s="12"/>
      <c r="D1279" s="12"/>
      <c r="E1279" s="12"/>
      <c r="F1279" s="12"/>
      <c r="G1279" s="25"/>
      <c r="H1279" s="12"/>
      <c r="I1279" s="31"/>
      <c r="J1279" s="12"/>
      <c r="K1279" s="12"/>
      <c r="L1279" s="16"/>
      <c r="M1279" s="46"/>
      <c r="N1279" s="46"/>
      <c r="O1279" s="31"/>
      <c r="P1279" s="16"/>
      <c r="Q1279" s="16"/>
      <c r="R1279" s="16" t="str">
        <f t="shared" si="2"/>
        <v/>
      </c>
    </row>
    <row r="1280">
      <c r="B1280" s="16"/>
      <c r="C1280" s="12"/>
      <c r="D1280" s="12"/>
      <c r="E1280" s="12"/>
      <c r="F1280" s="12"/>
      <c r="G1280" s="25"/>
      <c r="H1280" s="12"/>
      <c r="I1280" s="31"/>
      <c r="J1280" s="12"/>
      <c r="K1280" s="12"/>
      <c r="L1280" s="16"/>
      <c r="M1280" s="46"/>
      <c r="N1280" s="46"/>
      <c r="O1280" s="31"/>
      <c r="P1280" s="16"/>
      <c r="Q1280" s="16"/>
      <c r="R1280" s="16" t="str">
        <f t="shared" si="2"/>
        <v/>
      </c>
    </row>
    <row r="1281">
      <c r="B1281" s="16"/>
      <c r="C1281" s="12"/>
      <c r="D1281" s="12"/>
      <c r="E1281" s="12"/>
      <c r="F1281" s="12"/>
      <c r="G1281" s="25"/>
      <c r="H1281" s="12"/>
      <c r="I1281" s="31"/>
      <c r="J1281" s="12"/>
      <c r="K1281" s="12"/>
      <c r="L1281" s="16"/>
      <c r="M1281" s="46"/>
      <c r="N1281" s="46"/>
      <c r="O1281" s="31"/>
      <c r="P1281" s="16"/>
      <c r="Q1281" s="16"/>
      <c r="R1281" s="16" t="str">
        <f t="shared" si="2"/>
        <v/>
      </c>
    </row>
    <row r="1282">
      <c r="B1282" s="16"/>
      <c r="C1282" s="12"/>
      <c r="D1282" s="12"/>
      <c r="E1282" s="12"/>
      <c r="F1282" s="12"/>
      <c r="G1282" s="25"/>
      <c r="H1282" s="12"/>
      <c r="I1282" s="31"/>
      <c r="J1282" s="12"/>
      <c r="K1282" s="12"/>
      <c r="L1282" s="16"/>
      <c r="M1282" s="46"/>
      <c r="N1282" s="46"/>
      <c r="O1282" s="31"/>
      <c r="P1282" s="16"/>
      <c r="Q1282" s="16"/>
      <c r="R1282" s="16" t="str">
        <f t="shared" si="2"/>
        <v/>
      </c>
    </row>
    <row r="1283">
      <c r="B1283" s="16"/>
      <c r="C1283" s="12"/>
      <c r="D1283" s="12"/>
      <c r="E1283" s="12"/>
      <c r="F1283" s="12"/>
      <c r="G1283" s="25"/>
      <c r="H1283" s="12"/>
      <c r="I1283" s="31"/>
      <c r="J1283" s="12"/>
      <c r="K1283" s="12"/>
      <c r="L1283" s="16"/>
      <c r="M1283" s="46"/>
      <c r="N1283" s="46"/>
      <c r="O1283" s="31"/>
      <c r="P1283" s="16"/>
      <c r="Q1283" s="16"/>
      <c r="R1283" s="16" t="str">
        <f t="shared" si="2"/>
        <v/>
      </c>
    </row>
    <row r="1284">
      <c r="B1284" s="16"/>
      <c r="C1284" s="12"/>
      <c r="D1284" s="12"/>
      <c r="E1284" s="12"/>
      <c r="F1284" s="12"/>
      <c r="G1284" s="25"/>
      <c r="H1284" s="12"/>
      <c r="I1284" s="31"/>
      <c r="J1284" s="12"/>
      <c r="K1284" s="12"/>
      <c r="L1284" s="16"/>
      <c r="M1284" s="46"/>
      <c r="N1284" s="46"/>
      <c r="O1284" s="31"/>
      <c r="P1284" s="16"/>
      <c r="Q1284" s="16"/>
      <c r="R1284" s="16" t="str">
        <f t="shared" si="2"/>
        <v/>
      </c>
    </row>
    <row r="1285">
      <c r="B1285" s="16"/>
      <c r="C1285" s="12"/>
      <c r="D1285" s="12"/>
      <c r="E1285" s="12"/>
      <c r="F1285" s="12"/>
      <c r="G1285" s="25"/>
      <c r="H1285" s="12"/>
      <c r="I1285" s="31"/>
      <c r="J1285" s="12"/>
      <c r="K1285" s="12"/>
      <c r="L1285" s="16"/>
      <c r="M1285" s="46"/>
      <c r="N1285" s="46"/>
      <c r="O1285" s="31"/>
      <c r="P1285" s="16"/>
      <c r="Q1285" s="16"/>
      <c r="R1285" s="16" t="str">
        <f t="shared" si="2"/>
        <v/>
      </c>
    </row>
    <row r="1286">
      <c r="B1286" s="16"/>
      <c r="C1286" s="12"/>
      <c r="D1286" s="12"/>
      <c r="E1286" s="12"/>
      <c r="F1286" s="12"/>
      <c r="G1286" s="25"/>
      <c r="H1286" s="12"/>
      <c r="I1286" s="31"/>
      <c r="J1286" s="12"/>
      <c r="K1286" s="12"/>
      <c r="L1286" s="16"/>
      <c r="M1286" s="46"/>
      <c r="N1286" s="46"/>
      <c r="O1286" s="31"/>
      <c r="P1286" s="16"/>
      <c r="Q1286" s="16"/>
      <c r="R1286" s="16" t="str">
        <f t="shared" si="2"/>
        <v/>
      </c>
    </row>
    <row r="1287">
      <c r="B1287" s="16"/>
      <c r="C1287" s="12"/>
      <c r="D1287" s="12"/>
      <c r="E1287" s="12"/>
      <c r="F1287" s="12"/>
      <c r="G1287" s="25"/>
      <c r="H1287" s="12"/>
      <c r="I1287" s="31"/>
      <c r="J1287" s="12"/>
      <c r="K1287" s="12"/>
      <c r="L1287" s="16"/>
      <c r="M1287" s="46"/>
      <c r="N1287" s="46"/>
      <c r="O1287" s="31"/>
      <c r="P1287" s="16"/>
      <c r="Q1287" s="16"/>
      <c r="R1287" s="16" t="str">
        <f t="shared" si="2"/>
        <v/>
      </c>
    </row>
    <row r="1288">
      <c r="B1288" s="16"/>
      <c r="C1288" s="12"/>
      <c r="D1288" s="12"/>
      <c r="E1288" s="12"/>
      <c r="F1288" s="12"/>
      <c r="G1288" s="25"/>
      <c r="H1288" s="12"/>
      <c r="I1288" s="31"/>
      <c r="J1288" s="12"/>
      <c r="K1288" s="12"/>
      <c r="L1288" s="16"/>
      <c r="M1288" s="46"/>
      <c r="N1288" s="46"/>
      <c r="O1288" s="31"/>
      <c r="P1288" s="16"/>
      <c r="Q1288" s="16"/>
      <c r="R1288" s="16" t="str">
        <f t="shared" si="2"/>
        <v/>
      </c>
    </row>
    <row r="1289">
      <c r="B1289" s="16"/>
      <c r="C1289" s="12"/>
      <c r="D1289" s="12"/>
      <c r="E1289" s="12"/>
      <c r="F1289" s="12"/>
      <c r="G1289" s="25"/>
      <c r="H1289" s="12"/>
      <c r="I1289" s="31"/>
      <c r="J1289" s="12"/>
      <c r="K1289" s="12"/>
      <c r="L1289" s="16"/>
      <c r="M1289" s="46"/>
      <c r="N1289" s="46"/>
      <c r="O1289" s="31"/>
      <c r="P1289" s="16"/>
      <c r="Q1289" s="16"/>
      <c r="R1289" s="16" t="str">
        <f t="shared" si="2"/>
        <v/>
      </c>
    </row>
    <row r="1290">
      <c r="B1290" s="16"/>
      <c r="C1290" s="12"/>
      <c r="D1290" s="12"/>
      <c r="E1290" s="12"/>
      <c r="F1290" s="12"/>
      <c r="G1290" s="25"/>
      <c r="H1290" s="12"/>
      <c r="I1290" s="31"/>
      <c r="J1290" s="12"/>
      <c r="K1290" s="12"/>
      <c r="L1290" s="16"/>
      <c r="M1290" s="46"/>
      <c r="N1290" s="46"/>
      <c r="O1290" s="31"/>
      <c r="P1290" s="16"/>
      <c r="Q1290" s="16"/>
      <c r="R1290" s="16" t="str">
        <f t="shared" si="2"/>
        <v/>
      </c>
    </row>
    <row r="1291">
      <c r="B1291" s="16"/>
      <c r="C1291" s="12"/>
      <c r="D1291" s="12"/>
      <c r="E1291" s="12"/>
      <c r="F1291" s="12"/>
      <c r="G1291" s="25"/>
      <c r="H1291" s="12"/>
      <c r="I1291" s="31"/>
      <c r="J1291" s="12"/>
      <c r="K1291" s="12"/>
      <c r="L1291" s="16"/>
      <c r="M1291" s="46"/>
      <c r="N1291" s="46"/>
      <c r="O1291" s="31"/>
      <c r="P1291" s="16"/>
      <c r="Q1291" s="16"/>
      <c r="R1291" s="16" t="str">
        <f t="shared" si="2"/>
        <v/>
      </c>
    </row>
    <row r="1292">
      <c r="B1292" s="16"/>
      <c r="C1292" s="12"/>
      <c r="D1292" s="12"/>
      <c r="E1292" s="12"/>
      <c r="F1292" s="12"/>
      <c r="G1292" s="25"/>
      <c r="H1292" s="12"/>
      <c r="I1292" s="31"/>
      <c r="J1292" s="12"/>
      <c r="K1292" s="12"/>
      <c r="L1292" s="16"/>
      <c r="M1292" s="46"/>
      <c r="N1292" s="46"/>
      <c r="O1292" s="31"/>
      <c r="P1292" s="16"/>
      <c r="Q1292" s="16"/>
      <c r="R1292" s="16" t="str">
        <f t="shared" si="2"/>
        <v/>
      </c>
    </row>
    <row r="1293">
      <c r="B1293" s="16"/>
      <c r="C1293" s="12"/>
      <c r="D1293" s="12"/>
      <c r="E1293" s="12"/>
      <c r="F1293" s="12"/>
      <c r="G1293" s="25"/>
      <c r="H1293" s="12"/>
      <c r="I1293" s="31"/>
      <c r="J1293" s="12"/>
      <c r="K1293" s="12"/>
      <c r="L1293" s="16"/>
      <c r="M1293" s="46"/>
      <c r="N1293" s="46"/>
      <c r="O1293" s="31"/>
      <c r="P1293" s="16"/>
      <c r="Q1293" s="16"/>
      <c r="R1293" s="16" t="str">
        <f t="shared" si="2"/>
        <v/>
      </c>
    </row>
    <row r="1294">
      <c r="B1294" s="16"/>
      <c r="C1294" s="12"/>
      <c r="D1294" s="12"/>
      <c r="E1294" s="12"/>
      <c r="F1294" s="12"/>
      <c r="G1294" s="25"/>
      <c r="H1294" s="12"/>
      <c r="I1294" s="31"/>
      <c r="J1294" s="12"/>
      <c r="K1294" s="12"/>
      <c r="L1294" s="16"/>
      <c r="M1294" s="46"/>
      <c r="N1294" s="46"/>
      <c r="O1294" s="31"/>
      <c r="P1294" s="16"/>
      <c r="Q1294" s="16"/>
      <c r="R1294" s="16" t="str">
        <f t="shared" si="2"/>
        <v/>
      </c>
    </row>
    <row r="1295">
      <c r="B1295" s="16"/>
      <c r="C1295" s="12"/>
      <c r="D1295" s="12"/>
      <c r="E1295" s="12"/>
      <c r="F1295" s="12"/>
      <c r="G1295" s="25"/>
      <c r="H1295" s="12"/>
      <c r="I1295" s="31"/>
      <c r="J1295" s="12"/>
      <c r="K1295" s="12"/>
      <c r="L1295" s="16"/>
      <c r="M1295" s="46"/>
      <c r="N1295" s="46"/>
      <c r="O1295" s="31"/>
      <c r="P1295" s="16"/>
      <c r="Q1295" s="16"/>
      <c r="R1295" s="16" t="str">
        <f t="shared" si="2"/>
        <v/>
      </c>
    </row>
    <row r="1296">
      <c r="B1296" s="16"/>
      <c r="C1296" s="12"/>
      <c r="D1296" s="12"/>
      <c r="E1296" s="12"/>
      <c r="F1296" s="12"/>
      <c r="G1296" s="25"/>
      <c r="H1296" s="12"/>
      <c r="I1296" s="31"/>
      <c r="J1296" s="12"/>
      <c r="K1296" s="12"/>
      <c r="L1296" s="16"/>
      <c r="M1296" s="46"/>
      <c r="N1296" s="46"/>
      <c r="O1296" s="31"/>
      <c r="P1296" s="16"/>
      <c r="Q1296" s="16"/>
      <c r="R1296" s="16" t="str">
        <f t="shared" si="2"/>
        <v/>
      </c>
    </row>
    <row r="1297">
      <c r="B1297" s="16"/>
      <c r="C1297" s="12"/>
      <c r="D1297" s="12"/>
      <c r="E1297" s="12"/>
      <c r="F1297" s="12"/>
      <c r="G1297" s="25"/>
      <c r="H1297" s="12"/>
      <c r="I1297" s="31"/>
      <c r="J1297" s="12"/>
      <c r="K1297" s="12"/>
      <c r="L1297" s="16"/>
      <c r="M1297" s="46"/>
      <c r="N1297" s="46"/>
      <c r="O1297" s="31"/>
      <c r="P1297" s="16"/>
      <c r="Q1297" s="16"/>
      <c r="R1297" s="16" t="str">
        <f t="shared" si="2"/>
        <v/>
      </c>
    </row>
    <row r="1298">
      <c r="B1298" s="16"/>
      <c r="C1298" s="12"/>
      <c r="D1298" s="12"/>
      <c r="E1298" s="12"/>
      <c r="F1298" s="12"/>
      <c r="G1298" s="25"/>
      <c r="H1298" s="12"/>
      <c r="I1298" s="31"/>
      <c r="J1298" s="12"/>
      <c r="K1298" s="12"/>
      <c r="L1298" s="16"/>
      <c r="M1298" s="46"/>
      <c r="N1298" s="46"/>
      <c r="O1298" s="31"/>
      <c r="P1298" s="16"/>
      <c r="Q1298" s="16"/>
      <c r="R1298" s="16" t="str">
        <f t="shared" si="2"/>
        <v/>
      </c>
    </row>
    <row r="1299">
      <c r="B1299" s="16"/>
      <c r="C1299" s="12"/>
      <c r="D1299" s="12"/>
      <c r="E1299" s="12"/>
      <c r="F1299" s="12"/>
      <c r="G1299" s="25"/>
      <c r="H1299" s="12"/>
      <c r="I1299" s="31"/>
      <c r="J1299" s="12"/>
      <c r="K1299" s="12"/>
      <c r="L1299" s="16"/>
      <c r="M1299" s="46"/>
      <c r="N1299" s="46"/>
      <c r="O1299" s="31"/>
      <c r="P1299" s="16"/>
      <c r="Q1299" s="16"/>
      <c r="R1299" s="16" t="str">
        <f t="shared" si="2"/>
        <v/>
      </c>
    </row>
    <row r="1300">
      <c r="B1300" s="16"/>
      <c r="C1300" s="12"/>
      <c r="D1300" s="12"/>
      <c r="E1300" s="12"/>
      <c r="F1300" s="12"/>
      <c r="G1300" s="25"/>
      <c r="H1300" s="12"/>
      <c r="I1300" s="31"/>
      <c r="J1300" s="12"/>
      <c r="K1300" s="12"/>
      <c r="L1300" s="16"/>
      <c r="M1300" s="46"/>
      <c r="N1300" s="46"/>
      <c r="O1300" s="31"/>
      <c r="P1300" s="16"/>
      <c r="Q1300" s="16"/>
      <c r="R1300" s="16" t="str">
        <f t="shared" si="2"/>
        <v/>
      </c>
    </row>
    <row r="1301">
      <c r="B1301" s="16"/>
      <c r="C1301" s="12"/>
      <c r="D1301" s="12"/>
      <c r="E1301" s="12"/>
      <c r="F1301" s="12"/>
      <c r="G1301" s="25"/>
      <c r="H1301" s="12"/>
      <c r="I1301" s="31"/>
      <c r="J1301" s="12"/>
      <c r="K1301" s="12"/>
      <c r="L1301" s="16"/>
      <c r="M1301" s="46"/>
      <c r="N1301" s="46"/>
      <c r="O1301" s="31"/>
      <c r="P1301" s="16"/>
      <c r="Q1301" s="16"/>
      <c r="R1301" s="16" t="str">
        <f t="shared" si="2"/>
        <v/>
      </c>
    </row>
    <row r="1302">
      <c r="B1302" s="16"/>
      <c r="C1302" s="12"/>
      <c r="D1302" s="12"/>
      <c r="E1302" s="12"/>
      <c r="F1302" s="12"/>
      <c r="G1302" s="25"/>
      <c r="H1302" s="12"/>
      <c r="I1302" s="31"/>
      <c r="J1302" s="12"/>
      <c r="K1302" s="12"/>
      <c r="L1302" s="16"/>
      <c r="M1302" s="46"/>
      <c r="N1302" s="46"/>
      <c r="O1302" s="31"/>
      <c r="P1302" s="16"/>
      <c r="Q1302" s="16"/>
      <c r="R1302" s="16" t="str">
        <f t="shared" si="2"/>
        <v/>
      </c>
    </row>
    <row r="1303">
      <c r="B1303" s="16"/>
      <c r="C1303" s="12"/>
      <c r="D1303" s="12"/>
      <c r="E1303" s="12"/>
      <c r="F1303" s="12"/>
      <c r="G1303" s="25"/>
      <c r="H1303" s="12"/>
      <c r="I1303" s="31"/>
      <c r="J1303" s="12"/>
      <c r="K1303" s="12"/>
      <c r="L1303" s="16"/>
      <c r="M1303" s="46"/>
      <c r="N1303" s="46"/>
      <c r="O1303" s="31"/>
      <c r="P1303" s="16"/>
      <c r="Q1303" s="16"/>
      <c r="R1303" s="16" t="str">
        <f t="shared" si="2"/>
        <v/>
      </c>
    </row>
    <row r="1304">
      <c r="B1304" s="16"/>
      <c r="C1304" s="12"/>
      <c r="D1304" s="12"/>
      <c r="E1304" s="12"/>
      <c r="F1304" s="12"/>
      <c r="G1304" s="25"/>
      <c r="H1304" s="12"/>
      <c r="I1304" s="31"/>
      <c r="J1304" s="12"/>
      <c r="K1304" s="12"/>
      <c r="L1304" s="16"/>
      <c r="M1304" s="46"/>
      <c r="N1304" s="46"/>
      <c r="O1304" s="31"/>
      <c r="P1304" s="16"/>
      <c r="Q1304" s="16"/>
      <c r="R1304" s="16" t="str">
        <f t="shared" si="2"/>
        <v/>
      </c>
    </row>
    <row r="1305">
      <c r="B1305" s="16"/>
      <c r="C1305" s="12"/>
      <c r="D1305" s="12"/>
      <c r="E1305" s="12"/>
      <c r="F1305" s="12"/>
      <c r="G1305" s="25"/>
      <c r="H1305" s="12"/>
      <c r="I1305" s="31"/>
      <c r="J1305" s="12"/>
      <c r="K1305" s="12"/>
      <c r="L1305" s="16"/>
      <c r="M1305" s="46"/>
      <c r="N1305" s="46"/>
      <c r="O1305" s="31"/>
      <c r="P1305" s="16"/>
      <c r="Q1305" s="16"/>
      <c r="R1305" s="16" t="str">
        <f t="shared" si="2"/>
        <v/>
      </c>
    </row>
    <row r="1306">
      <c r="B1306" s="16"/>
      <c r="C1306" s="12"/>
      <c r="D1306" s="12"/>
      <c r="E1306" s="12"/>
      <c r="F1306" s="12"/>
      <c r="G1306" s="25"/>
      <c r="H1306" s="12"/>
      <c r="I1306" s="31"/>
      <c r="J1306" s="12"/>
      <c r="K1306" s="12"/>
      <c r="L1306" s="16"/>
      <c r="M1306" s="46"/>
      <c r="N1306" s="46"/>
      <c r="O1306" s="31"/>
      <c r="P1306" s="16"/>
      <c r="Q1306" s="16"/>
      <c r="R1306" s="16" t="str">
        <f t="shared" si="2"/>
        <v/>
      </c>
    </row>
    <row r="1307">
      <c r="B1307" s="16"/>
      <c r="C1307" s="12"/>
      <c r="D1307" s="12"/>
      <c r="E1307" s="12"/>
      <c r="F1307" s="12"/>
      <c r="G1307" s="25"/>
      <c r="H1307" s="12"/>
      <c r="I1307" s="31"/>
      <c r="J1307" s="12"/>
      <c r="K1307" s="12"/>
      <c r="L1307" s="16"/>
      <c r="M1307" s="46"/>
      <c r="N1307" s="46"/>
      <c r="O1307" s="31"/>
      <c r="P1307" s="16"/>
      <c r="Q1307" s="16"/>
      <c r="R1307" s="16" t="str">
        <f t="shared" si="2"/>
        <v/>
      </c>
    </row>
    <row r="1308">
      <c r="B1308" s="16"/>
      <c r="C1308" s="12"/>
      <c r="D1308" s="12"/>
      <c r="E1308" s="12"/>
      <c r="F1308" s="12"/>
      <c r="G1308" s="25"/>
      <c r="H1308" s="12"/>
      <c r="I1308" s="31"/>
      <c r="J1308" s="12"/>
      <c r="K1308" s="12"/>
      <c r="L1308" s="16"/>
      <c r="M1308" s="46"/>
      <c r="N1308" s="46"/>
      <c r="O1308" s="31"/>
      <c r="P1308" s="16"/>
      <c r="Q1308" s="16"/>
      <c r="R1308" s="16" t="str">
        <f t="shared" si="2"/>
        <v/>
      </c>
    </row>
    <row r="1309">
      <c r="B1309" s="16"/>
      <c r="C1309" s="12"/>
      <c r="D1309" s="12"/>
      <c r="E1309" s="12"/>
      <c r="F1309" s="12"/>
      <c r="G1309" s="25"/>
      <c r="H1309" s="12"/>
      <c r="I1309" s="31"/>
      <c r="J1309" s="12"/>
      <c r="K1309" s="12"/>
      <c r="L1309" s="16"/>
      <c r="M1309" s="46"/>
      <c r="N1309" s="46"/>
      <c r="O1309" s="31"/>
      <c r="P1309" s="16"/>
      <c r="Q1309" s="16"/>
      <c r="R1309" s="16" t="str">
        <f t="shared" si="2"/>
        <v/>
      </c>
    </row>
    <row r="1310">
      <c r="B1310" s="16"/>
      <c r="C1310" s="12"/>
      <c r="D1310" s="12"/>
      <c r="E1310" s="12"/>
      <c r="F1310" s="12"/>
      <c r="G1310" s="25"/>
      <c r="H1310" s="12"/>
      <c r="I1310" s="31"/>
      <c r="J1310" s="12"/>
      <c r="K1310" s="12"/>
      <c r="L1310" s="16"/>
      <c r="M1310" s="46"/>
      <c r="N1310" s="46"/>
      <c r="O1310" s="31"/>
      <c r="P1310" s="16"/>
      <c r="Q1310" s="16"/>
      <c r="R1310" s="16" t="str">
        <f t="shared" si="2"/>
        <v/>
      </c>
    </row>
    <row r="1311">
      <c r="B1311" s="16"/>
      <c r="C1311" s="12"/>
      <c r="D1311" s="12"/>
      <c r="E1311" s="12"/>
      <c r="F1311" s="12"/>
      <c r="G1311" s="25"/>
      <c r="H1311" s="12"/>
      <c r="I1311" s="31"/>
      <c r="J1311" s="12"/>
      <c r="K1311" s="12"/>
      <c r="L1311" s="16"/>
      <c r="M1311" s="46"/>
      <c r="N1311" s="46"/>
      <c r="O1311" s="31"/>
      <c r="P1311" s="16"/>
      <c r="Q1311" s="16"/>
      <c r="R1311" s="16" t="str">
        <f t="shared" si="2"/>
        <v/>
      </c>
    </row>
    <row r="1312">
      <c r="B1312" s="16"/>
      <c r="C1312" s="12"/>
      <c r="D1312" s="12"/>
      <c r="E1312" s="12"/>
      <c r="F1312" s="12"/>
      <c r="G1312" s="25"/>
      <c r="H1312" s="12"/>
      <c r="I1312" s="31"/>
      <c r="J1312" s="12"/>
      <c r="K1312" s="12"/>
      <c r="L1312" s="16"/>
      <c r="M1312" s="46"/>
      <c r="N1312" s="46"/>
      <c r="O1312" s="31"/>
      <c r="P1312" s="16"/>
      <c r="Q1312" s="16"/>
      <c r="R1312" s="16" t="str">
        <f t="shared" si="2"/>
        <v/>
      </c>
    </row>
    <row r="1313">
      <c r="B1313" s="16"/>
      <c r="C1313" s="12"/>
      <c r="D1313" s="12"/>
      <c r="E1313" s="12"/>
      <c r="F1313" s="12"/>
      <c r="G1313" s="25"/>
      <c r="H1313" s="12"/>
      <c r="I1313" s="31"/>
      <c r="J1313" s="12"/>
      <c r="K1313" s="12"/>
      <c r="L1313" s="16"/>
      <c r="M1313" s="46"/>
      <c r="N1313" s="46"/>
      <c r="O1313" s="31"/>
      <c r="P1313" s="16"/>
      <c r="Q1313" s="16"/>
      <c r="R1313" s="16" t="str">
        <f t="shared" si="2"/>
        <v/>
      </c>
    </row>
    <row r="1314">
      <c r="B1314" s="16"/>
      <c r="C1314" s="12"/>
      <c r="D1314" s="12"/>
      <c r="E1314" s="12"/>
      <c r="F1314" s="12"/>
      <c r="G1314" s="25"/>
      <c r="H1314" s="12"/>
      <c r="I1314" s="31"/>
      <c r="J1314" s="12"/>
      <c r="K1314" s="12"/>
      <c r="L1314" s="16"/>
      <c r="M1314" s="46"/>
      <c r="N1314" s="46"/>
      <c r="O1314" s="31"/>
      <c r="P1314" s="16"/>
      <c r="Q1314" s="16"/>
      <c r="R1314" s="16" t="str">
        <f t="shared" si="2"/>
        <v/>
      </c>
    </row>
    <row r="1315">
      <c r="B1315" s="16"/>
      <c r="C1315" s="12"/>
      <c r="D1315" s="12"/>
      <c r="E1315" s="12"/>
      <c r="F1315" s="12"/>
      <c r="G1315" s="25"/>
      <c r="H1315" s="12"/>
      <c r="I1315" s="31"/>
      <c r="J1315" s="12"/>
      <c r="K1315" s="12"/>
      <c r="L1315" s="16"/>
      <c r="M1315" s="46"/>
      <c r="N1315" s="46"/>
      <c r="O1315" s="31"/>
      <c r="P1315" s="16"/>
      <c r="Q1315" s="16"/>
      <c r="R1315" s="16" t="str">
        <f t="shared" si="2"/>
        <v/>
      </c>
    </row>
    <row r="1316">
      <c r="B1316" s="16"/>
      <c r="C1316" s="12"/>
      <c r="D1316" s="12"/>
      <c r="E1316" s="12"/>
      <c r="F1316" s="12"/>
      <c r="G1316" s="25"/>
      <c r="H1316" s="12"/>
      <c r="I1316" s="31"/>
      <c r="J1316" s="12"/>
      <c r="K1316" s="12"/>
      <c r="L1316" s="16"/>
      <c r="M1316" s="46"/>
      <c r="N1316" s="46"/>
      <c r="O1316" s="31"/>
      <c r="P1316" s="16"/>
      <c r="Q1316" s="16"/>
      <c r="R1316" s="16" t="str">
        <f t="shared" si="2"/>
        <v/>
      </c>
    </row>
    <row r="1317">
      <c r="B1317" s="16"/>
      <c r="C1317" s="12"/>
      <c r="D1317" s="12"/>
      <c r="E1317" s="12"/>
      <c r="F1317" s="12"/>
      <c r="G1317" s="25"/>
      <c r="H1317" s="12"/>
      <c r="I1317" s="31"/>
      <c r="J1317" s="12"/>
      <c r="K1317" s="12"/>
      <c r="L1317" s="16"/>
      <c r="M1317" s="46"/>
      <c r="N1317" s="46"/>
      <c r="O1317" s="31"/>
      <c r="P1317" s="16"/>
      <c r="Q1317" s="16"/>
      <c r="R1317" s="16" t="str">
        <f t="shared" si="2"/>
        <v/>
      </c>
    </row>
    <row r="1318">
      <c r="B1318" s="16"/>
      <c r="C1318" s="12"/>
      <c r="D1318" s="12"/>
      <c r="E1318" s="12"/>
      <c r="F1318" s="12"/>
      <c r="G1318" s="25"/>
      <c r="H1318" s="12"/>
      <c r="I1318" s="31"/>
      <c r="J1318" s="12"/>
      <c r="K1318" s="12"/>
      <c r="L1318" s="16"/>
      <c r="M1318" s="46"/>
      <c r="N1318" s="46"/>
      <c r="O1318" s="31"/>
      <c r="P1318" s="16"/>
      <c r="Q1318" s="16"/>
      <c r="R1318" s="16" t="str">
        <f t="shared" si="2"/>
        <v/>
      </c>
    </row>
    <row r="1319">
      <c r="B1319" s="16"/>
      <c r="C1319" s="12"/>
      <c r="D1319" s="12"/>
      <c r="E1319" s="12"/>
      <c r="F1319" s="12"/>
      <c r="G1319" s="25"/>
      <c r="H1319" s="12"/>
      <c r="I1319" s="31"/>
      <c r="J1319" s="12"/>
      <c r="K1319" s="12"/>
      <c r="L1319" s="16"/>
      <c r="M1319" s="46"/>
      <c r="N1319" s="46"/>
      <c r="O1319" s="31"/>
      <c r="P1319" s="16"/>
      <c r="Q1319" s="16"/>
      <c r="R1319" s="16" t="str">
        <f t="shared" si="2"/>
        <v/>
      </c>
    </row>
    <row r="1320">
      <c r="B1320" s="16"/>
      <c r="C1320" s="12"/>
      <c r="D1320" s="12"/>
      <c r="E1320" s="12"/>
      <c r="F1320" s="12"/>
      <c r="G1320" s="25"/>
      <c r="H1320" s="12"/>
      <c r="I1320" s="31"/>
      <c r="J1320" s="12"/>
      <c r="K1320" s="12"/>
      <c r="L1320" s="16"/>
      <c r="M1320" s="46"/>
      <c r="N1320" s="46"/>
      <c r="O1320" s="31"/>
      <c r="P1320" s="16"/>
      <c r="Q1320" s="16"/>
      <c r="R1320" s="16" t="str">
        <f t="shared" si="2"/>
        <v/>
      </c>
    </row>
    <row r="1321">
      <c r="B1321" s="16"/>
      <c r="C1321" s="12"/>
      <c r="D1321" s="12"/>
      <c r="E1321" s="12"/>
      <c r="F1321" s="12"/>
      <c r="G1321" s="25"/>
      <c r="H1321" s="12"/>
      <c r="I1321" s="31"/>
      <c r="J1321" s="12"/>
      <c r="K1321" s="12"/>
      <c r="L1321" s="16"/>
      <c r="M1321" s="46"/>
      <c r="N1321" s="46"/>
      <c r="O1321" s="31"/>
      <c r="P1321" s="16"/>
      <c r="Q1321" s="16"/>
      <c r="R1321" s="16" t="str">
        <f t="shared" si="2"/>
        <v/>
      </c>
    </row>
    <row r="1322">
      <c r="B1322" s="16"/>
      <c r="C1322" s="12"/>
      <c r="D1322" s="12"/>
      <c r="E1322" s="12"/>
      <c r="F1322" s="12"/>
      <c r="G1322" s="25"/>
      <c r="H1322" s="12"/>
      <c r="I1322" s="31"/>
      <c r="J1322" s="12"/>
      <c r="K1322" s="12"/>
      <c r="L1322" s="16"/>
      <c r="M1322" s="46"/>
      <c r="N1322" s="46"/>
      <c r="O1322" s="31"/>
      <c r="P1322" s="16"/>
      <c r="Q1322" s="16"/>
      <c r="R1322" s="16" t="str">
        <f t="shared" si="2"/>
        <v/>
      </c>
    </row>
    <row r="1323">
      <c r="B1323" s="16"/>
      <c r="C1323" s="12"/>
      <c r="D1323" s="12"/>
      <c r="E1323" s="12"/>
      <c r="F1323" s="12"/>
      <c r="G1323" s="25"/>
      <c r="H1323" s="12"/>
      <c r="I1323" s="31"/>
      <c r="J1323" s="12"/>
      <c r="K1323" s="12"/>
      <c r="L1323" s="16"/>
      <c r="M1323" s="46"/>
      <c r="N1323" s="46"/>
      <c r="O1323" s="31"/>
      <c r="P1323" s="16"/>
      <c r="Q1323" s="16"/>
      <c r="R1323" s="16" t="str">
        <f t="shared" si="2"/>
        <v/>
      </c>
    </row>
    <row r="1324">
      <c r="B1324" s="16"/>
      <c r="C1324" s="12"/>
      <c r="D1324" s="12"/>
      <c r="E1324" s="12"/>
      <c r="F1324" s="12"/>
      <c r="G1324" s="25"/>
      <c r="H1324" s="12"/>
      <c r="I1324" s="31"/>
      <c r="J1324" s="12"/>
      <c r="K1324" s="12"/>
      <c r="L1324" s="16"/>
      <c r="M1324" s="46"/>
      <c r="N1324" s="46"/>
      <c r="O1324" s="31"/>
      <c r="P1324" s="16"/>
      <c r="Q1324" s="16"/>
      <c r="R1324" s="16" t="str">
        <f t="shared" si="2"/>
        <v/>
      </c>
    </row>
    <row r="1325">
      <c r="B1325" s="16"/>
      <c r="C1325" s="12"/>
      <c r="D1325" s="12"/>
      <c r="E1325" s="12"/>
      <c r="F1325" s="12"/>
      <c r="G1325" s="25"/>
      <c r="H1325" s="12"/>
      <c r="I1325" s="31"/>
      <c r="J1325" s="12"/>
      <c r="K1325" s="12"/>
      <c r="L1325" s="16"/>
      <c r="M1325" s="46"/>
      <c r="N1325" s="46"/>
      <c r="O1325" s="31"/>
      <c r="P1325" s="16"/>
      <c r="Q1325" s="16"/>
      <c r="R1325" s="16" t="str">
        <f t="shared" si="2"/>
        <v/>
      </c>
    </row>
    <row r="1326">
      <c r="B1326" s="16"/>
      <c r="C1326" s="12"/>
      <c r="D1326" s="12"/>
      <c r="E1326" s="12"/>
      <c r="F1326" s="12"/>
      <c r="G1326" s="25"/>
      <c r="H1326" s="12"/>
      <c r="I1326" s="31"/>
      <c r="J1326" s="12"/>
      <c r="K1326" s="12"/>
      <c r="L1326" s="16"/>
      <c r="M1326" s="46"/>
      <c r="N1326" s="46"/>
      <c r="O1326" s="31"/>
      <c r="P1326" s="16"/>
      <c r="Q1326" s="16"/>
      <c r="R1326" s="16" t="str">
        <f t="shared" si="2"/>
        <v/>
      </c>
    </row>
    <row r="1327">
      <c r="B1327" s="16"/>
      <c r="C1327" s="12"/>
      <c r="D1327" s="12"/>
      <c r="E1327" s="12"/>
      <c r="F1327" s="12"/>
      <c r="G1327" s="25"/>
      <c r="H1327" s="12"/>
      <c r="I1327" s="31"/>
      <c r="J1327" s="12"/>
      <c r="K1327" s="12"/>
      <c r="L1327" s="16"/>
      <c r="M1327" s="46"/>
      <c r="N1327" s="46"/>
      <c r="O1327" s="31"/>
      <c r="P1327" s="16"/>
      <c r="Q1327" s="16"/>
      <c r="R1327" s="16" t="str">
        <f t="shared" si="2"/>
        <v/>
      </c>
    </row>
    <row r="1328">
      <c r="B1328" s="16"/>
      <c r="C1328" s="12"/>
      <c r="D1328" s="12"/>
      <c r="E1328" s="12"/>
      <c r="F1328" s="12"/>
      <c r="G1328" s="25"/>
      <c r="H1328" s="12"/>
      <c r="I1328" s="31"/>
      <c r="J1328" s="12"/>
      <c r="K1328" s="12"/>
      <c r="L1328" s="16"/>
      <c r="M1328" s="46"/>
      <c r="N1328" s="46"/>
      <c r="O1328" s="31"/>
      <c r="P1328" s="16"/>
      <c r="Q1328" s="16"/>
      <c r="R1328" s="16" t="str">
        <f t="shared" si="2"/>
        <v/>
      </c>
    </row>
    <row r="1329">
      <c r="B1329" s="16"/>
      <c r="C1329" s="12"/>
      <c r="D1329" s="12"/>
      <c r="E1329" s="12"/>
      <c r="F1329" s="12"/>
      <c r="G1329" s="25"/>
      <c r="H1329" s="12"/>
      <c r="I1329" s="31"/>
      <c r="J1329" s="12"/>
      <c r="K1329" s="12"/>
      <c r="L1329" s="16"/>
      <c r="M1329" s="46"/>
      <c r="N1329" s="46"/>
      <c r="O1329" s="31"/>
      <c r="P1329" s="16"/>
      <c r="Q1329" s="16"/>
      <c r="R1329" s="16" t="str">
        <f t="shared" si="2"/>
        <v/>
      </c>
    </row>
    <row r="1330">
      <c r="B1330" s="16"/>
      <c r="C1330" s="12"/>
      <c r="D1330" s="12"/>
      <c r="E1330" s="12"/>
      <c r="F1330" s="12"/>
      <c r="G1330" s="25"/>
      <c r="H1330" s="12"/>
      <c r="I1330" s="31"/>
      <c r="J1330" s="12"/>
      <c r="K1330" s="12"/>
      <c r="L1330" s="16"/>
      <c r="M1330" s="46"/>
      <c r="N1330" s="46"/>
      <c r="O1330" s="31"/>
      <c r="P1330" s="16"/>
      <c r="Q1330" s="16"/>
      <c r="R1330" s="16" t="str">
        <f t="shared" si="2"/>
        <v/>
      </c>
    </row>
    <row r="1331">
      <c r="B1331" s="16"/>
      <c r="C1331" s="12"/>
      <c r="D1331" s="12"/>
      <c r="E1331" s="12"/>
      <c r="F1331" s="12"/>
      <c r="G1331" s="25"/>
      <c r="H1331" s="12"/>
      <c r="I1331" s="31"/>
      <c r="J1331" s="12"/>
      <c r="K1331" s="12"/>
      <c r="L1331" s="16"/>
      <c r="M1331" s="46"/>
      <c r="N1331" s="46"/>
      <c r="O1331" s="31"/>
      <c r="P1331" s="16"/>
      <c r="Q1331" s="16"/>
      <c r="R1331" s="16" t="str">
        <f t="shared" si="2"/>
        <v/>
      </c>
    </row>
    <row r="1332">
      <c r="B1332" s="16"/>
      <c r="C1332" s="12"/>
      <c r="D1332" s="12"/>
      <c r="E1332" s="12"/>
      <c r="F1332" s="12"/>
      <c r="G1332" s="25"/>
      <c r="H1332" s="12"/>
      <c r="I1332" s="31"/>
      <c r="J1332" s="12"/>
      <c r="K1332" s="12"/>
      <c r="L1332" s="16"/>
      <c r="M1332" s="46"/>
      <c r="N1332" s="46"/>
      <c r="O1332" s="31"/>
      <c r="P1332" s="16"/>
      <c r="Q1332" s="16"/>
      <c r="R1332" s="16" t="str">
        <f t="shared" si="2"/>
        <v/>
      </c>
    </row>
    <row r="1333">
      <c r="B1333" s="16"/>
      <c r="C1333" s="12"/>
      <c r="D1333" s="12"/>
      <c r="E1333" s="12"/>
      <c r="F1333" s="12"/>
      <c r="G1333" s="25"/>
      <c r="H1333" s="12"/>
      <c r="I1333" s="31"/>
      <c r="J1333" s="12"/>
      <c r="K1333" s="12"/>
      <c r="L1333" s="16"/>
      <c r="M1333" s="46"/>
      <c r="N1333" s="46"/>
      <c r="O1333" s="31"/>
      <c r="P1333" s="16"/>
      <c r="Q1333" s="16"/>
      <c r="R1333" s="16" t="str">
        <f t="shared" si="2"/>
        <v/>
      </c>
    </row>
    <row r="1334">
      <c r="B1334" s="16"/>
      <c r="C1334" s="12"/>
      <c r="D1334" s="12"/>
      <c r="E1334" s="12"/>
      <c r="F1334" s="12"/>
      <c r="G1334" s="25"/>
      <c r="H1334" s="12"/>
      <c r="I1334" s="31"/>
      <c r="J1334" s="12"/>
      <c r="K1334" s="12"/>
      <c r="L1334" s="16"/>
      <c r="M1334" s="46"/>
      <c r="N1334" s="46"/>
      <c r="O1334" s="31"/>
      <c r="P1334" s="16"/>
      <c r="Q1334" s="16"/>
      <c r="R1334" s="16" t="str">
        <f t="shared" si="2"/>
        <v/>
      </c>
    </row>
    <row r="1335">
      <c r="B1335" s="16"/>
      <c r="C1335" s="12"/>
      <c r="D1335" s="12"/>
      <c r="E1335" s="12"/>
      <c r="F1335" s="12"/>
      <c r="G1335" s="25"/>
      <c r="H1335" s="12"/>
      <c r="I1335" s="31"/>
      <c r="J1335" s="12"/>
      <c r="K1335" s="12"/>
      <c r="L1335" s="16"/>
      <c r="M1335" s="46"/>
      <c r="N1335" s="46"/>
      <c r="O1335" s="31"/>
      <c r="P1335" s="16"/>
      <c r="Q1335" s="16"/>
      <c r="R1335" s="16" t="str">
        <f t="shared" si="2"/>
        <v/>
      </c>
    </row>
    <row r="1336">
      <c r="B1336" s="16"/>
      <c r="C1336" s="12"/>
      <c r="D1336" s="12"/>
      <c r="E1336" s="12"/>
      <c r="F1336" s="12"/>
      <c r="G1336" s="25"/>
      <c r="H1336" s="12"/>
      <c r="I1336" s="31"/>
      <c r="J1336" s="12"/>
      <c r="K1336" s="12"/>
      <c r="L1336" s="16"/>
      <c r="M1336" s="46"/>
      <c r="N1336" s="46"/>
      <c r="O1336" s="31"/>
      <c r="P1336" s="16"/>
      <c r="Q1336" s="16"/>
      <c r="R1336" s="16" t="str">
        <f t="shared" si="2"/>
        <v/>
      </c>
    </row>
    <row r="1337">
      <c r="B1337" s="16"/>
      <c r="C1337" s="12"/>
      <c r="D1337" s="12"/>
      <c r="E1337" s="12"/>
      <c r="F1337" s="12"/>
      <c r="G1337" s="25"/>
      <c r="H1337" s="12"/>
      <c r="I1337" s="31"/>
      <c r="J1337" s="12"/>
      <c r="K1337" s="12"/>
      <c r="L1337" s="16"/>
      <c r="M1337" s="46"/>
      <c r="N1337" s="46"/>
      <c r="O1337" s="31"/>
      <c r="P1337" s="16"/>
      <c r="Q1337" s="16"/>
      <c r="R1337" s="16" t="str">
        <f t="shared" si="2"/>
        <v/>
      </c>
    </row>
    <row r="1338">
      <c r="B1338" s="16"/>
      <c r="C1338" s="12"/>
      <c r="D1338" s="12"/>
      <c r="E1338" s="12"/>
      <c r="F1338" s="12"/>
      <c r="G1338" s="25"/>
      <c r="H1338" s="12"/>
      <c r="I1338" s="31"/>
      <c r="J1338" s="12"/>
      <c r="K1338" s="12"/>
      <c r="L1338" s="16"/>
      <c r="M1338" s="46"/>
      <c r="N1338" s="46"/>
      <c r="O1338" s="31"/>
      <c r="P1338" s="16"/>
      <c r="Q1338" s="16"/>
      <c r="R1338" s="16" t="str">
        <f t="shared" si="2"/>
        <v/>
      </c>
    </row>
    <row r="1339">
      <c r="B1339" s="16"/>
      <c r="C1339" s="12"/>
      <c r="D1339" s="12"/>
      <c r="E1339" s="12"/>
      <c r="F1339" s="12"/>
      <c r="G1339" s="25"/>
      <c r="H1339" s="12"/>
      <c r="I1339" s="31"/>
      <c r="J1339" s="12"/>
      <c r="K1339" s="12"/>
      <c r="L1339" s="16"/>
      <c r="M1339" s="46"/>
      <c r="N1339" s="46"/>
      <c r="O1339" s="31"/>
      <c r="P1339" s="16"/>
      <c r="Q1339" s="16"/>
      <c r="R1339" s="16" t="str">
        <f t="shared" si="2"/>
        <v/>
      </c>
    </row>
    <row r="1340">
      <c r="B1340" s="16"/>
      <c r="C1340" s="12"/>
      <c r="D1340" s="12"/>
      <c r="E1340" s="12"/>
      <c r="F1340" s="12"/>
      <c r="G1340" s="25"/>
      <c r="H1340" s="12"/>
      <c r="I1340" s="31"/>
      <c r="J1340" s="12"/>
      <c r="K1340" s="12"/>
      <c r="L1340" s="16"/>
      <c r="M1340" s="46"/>
      <c r="N1340" s="46"/>
      <c r="O1340" s="31"/>
      <c r="P1340" s="16"/>
      <c r="Q1340" s="16"/>
      <c r="R1340" s="16" t="str">
        <f t="shared" si="2"/>
        <v/>
      </c>
    </row>
    <row r="1341">
      <c r="B1341" s="16"/>
      <c r="C1341" s="12"/>
      <c r="D1341" s="12"/>
      <c r="E1341" s="12"/>
      <c r="F1341" s="12"/>
      <c r="G1341" s="25"/>
      <c r="H1341" s="12"/>
      <c r="I1341" s="31"/>
      <c r="J1341" s="12"/>
      <c r="K1341" s="12"/>
      <c r="L1341" s="16"/>
      <c r="M1341" s="46"/>
      <c r="N1341" s="46"/>
      <c r="O1341" s="31"/>
      <c r="P1341" s="16"/>
      <c r="Q1341" s="16"/>
      <c r="R1341" s="16" t="str">
        <f t="shared" si="2"/>
        <v/>
      </c>
    </row>
    <row r="1342">
      <c r="B1342" s="16"/>
      <c r="C1342" s="12"/>
      <c r="D1342" s="12"/>
      <c r="E1342" s="12"/>
      <c r="F1342" s="12"/>
      <c r="G1342" s="25"/>
      <c r="H1342" s="12"/>
      <c r="I1342" s="31"/>
      <c r="J1342" s="12"/>
      <c r="K1342" s="12"/>
      <c r="L1342" s="16"/>
      <c r="M1342" s="46"/>
      <c r="N1342" s="46"/>
      <c r="O1342" s="31"/>
      <c r="P1342" s="16"/>
      <c r="Q1342" s="16"/>
      <c r="R1342" s="16" t="str">
        <f t="shared" si="2"/>
        <v/>
      </c>
    </row>
    <row r="1343">
      <c r="B1343" s="16"/>
      <c r="C1343" s="12"/>
      <c r="D1343" s="12"/>
      <c r="E1343" s="12"/>
      <c r="F1343" s="12"/>
      <c r="G1343" s="25"/>
      <c r="H1343" s="12"/>
      <c r="I1343" s="31"/>
      <c r="J1343" s="12"/>
      <c r="K1343" s="12"/>
      <c r="L1343" s="16"/>
      <c r="M1343" s="46"/>
      <c r="N1343" s="46"/>
      <c r="O1343" s="31"/>
      <c r="P1343" s="16"/>
      <c r="Q1343" s="16"/>
      <c r="R1343" s="16" t="str">
        <f t="shared" si="2"/>
        <v/>
      </c>
    </row>
    <row r="1344">
      <c r="B1344" s="16"/>
      <c r="C1344" s="12"/>
      <c r="D1344" s="12"/>
      <c r="E1344" s="12"/>
      <c r="F1344" s="12"/>
      <c r="G1344" s="25"/>
      <c r="H1344" s="12"/>
      <c r="I1344" s="31"/>
      <c r="J1344" s="12"/>
      <c r="K1344" s="12"/>
      <c r="L1344" s="16"/>
      <c r="M1344" s="46"/>
      <c r="N1344" s="46"/>
      <c r="O1344" s="31"/>
      <c r="P1344" s="16"/>
      <c r="Q1344" s="16"/>
      <c r="R1344" s="16" t="str">
        <f t="shared" si="2"/>
        <v/>
      </c>
    </row>
    <row r="1345">
      <c r="B1345" s="16"/>
      <c r="C1345" s="12"/>
      <c r="D1345" s="12"/>
      <c r="E1345" s="12"/>
      <c r="F1345" s="12"/>
      <c r="G1345" s="25"/>
      <c r="H1345" s="12"/>
      <c r="I1345" s="31"/>
      <c r="J1345" s="12"/>
      <c r="K1345" s="12"/>
      <c r="L1345" s="16"/>
      <c r="M1345" s="46"/>
      <c r="N1345" s="46"/>
      <c r="O1345" s="31"/>
      <c r="P1345" s="16"/>
      <c r="Q1345" s="16"/>
      <c r="R1345" s="16" t="str">
        <f t="shared" si="2"/>
        <v/>
      </c>
    </row>
    <row r="1346">
      <c r="B1346" s="16"/>
      <c r="C1346" s="12"/>
      <c r="D1346" s="12"/>
      <c r="E1346" s="12"/>
      <c r="F1346" s="12"/>
      <c r="G1346" s="25"/>
      <c r="H1346" s="12"/>
      <c r="I1346" s="31"/>
      <c r="J1346" s="12"/>
      <c r="K1346" s="12"/>
      <c r="L1346" s="16"/>
      <c r="M1346" s="46"/>
      <c r="N1346" s="46"/>
      <c r="O1346" s="31"/>
      <c r="P1346" s="16"/>
      <c r="Q1346" s="16"/>
      <c r="R1346" s="16" t="str">
        <f t="shared" si="2"/>
        <v/>
      </c>
    </row>
    <row r="1347">
      <c r="B1347" s="16"/>
      <c r="C1347" s="12"/>
      <c r="D1347" s="12"/>
      <c r="E1347" s="12"/>
      <c r="F1347" s="12"/>
      <c r="G1347" s="25"/>
      <c r="H1347" s="12"/>
      <c r="I1347" s="31"/>
      <c r="J1347" s="12"/>
      <c r="K1347" s="12"/>
      <c r="L1347" s="16"/>
      <c r="M1347" s="46"/>
      <c r="N1347" s="46"/>
      <c r="O1347" s="31"/>
      <c r="P1347" s="16"/>
      <c r="Q1347" s="16"/>
      <c r="R1347" s="16" t="str">
        <f t="shared" si="2"/>
        <v/>
      </c>
    </row>
    <row r="1348">
      <c r="B1348" s="16"/>
      <c r="C1348" s="12"/>
      <c r="D1348" s="12"/>
      <c r="E1348" s="12"/>
      <c r="F1348" s="12"/>
      <c r="G1348" s="25"/>
      <c r="H1348" s="12"/>
      <c r="I1348" s="31"/>
      <c r="J1348" s="12"/>
      <c r="K1348" s="12"/>
      <c r="L1348" s="16"/>
      <c r="M1348" s="46"/>
      <c r="N1348" s="46"/>
      <c r="O1348" s="31"/>
      <c r="P1348" s="16"/>
      <c r="Q1348" s="16"/>
      <c r="R1348" s="16" t="str">
        <f t="shared" si="2"/>
        <v/>
      </c>
    </row>
    <row r="1349">
      <c r="B1349" s="16"/>
      <c r="C1349" s="12"/>
      <c r="D1349" s="12"/>
      <c r="E1349" s="12"/>
      <c r="F1349" s="12"/>
      <c r="G1349" s="25"/>
      <c r="H1349" s="12"/>
      <c r="I1349" s="31"/>
      <c r="J1349" s="12"/>
      <c r="K1349" s="12"/>
      <c r="L1349" s="16"/>
      <c r="M1349" s="46"/>
      <c r="N1349" s="46"/>
      <c r="O1349" s="31"/>
      <c r="P1349" s="16"/>
      <c r="Q1349" s="16"/>
      <c r="R1349" s="16" t="str">
        <f t="shared" si="2"/>
        <v/>
      </c>
    </row>
    <row r="1350">
      <c r="B1350" s="16"/>
      <c r="C1350" s="12"/>
      <c r="D1350" s="12"/>
      <c r="E1350" s="12"/>
      <c r="F1350" s="12"/>
      <c r="G1350" s="25"/>
      <c r="H1350" s="12"/>
      <c r="I1350" s="31"/>
      <c r="J1350" s="12"/>
      <c r="K1350" s="12"/>
      <c r="L1350" s="16"/>
      <c r="M1350" s="46"/>
      <c r="N1350" s="46"/>
      <c r="O1350" s="31"/>
      <c r="P1350" s="16"/>
      <c r="Q1350" s="16"/>
      <c r="R1350" s="16" t="str">
        <f t="shared" si="2"/>
        <v/>
      </c>
    </row>
    <row r="1351">
      <c r="B1351" s="16"/>
      <c r="C1351" s="12"/>
      <c r="D1351" s="12"/>
      <c r="E1351" s="12"/>
      <c r="F1351" s="12"/>
      <c r="G1351" s="25"/>
      <c r="H1351" s="12"/>
      <c r="I1351" s="31"/>
      <c r="J1351" s="12"/>
      <c r="K1351" s="12"/>
      <c r="L1351" s="16"/>
      <c r="M1351" s="46"/>
      <c r="N1351" s="46"/>
      <c r="O1351" s="31"/>
      <c r="P1351" s="16"/>
      <c r="Q1351" s="16"/>
      <c r="R1351" s="16" t="str">
        <f t="shared" si="2"/>
        <v/>
      </c>
    </row>
    <row r="1352">
      <c r="B1352" s="16"/>
      <c r="C1352" s="12"/>
      <c r="D1352" s="12"/>
      <c r="E1352" s="12"/>
      <c r="F1352" s="12"/>
      <c r="G1352" s="25"/>
      <c r="H1352" s="12"/>
      <c r="I1352" s="31"/>
      <c r="J1352" s="12"/>
      <c r="K1352" s="12"/>
      <c r="L1352" s="16"/>
      <c r="M1352" s="46"/>
      <c r="N1352" s="46"/>
      <c r="O1352" s="31"/>
      <c r="P1352" s="16"/>
      <c r="Q1352" s="16"/>
      <c r="R1352" s="16" t="str">
        <f t="shared" si="2"/>
        <v/>
      </c>
    </row>
    <row r="1353">
      <c r="B1353" s="16"/>
      <c r="C1353" s="12"/>
      <c r="D1353" s="12"/>
      <c r="E1353" s="12"/>
      <c r="F1353" s="12"/>
      <c r="G1353" s="25"/>
      <c r="H1353" s="12"/>
      <c r="I1353" s="31"/>
      <c r="J1353" s="12"/>
      <c r="K1353" s="12"/>
      <c r="L1353" s="16"/>
      <c r="M1353" s="46"/>
      <c r="N1353" s="46"/>
      <c r="O1353" s="31"/>
      <c r="P1353" s="16"/>
      <c r="Q1353" s="16"/>
      <c r="R1353" s="16" t="str">
        <f t="shared" si="2"/>
        <v/>
      </c>
    </row>
    <row r="1354">
      <c r="B1354" s="16"/>
      <c r="C1354" s="12"/>
      <c r="D1354" s="12"/>
      <c r="E1354" s="12"/>
      <c r="F1354" s="12"/>
      <c r="G1354" s="25"/>
      <c r="H1354" s="12"/>
      <c r="I1354" s="31"/>
      <c r="J1354" s="12"/>
      <c r="K1354" s="12"/>
      <c r="L1354" s="16"/>
      <c r="M1354" s="46"/>
      <c r="N1354" s="46"/>
      <c r="O1354" s="31"/>
      <c r="P1354" s="16"/>
      <c r="Q1354" s="16"/>
      <c r="R1354" s="16" t="str">
        <f t="shared" si="2"/>
        <v/>
      </c>
    </row>
    <row r="1355">
      <c r="B1355" s="16"/>
      <c r="C1355" s="12"/>
      <c r="D1355" s="12"/>
      <c r="E1355" s="12"/>
      <c r="F1355" s="12"/>
      <c r="G1355" s="25"/>
      <c r="H1355" s="12"/>
      <c r="I1355" s="31"/>
      <c r="J1355" s="12"/>
      <c r="K1355" s="12"/>
      <c r="L1355" s="16"/>
      <c r="M1355" s="46"/>
      <c r="N1355" s="46"/>
      <c r="O1355" s="31"/>
      <c r="P1355" s="16"/>
      <c r="Q1355" s="16"/>
      <c r="R1355" s="16" t="str">
        <f t="shared" si="2"/>
        <v/>
      </c>
    </row>
    <row r="1356">
      <c r="B1356" s="16"/>
      <c r="C1356" s="12"/>
      <c r="D1356" s="12"/>
      <c r="E1356" s="12"/>
      <c r="F1356" s="12"/>
      <c r="G1356" s="25"/>
      <c r="H1356" s="12"/>
      <c r="I1356" s="31"/>
      <c r="J1356" s="12"/>
      <c r="K1356" s="12"/>
      <c r="L1356" s="16"/>
      <c r="M1356" s="46"/>
      <c r="N1356" s="46"/>
      <c r="O1356" s="31"/>
      <c r="P1356" s="16"/>
      <c r="Q1356" s="16"/>
      <c r="R1356" s="16" t="str">
        <f t="shared" si="2"/>
        <v/>
      </c>
    </row>
    <row r="1357">
      <c r="B1357" s="16"/>
      <c r="C1357" s="12"/>
      <c r="D1357" s="12"/>
      <c r="E1357" s="12"/>
      <c r="F1357" s="12"/>
      <c r="G1357" s="25"/>
      <c r="H1357" s="12"/>
      <c r="I1357" s="31"/>
      <c r="J1357" s="12"/>
      <c r="K1357" s="12"/>
      <c r="L1357" s="16"/>
      <c r="M1357" s="46"/>
      <c r="N1357" s="46"/>
      <c r="O1357" s="31"/>
      <c r="P1357" s="16"/>
      <c r="Q1357" s="16"/>
      <c r="R1357" s="16" t="str">
        <f t="shared" si="2"/>
        <v/>
      </c>
    </row>
    <row r="1358">
      <c r="B1358" s="16"/>
      <c r="C1358" s="12"/>
      <c r="D1358" s="12"/>
      <c r="E1358" s="12"/>
      <c r="F1358" s="12"/>
      <c r="G1358" s="25"/>
      <c r="H1358" s="12"/>
      <c r="I1358" s="31"/>
      <c r="J1358" s="12"/>
      <c r="K1358" s="12"/>
      <c r="L1358" s="16"/>
      <c r="M1358" s="46"/>
      <c r="N1358" s="46"/>
      <c r="O1358" s="31"/>
      <c r="P1358" s="16"/>
      <c r="Q1358" s="16"/>
      <c r="R1358" s="16" t="str">
        <f t="shared" si="2"/>
        <v/>
      </c>
    </row>
    <row r="1359">
      <c r="B1359" s="16"/>
      <c r="C1359" s="12"/>
      <c r="D1359" s="12"/>
      <c r="E1359" s="12"/>
      <c r="F1359" s="12"/>
      <c r="G1359" s="25"/>
      <c r="H1359" s="12"/>
      <c r="I1359" s="31"/>
      <c r="J1359" s="12"/>
      <c r="K1359" s="12"/>
      <c r="L1359" s="16"/>
      <c r="M1359" s="46"/>
      <c r="N1359" s="46"/>
      <c r="O1359" s="31"/>
      <c r="P1359" s="16"/>
      <c r="Q1359" s="16"/>
      <c r="R1359" s="16" t="str">
        <f t="shared" si="2"/>
        <v/>
      </c>
    </row>
    <row r="1360">
      <c r="B1360" s="16"/>
      <c r="C1360" s="12"/>
      <c r="D1360" s="12"/>
      <c r="E1360" s="12"/>
      <c r="F1360" s="12"/>
      <c r="G1360" s="25"/>
      <c r="H1360" s="12"/>
      <c r="I1360" s="31"/>
      <c r="J1360" s="12"/>
      <c r="K1360" s="12"/>
      <c r="L1360" s="16"/>
      <c r="M1360" s="46"/>
      <c r="N1360" s="46"/>
      <c r="O1360" s="31"/>
      <c r="P1360" s="16"/>
      <c r="Q1360" s="16"/>
      <c r="R1360" s="16" t="str">
        <f t="shared" si="2"/>
        <v/>
      </c>
    </row>
    <row r="1361">
      <c r="B1361" s="16"/>
      <c r="C1361" s="12"/>
      <c r="D1361" s="12"/>
      <c r="E1361" s="12"/>
      <c r="F1361" s="12"/>
      <c r="G1361" s="25"/>
      <c r="H1361" s="12"/>
      <c r="I1361" s="31"/>
      <c r="J1361" s="12"/>
      <c r="K1361" s="12"/>
      <c r="L1361" s="16"/>
      <c r="M1361" s="46"/>
      <c r="N1361" s="46"/>
      <c r="O1361" s="31"/>
      <c r="P1361" s="16"/>
      <c r="Q1361" s="16"/>
      <c r="R1361" s="16" t="str">
        <f t="shared" si="2"/>
        <v/>
      </c>
    </row>
    <row r="1362">
      <c r="B1362" s="16"/>
      <c r="C1362" s="12"/>
      <c r="D1362" s="12"/>
      <c r="E1362" s="12"/>
      <c r="F1362" s="12"/>
      <c r="G1362" s="25"/>
      <c r="H1362" s="12"/>
      <c r="I1362" s="31"/>
      <c r="J1362" s="12"/>
      <c r="K1362" s="12"/>
      <c r="L1362" s="16"/>
      <c r="M1362" s="46"/>
      <c r="N1362" s="46"/>
      <c r="O1362" s="31"/>
      <c r="P1362" s="16"/>
      <c r="Q1362" s="16"/>
      <c r="R1362" s="16" t="str">
        <f t="shared" si="2"/>
        <v/>
      </c>
    </row>
    <row r="1363">
      <c r="B1363" s="16"/>
      <c r="C1363" s="12"/>
      <c r="D1363" s="12"/>
      <c r="E1363" s="12"/>
      <c r="F1363" s="12"/>
      <c r="G1363" s="25"/>
      <c r="H1363" s="12"/>
      <c r="I1363" s="31"/>
      <c r="J1363" s="12"/>
      <c r="K1363" s="12"/>
      <c r="L1363" s="16"/>
      <c r="M1363" s="46"/>
      <c r="N1363" s="46"/>
      <c r="O1363" s="31"/>
      <c r="P1363" s="16"/>
      <c r="Q1363" s="16"/>
      <c r="R1363" s="16" t="str">
        <f t="shared" si="2"/>
        <v/>
      </c>
    </row>
    <row r="1364">
      <c r="B1364" s="16"/>
      <c r="C1364" s="12"/>
      <c r="D1364" s="12"/>
      <c r="E1364" s="12"/>
      <c r="F1364" s="12"/>
      <c r="G1364" s="25"/>
      <c r="H1364" s="12"/>
      <c r="I1364" s="31"/>
      <c r="J1364" s="12"/>
      <c r="K1364" s="12"/>
      <c r="L1364" s="16"/>
      <c r="M1364" s="46"/>
      <c r="N1364" s="46"/>
      <c r="O1364" s="31"/>
      <c r="P1364" s="16"/>
      <c r="Q1364" s="16"/>
      <c r="R1364" s="16" t="str">
        <f t="shared" si="2"/>
        <v/>
      </c>
    </row>
    <row r="1365">
      <c r="B1365" s="16"/>
      <c r="C1365" s="12"/>
      <c r="D1365" s="12"/>
      <c r="E1365" s="12"/>
      <c r="F1365" s="12"/>
      <c r="G1365" s="25"/>
      <c r="H1365" s="12"/>
      <c r="I1365" s="31"/>
      <c r="J1365" s="12"/>
      <c r="K1365" s="12"/>
      <c r="L1365" s="16"/>
      <c r="M1365" s="46"/>
      <c r="N1365" s="46"/>
      <c r="O1365" s="31"/>
      <c r="P1365" s="16"/>
      <c r="Q1365" s="16"/>
      <c r="R1365" s="16" t="str">
        <f t="shared" si="2"/>
        <v/>
      </c>
    </row>
    <row r="1366">
      <c r="B1366" s="16"/>
      <c r="C1366" s="12"/>
      <c r="D1366" s="12"/>
      <c r="E1366" s="12"/>
      <c r="F1366" s="12"/>
      <c r="G1366" s="25"/>
      <c r="H1366" s="12"/>
      <c r="I1366" s="31"/>
      <c r="J1366" s="12"/>
      <c r="K1366" s="12"/>
      <c r="L1366" s="16"/>
      <c r="M1366" s="46"/>
      <c r="N1366" s="46"/>
      <c r="O1366" s="31"/>
      <c r="P1366" s="16"/>
      <c r="Q1366" s="16"/>
      <c r="R1366" s="16" t="str">
        <f t="shared" si="2"/>
        <v/>
      </c>
    </row>
    <row r="1367">
      <c r="B1367" s="16"/>
      <c r="C1367" s="12"/>
      <c r="D1367" s="12"/>
      <c r="E1367" s="12"/>
      <c r="F1367" s="12"/>
      <c r="G1367" s="25"/>
      <c r="H1367" s="12"/>
      <c r="I1367" s="31"/>
      <c r="J1367" s="12"/>
      <c r="K1367" s="12"/>
      <c r="L1367" s="16"/>
      <c r="M1367" s="46"/>
      <c r="N1367" s="46"/>
      <c r="O1367" s="31"/>
      <c r="P1367" s="16"/>
      <c r="Q1367" s="16"/>
      <c r="R1367" s="16" t="str">
        <f t="shared" si="2"/>
        <v/>
      </c>
    </row>
    <row r="1368">
      <c r="B1368" s="16"/>
      <c r="C1368" s="12"/>
      <c r="D1368" s="12"/>
      <c r="E1368" s="12"/>
      <c r="F1368" s="12"/>
      <c r="G1368" s="25"/>
      <c r="H1368" s="12"/>
      <c r="I1368" s="31"/>
      <c r="J1368" s="12"/>
      <c r="K1368" s="12"/>
      <c r="L1368" s="16"/>
      <c r="M1368" s="46"/>
      <c r="N1368" s="46"/>
      <c r="O1368" s="31"/>
      <c r="P1368" s="16"/>
      <c r="Q1368" s="16"/>
      <c r="R1368" s="16" t="str">
        <f t="shared" si="2"/>
        <v/>
      </c>
    </row>
    <row r="1369">
      <c r="B1369" s="16"/>
      <c r="C1369" s="12"/>
      <c r="D1369" s="12"/>
      <c r="E1369" s="12"/>
      <c r="F1369" s="12"/>
      <c r="G1369" s="25"/>
      <c r="H1369" s="12"/>
      <c r="I1369" s="31"/>
      <c r="J1369" s="12"/>
      <c r="K1369" s="12"/>
      <c r="L1369" s="16"/>
      <c r="M1369" s="46"/>
      <c r="N1369" s="46"/>
      <c r="O1369" s="31"/>
      <c r="P1369" s="16"/>
      <c r="Q1369" s="16"/>
      <c r="R1369" s="16" t="str">
        <f t="shared" si="2"/>
        <v/>
      </c>
    </row>
    <row r="1370">
      <c r="B1370" s="16"/>
      <c r="C1370" s="12"/>
      <c r="D1370" s="12"/>
      <c r="E1370" s="12"/>
      <c r="F1370" s="12"/>
      <c r="G1370" s="25"/>
      <c r="H1370" s="12"/>
      <c r="I1370" s="31"/>
      <c r="J1370" s="12"/>
      <c r="K1370" s="12"/>
      <c r="L1370" s="16"/>
      <c r="M1370" s="46"/>
      <c r="N1370" s="46"/>
      <c r="O1370" s="31"/>
      <c r="P1370" s="16"/>
      <c r="Q1370" s="16"/>
      <c r="R1370" s="16" t="str">
        <f t="shared" si="2"/>
        <v/>
      </c>
    </row>
    <row r="1371">
      <c r="B1371" s="16"/>
      <c r="C1371" s="12"/>
      <c r="D1371" s="12"/>
      <c r="E1371" s="12"/>
      <c r="F1371" s="12"/>
      <c r="G1371" s="25"/>
      <c r="H1371" s="12"/>
      <c r="I1371" s="31"/>
      <c r="J1371" s="12"/>
      <c r="K1371" s="12"/>
      <c r="L1371" s="16"/>
      <c r="M1371" s="46"/>
      <c r="N1371" s="46"/>
      <c r="O1371" s="31"/>
      <c r="P1371" s="16"/>
      <c r="Q1371" s="16"/>
      <c r="R1371" s="16" t="str">
        <f t="shared" si="2"/>
        <v/>
      </c>
    </row>
    <row r="1372">
      <c r="B1372" s="16"/>
      <c r="C1372" s="12"/>
      <c r="D1372" s="12"/>
      <c r="E1372" s="12"/>
      <c r="F1372" s="12"/>
      <c r="G1372" s="25"/>
      <c r="H1372" s="12"/>
      <c r="I1372" s="31"/>
      <c r="J1372" s="12"/>
      <c r="K1372" s="12"/>
      <c r="L1372" s="16"/>
      <c r="M1372" s="46"/>
      <c r="N1372" s="46"/>
      <c r="O1372" s="31"/>
      <c r="P1372" s="16"/>
      <c r="Q1372" s="16"/>
      <c r="R1372" s="16" t="str">
        <f t="shared" si="2"/>
        <v/>
      </c>
    </row>
    <row r="1373">
      <c r="B1373" s="16"/>
      <c r="C1373" s="12"/>
      <c r="D1373" s="12"/>
      <c r="E1373" s="12"/>
      <c r="F1373" s="12"/>
      <c r="G1373" s="25"/>
      <c r="H1373" s="12"/>
      <c r="I1373" s="31"/>
      <c r="J1373" s="12"/>
      <c r="K1373" s="12"/>
      <c r="L1373" s="16"/>
      <c r="M1373" s="46"/>
      <c r="N1373" s="46"/>
      <c r="O1373" s="31"/>
      <c r="P1373" s="16"/>
      <c r="Q1373" s="16"/>
      <c r="R1373" s="16" t="str">
        <f t="shared" si="2"/>
        <v/>
      </c>
    </row>
    <row r="1374">
      <c r="B1374" s="16"/>
      <c r="C1374" s="12"/>
      <c r="D1374" s="12"/>
      <c r="E1374" s="12"/>
      <c r="F1374" s="12"/>
      <c r="G1374" s="25"/>
      <c r="H1374" s="12"/>
      <c r="I1374" s="31"/>
      <c r="J1374" s="12"/>
      <c r="K1374" s="12"/>
      <c r="L1374" s="16"/>
      <c r="M1374" s="46"/>
      <c r="N1374" s="46"/>
      <c r="O1374" s="31"/>
      <c r="P1374" s="16"/>
      <c r="Q1374" s="16"/>
      <c r="R1374" s="16" t="str">
        <f t="shared" si="2"/>
        <v/>
      </c>
    </row>
    <row r="1375">
      <c r="B1375" s="16"/>
      <c r="C1375" s="12"/>
      <c r="D1375" s="12"/>
      <c r="E1375" s="12"/>
      <c r="F1375" s="12"/>
      <c r="G1375" s="25"/>
      <c r="H1375" s="12"/>
      <c r="I1375" s="31"/>
      <c r="J1375" s="12"/>
      <c r="K1375" s="12"/>
      <c r="L1375" s="16"/>
      <c r="M1375" s="46"/>
      <c r="N1375" s="46"/>
      <c r="O1375" s="31"/>
      <c r="P1375" s="16"/>
      <c r="Q1375" s="16"/>
      <c r="R1375" s="16" t="str">
        <f t="shared" si="2"/>
        <v/>
      </c>
    </row>
    <row r="1376">
      <c r="B1376" s="16"/>
      <c r="C1376" s="12"/>
      <c r="D1376" s="12"/>
      <c r="E1376" s="12"/>
      <c r="F1376" s="12"/>
      <c r="G1376" s="25"/>
      <c r="H1376" s="12"/>
      <c r="I1376" s="31"/>
      <c r="J1376" s="12"/>
      <c r="K1376" s="12"/>
      <c r="L1376" s="16"/>
      <c r="M1376" s="46"/>
      <c r="N1376" s="46"/>
      <c r="O1376" s="31"/>
      <c r="P1376" s="16"/>
      <c r="Q1376" s="16"/>
      <c r="R1376" s="16" t="str">
        <f t="shared" si="2"/>
        <v/>
      </c>
    </row>
    <row r="1377">
      <c r="B1377" s="16"/>
      <c r="C1377" s="12"/>
      <c r="D1377" s="12"/>
      <c r="E1377" s="12"/>
      <c r="F1377" s="12"/>
      <c r="G1377" s="25"/>
      <c r="H1377" s="12"/>
      <c r="I1377" s="31"/>
      <c r="J1377" s="12"/>
      <c r="K1377" s="12"/>
      <c r="L1377" s="16"/>
      <c r="M1377" s="46"/>
      <c r="N1377" s="46"/>
      <c r="O1377" s="31"/>
      <c r="P1377" s="16"/>
      <c r="Q1377" s="16"/>
      <c r="R1377" s="16" t="str">
        <f t="shared" si="2"/>
        <v/>
      </c>
    </row>
    <row r="1378">
      <c r="B1378" s="16"/>
      <c r="C1378" s="12"/>
      <c r="D1378" s="12"/>
      <c r="E1378" s="12"/>
      <c r="F1378" s="12"/>
      <c r="G1378" s="25"/>
      <c r="H1378" s="12"/>
      <c r="I1378" s="31"/>
      <c r="J1378" s="12"/>
      <c r="K1378" s="12"/>
      <c r="L1378" s="16"/>
      <c r="M1378" s="46"/>
      <c r="N1378" s="46"/>
      <c r="O1378" s="31"/>
      <c r="P1378" s="16"/>
      <c r="Q1378" s="16"/>
      <c r="R1378" s="16" t="str">
        <f t="shared" si="2"/>
        <v/>
      </c>
    </row>
    <row r="1379">
      <c r="B1379" s="16"/>
      <c r="C1379" s="12"/>
      <c r="D1379" s="12"/>
      <c r="E1379" s="12"/>
      <c r="F1379" s="12"/>
      <c r="G1379" s="25"/>
      <c r="H1379" s="12"/>
      <c r="I1379" s="31"/>
      <c r="J1379" s="12"/>
      <c r="K1379" s="12"/>
      <c r="L1379" s="16"/>
      <c r="M1379" s="46"/>
      <c r="N1379" s="46"/>
      <c r="O1379" s="31"/>
      <c r="P1379" s="16"/>
      <c r="Q1379" s="16"/>
      <c r="R1379" s="16" t="str">
        <f t="shared" si="2"/>
        <v/>
      </c>
    </row>
    <row r="1380">
      <c r="B1380" s="16"/>
      <c r="C1380" s="12"/>
      <c r="D1380" s="12"/>
      <c r="E1380" s="12"/>
      <c r="F1380" s="12"/>
      <c r="G1380" s="25"/>
      <c r="H1380" s="12"/>
      <c r="I1380" s="31"/>
      <c r="J1380" s="12"/>
      <c r="K1380" s="12"/>
      <c r="L1380" s="16"/>
      <c r="M1380" s="46"/>
      <c r="N1380" s="46"/>
      <c r="O1380" s="31"/>
      <c r="P1380" s="16"/>
      <c r="Q1380" s="16"/>
      <c r="R1380" s="16" t="str">
        <f t="shared" si="2"/>
        <v/>
      </c>
    </row>
    <row r="1381">
      <c r="B1381" s="16"/>
      <c r="C1381" s="12"/>
      <c r="D1381" s="12"/>
      <c r="E1381" s="12"/>
      <c r="F1381" s="12"/>
      <c r="G1381" s="25"/>
      <c r="H1381" s="12"/>
      <c r="I1381" s="31"/>
      <c r="J1381" s="12"/>
      <c r="K1381" s="12"/>
      <c r="L1381" s="16"/>
      <c r="M1381" s="46"/>
      <c r="N1381" s="46"/>
      <c r="O1381" s="31"/>
      <c r="P1381" s="16"/>
      <c r="Q1381" s="16"/>
      <c r="R1381" s="16" t="str">
        <f t="shared" si="2"/>
        <v/>
      </c>
    </row>
    <row r="1382">
      <c r="B1382" s="16"/>
      <c r="C1382" s="12"/>
      <c r="D1382" s="12"/>
      <c r="E1382" s="12"/>
      <c r="F1382" s="12"/>
      <c r="G1382" s="25"/>
      <c r="H1382" s="12"/>
      <c r="I1382" s="31"/>
      <c r="J1382" s="12"/>
      <c r="K1382" s="12"/>
      <c r="L1382" s="16"/>
      <c r="M1382" s="46"/>
      <c r="N1382" s="46"/>
      <c r="O1382" s="31"/>
      <c r="P1382" s="16"/>
      <c r="Q1382" s="16"/>
      <c r="R1382" s="16" t="str">
        <f t="shared" si="2"/>
        <v/>
      </c>
    </row>
    <row r="1383">
      <c r="B1383" s="16"/>
      <c r="C1383" s="12"/>
      <c r="D1383" s="12"/>
      <c r="E1383" s="12"/>
      <c r="F1383" s="12"/>
      <c r="G1383" s="25"/>
      <c r="H1383" s="12"/>
      <c r="I1383" s="31"/>
      <c r="J1383" s="12"/>
      <c r="K1383" s="12"/>
      <c r="L1383" s="16"/>
      <c r="M1383" s="46"/>
      <c r="N1383" s="46"/>
      <c r="O1383" s="31"/>
      <c r="P1383" s="16"/>
      <c r="Q1383" s="16"/>
      <c r="R1383" s="16" t="str">
        <f t="shared" si="2"/>
        <v/>
      </c>
    </row>
    <row r="1384">
      <c r="B1384" s="16"/>
      <c r="C1384" s="12"/>
      <c r="D1384" s="12"/>
      <c r="E1384" s="12"/>
      <c r="F1384" s="12"/>
      <c r="G1384" s="25"/>
      <c r="H1384" s="12"/>
      <c r="I1384" s="31"/>
      <c r="J1384" s="12"/>
      <c r="K1384" s="12"/>
      <c r="L1384" s="16"/>
      <c r="M1384" s="46"/>
      <c r="N1384" s="46"/>
      <c r="O1384" s="31"/>
      <c r="P1384" s="16"/>
      <c r="Q1384" s="16"/>
      <c r="R1384" s="16" t="str">
        <f t="shared" si="2"/>
        <v/>
      </c>
    </row>
    <row r="1385">
      <c r="B1385" s="16"/>
      <c r="C1385" s="12"/>
      <c r="D1385" s="12"/>
      <c r="E1385" s="12"/>
      <c r="F1385" s="12"/>
      <c r="G1385" s="25"/>
      <c r="H1385" s="12"/>
      <c r="I1385" s="31"/>
      <c r="J1385" s="12"/>
      <c r="K1385" s="12"/>
      <c r="L1385" s="16"/>
      <c r="M1385" s="46"/>
      <c r="N1385" s="46"/>
      <c r="O1385" s="31"/>
      <c r="P1385" s="16"/>
      <c r="Q1385" s="16"/>
      <c r="R1385" s="16" t="str">
        <f t="shared" si="2"/>
        <v/>
      </c>
    </row>
    <row r="1386">
      <c r="B1386" s="16"/>
      <c r="C1386" s="12"/>
      <c r="D1386" s="12"/>
      <c r="E1386" s="12"/>
      <c r="F1386" s="12"/>
      <c r="G1386" s="25"/>
      <c r="H1386" s="12"/>
      <c r="I1386" s="31"/>
      <c r="J1386" s="12"/>
      <c r="K1386" s="12"/>
      <c r="L1386" s="16"/>
      <c r="M1386" s="46"/>
      <c r="N1386" s="46"/>
      <c r="O1386" s="31"/>
      <c r="P1386" s="16"/>
      <c r="Q1386" s="16"/>
      <c r="R1386" s="16" t="str">
        <f t="shared" si="2"/>
        <v/>
      </c>
    </row>
    <row r="1387">
      <c r="B1387" s="16"/>
      <c r="C1387" s="12"/>
      <c r="D1387" s="12"/>
      <c r="E1387" s="12"/>
      <c r="F1387" s="12"/>
      <c r="G1387" s="25"/>
      <c r="H1387" s="12"/>
      <c r="I1387" s="31"/>
      <c r="J1387" s="12"/>
      <c r="K1387" s="12"/>
      <c r="L1387" s="16"/>
      <c r="M1387" s="46"/>
      <c r="N1387" s="46"/>
      <c r="O1387" s="31"/>
      <c r="P1387" s="16"/>
      <c r="Q1387" s="16"/>
      <c r="R1387" s="16" t="str">
        <f t="shared" si="2"/>
        <v/>
      </c>
    </row>
    <row r="1388">
      <c r="B1388" s="16"/>
      <c r="C1388" s="12"/>
      <c r="D1388" s="12"/>
      <c r="E1388" s="12"/>
      <c r="F1388" s="12"/>
      <c r="G1388" s="25"/>
      <c r="H1388" s="12"/>
      <c r="I1388" s="31"/>
      <c r="J1388" s="12"/>
      <c r="K1388" s="12"/>
      <c r="L1388" s="16"/>
      <c r="M1388" s="46"/>
      <c r="N1388" s="46"/>
      <c r="O1388" s="31"/>
      <c r="P1388" s="16"/>
      <c r="Q1388" s="16"/>
      <c r="R1388" s="16" t="str">
        <f t="shared" si="2"/>
        <v/>
      </c>
    </row>
    <row r="1389">
      <c r="B1389" s="16"/>
      <c r="C1389" s="12"/>
      <c r="D1389" s="12"/>
      <c r="E1389" s="12"/>
      <c r="F1389" s="12"/>
      <c r="G1389" s="25"/>
      <c r="H1389" s="12"/>
      <c r="I1389" s="31"/>
      <c r="J1389" s="12"/>
      <c r="K1389" s="12"/>
      <c r="L1389" s="16"/>
      <c r="M1389" s="46"/>
      <c r="N1389" s="46"/>
      <c r="O1389" s="31"/>
      <c r="P1389" s="16"/>
      <c r="Q1389" s="16"/>
      <c r="R1389" s="16" t="str">
        <f t="shared" si="2"/>
        <v/>
      </c>
    </row>
    <row r="1390">
      <c r="B1390" s="16"/>
      <c r="C1390" s="12"/>
      <c r="D1390" s="12"/>
      <c r="E1390" s="12"/>
      <c r="F1390" s="12"/>
      <c r="G1390" s="25"/>
      <c r="H1390" s="12"/>
      <c r="I1390" s="31"/>
      <c r="J1390" s="12"/>
      <c r="K1390" s="12"/>
      <c r="L1390" s="16"/>
      <c r="M1390" s="46"/>
      <c r="N1390" s="46"/>
      <c r="O1390" s="31"/>
      <c r="P1390" s="16"/>
      <c r="Q1390" s="16"/>
      <c r="R1390" s="16" t="str">
        <f t="shared" si="2"/>
        <v/>
      </c>
    </row>
    <row r="1391">
      <c r="B1391" s="16"/>
      <c r="C1391" s="12"/>
      <c r="D1391" s="12"/>
      <c r="E1391" s="12"/>
      <c r="F1391" s="12"/>
      <c r="G1391" s="25"/>
      <c r="H1391" s="12"/>
      <c r="I1391" s="31"/>
      <c r="J1391" s="12"/>
      <c r="K1391" s="12"/>
      <c r="L1391" s="16"/>
      <c r="M1391" s="46"/>
      <c r="N1391" s="46"/>
      <c r="O1391" s="31"/>
      <c r="P1391" s="16"/>
      <c r="Q1391" s="16"/>
      <c r="R1391" s="16" t="str">
        <f t="shared" si="2"/>
        <v/>
      </c>
    </row>
    <row r="1392">
      <c r="B1392" s="16"/>
      <c r="C1392" s="12"/>
      <c r="D1392" s="12"/>
      <c r="E1392" s="12"/>
      <c r="F1392" s="12"/>
      <c r="G1392" s="25"/>
      <c r="H1392" s="12"/>
      <c r="I1392" s="31"/>
      <c r="J1392" s="12"/>
      <c r="K1392" s="12"/>
      <c r="L1392" s="16"/>
      <c r="M1392" s="46"/>
      <c r="N1392" s="46"/>
      <c r="O1392" s="31"/>
      <c r="P1392" s="16"/>
      <c r="Q1392" s="16"/>
      <c r="R1392" s="16" t="str">
        <f t="shared" si="2"/>
        <v/>
      </c>
    </row>
    <row r="1393">
      <c r="B1393" s="16"/>
      <c r="C1393" s="12"/>
      <c r="D1393" s="12"/>
      <c r="E1393" s="12"/>
      <c r="F1393" s="12"/>
      <c r="G1393" s="25"/>
      <c r="H1393" s="12"/>
      <c r="I1393" s="31"/>
      <c r="J1393" s="12"/>
      <c r="K1393" s="12"/>
      <c r="L1393" s="16"/>
      <c r="M1393" s="46"/>
      <c r="N1393" s="46"/>
      <c r="O1393" s="31"/>
      <c r="P1393" s="16"/>
      <c r="Q1393" s="16"/>
      <c r="R1393" s="16" t="str">
        <f t="shared" si="2"/>
        <v/>
      </c>
    </row>
    <row r="1394">
      <c r="B1394" s="16"/>
      <c r="C1394" s="12"/>
      <c r="D1394" s="12"/>
      <c r="E1394" s="12"/>
      <c r="F1394" s="12"/>
      <c r="G1394" s="25"/>
      <c r="H1394" s="12"/>
      <c r="I1394" s="31"/>
      <c r="J1394" s="12"/>
      <c r="K1394" s="12"/>
      <c r="L1394" s="16"/>
      <c r="M1394" s="46"/>
      <c r="N1394" s="46"/>
      <c r="O1394" s="31"/>
      <c r="P1394" s="16"/>
      <c r="Q1394" s="16"/>
      <c r="R1394" s="16" t="str">
        <f t="shared" si="2"/>
        <v/>
      </c>
    </row>
    <row r="1395">
      <c r="B1395" s="16"/>
      <c r="C1395" s="12"/>
      <c r="D1395" s="12"/>
      <c r="E1395" s="12"/>
      <c r="F1395" s="12"/>
      <c r="G1395" s="25"/>
      <c r="H1395" s="12"/>
      <c r="I1395" s="31"/>
      <c r="J1395" s="12"/>
      <c r="K1395" s="12"/>
      <c r="L1395" s="16"/>
      <c r="M1395" s="46"/>
      <c r="N1395" s="46"/>
      <c r="O1395" s="31"/>
      <c r="P1395" s="16"/>
      <c r="Q1395" s="16"/>
      <c r="R1395" s="16" t="str">
        <f t="shared" si="2"/>
        <v/>
      </c>
    </row>
    <row r="1396">
      <c r="B1396" s="16"/>
      <c r="C1396" s="12"/>
      <c r="D1396" s="12"/>
      <c r="E1396" s="12"/>
      <c r="F1396" s="12"/>
      <c r="G1396" s="25"/>
      <c r="H1396" s="12"/>
      <c r="I1396" s="31"/>
      <c r="J1396" s="12"/>
      <c r="K1396" s="12"/>
      <c r="L1396" s="16"/>
      <c r="M1396" s="46"/>
      <c r="N1396" s="46"/>
      <c r="O1396" s="31"/>
      <c r="P1396" s="16"/>
      <c r="Q1396" s="16"/>
      <c r="R1396" s="16" t="str">
        <f t="shared" si="2"/>
        <v/>
      </c>
    </row>
    <row r="1397">
      <c r="B1397" s="16"/>
      <c r="C1397" s="12"/>
      <c r="D1397" s="12"/>
      <c r="E1397" s="12"/>
      <c r="F1397" s="12"/>
      <c r="G1397" s="25"/>
      <c r="H1397" s="12"/>
      <c r="I1397" s="31"/>
      <c r="J1397" s="12"/>
      <c r="K1397" s="12"/>
      <c r="L1397" s="16"/>
      <c r="M1397" s="46"/>
      <c r="N1397" s="46"/>
      <c r="O1397" s="31"/>
      <c r="P1397" s="16"/>
      <c r="Q1397" s="16"/>
      <c r="R1397" s="16" t="str">
        <f t="shared" si="2"/>
        <v/>
      </c>
    </row>
    <row r="1398">
      <c r="B1398" s="16"/>
      <c r="C1398" s="12"/>
      <c r="D1398" s="12"/>
      <c r="E1398" s="12"/>
      <c r="F1398" s="12"/>
      <c r="G1398" s="25"/>
      <c r="H1398" s="12"/>
      <c r="I1398" s="31"/>
      <c r="J1398" s="12"/>
      <c r="K1398" s="12"/>
      <c r="L1398" s="16"/>
      <c r="M1398" s="46"/>
      <c r="N1398" s="46"/>
      <c r="O1398" s="31"/>
      <c r="P1398" s="16"/>
      <c r="Q1398" s="16"/>
      <c r="R1398" s="16" t="str">
        <f t="shared" si="2"/>
        <v/>
      </c>
    </row>
    <row r="1399">
      <c r="B1399" s="16"/>
      <c r="C1399" s="12"/>
      <c r="D1399" s="12"/>
      <c r="E1399" s="12"/>
      <c r="F1399" s="12"/>
      <c r="G1399" s="25"/>
      <c r="H1399" s="12"/>
      <c r="I1399" s="31"/>
      <c r="J1399" s="12"/>
      <c r="K1399" s="12"/>
      <c r="L1399" s="16"/>
      <c r="M1399" s="46"/>
      <c r="N1399" s="46"/>
      <c r="O1399" s="31"/>
      <c r="P1399" s="16"/>
      <c r="Q1399" s="16"/>
      <c r="R1399" s="16" t="str">
        <f t="shared" si="2"/>
        <v/>
      </c>
    </row>
    <row r="1400">
      <c r="B1400" s="16"/>
      <c r="C1400" s="12"/>
      <c r="D1400" s="12"/>
      <c r="E1400" s="12"/>
      <c r="F1400" s="12"/>
      <c r="G1400" s="25"/>
      <c r="H1400" s="12"/>
      <c r="I1400" s="31"/>
      <c r="J1400" s="12"/>
      <c r="K1400" s="12"/>
      <c r="L1400" s="16"/>
      <c r="M1400" s="46"/>
      <c r="N1400" s="46"/>
      <c r="O1400" s="31"/>
      <c r="P1400" s="16"/>
      <c r="Q1400" s="16"/>
      <c r="R1400" s="16" t="str">
        <f t="shared" si="2"/>
        <v/>
      </c>
    </row>
    <row r="1401">
      <c r="B1401" s="16"/>
      <c r="C1401" s="12"/>
      <c r="D1401" s="12"/>
      <c r="E1401" s="12"/>
      <c r="F1401" s="12"/>
      <c r="G1401" s="25"/>
      <c r="H1401" s="12"/>
      <c r="I1401" s="31"/>
      <c r="J1401" s="12"/>
      <c r="K1401" s="12"/>
      <c r="L1401" s="16"/>
      <c r="M1401" s="46"/>
      <c r="N1401" s="46"/>
      <c r="O1401" s="31"/>
      <c r="P1401" s="16"/>
      <c r="Q1401" s="16"/>
      <c r="R1401" s="16" t="str">
        <f t="shared" si="2"/>
        <v/>
      </c>
    </row>
    <row r="1402">
      <c r="B1402" s="16"/>
      <c r="C1402" s="12"/>
      <c r="D1402" s="12"/>
      <c r="E1402" s="12"/>
      <c r="F1402" s="12"/>
      <c r="G1402" s="25"/>
      <c r="H1402" s="12"/>
      <c r="I1402" s="31"/>
      <c r="J1402" s="12"/>
      <c r="K1402" s="12"/>
      <c r="L1402" s="16"/>
      <c r="M1402" s="46"/>
      <c r="N1402" s="46"/>
      <c r="O1402" s="31"/>
      <c r="P1402" s="16"/>
      <c r="Q1402" s="16"/>
      <c r="R1402" s="16" t="str">
        <f t="shared" si="2"/>
        <v/>
      </c>
    </row>
    <row r="1403">
      <c r="B1403" s="16"/>
      <c r="C1403" s="12"/>
      <c r="D1403" s="12"/>
      <c r="E1403" s="12"/>
      <c r="F1403" s="12"/>
      <c r="G1403" s="25"/>
      <c r="H1403" s="12"/>
      <c r="I1403" s="31"/>
      <c r="J1403" s="12"/>
      <c r="K1403" s="12"/>
      <c r="L1403" s="16"/>
      <c r="M1403" s="46"/>
      <c r="N1403" s="46"/>
      <c r="O1403" s="31"/>
      <c r="P1403" s="16"/>
      <c r="Q1403" s="16"/>
      <c r="R1403" s="16" t="str">
        <f t="shared" si="2"/>
        <v/>
      </c>
    </row>
    <row r="1404">
      <c r="B1404" s="16"/>
      <c r="C1404" s="12"/>
      <c r="D1404" s="12"/>
      <c r="E1404" s="12"/>
      <c r="F1404" s="12"/>
      <c r="G1404" s="25"/>
      <c r="H1404" s="12"/>
      <c r="I1404" s="31"/>
      <c r="J1404" s="12"/>
      <c r="K1404" s="12"/>
      <c r="L1404" s="16"/>
      <c r="M1404" s="46"/>
      <c r="N1404" s="46"/>
      <c r="O1404" s="31"/>
      <c r="P1404" s="16"/>
      <c r="Q1404" s="16"/>
      <c r="R1404" s="16" t="str">
        <f t="shared" si="2"/>
        <v/>
      </c>
    </row>
    <row r="1405">
      <c r="B1405" s="16"/>
      <c r="C1405" s="12"/>
      <c r="D1405" s="12"/>
      <c r="E1405" s="12"/>
      <c r="F1405" s="12"/>
      <c r="G1405" s="25"/>
      <c r="H1405" s="12"/>
      <c r="I1405" s="31"/>
      <c r="J1405" s="12"/>
      <c r="K1405" s="12"/>
      <c r="L1405" s="16"/>
      <c r="M1405" s="46"/>
      <c r="N1405" s="46"/>
      <c r="O1405" s="31"/>
      <c r="P1405" s="16"/>
      <c r="Q1405" s="16"/>
      <c r="R1405" s="16" t="str">
        <f t="shared" si="2"/>
        <v/>
      </c>
    </row>
    <row r="1406">
      <c r="B1406" s="16"/>
      <c r="C1406" s="12"/>
      <c r="D1406" s="12"/>
      <c r="E1406" s="12"/>
      <c r="F1406" s="12"/>
      <c r="G1406" s="25"/>
      <c r="H1406" s="12"/>
      <c r="I1406" s="31"/>
      <c r="J1406" s="12"/>
      <c r="K1406" s="12"/>
      <c r="L1406" s="16"/>
      <c r="M1406" s="46"/>
      <c r="N1406" s="46"/>
      <c r="O1406" s="31"/>
      <c r="P1406" s="16"/>
      <c r="Q1406" s="16"/>
      <c r="R1406" s="16" t="str">
        <f t="shared" si="2"/>
        <v/>
      </c>
    </row>
    <row r="1407">
      <c r="B1407" s="16"/>
      <c r="C1407" s="12"/>
      <c r="D1407" s="12"/>
      <c r="E1407" s="12"/>
      <c r="F1407" s="12"/>
      <c r="G1407" s="25"/>
      <c r="H1407" s="12"/>
      <c r="I1407" s="31"/>
      <c r="J1407" s="12"/>
      <c r="K1407" s="12"/>
      <c r="L1407" s="16"/>
      <c r="M1407" s="46"/>
      <c r="N1407" s="46"/>
      <c r="O1407" s="31"/>
      <c r="P1407" s="16"/>
      <c r="Q1407" s="16"/>
      <c r="R1407" s="16" t="str">
        <f t="shared" si="2"/>
        <v/>
      </c>
    </row>
    <row r="1408">
      <c r="B1408" s="16"/>
      <c r="C1408" s="12"/>
      <c r="D1408" s="12"/>
      <c r="E1408" s="12"/>
      <c r="F1408" s="12"/>
      <c r="G1408" s="25"/>
      <c r="H1408" s="12"/>
      <c r="I1408" s="31"/>
      <c r="J1408" s="12"/>
      <c r="K1408" s="12"/>
      <c r="L1408" s="16"/>
      <c r="M1408" s="46"/>
      <c r="N1408" s="46"/>
      <c r="O1408" s="31"/>
      <c r="P1408" s="16"/>
      <c r="Q1408" s="16"/>
      <c r="R1408" s="16" t="str">
        <f t="shared" si="2"/>
        <v/>
      </c>
    </row>
    <row r="1409">
      <c r="B1409" s="16"/>
      <c r="C1409" s="12"/>
      <c r="D1409" s="12"/>
      <c r="E1409" s="12"/>
      <c r="F1409" s="12"/>
      <c r="G1409" s="25"/>
      <c r="H1409" s="12"/>
      <c r="I1409" s="31"/>
      <c r="J1409" s="12"/>
      <c r="K1409" s="12"/>
      <c r="L1409" s="16"/>
      <c r="M1409" s="46"/>
      <c r="N1409" s="46"/>
      <c r="O1409" s="31"/>
      <c r="P1409" s="16"/>
      <c r="Q1409" s="16"/>
      <c r="R1409" s="16" t="str">
        <f t="shared" si="2"/>
        <v/>
      </c>
    </row>
    <row r="1410">
      <c r="B1410" s="16"/>
      <c r="C1410" s="12"/>
      <c r="D1410" s="12"/>
      <c r="E1410" s="12"/>
      <c r="F1410" s="12"/>
      <c r="G1410" s="25"/>
      <c r="H1410" s="12"/>
      <c r="I1410" s="31"/>
      <c r="J1410" s="12"/>
      <c r="K1410" s="12"/>
      <c r="L1410" s="16"/>
      <c r="M1410" s="46"/>
      <c r="N1410" s="46"/>
      <c r="O1410" s="31"/>
      <c r="P1410" s="16"/>
      <c r="Q1410" s="16"/>
      <c r="R1410" s="16" t="str">
        <f t="shared" si="2"/>
        <v/>
      </c>
    </row>
    <row r="1411">
      <c r="B1411" s="16"/>
      <c r="C1411" s="12"/>
      <c r="D1411" s="12"/>
      <c r="E1411" s="12"/>
      <c r="F1411" s="12"/>
      <c r="G1411" s="25"/>
      <c r="H1411" s="12"/>
      <c r="I1411" s="31"/>
      <c r="J1411" s="12"/>
      <c r="K1411" s="12"/>
      <c r="L1411" s="16"/>
      <c r="M1411" s="46"/>
      <c r="N1411" s="46"/>
      <c r="O1411" s="31"/>
      <c r="P1411" s="16"/>
      <c r="Q1411" s="16"/>
      <c r="R1411" s="16" t="str">
        <f t="shared" si="2"/>
        <v/>
      </c>
    </row>
    <row r="1412">
      <c r="B1412" s="16"/>
      <c r="C1412" s="12"/>
      <c r="D1412" s="12"/>
      <c r="E1412" s="12"/>
      <c r="F1412" s="12"/>
      <c r="G1412" s="25"/>
      <c r="H1412" s="12"/>
      <c r="I1412" s="31"/>
      <c r="J1412" s="12"/>
      <c r="K1412" s="12"/>
      <c r="L1412" s="16"/>
      <c r="M1412" s="46"/>
      <c r="N1412" s="46"/>
      <c r="O1412" s="31"/>
      <c r="P1412" s="16"/>
      <c r="Q1412" s="16"/>
      <c r="R1412" s="16" t="str">
        <f t="shared" si="2"/>
        <v/>
      </c>
    </row>
    <row r="1413">
      <c r="B1413" s="16"/>
      <c r="C1413" s="12"/>
      <c r="D1413" s="12"/>
      <c r="E1413" s="12"/>
      <c r="F1413" s="12"/>
      <c r="G1413" s="25"/>
      <c r="H1413" s="12"/>
      <c r="I1413" s="31"/>
      <c r="J1413" s="12"/>
      <c r="K1413" s="12"/>
      <c r="L1413" s="16"/>
      <c r="M1413" s="46"/>
      <c r="N1413" s="46"/>
      <c r="O1413" s="31"/>
      <c r="P1413" s="16"/>
      <c r="Q1413" s="16"/>
      <c r="R1413" s="16" t="str">
        <f t="shared" si="2"/>
        <v/>
      </c>
    </row>
    <row r="1414">
      <c r="B1414" s="16"/>
      <c r="C1414" s="12"/>
      <c r="D1414" s="12"/>
      <c r="E1414" s="12"/>
      <c r="F1414" s="12"/>
      <c r="G1414" s="25"/>
      <c r="H1414" s="12"/>
      <c r="I1414" s="31"/>
      <c r="J1414" s="12"/>
      <c r="K1414" s="12"/>
      <c r="L1414" s="16"/>
      <c r="M1414" s="46"/>
      <c r="N1414" s="46"/>
      <c r="O1414" s="31"/>
      <c r="P1414" s="16"/>
      <c r="Q1414" s="16"/>
      <c r="R1414" s="16" t="str">
        <f t="shared" si="2"/>
        <v/>
      </c>
    </row>
    <row r="1415">
      <c r="B1415" s="16"/>
      <c r="C1415" s="12"/>
      <c r="D1415" s="12"/>
      <c r="E1415" s="12"/>
      <c r="F1415" s="12"/>
      <c r="G1415" s="25"/>
      <c r="H1415" s="12"/>
      <c r="I1415" s="31"/>
      <c r="J1415" s="12"/>
      <c r="K1415" s="12"/>
      <c r="L1415" s="16"/>
      <c r="M1415" s="46"/>
      <c r="N1415" s="46"/>
      <c r="O1415" s="31"/>
      <c r="P1415" s="16"/>
      <c r="Q1415" s="16"/>
      <c r="R1415" s="16" t="str">
        <f t="shared" si="2"/>
        <v/>
      </c>
    </row>
    <row r="1416">
      <c r="B1416" s="16"/>
      <c r="C1416" s="12"/>
      <c r="D1416" s="12"/>
      <c r="E1416" s="12"/>
      <c r="F1416" s="12"/>
      <c r="G1416" s="25"/>
      <c r="H1416" s="12"/>
      <c r="I1416" s="31"/>
      <c r="J1416" s="12"/>
      <c r="K1416" s="12"/>
      <c r="L1416" s="16"/>
      <c r="M1416" s="46"/>
      <c r="N1416" s="46"/>
      <c r="O1416" s="31"/>
      <c r="P1416" s="16"/>
      <c r="Q1416" s="16"/>
      <c r="R1416" s="16" t="str">
        <f t="shared" si="2"/>
        <v/>
      </c>
    </row>
    <row r="1417">
      <c r="B1417" s="16"/>
      <c r="C1417" s="12"/>
      <c r="D1417" s="12"/>
      <c r="E1417" s="12"/>
      <c r="F1417" s="12"/>
      <c r="G1417" s="25"/>
      <c r="H1417" s="12"/>
      <c r="I1417" s="31"/>
      <c r="J1417" s="12"/>
      <c r="K1417" s="12"/>
      <c r="L1417" s="16"/>
      <c r="M1417" s="46"/>
      <c r="N1417" s="46"/>
      <c r="O1417" s="31"/>
      <c r="P1417" s="16"/>
      <c r="Q1417" s="16"/>
      <c r="R1417" s="16" t="str">
        <f t="shared" si="2"/>
        <v/>
      </c>
    </row>
    <row r="1418">
      <c r="B1418" s="16"/>
      <c r="C1418" s="12"/>
      <c r="D1418" s="12"/>
      <c r="E1418" s="12"/>
      <c r="F1418" s="12"/>
      <c r="G1418" s="25"/>
      <c r="H1418" s="12"/>
      <c r="I1418" s="31"/>
      <c r="J1418" s="12"/>
      <c r="K1418" s="12"/>
      <c r="L1418" s="16"/>
      <c r="M1418" s="46"/>
      <c r="N1418" s="46"/>
      <c r="O1418" s="31"/>
      <c r="P1418" s="16"/>
      <c r="Q1418" s="16"/>
      <c r="R1418" s="16" t="str">
        <f t="shared" si="2"/>
        <v/>
      </c>
    </row>
    <row r="1419">
      <c r="B1419" s="16"/>
      <c r="C1419" s="12"/>
      <c r="D1419" s="12"/>
      <c r="E1419" s="12"/>
      <c r="F1419" s="12"/>
      <c r="G1419" s="25"/>
      <c r="H1419" s="12"/>
      <c r="I1419" s="31"/>
      <c r="J1419" s="12"/>
      <c r="K1419" s="12"/>
      <c r="L1419" s="16"/>
      <c r="M1419" s="46"/>
      <c r="N1419" s="46"/>
      <c r="O1419" s="31"/>
      <c r="P1419" s="16"/>
      <c r="Q1419" s="16"/>
      <c r="R1419" s="16" t="str">
        <f t="shared" si="2"/>
        <v/>
      </c>
    </row>
    <row r="1420">
      <c r="B1420" s="16"/>
      <c r="C1420" s="12"/>
      <c r="D1420" s="12"/>
      <c r="E1420" s="12"/>
      <c r="F1420" s="12"/>
      <c r="G1420" s="25"/>
      <c r="H1420" s="12"/>
      <c r="I1420" s="31"/>
      <c r="J1420" s="12"/>
      <c r="K1420" s="12"/>
      <c r="L1420" s="16"/>
      <c r="M1420" s="46"/>
      <c r="N1420" s="46"/>
      <c r="O1420" s="31"/>
      <c r="P1420" s="16"/>
      <c r="Q1420" s="16"/>
      <c r="R1420" s="16" t="str">
        <f t="shared" si="2"/>
        <v/>
      </c>
    </row>
    <row r="1421">
      <c r="B1421" s="16"/>
      <c r="C1421" s="12"/>
      <c r="D1421" s="12"/>
      <c r="E1421" s="12"/>
      <c r="F1421" s="12"/>
      <c r="G1421" s="25"/>
      <c r="H1421" s="12"/>
      <c r="I1421" s="31"/>
      <c r="J1421" s="12"/>
      <c r="K1421" s="12"/>
      <c r="L1421" s="16"/>
      <c r="M1421" s="46"/>
      <c r="N1421" s="46"/>
      <c r="O1421" s="31"/>
      <c r="P1421" s="16"/>
      <c r="Q1421" s="16"/>
      <c r="R1421" s="16" t="str">
        <f t="shared" si="2"/>
        <v/>
      </c>
    </row>
    <row r="1422">
      <c r="B1422" s="16"/>
      <c r="C1422" s="12"/>
      <c r="D1422" s="12"/>
      <c r="E1422" s="12"/>
      <c r="F1422" s="12"/>
      <c r="G1422" s="25"/>
      <c r="H1422" s="12"/>
      <c r="I1422" s="31"/>
      <c r="J1422" s="12"/>
      <c r="K1422" s="12"/>
      <c r="L1422" s="16"/>
      <c r="M1422" s="46"/>
      <c r="N1422" s="46"/>
      <c r="O1422" s="31"/>
      <c r="P1422" s="16"/>
      <c r="Q1422" s="16"/>
      <c r="R1422" s="16" t="str">
        <f t="shared" si="2"/>
        <v/>
      </c>
    </row>
    <row r="1423">
      <c r="B1423" s="16"/>
      <c r="C1423" s="12"/>
      <c r="D1423" s="12"/>
      <c r="E1423" s="12"/>
      <c r="F1423" s="12"/>
      <c r="G1423" s="25"/>
      <c r="H1423" s="12"/>
      <c r="I1423" s="31"/>
      <c r="J1423" s="12"/>
      <c r="K1423" s="12"/>
      <c r="L1423" s="16"/>
      <c r="M1423" s="46"/>
      <c r="N1423" s="46"/>
      <c r="O1423" s="31"/>
      <c r="P1423" s="16"/>
      <c r="Q1423" s="16"/>
      <c r="R1423" s="16" t="str">
        <f t="shared" si="2"/>
        <v/>
      </c>
    </row>
    <row r="1424">
      <c r="B1424" s="16"/>
      <c r="C1424" s="12"/>
      <c r="D1424" s="12"/>
      <c r="E1424" s="12"/>
      <c r="F1424" s="12"/>
      <c r="G1424" s="25"/>
      <c r="H1424" s="12"/>
      <c r="I1424" s="31"/>
      <c r="J1424" s="12"/>
      <c r="K1424" s="12"/>
      <c r="L1424" s="16"/>
      <c r="M1424" s="46"/>
      <c r="N1424" s="46"/>
      <c r="O1424" s="31"/>
      <c r="P1424" s="16"/>
      <c r="Q1424" s="16"/>
      <c r="R1424" s="16" t="str">
        <f t="shared" si="2"/>
        <v/>
      </c>
    </row>
    <row r="1425">
      <c r="B1425" s="16"/>
      <c r="C1425" s="12"/>
      <c r="D1425" s="12"/>
      <c r="E1425" s="12"/>
      <c r="F1425" s="12"/>
      <c r="G1425" s="25"/>
      <c r="H1425" s="12"/>
      <c r="I1425" s="31"/>
      <c r="J1425" s="12"/>
      <c r="K1425" s="12"/>
      <c r="L1425" s="16"/>
      <c r="M1425" s="46"/>
      <c r="N1425" s="46"/>
      <c r="O1425" s="31"/>
      <c r="P1425" s="16"/>
      <c r="Q1425" s="16"/>
      <c r="R1425" s="16" t="str">
        <f t="shared" si="2"/>
        <v/>
      </c>
    </row>
    <row r="1426">
      <c r="B1426" s="16"/>
      <c r="C1426" s="12"/>
      <c r="D1426" s="12"/>
      <c r="E1426" s="12"/>
      <c r="F1426" s="12"/>
      <c r="G1426" s="25"/>
      <c r="H1426" s="12"/>
      <c r="I1426" s="31"/>
      <c r="J1426" s="12"/>
      <c r="K1426" s="12"/>
      <c r="L1426" s="16"/>
      <c r="M1426" s="46"/>
      <c r="N1426" s="46"/>
      <c r="O1426" s="31"/>
      <c r="P1426" s="16"/>
      <c r="Q1426" s="16"/>
      <c r="R1426" s="16" t="str">
        <f t="shared" si="2"/>
        <v/>
      </c>
    </row>
    <row r="1427">
      <c r="B1427" s="16"/>
      <c r="C1427" s="12"/>
      <c r="D1427" s="12"/>
      <c r="E1427" s="12"/>
      <c r="F1427" s="12"/>
      <c r="G1427" s="25"/>
      <c r="H1427" s="12"/>
      <c r="I1427" s="31"/>
      <c r="J1427" s="12"/>
      <c r="K1427" s="12"/>
      <c r="L1427" s="16"/>
      <c r="M1427" s="46"/>
      <c r="N1427" s="46"/>
      <c r="O1427" s="31"/>
      <c r="P1427" s="16"/>
      <c r="Q1427" s="16"/>
      <c r="R1427" s="16" t="str">
        <f t="shared" si="2"/>
        <v/>
      </c>
    </row>
    <row r="1428">
      <c r="B1428" s="16"/>
      <c r="C1428" s="12"/>
      <c r="D1428" s="12"/>
      <c r="E1428" s="12"/>
      <c r="F1428" s="12"/>
      <c r="G1428" s="25"/>
      <c r="H1428" s="12"/>
      <c r="I1428" s="31"/>
      <c r="J1428" s="12"/>
      <c r="K1428" s="12"/>
      <c r="L1428" s="16"/>
      <c r="M1428" s="46"/>
      <c r="N1428" s="46"/>
      <c r="O1428" s="31"/>
      <c r="P1428" s="16"/>
      <c r="Q1428" s="16"/>
      <c r="R1428" s="16" t="str">
        <f t="shared" si="2"/>
        <v/>
      </c>
    </row>
    <row r="1429">
      <c r="B1429" s="16"/>
      <c r="C1429" s="12"/>
      <c r="D1429" s="12"/>
      <c r="E1429" s="12"/>
      <c r="F1429" s="12"/>
      <c r="G1429" s="25"/>
      <c r="H1429" s="12"/>
      <c r="I1429" s="31"/>
      <c r="J1429" s="12"/>
      <c r="K1429" s="12"/>
      <c r="L1429" s="16"/>
      <c r="M1429" s="46"/>
      <c r="N1429" s="46"/>
      <c r="O1429" s="31"/>
      <c r="P1429" s="16"/>
      <c r="Q1429" s="16"/>
      <c r="R1429" s="16" t="str">
        <f t="shared" si="2"/>
        <v/>
      </c>
    </row>
    <row r="1430">
      <c r="B1430" s="16"/>
      <c r="C1430" s="12"/>
      <c r="D1430" s="12"/>
      <c r="E1430" s="12"/>
      <c r="F1430" s="12"/>
      <c r="G1430" s="25"/>
      <c r="H1430" s="12"/>
      <c r="I1430" s="31"/>
      <c r="J1430" s="12"/>
      <c r="K1430" s="12"/>
      <c r="L1430" s="16"/>
      <c r="M1430" s="46"/>
      <c r="N1430" s="46"/>
      <c r="O1430" s="31"/>
      <c r="P1430" s="16"/>
      <c r="Q1430" s="16"/>
      <c r="R1430" s="16" t="str">
        <f t="shared" si="2"/>
        <v/>
      </c>
    </row>
    <row r="1431">
      <c r="B1431" s="16"/>
      <c r="C1431" s="12"/>
      <c r="D1431" s="12"/>
      <c r="E1431" s="12"/>
      <c r="F1431" s="12"/>
      <c r="G1431" s="25"/>
      <c r="H1431" s="12"/>
      <c r="I1431" s="31"/>
      <c r="J1431" s="12"/>
      <c r="K1431" s="12"/>
      <c r="L1431" s="16"/>
      <c r="M1431" s="46"/>
      <c r="N1431" s="46"/>
      <c r="O1431" s="31"/>
      <c r="P1431" s="16"/>
      <c r="Q1431" s="16"/>
      <c r="R1431" s="16" t="str">
        <f t="shared" si="2"/>
        <v/>
      </c>
    </row>
    <row r="1432">
      <c r="B1432" s="16"/>
      <c r="C1432" s="12"/>
      <c r="D1432" s="12"/>
      <c r="E1432" s="12"/>
      <c r="F1432" s="12"/>
      <c r="G1432" s="25"/>
      <c r="H1432" s="12"/>
      <c r="I1432" s="31"/>
      <c r="J1432" s="12"/>
      <c r="K1432" s="12"/>
      <c r="L1432" s="16"/>
      <c r="M1432" s="46"/>
      <c r="N1432" s="46"/>
      <c r="O1432" s="31"/>
      <c r="P1432" s="16"/>
      <c r="Q1432" s="16"/>
      <c r="R1432" s="16" t="str">
        <f t="shared" si="2"/>
        <v/>
      </c>
    </row>
    <row r="1433">
      <c r="B1433" s="16"/>
      <c r="C1433" s="12"/>
      <c r="D1433" s="12"/>
      <c r="E1433" s="12"/>
      <c r="F1433" s="12"/>
      <c r="G1433" s="25"/>
      <c r="H1433" s="12"/>
      <c r="I1433" s="31"/>
      <c r="J1433" s="12"/>
      <c r="K1433" s="12"/>
      <c r="L1433" s="16"/>
      <c r="M1433" s="46"/>
      <c r="N1433" s="46"/>
      <c r="O1433" s="31"/>
      <c r="P1433" s="16"/>
      <c r="Q1433" s="16"/>
      <c r="R1433" s="16" t="str">
        <f t="shared" si="2"/>
        <v/>
      </c>
    </row>
    <row r="1434">
      <c r="B1434" s="16"/>
      <c r="C1434" s="12"/>
      <c r="D1434" s="12"/>
      <c r="E1434" s="12"/>
      <c r="F1434" s="12"/>
      <c r="G1434" s="25"/>
      <c r="H1434" s="12"/>
      <c r="I1434" s="31"/>
      <c r="J1434" s="12"/>
      <c r="K1434" s="12"/>
      <c r="L1434" s="16"/>
      <c r="M1434" s="46"/>
      <c r="N1434" s="46"/>
      <c r="O1434" s="31"/>
      <c r="P1434" s="16"/>
      <c r="Q1434" s="16"/>
      <c r="R1434" s="16" t="str">
        <f t="shared" si="2"/>
        <v/>
      </c>
    </row>
    <row r="1435">
      <c r="B1435" s="16"/>
      <c r="C1435" s="12"/>
      <c r="D1435" s="12"/>
      <c r="E1435" s="12"/>
      <c r="F1435" s="12"/>
      <c r="G1435" s="25"/>
      <c r="H1435" s="12"/>
      <c r="I1435" s="31"/>
      <c r="J1435" s="12"/>
      <c r="K1435" s="12"/>
      <c r="L1435" s="16"/>
      <c r="M1435" s="46"/>
      <c r="N1435" s="46"/>
      <c r="O1435" s="31"/>
      <c r="P1435" s="16"/>
      <c r="Q1435" s="16"/>
      <c r="R1435" s="16" t="str">
        <f t="shared" si="2"/>
        <v/>
      </c>
    </row>
    <row r="1436">
      <c r="B1436" s="16"/>
      <c r="C1436" s="12"/>
      <c r="D1436" s="12"/>
      <c r="E1436" s="12"/>
      <c r="F1436" s="12"/>
      <c r="G1436" s="25"/>
      <c r="H1436" s="12"/>
      <c r="I1436" s="31"/>
      <c r="J1436" s="12"/>
      <c r="K1436" s="12"/>
      <c r="L1436" s="16"/>
      <c r="M1436" s="46"/>
      <c r="N1436" s="46"/>
      <c r="O1436" s="31"/>
      <c r="P1436" s="16"/>
      <c r="Q1436" s="16"/>
      <c r="R1436" s="16" t="str">
        <f t="shared" si="2"/>
        <v/>
      </c>
    </row>
    <row r="1437">
      <c r="B1437" s="16"/>
      <c r="C1437" s="12"/>
      <c r="D1437" s="12"/>
      <c r="E1437" s="12"/>
      <c r="F1437" s="12"/>
      <c r="G1437" s="25"/>
      <c r="H1437" s="12"/>
      <c r="I1437" s="31"/>
      <c r="J1437" s="12"/>
      <c r="K1437" s="12"/>
      <c r="L1437" s="16"/>
      <c r="M1437" s="46"/>
      <c r="N1437" s="46"/>
      <c r="O1437" s="31"/>
      <c r="P1437" s="16"/>
      <c r="Q1437" s="16"/>
      <c r="R1437" s="16" t="str">
        <f t="shared" si="2"/>
        <v/>
      </c>
    </row>
    <row r="1438">
      <c r="B1438" s="16"/>
      <c r="C1438" s="12"/>
      <c r="D1438" s="12"/>
      <c r="E1438" s="12"/>
      <c r="F1438" s="12"/>
      <c r="G1438" s="25"/>
      <c r="H1438" s="12"/>
      <c r="I1438" s="31"/>
      <c r="J1438" s="12"/>
      <c r="K1438" s="12"/>
      <c r="L1438" s="16"/>
      <c r="M1438" s="46"/>
      <c r="N1438" s="46"/>
      <c r="O1438" s="31"/>
      <c r="P1438" s="16"/>
      <c r="Q1438" s="16"/>
      <c r="R1438" s="16" t="str">
        <f t="shared" si="2"/>
        <v/>
      </c>
    </row>
    <row r="1439">
      <c r="B1439" s="16"/>
      <c r="C1439" s="12"/>
      <c r="D1439" s="12"/>
      <c r="E1439" s="12"/>
      <c r="F1439" s="12"/>
      <c r="G1439" s="25"/>
      <c r="H1439" s="12"/>
      <c r="I1439" s="31"/>
      <c r="J1439" s="12"/>
      <c r="K1439" s="12"/>
      <c r="L1439" s="16"/>
      <c r="M1439" s="46"/>
      <c r="N1439" s="46"/>
      <c r="O1439" s="31"/>
      <c r="P1439" s="16"/>
      <c r="Q1439" s="16"/>
      <c r="R1439" s="16" t="str">
        <f t="shared" si="2"/>
        <v/>
      </c>
    </row>
    <row r="1440">
      <c r="B1440" s="16"/>
      <c r="C1440" s="12"/>
      <c r="D1440" s="12"/>
      <c r="E1440" s="12"/>
      <c r="F1440" s="12"/>
      <c r="G1440" s="25"/>
      <c r="H1440" s="12"/>
      <c r="I1440" s="31"/>
      <c r="J1440" s="12"/>
      <c r="K1440" s="12"/>
      <c r="L1440" s="16"/>
      <c r="M1440" s="46"/>
      <c r="N1440" s="46"/>
      <c r="O1440" s="31"/>
      <c r="P1440" s="16"/>
      <c r="Q1440" s="16"/>
      <c r="R1440" s="16" t="str">
        <f t="shared" si="2"/>
        <v/>
      </c>
    </row>
    <row r="1441">
      <c r="B1441" s="16"/>
      <c r="C1441" s="12"/>
      <c r="D1441" s="12"/>
      <c r="E1441" s="12"/>
      <c r="F1441" s="12"/>
      <c r="G1441" s="25"/>
      <c r="H1441" s="12"/>
      <c r="I1441" s="31"/>
      <c r="J1441" s="12"/>
      <c r="K1441" s="12"/>
      <c r="L1441" s="16"/>
      <c r="M1441" s="46"/>
      <c r="N1441" s="46"/>
      <c r="O1441" s="31"/>
      <c r="P1441" s="16"/>
      <c r="Q1441" s="16"/>
      <c r="R1441" s="16" t="str">
        <f t="shared" si="2"/>
        <v/>
      </c>
    </row>
    <row r="1442">
      <c r="B1442" s="16"/>
      <c r="C1442" s="12"/>
      <c r="D1442" s="12"/>
      <c r="E1442" s="12"/>
      <c r="F1442" s="12"/>
      <c r="G1442" s="25"/>
      <c r="H1442" s="12"/>
      <c r="I1442" s="31"/>
      <c r="J1442" s="12"/>
      <c r="K1442" s="12"/>
      <c r="L1442" s="16"/>
      <c r="M1442" s="46"/>
      <c r="N1442" s="46"/>
      <c r="O1442" s="31"/>
      <c r="P1442" s="16"/>
      <c r="Q1442" s="16"/>
      <c r="R1442" s="16" t="str">
        <f t="shared" si="2"/>
        <v/>
      </c>
    </row>
    <row r="1443">
      <c r="B1443" s="16"/>
      <c r="C1443" s="12"/>
      <c r="D1443" s="12"/>
      <c r="E1443" s="12"/>
      <c r="F1443" s="12"/>
      <c r="G1443" s="25"/>
      <c r="H1443" s="12"/>
      <c r="I1443" s="31"/>
      <c r="J1443" s="12"/>
      <c r="K1443" s="12"/>
      <c r="L1443" s="16"/>
      <c r="M1443" s="46"/>
      <c r="N1443" s="46"/>
      <c r="O1443" s="31"/>
      <c r="P1443" s="16"/>
      <c r="Q1443" s="16"/>
      <c r="R1443" s="16" t="str">
        <f t="shared" si="2"/>
        <v/>
      </c>
    </row>
    <row r="1444">
      <c r="B1444" s="16"/>
      <c r="C1444" s="12"/>
      <c r="D1444" s="12"/>
      <c r="E1444" s="12"/>
      <c r="F1444" s="12"/>
      <c r="G1444" s="25"/>
      <c r="H1444" s="12"/>
      <c r="I1444" s="31"/>
      <c r="J1444" s="12"/>
      <c r="K1444" s="12"/>
      <c r="L1444" s="16"/>
      <c r="M1444" s="46"/>
      <c r="N1444" s="46"/>
      <c r="O1444" s="31"/>
      <c r="P1444" s="16"/>
      <c r="Q1444" s="16"/>
      <c r="R1444" s="16" t="str">
        <f t="shared" si="2"/>
        <v/>
      </c>
    </row>
    <row r="1445">
      <c r="B1445" s="16"/>
      <c r="C1445" s="12"/>
      <c r="D1445" s="12"/>
      <c r="E1445" s="12"/>
      <c r="F1445" s="12"/>
      <c r="G1445" s="25"/>
      <c r="H1445" s="12"/>
      <c r="I1445" s="31"/>
      <c r="J1445" s="12"/>
      <c r="K1445" s="12"/>
      <c r="L1445" s="16"/>
      <c r="M1445" s="46"/>
      <c r="N1445" s="46"/>
      <c r="O1445" s="31"/>
      <c r="P1445" s="16"/>
      <c r="Q1445" s="16"/>
      <c r="R1445" s="16" t="str">
        <f t="shared" si="2"/>
        <v/>
      </c>
    </row>
    <row r="1446">
      <c r="B1446" s="16"/>
      <c r="C1446" s="12"/>
      <c r="D1446" s="12"/>
      <c r="E1446" s="12"/>
      <c r="F1446" s="12"/>
      <c r="G1446" s="25"/>
      <c r="H1446" s="12"/>
      <c r="I1446" s="31"/>
      <c r="J1446" s="12"/>
      <c r="K1446" s="12"/>
      <c r="L1446" s="16"/>
      <c r="M1446" s="46"/>
      <c r="N1446" s="46"/>
      <c r="O1446" s="31"/>
      <c r="P1446" s="16"/>
      <c r="Q1446" s="16"/>
      <c r="R1446" s="16" t="str">
        <f t="shared" si="2"/>
        <v/>
      </c>
    </row>
    <row r="1447">
      <c r="B1447" s="16"/>
      <c r="C1447" s="12"/>
      <c r="D1447" s="12"/>
      <c r="E1447" s="12"/>
      <c r="F1447" s="12"/>
      <c r="G1447" s="25"/>
      <c r="H1447" s="12"/>
      <c r="I1447" s="31"/>
      <c r="J1447" s="12"/>
      <c r="K1447" s="12"/>
      <c r="L1447" s="16"/>
      <c r="M1447" s="46"/>
      <c r="N1447" s="46"/>
      <c r="O1447" s="31"/>
      <c r="P1447" s="16"/>
      <c r="Q1447" s="16"/>
      <c r="R1447" s="16" t="str">
        <f t="shared" si="2"/>
        <v/>
      </c>
    </row>
    <row r="1448">
      <c r="B1448" s="16"/>
      <c r="C1448" s="12"/>
      <c r="D1448" s="12"/>
      <c r="E1448" s="12"/>
      <c r="F1448" s="12"/>
      <c r="G1448" s="25"/>
      <c r="H1448" s="12"/>
      <c r="I1448" s="31"/>
      <c r="J1448" s="12"/>
      <c r="K1448" s="12"/>
      <c r="L1448" s="16"/>
      <c r="M1448" s="46"/>
      <c r="N1448" s="46"/>
      <c r="O1448" s="31"/>
      <c r="P1448" s="16"/>
      <c r="Q1448" s="16"/>
      <c r="R1448" s="16" t="str">
        <f t="shared" si="2"/>
        <v/>
      </c>
    </row>
    <row r="1449">
      <c r="B1449" s="16"/>
      <c r="C1449" s="12"/>
      <c r="D1449" s="12"/>
      <c r="E1449" s="12"/>
      <c r="F1449" s="12"/>
      <c r="G1449" s="25"/>
      <c r="H1449" s="12"/>
      <c r="I1449" s="31"/>
      <c r="J1449" s="12"/>
      <c r="K1449" s="12"/>
      <c r="L1449" s="16"/>
      <c r="M1449" s="46"/>
      <c r="N1449" s="46"/>
      <c r="O1449" s="31"/>
      <c r="P1449" s="16"/>
      <c r="Q1449" s="16"/>
      <c r="R1449" s="16" t="str">
        <f t="shared" si="2"/>
        <v/>
      </c>
    </row>
    <row r="1450">
      <c r="B1450" s="16"/>
      <c r="C1450" s="12"/>
      <c r="D1450" s="12"/>
      <c r="E1450" s="12"/>
      <c r="F1450" s="12"/>
      <c r="G1450" s="25"/>
      <c r="H1450" s="12"/>
      <c r="I1450" s="31"/>
      <c r="J1450" s="12"/>
      <c r="K1450" s="12"/>
      <c r="L1450" s="16"/>
      <c r="M1450" s="46"/>
      <c r="N1450" s="46"/>
      <c r="O1450" s="31"/>
      <c r="P1450" s="16"/>
      <c r="Q1450" s="16"/>
      <c r="R1450" s="16" t="str">
        <f t="shared" si="2"/>
        <v/>
      </c>
    </row>
    <row r="1451">
      <c r="B1451" s="16"/>
      <c r="C1451" s="12"/>
      <c r="D1451" s="12"/>
      <c r="E1451" s="12"/>
      <c r="F1451" s="12"/>
      <c r="G1451" s="25"/>
      <c r="H1451" s="12"/>
      <c r="I1451" s="31"/>
      <c r="J1451" s="12"/>
      <c r="K1451" s="12"/>
      <c r="L1451" s="16"/>
      <c r="M1451" s="46"/>
      <c r="N1451" s="46"/>
      <c r="O1451" s="31"/>
      <c r="P1451" s="16"/>
      <c r="Q1451" s="16"/>
      <c r="R1451" s="16" t="str">
        <f t="shared" si="2"/>
        <v/>
      </c>
    </row>
    <row r="1452">
      <c r="B1452" s="16"/>
      <c r="C1452" s="12"/>
      <c r="D1452" s="12"/>
      <c r="E1452" s="12"/>
      <c r="F1452" s="12"/>
      <c r="G1452" s="25"/>
      <c r="H1452" s="12"/>
      <c r="I1452" s="31"/>
      <c r="J1452" s="12"/>
      <c r="K1452" s="12"/>
      <c r="L1452" s="16"/>
      <c r="M1452" s="46"/>
      <c r="N1452" s="46"/>
      <c r="O1452" s="31"/>
      <c r="P1452" s="16"/>
      <c r="Q1452" s="16"/>
      <c r="R1452" s="16" t="str">
        <f t="shared" si="2"/>
        <v/>
      </c>
    </row>
    <row r="1453">
      <c r="B1453" s="16"/>
      <c r="C1453" s="12"/>
      <c r="D1453" s="12"/>
      <c r="E1453" s="12"/>
      <c r="F1453" s="12"/>
      <c r="G1453" s="25"/>
      <c r="H1453" s="12"/>
      <c r="I1453" s="31"/>
      <c r="J1453" s="12"/>
      <c r="K1453" s="12"/>
      <c r="L1453" s="16"/>
      <c r="M1453" s="46"/>
      <c r="N1453" s="46"/>
      <c r="O1453" s="31"/>
      <c r="P1453" s="16"/>
      <c r="Q1453" s="16"/>
      <c r="R1453" s="16" t="str">
        <f t="shared" si="2"/>
        <v/>
      </c>
    </row>
    <row r="1454">
      <c r="B1454" s="16"/>
      <c r="C1454" s="12"/>
      <c r="D1454" s="12"/>
      <c r="E1454" s="12"/>
      <c r="F1454" s="12"/>
      <c r="G1454" s="25"/>
      <c r="H1454" s="12"/>
      <c r="I1454" s="31"/>
      <c r="J1454" s="12"/>
      <c r="K1454" s="12"/>
      <c r="L1454" s="16"/>
      <c r="M1454" s="46"/>
      <c r="N1454" s="46"/>
      <c r="O1454" s="31"/>
      <c r="P1454" s="16"/>
      <c r="Q1454" s="16"/>
      <c r="R1454" s="16" t="str">
        <f t="shared" si="2"/>
        <v/>
      </c>
    </row>
    <row r="1455">
      <c r="B1455" s="16"/>
      <c r="C1455" s="12"/>
      <c r="D1455" s="12"/>
      <c r="E1455" s="12"/>
      <c r="F1455" s="12"/>
      <c r="G1455" s="25"/>
      <c r="H1455" s="12"/>
      <c r="I1455" s="31"/>
      <c r="J1455" s="12"/>
      <c r="K1455" s="12"/>
      <c r="L1455" s="16"/>
      <c r="M1455" s="46"/>
      <c r="N1455" s="46"/>
      <c r="O1455" s="31"/>
      <c r="P1455" s="16"/>
      <c r="Q1455" s="16"/>
      <c r="R1455" s="16" t="str">
        <f t="shared" si="2"/>
        <v/>
      </c>
    </row>
    <row r="1456">
      <c r="B1456" s="16"/>
      <c r="C1456" s="12"/>
      <c r="D1456" s="12"/>
      <c r="E1456" s="12"/>
      <c r="F1456" s="12"/>
      <c r="G1456" s="25"/>
      <c r="H1456" s="12"/>
      <c r="I1456" s="31"/>
      <c r="J1456" s="12"/>
      <c r="K1456" s="12"/>
      <c r="L1456" s="16"/>
      <c r="M1456" s="46"/>
      <c r="N1456" s="46"/>
      <c r="O1456" s="31"/>
      <c r="P1456" s="16"/>
      <c r="Q1456" s="16"/>
      <c r="R1456" s="16" t="str">
        <f t="shared" si="2"/>
        <v/>
      </c>
    </row>
    <row r="1457">
      <c r="B1457" s="16"/>
      <c r="C1457" s="12"/>
      <c r="D1457" s="12"/>
      <c r="E1457" s="12"/>
      <c r="F1457" s="12"/>
      <c r="G1457" s="25"/>
      <c r="H1457" s="12"/>
      <c r="I1457" s="31"/>
      <c r="J1457" s="12"/>
      <c r="K1457" s="12"/>
      <c r="L1457" s="16"/>
      <c r="M1457" s="46"/>
      <c r="N1457" s="46"/>
      <c r="O1457" s="31"/>
      <c r="P1457" s="16"/>
      <c r="Q1457" s="16"/>
      <c r="R1457" s="16" t="str">
        <f t="shared" si="2"/>
        <v/>
      </c>
    </row>
    <row r="1458">
      <c r="B1458" s="16"/>
      <c r="C1458" s="12"/>
      <c r="D1458" s="12"/>
      <c r="E1458" s="12"/>
      <c r="F1458" s="12"/>
      <c r="G1458" s="25"/>
      <c r="H1458" s="12"/>
      <c r="I1458" s="31"/>
      <c r="J1458" s="12"/>
      <c r="K1458" s="12"/>
      <c r="L1458" s="16"/>
      <c r="M1458" s="46"/>
      <c r="N1458" s="46"/>
      <c r="O1458" s="31"/>
      <c r="P1458" s="16"/>
      <c r="Q1458" s="16"/>
      <c r="R1458" s="16" t="str">
        <f t="shared" si="2"/>
        <v/>
      </c>
    </row>
    <row r="1459">
      <c r="B1459" s="16"/>
      <c r="C1459" s="12"/>
      <c r="D1459" s="12"/>
      <c r="E1459" s="12"/>
      <c r="F1459" s="12"/>
      <c r="G1459" s="25"/>
      <c r="H1459" s="12"/>
      <c r="I1459" s="31"/>
      <c r="J1459" s="12"/>
      <c r="K1459" s="12"/>
      <c r="L1459" s="16"/>
      <c r="M1459" s="46"/>
      <c r="N1459" s="46"/>
      <c r="O1459" s="31"/>
      <c r="P1459" s="16"/>
      <c r="Q1459" s="16"/>
      <c r="R1459" s="16" t="str">
        <f t="shared" si="2"/>
        <v/>
      </c>
    </row>
    <row r="1460">
      <c r="B1460" s="16"/>
      <c r="C1460" s="12"/>
      <c r="D1460" s="12"/>
      <c r="E1460" s="12"/>
      <c r="F1460" s="12"/>
      <c r="G1460" s="25"/>
      <c r="H1460" s="12"/>
      <c r="I1460" s="31"/>
      <c r="J1460" s="12"/>
      <c r="K1460" s="12"/>
      <c r="L1460" s="16"/>
      <c r="M1460" s="46"/>
      <c r="N1460" s="46"/>
      <c r="O1460" s="31"/>
      <c r="P1460" s="16"/>
      <c r="Q1460" s="16"/>
      <c r="R1460" s="16" t="str">
        <f t="shared" si="2"/>
        <v/>
      </c>
    </row>
    <row r="1461">
      <c r="B1461" s="16"/>
      <c r="C1461" s="12"/>
      <c r="D1461" s="12"/>
      <c r="E1461" s="12"/>
      <c r="F1461" s="12"/>
      <c r="G1461" s="25"/>
      <c r="H1461" s="12"/>
      <c r="I1461" s="31"/>
      <c r="J1461" s="12"/>
      <c r="K1461" s="12"/>
      <c r="L1461" s="16"/>
      <c r="M1461" s="46"/>
      <c r="N1461" s="46"/>
      <c r="O1461" s="31"/>
      <c r="P1461" s="16"/>
      <c r="Q1461" s="16"/>
      <c r="R1461" s="16" t="str">
        <f t="shared" si="2"/>
        <v/>
      </c>
    </row>
    <row r="1462">
      <c r="B1462" s="16"/>
      <c r="C1462" s="12"/>
      <c r="D1462" s="12"/>
      <c r="E1462" s="12"/>
      <c r="F1462" s="12"/>
      <c r="G1462" s="25"/>
      <c r="H1462" s="12"/>
      <c r="I1462" s="31"/>
      <c r="J1462" s="12"/>
      <c r="K1462" s="12"/>
      <c r="L1462" s="16"/>
      <c r="M1462" s="46"/>
      <c r="N1462" s="46"/>
      <c r="O1462" s="31"/>
      <c r="P1462" s="16"/>
      <c r="Q1462" s="16"/>
      <c r="R1462" s="16" t="str">
        <f t="shared" si="2"/>
        <v/>
      </c>
    </row>
    <row r="1463">
      <c r="B1463" s="16"/>
      <c r="C1463" s="12"/>
      <c r="D1463" s="12"/>
      <c r="E1463" s="12"/>
      <c r="F1463" s="12"/>
      <c r="G1463" s="25"/>
      <c r="H1463" s="12"/>
      <c r="I1463" s="31"/>
      <c r="J1463" s="12"/>
      <c r="K1463" s="12"/>
      <c r="L1463" s="16"/>
      <c r="M1463" s="46"/>
      <c r="N1463" s="46"/>
      <c r="O1463" s="31"/>
      <c r="P1463" s="16"/>
      <c r="Q1463" s="16"/>
      <c r="R1463" s="16" t="str">
        <f t="shared" si="2"/>
        <v/>
      </c>
    </row>
    <row r="1464">
      <c r="B1464" s="16"/>
      <c r="C1464" s="12"/>
      <c r="D1464" s="12"/>
      <c r="E1464" s="12"/>
      <c r="F1464" s="12"/>
      <c r="G1464" s="25"/>
      <c r="H1464" s="12"/>
      <c r="I1464" s="31"/>
      <c r="J1464" s="12"/>
      <c r="K1464" s="12"/>
      <c r="L1464" s="16"/>
      <c r="M1464" s="46"/>
      <c r="N1464" s="46"/>
      <c r="O1464" s="31"/>
      <c r="P1464" s="16"/>
      <c r="Q1464" s="16"/>
      <c r="R1464" s="16" t="str">
        <f t="shared" si="2"/>
        <v/>
      </c>
    </row>
    <row r="1465">
      <c r="B1465" s="16"/>
      <c r="C1465" s="12"/>
      <c r="D1465" s="12"/>
      <c r="E1465" s="12"/>
      <c r="F1465" s="12"/>
      <c r="G1465" s="25"/>
      <c r="H1465" s="12"/>
      <c r="I1465" s="31"/>
      <c r="J1465" s="12"/>
      <c r="K1465" s="12"/>
      <c r="L1465" s="16"/>
      <c r="M1465" s="46"/>
      <c r="N1465" s="46"/>
      <c r="O1465" s="31"/>
      <c r="P1465" s="16"/>
      <c r="Q1465" s="16"/>
      <c r="R1465" s="16" t="str">
        <f t="shared" si="2"/>
        <v/>
      </c>
    </row>
    <row r="1466">
      <c r="B1466" s="16"/>
      <c r="C1466" s="12"/>
      <c r="D1466" s="12"/>
      <c r="E1466" s="12"/>
      <c r="F1466" s="12"/>
      <c r="G1466" s="25"/>
      <c r="H1466" s="12"/>
      <c r="I1466" s="31"/>
      <c r="J1466" s="12"/>
      <c r="K1466" s="12"/>
      <c r="L1466" s="16"/>
      <c r="M1466" s="46"/>
      <c r="N1466" s="46"/>
      <c r="O1466" s="31"/>
      <c r="P1466" s="16"/>
      <c r="Q1466" s="16"/>
      <c r="R1466" s="16" t="str">
        <f t="shared" si="2"/>
        <v/>
      </c>
    </row>
    <row r="1467">
      <c r="B1467" s="16"/>
      <c r="C1467" s="12"/>
      <c r="D1467" s="12"/>
      <c r="E1467" s="12"/>
      <c r="F1467" s="12"/>
      <c r="G1467" s="25"/>
      <c r="H1467" s="12"/>
      <c r="I1467" s="31"/>
      <c r="J1467" s="12"/>
      <c r="K1467" s="12"/>
      <c r="L1467" s="16"/>
      <c r="M1467" s="46"/>
      <c r="N1467" s="46"/>
      <c r="O1467" s="31"/>
      <c r="P1467" s="16"/>
      <c r="Q1467" s="16"/>
      <c r="R1467" s="16" t="str">
        <f t="shared" si="2"/>
        <v/>
      </c>
    </row>
    <row r="1468">
      <c r="B1468" s="16"/>
      <c r="C1468" s="12"/>
      <c r="D1468" s="12"/>
      <c r="E1468" s="12"/>
      <c r="F1468" s="12"/>
      <c r="G1468" s="25"/>
      <c r="H1468" s="12"/>
      <c r="I1468" s="31"/>
      <c r="J1468" s="12"/>
      <c r="K1468" s="12"/>
      <c r="L1468" s="16"/>
      <c r="M1468" s="46"/>
      <c r="N1468" s="46"/>
      <c r="O1468" s="31"/>
      <c r="P1468" s="16"/>
      <c r="Q1468" s="16"/>
      <c r="R1468" s="16" t="str">
        <f t="shared" si="2"/>
        <v/>
      </c>
    </row>
    <row r="1469">
      <c r="B1469" s="16"/>
      <c r="C1469" s="12"/>
      <c r="D1469" s="12"/>
      <c r="E1469" s="12"/>
      <c r="F1469" s="12"/>
      <c r="G1469" s="25"/>
      <c r="H1469" s="12"/>
      <c r="I1469" s="31"/>
      <c r="J1469" s="12"/>
      <c r="K1469" s="12"/>
      <c r="L1469" s="16"/>
      <c r="M1469" s="46"/>
      <c r="N1469" s="46"/>
      <c r="O1469" s="31"/>
      <c r="P1469" s="16"/>
      <c r="Q1469" s="16"/>
      <c r="R1469" s="16" t="str">
        <f t="shared" si="2"/>
        <v/>
      </c>
    </row>
    <row r="1470">
      <c r="B1470" s="16"/>
      <c r="C1470" s="12"/>
      <c r="D1470" s="12"/>
      <c r="E1470" s="12"/>
      <c r="F1470" s="12"/>
      <c r="G1470" s="25"/>
      <c r="H1470" s="12"/>
      <c r="I1470" s="31"/>
      <c r="J1470" s="12"/>
      <c r="K1470" s="12"/>
      <c r="L1470" s="16"/>
      <c r="M1470" s="46"/>
      <c r="N1470" s="46"/>
      <c r="O1470" s="31"/>
      <c r="P1470" s="16"/>
      <c r="Q1470" s="16"/>
      <c r="R1470" s="16" t="str">
        <f t="shared" si="2"/>
        <v/>
      </c>
    </row>
    <row r="1471">
      <c r="B1471" s="16"/>
      <c r="C1471" s="12"/>
      <c r="D1471" s="12"/>
      <c r="E1471" s="12"/>
      <c r="F1471" s="12"/>
      <c r="G1471" s="25"/>
      <c r="H1471" s="12"/>
      <c r="I1471" s="31"/>
      <c r="J1471" s="12"/>
      <c r="K1471" s="12"/>
      <c r="L1471" s="16"/>
      <c r="M1471" s="46"/>
      <c r="N1471" s="46"/>
      <c r="O1471" s="31"/>
      <c r="P1471" s="16"/>
      <c r="Q1471" s="16"/>
      <c r="R1471" s="16" t="str">
        <f t="shared" si="2"/>
        <v/>
      </c>
    </row>
    <row r="1472">
      <c r="B1472" s="16"/>
      <c r="C1472" s="12"/>
      <c r="D1472" s="12"/>
      <c r="E1472" s="12"/>
      <c r="F1472" s="12"/>
      <c r="G1472" s="25"/>
      <c r="H1472" s="12"/>
      <c r="I1472" s="31"/>
      <c r="J1472" s="12"/>
      <c r="K1472" s="12"/>
      <c r="L1472" s="16"/>
      <c r="M1472" s="46"/>
      <c r="N1472" s="46"/>
      <c r="O1472" s="31"/>
      <c r="P1472" s="16"/>
      <c r="Q1472" s="16"/>
      <c r="R1472" s="16" t="str">
        <f t="shared" si="2"/>
        <v/>
      </c>
    </row>
    <row r="1473">
      <c r="B1473" s="16"/>
      <c r="C1473" s="12"/>
      <c r="D1473" s="12"/>
      <c r="E1473" s="12"/>
      <c r="F1473" s="12"/>
      <c r="G1473" s="25"/>
      <c r="H1473" s="12"/>
      <c r="I1473" s="31"/>
      <c r="J1473" s="12"/>
      <c r="K1473" s="12"/>
      <c r="L1473" s="16"/>
      <c r="M1473" s="46"/>
      <c r="N1473" s="46"/>
      <c r="O1473" s="31"/>
      <c r="P1473" s="16"/>
      <c r="Q1473" s="16"/>
      <c r="R1473" s="16" t="str">
        <f t="shared" si="2"/>
        <v/>
      </c>
    </row>
    <row r="1474">
      <c r="B1474" s="16"/>
      <c r="C1474" s="12"/>
      <c r="D1474" s="12"/>
      <c r="E1474" s="12"/>
      <c r="F1474" s="12"/>
      <c r="G1474" s="25"/>
      <c r="H1474" s="12"/>
      <c r="I1474" s="31"/>
      <c r="J1474" s="12"/>
      <c r="K1474" s="12"/>
      <c r="L1474" s="16"/>
      <c r="M1474" s="46"/>
      <c r="N1474" s="46"/>
      <c r="O1474" s="31"/>
      <c r="P1474" s="16"/>
      <c r="Q1474" s="16"/>
      <c r="R1474" s="16" t="str">
        <f t="shared" si="2"/>
        <v/>
      </c>
    </row>
    <row r="1475">
      <c r="B1475" s="16"/>
      <c r="C1475" s="12"/>
      <c r="D1475" s="12"/>
      <c r="E1475" s="12"/>
      <c r="F1475" s="12"/>
      <c r="G1475" s="25"/>
      <c r="H1475" s="12"/>
      <c r="I1475" s="31"/>
      <c r="J1475" s="12"/>
      <c r="K1475" s="12"/>
      <c r="L1475" s="16"/>
      <c r="M1475" s="46"/>
      <c r="N1475" s="46"/>
      <c r="O1475" s="31"/>
      <c r="P1475" s="16"/>
      <c r="Q1475" s="16"/>
      <c r="R1475" s="16" t="str">
        <f t="shared" si="2"/>
        <v/>
      </c>
    </row>
    <row r="1476">
      <c r="B1476" s="16"/>
      <c r="C1476" s="12"/>
      <c r="D1476" s="12"/>
      <c r="E1476" s="12"/>
      <c r="F1476" s="12"/>
      <c r="G1476" s="25"/>
      <c r="H1476" s="12"/>
      <c r="I1476" s="31"/>
      <c r="J1476" s="12"/>
      <c r="K1476" s="12"/>
      <c r="L1476" s="16"/>
      <c r="M1476" s="46"/>
      <c r="N1476" s="46"/>
      <c r="O1476" s="31"/>
      <c r="P1476" s="16"/>
      <c r="Q1476" s="16"/>
      <c r="R1476" s="16" t="str">
        <f t="shared" si="2"/>
        <v/>
      </c>
    </row>
    <row r="1477">
      <c r="B1477" s="16"/>
      <c r="C1477" s="12"/>
      <c r="D1477" s="12"/>
      <c r="E1477" s="12"/>
      <c r="F1477" s="12"/>
      <c r="G1477" s="25"/>
      <c r="H1477" s="12"/>
      <c r="I1477" s="31"/>
      <c r="J1477" s="12"/>
      <c r="K1477" s="12"/>
      <c r="L1477" s="16"/>
      <c r="M1477" s="46"/>
      <c r="N1477" s="46"/>
      <c r="O1477" s="31"/>
      <c r="P1477" s="16"/>
      <c r="Q1477" s="16"/>
      <c r="R1477" s="16" t="str">
        <f t="shared" si="2"/>
        <v/>
      </c>
    </row>
    <row r="1478">
      <c r="B1478" s="16"/>
      <c r="C1478" s="12"/>
      <c r="D1478" s="12"/>
      <c r="E1478" s="12"/>
      <c r="F1478" s="12"/>
      <c r="G1478" s="25"/>
      <c r="H1478" s="12"/>
      <c r="I1478" s="31"/>
      <c r="J1478" s="12"/>
      <c r="K1478" s="12"/>
      <c r="L1478" s="16"/>
      <c r="M1478" s="46"/>
      <c r="N1478" s="46"/>
      <c r="O1478" s="31"/>
      <c r="P1478" s="16"/>
      <c r="Q1478" s="16"/>
      <c r="R1478" s="16" t="str">
        <f t="shared" si="2"/>
        <v/>
      </c>
    </row>
    <row r="1479">
      <c r="B1479" s="16"/>
      <c r="C1479" s="12"/>
      <c r="D1479" s="12"/>
      <c r="E1479" s="12"/>
      <c r="F1479" s="12"/>
      <c r="G1479" s="25"/>
      <c r="H1479" s="12"/>
      <c r="I1479" s="31"/>
      <c r="J1479" s="12"/>
      <c r="K1479" s="12"/>
      <c r="L1479" s="16"/>
      <c r="M1479" s="46"/>
      <c r="N1479" s="46"/>
      <c r="O1479" s="31"/>
      <c r="P1479" s="16"/>
      <c r="Q1479" s="16"/>
      <c r="R1479" s="16" t="str">
        <f t="shared" si="2"/>
        <v/>
      </c>
    </row>
    <row r="1480">
      <c r="B1480" s="16"/>
      <c r="C1480" s="12"/>
      <c r="D1480" s="12"/>
      <c r="E1480" s="12"/>
      <c r="F1480" s="12"/>
      <c r="G1480" s="25"/>
      <c r="H1480" s="12"/>
      <c r="I1480" s="31"/>
      <c r="J1480" s="12"/>
      <c r="K1480" s="12"/>
      <c r="L1480" s="16"/>
      <c r="M1480" s="46"/>
      <c r="N1480" s="46"/>
      <c r="O1480" s="31"/>
      <c r="P1480" s="16"/>
      <c r="Q1480" s="16"/>
      <c r="R1480" s="16" t="str">
        <f t="shared" si="2"/>
        <v/>
      </c>
    </row>
    <row r="1481">
      <c r="B1481" s="16"/>
      <c r="C1481" s="12"/>
      <c r="D1481" s="12"/>
      <c r="E1481" s="12"/>
      <c r="F1481" s="12"/>
      <c r="G1481" s="25"/>
      <c r="H1481" s="12"/>
      <c r="I1481" s="31"/>
      <c r="J1481" s="12"/>
      <c r="K1481" s="12"/>
      <c r="L1481" s="16"/>
      <c r="M1481" s="46"/>
      <c r="N1481" s="46"/>
      <c r="O1481" s="31"/>
      <c r="P1481" s="16"/>
      <c r="Q1481" s="16"/>
      <c r="R1481" s="16" t="str">
        <f t="shared" si="2"/>
        <v/>
      </c>
    </row>
    <row r="1482">
      <c r="B1482" s="16"/>
      <c r="C1482" s="12"/>
      <c r="D1482" s="12"/>
      <c r="E1482" s="12"/>
      <c r="F1482" s="12"/>
      <c r="G1482" s="25"/>
      <c r="H1482" s="12"/>
      <c r="I1482" s="31"/>
      <c r="J1482" s="12"/>
      <c r="K1482" s="12"/>
      <c r="L1482" s="16"/>
      <c r="M1482" s="46"/>
      <c r="N1482" s="46"/>
      <c r="O1482" s="31"/>
      <c r="P1482" s="16"/>
      <c r="Q1482" s="16"/>
      <c r="R1482" s="16" t="str">
        <f t="shared" si="2"/>
        <v/>
      </c>
    </row>
    <row r="1483">
      <c r="B1483" s="16"/>
      <c r="C1483" s="12"/>
      <c r="D1483" s="12"/>
      <c r="E1483" s="12"/>
      <c r="F1483" s="12"/>
      <c r="G1483" s="25"/>
      <c r="H1483" s="12"/>
      <c r="I1483" s="31"/>
      <c r="J1483" s="12"/>
      <c r="K1483" s="12"/>
      <c r="L1483" s="16"/>
      <c r="M1483" s="46"/>
      <c r="N1483" s="46"/>
      <c r="O1483" s="31"/>
      <c r="P1483" s="16"/>
      <c r="Q1483" s="16"/>
      <c r="R1483" s="16" t="str">
        <f t="shared" si="2"/>
        <v/>
      </c>
    </row>
    <row r="1484">
      <c r="B1484" s="16"/>
      <c r="C1484" s="12"/>
      <c r="D1484" s="12"/>
      <c r="E1484" s="12"/>
      <c r="F1484" s="12"/>
      <c r="G1484" s="25"/>
      <c r="H1484" s="12"/>
      <c r="I1484" s="31"/>
      <c r="J1484" s="12"/>
      <c r="K1484" s="12"/>
      <c r="L1484" s="16"/>
      <c r="M1484" s="46"/>
      <c r="N1484" s="46"/>
      <c r="O1484" s="31"/>
      <c r="P1484" s="16"/>
      <c r="Q1484" s="16"/>
      <c r="R1484" s="16" t="str">
        <f t="shared" si="2"/>
        <v/>
      </c>
    </row>
    <row r="1485">
      <c r="B1485" s="16"/>
      <c r="C1485" s="12"/>
      <c r="D1485" s="12"/>
      <c r="E1485" s="12"/>
      <c r="F1485" s="12"/>
      <c r="G1485" s="25"/>
      <c r="H1485" s="12"/>
      <c r="I1485" s="31"/>
      <c r="J1485" s="12"/>
      <c r="K1485" s="12"/>
      <c r="L1485" s="16"/>
      <c r="M1485" s="46"/>
      <c r="N1485" s="46"/>
      <c r="O1485" s="31"/>
      <c r="P1485" s="16"/>
      <c r="Q1485" s="16"/>
      <c r="R1485" s="16" t="str">
        <f t="shared" si="2"/>
        <v/>
      </c>
    </row>
    <row r="1486">
      <c r="B1486" s="16"/>
      <c r="C1486" s="12"/>
      <c r="D1486" s="12"/>
      <c r="E1486" s="12"/>
      <c r="F1486" s="12"/>
      <c r="G1486" s="25"/>
      <c r="H1486" s="12"/>
      <c r="I1486" s="31"/>
      <c r="J1486" s="12"/>
      <c r="K1486" s="12"/>
      <c r="L1486" s="16"/>
      <c r="M1486" s="46"/>
      <c r="N1486" s="46"/>
      <c r="O1486" s="31"/>
      <c r="P1486" s="16"/>
      <c r="Q1486" s="16"/>
      <c r="R1486" s="16" t="str">
        <f t="shared" si="2"/>
        <v/>
      </c>
    </row>
    <row r="1487">
      <c r="B1487" s="16"/>
      <c r="C1487" s="12"/>
      <c r="D1487" s="12"/>
      <c r="E1487" s="12"/>
      <c r="F1487" s="12"/>
      <c r="G1487" s="25"/>
      <c r="H1487" s="12"/>
      <c r="I1487" s="31"/>
      <c r="J1487" s="12"/>
      <c r="K1487" s="12"/>
      <c r="L1487" s="16"/>
      <c r="M1487" s="46"/>
      <c r="N1487" s="46"/>
      <c r="O1487" s="31"/>
      <c r="P1487" s="16"/>
      <c r="Q1487" s="16"/>
      <c r="R1487" s="16" t="str">
        <f t="shared" si="2"/>
        <v/>
      </c>
    </row>
    <row r="1488">
      <c r="B1488" s="16"/>
      <c r="C1488" s="12"/>
      <c r="D1488" s="12"/>
      <c r="E1488" s="12"/>
      <c r="F1488" s="12"/>
      <c r="G1488" s="25"/>
      <c r="H1488" s="12"/>
      <c r="I1488" s="31"/>
      <c r="J1488" s="12"/>
      <c r="K1488" s="12"/>
      <c r="L1488" s="16"/>
      <c r="M1488" s="46"/>
      <c r="N1488" s="46"/>
      <c r="O1488" s="31"/>
      <c r="P1488" s="16"/>
      <c r="Q1488" s="16"/>
      <c r="R1488" s="16" t="str">
        <f t="shared" si="2"/>
        <v/>
      </c>
    </row>
    <row r="1489">
      <c r="B1489" s="16"/>
      <c r="C1489" s="12"/>
      <c r="D1489" s="12"/>
      <c r="E1489" s="12"/>
      <c r="F1489" s="12"/>
      <c r="G1489" s="25"/>
      <c r="H1489" s="12"/>
      <c r="I1489" s="31"/>
      <c r="J1489" s="12"/>
      <c r="K1489" s="12"/>
      <c r="L1489" s="16"/>
      <c r="M1489" s="46"/>
      <c r="N1489" s="46"/>
      <c r="O1489" s="31"/>
      <c r="P1489" s="16"/>
      <c r="Q1489" s="16"/>
      <c r="R1489" s="16" t="str">
        <f t="shared" si="2"/>
        <v/>
      </c>
    </row>
    <row r="1490">
      <c r="B1490" s="16"/>
      <c r="C1490" s="12"/>
      <c r="D1490" s="12"/>
      <c r="E1490" s="12"/>
      <c r="F1490" s="12"/>
      <c r="G1490" s="25"/>
      <c r="H1490" s="12"/>
      <c r="I1490" s="31"/>
      <c r="J1490" s="12"/>
      <c r="K1490" s="12"/>
      <c r="L1490" s="16"/>
      <c r="M1490" s="46"/>
      <c r="N1490" s="46"/>
      <c r="O1490" s="31"/>
      <c r="P1490" s="16"/>
      <c r="Q1490" s="16"/>
      <c r="R1490" s="16" t="str">
        <f t="shared" si="2"/>
        <v/>
      </c>
    </row>
    <row r="1491">
      <c r="B1491" s="16"/>
      <c r="C1491" s="12"/>
      <c r="D1491" s="12"/>
      <c r="E1491" s="12"/>
      <c r="F1491" s="12"/>
      <c r="G1491" s="25"/>
      <c r="H1491" s="12"/>
      <c r="I1491" s="31"/>
      <c r="J1491" s="12"/>
      <c r="K1491" s="12"/>
      <c r="L1491" s="16"/>
      <c r="M1491" s="46"/>
      <c r="N1491" s="46"/>
      <c r="O1491" s="31"/>
      <c r="P1491" s="16"/>
      <c r="Q1491" s="16"/>
      <c r="R1491" s="16" t="str">
        <f t="shared" si="2"/>
        <v/>
      </c>
    </row>
    <row r="1492">
      <c r="B1492" s="16"/>
      <c r="C1492" s="12"/>
      <c r="D1492" s="12"/>
      <c r="E1492" s="12"/>
      <c r="F1492" s="12"/>
      <c r="G1492" s="25"/>
      <c r="H1492" s="12"/>
      <c r="I1492" s="31"/>
      <c r="J1492" s="12"/>
      <c r="K1492" s="12"/>
      <c r="L1492" s="16"/>
      <c r="M1492" s="46"/>
      <c r="N1492" s="46"/>
      <c r="O1492" s="31"/>
      <c r="P1492" s="16"/>
      <c r="Q1492" s="16"/>
      <c r="R1492" s="16" t="str">
        <f t="shared" si="2"/>
        <v/>
      </c>
    </row>
    <row r="1493">
      <c r="B1493" s="16"/>
      <c r="C1493" s="12"/>
      <c r="D1493" s="12"/>
      <c r="E1493" s="12"/>
      <c r="F1493" s="12"/>
      <c r="G1493" s="25"/>
      <c r="H1493" s="12"/>
      <c r="I1493" s="31"/>
      <c r="J1493" s="12"/>
      <c r="K1493" s="12"/>
      <c r="L1493" s="16"/>
      <c r="M1493" s="46"/>
      <c r="N1493" s="46"/>
      <c r="O1493" s="31"/>
      <c r="P1493" s="16"/>
      <c r="Q1493" s="16"/>
      <c r="R1493" s="16" t="str">
        <f t="shared" si="2"/>
        <v/>
      </c>
    </row>
    <row r="1494">
      <c r="B1494" s="16"/>
      <c r="C1494" s="12"/>
      <c r="D1494" s="12"/>
      <c r="E1494" s="12"/>
      <c r="F1494" s="12"/>
      <c r="G1494" s="25"/>
      <c r="H1494" s="12"/>
      <c r="I1494" s="31"/>
      <c r="J1494" s="12"/>
      <c r="K1494" s="12"/>
      <c r="L1494" s="16"/>
      <c r="M1494" s="46"/>
      <c r="N1494" s="46"/>
      <c r="O1494" s="31"/>
      <c r="P1494" s="16"/>
      <c r="Q1494" s="16"/>
      <c r="R1494" s="16" t="str">
        <f t="shared" si="2"/>
        <v/>
      </c>
    </row>
    <row r="1495">
      <c r="B1495" s="16"/>
      <c r="C1495" s="12"/>
      <c r="D1495" s="12"/>
      <c r="E1495" s="12"/>
      <c r="F1495" s="12"/>
      <c r="G1495" s="25"/>
      <c r="H1495" s="12"/>
      <c r="I1495" s="31"/>
      <c r="J1495" s="12"/>
      <c r="K1495" s="12"/>
      <c r="L1495" s="16"/>
      <c r="M1495" s="46"/>
      <c r="N1495" s="46"/>
      <c r="O1495" s="31"/>
      <c r="P1495" s="16"/>
      <c r="Q1495" s="16"/>
      <c r="R1495" s="16" t="str">
        <f t="shared" si="2"/>
        <v/>
      </c>
    </row>
    <row r="1496">
      <c r="B1496" s="16"/>
      <c r="C1496" s="12"/>
      <c r="D1496" s="12"/>
      <c r="E1496" s="12"/>
      <c r="F1496" s="12"/>
      <c r="G1496" s="25"/>
      <c r="H1496" s="12"/>
      <c r="I1496" s="31"/>
      <c r="J1496" s="12"/>
      <c r="K1496" s="12"/>
      <c r="L1496" s="16"/>
      <c r="M1496" s="46"/>
      <c r="N1496" s="46"/>
      <c r="O1496" s="31"/>
      <c r="P1496" s="16"/>
      <c r="Q1496" s="16"/>
      <c r="R1496" s="16" t="str">
        <f t="shared" si="2"/>
        <v/>
      </c>
    </row>
    <row r="1497">
      <c r="B1497" s="16"/>
      <c r="C1497" s="12"/>
      <c r="D1497" s="12"/>
      <c r="E1497" s="12"/>
      <c r="F1497" s="12"/>
      <c r="G1497" s="25"/>
      <c r="H1497" s="12"/>
      <c r="I1497" s="31"/>
      <c r="J1497" s="12"/>
      <c r="K1497" s="12"/>
      <c r="L1497" s="16"/>
      <c r="M1497" s="46"/>
      <c r="N1497" s="46"/>
      <c r="O1497" s="31"/>
      <c r="P1497" s="16"/>
      <c r="Q1497" s="16"/>
      <c r="R1497" s="16" t="str">
        <f t="shared" si="2"/>
        <v/>
      </c>
    </row>
    <row r="1498">
      <c r="B1498" s="16"/>
      <c r="C1498" s="12"/>
      <c r="D1498" s="12"/>
      <c r="E1498" s="12"/>
      <c r="F1498" s="12"/>
      <c r="G1498" s="25"/>
      <c r="H1498" s="12"/>
      <c r="I1498" s="31"/>
      <c r="J1498" s="12"/>
      <c r="K1498" s="12"/>
      <c r="L1498" s="16"/>
      <c r="M1498" s="46"/>
      <c r="N1498" s="46"/>
      <c r="O1498" s="31"/>
      <c r="P1498" s="16"/>
      <c r="Q1498" s="16"/>
      <c r="R1498" s="16" t="str">
        <f t="shared" si="2"/>
        <v/>
      </c>
    </row>
    <row r="1499">
      <c r="B1499" s="16"/>
      <c r="C1499" s="12"/>
      <c r="D1499" s="12"/>
      <c r="E1499" s="12"/>
      <c r="F1499" s="12"/>
      <c r="G1499" s="25"/>
      <c r="H1499" s="12"/>
      <c r="I1499" s="31"/>
      <c r="J1499" s="12"/>
      <c r="K1499" s="12"/>
      <c r="L1499" s="16"/>
      <c r="M1499" s="46"/>
      <c r="N1499" s="46"/>
      <c r="O1499" s="31"/>
      <c r="P1499" s="16"/>
      <c r="Q1499" s="16"/>
      <c r="R1499" s="16" t="str">
        <f t="shared" si="2"/>
        <v/>
      </c>
    </row>
    <row r="1500">
      <c r="B1500" s="16"/>
      <c r="C1500" s="12"/>
      <c r="D1500" s="12"/>
      <c r="E1500" s="12"/>
      <c r="F1500" s="12"/>
      <c r="G1500" s="25"/>
      <c r="H1500" s="12"/>
      <c r="I1500" s="31"/>
      <c r="J1500" s="12"/>
      <c r="K1500" s="12"/>
      <c r="L1500" s="16"/>
      <c r="M1500" s="46"/>
      <c r="N1500" s="46"/>
      <c r="O1500" s="31"/>
      <c r="P1500" s="16"/>
      <c r="Q1500" s="16"/>
      <c r="R1500" s="16" t="str">
        <f t="shared" si="2"/>
        <v/>
      </c>
    </row>
    <row r="1501">
      <c r="B1501" s="16"/>
      <c r="C1501" s="12"/>
      <c r="D1501" s="12"/>
      <c r="E1501" s="12"/>
      <c r="F1501" s="12"/>
      <c r="G1501" s="25"/>
      <c r="H1501" s="12"/>
      <c r="I1501" s="31"/>
      <c r="J1501" s="12"/>
      <c r="K1501" s="12"/>
      <c r="L1501" s="16"/>
      <c r="M1501" s="46"/>
      <c r="N1501" s="46"/>
      <c r="O1501" s="31"/>
      <c r="P1501" s="16"/>
      <c r="Q1501" s="16"/>
      <c r="R1501" s="16" t="str">
        <f t="shared" si="2"/>
        <v/>
      </c>
    </row>
    <row r="1502">
      <c r="B1502" s="16"/>
      <c r="C1502" s="12"/>
      <c r="D1502" s="12"/>
      <c r="E1502" s="12"/>
      <c r="F1502" s="12"/>
      <c r="G1502" s="25"/>
      <c r="H1502" s="12"/>
      <c r="I1502" s="31"/>
      <c r="J1502" s="12"/>
      <c r="K1502" s="12"/>
      <c r="L1502" s="16"/>
      <c r="M1502" s="46"/>
      <c r="N1502" s="46"/>
      <c r="O1502" s="31"/>
      <c r="P1502" s="16"/>
      <c r="Q1502" s="16"/>
      <c r="R1502" s="16" t="str">
        <f t="shared" si="2"/>
        <v/>
      </c>
    </row>
    <row r="1503">
      <c r="B1503" s="16"/>
      <c r="C1503" s="12"/>
      <c r="D1503" s="12"/>
      <c r="E1503" s="12"/>
      <c r="F1503" s="12"/>
      <c r="G1503" s="25"/>
      <c r="H1503" s="12"/>
      <c r="I1503" s="31"/>
      <c r="J1503" s="12"/>
      <c r="K1503" s="12"/>
      <c r="L1503" s="16"/>
      <c r="M1503" s="46"/>
      <c r="N1503" s="46"/>
      <c r="O1503" s="31"/>
      <c r="P1503" s="16"/>
      <c r="Q1503" s="16"/>
      <c r="R1503" s="16" t="str">
        <f t="shared" si="2"/>
        <v/>
      </c>
    </row>
    <row r="1504">
      <c r="B1504" s="16"/>
      <c r="C1504" s="12"/>
      <c r="D1504" s="12"/>
      <c r="E1504" s="12"/>
      <c r="F1504" s="12"/>
      <c r="G1504" s="25"/>
      <c r="H1504" s="12"/>
      <c r="I1504" s="31"/>
      <c r="J1504" s="12"/>
      <c r="K1504" s="12"/>
      <c r="L1504" s="16"/>
      <c r="M1504" s="46"/>
      <c r="N1504" s="46"/>
      <c r="O1504" s="31"/>
      <c r="P1504" s="16"/>
      <c r="Q1504" s="16"/>
      <c r="R1504" s="16" t="str">
        <f t="shared" si="2"/>
        <v/>
      </c>
    </row>
    <row r="1505">
      <c r="B1505" s="16"/>
      <c r="C1505" s="12"/>
      <c r="D1505" s="12"/>
      <c r="E1505" s="12"/>
      <c r="F1505" s="12"/>
      <c r="G1505" s="25"/>
      <c r="H1505" s="12"/>
      <c r="I1505" s="31"/>
      <c r="J1505" s="12"/>
      <c r="K1505" s="12"/>
      <c r="L1505" s="16"/>
      <c r="M1505" s="46"/>
      <c r="N1505" s="46"/>
      <c r="O1505" s="31"/>
      <c r="P1505" s="16"/>
      <c r="Q1505" s="16"/>
      <c r="R1505" s="16" t="str">
        <f t="shared" si="2"/>
        <v/>
      </c>
    </row>
    <row r="1506">
      <c r="B1506" s="16"/>
      <c r="C1506" s="12"/>
      <c r="D1506" s="12"/>
      <c r="E1506" s="12"/>
      <c r="F1506" s="12"/>
      <c r="G1506" s="25"/>
      <c r="H1506" s="12"/>
      <c r="I1506" s="31"/>
      <c r="J1506" s="12"/>
      <c r="K1506" s="12"/>
      <c r="L1506" s="16"/>
      <c r="M1506" s="46"/>
      <c r="N1506" s="46"/>
      <c r="O1506" s="31"/>
      <c r="P1506" s="16"/>
      <c r="Q1506" s="16"/>
      <c r="R1506" s="16" t="str">
        <f t="shared" si="2"/>
        <v/>
      </c>
    </row>
    <row r="1507">
      <c r="B1507" s="16"/>
      <c r="C1507" s="12"/>
      <c r="D1507" s="12"/>
      <c r="E1507" s="12"/>
      <c r="F1507" s="12"/>
      <c r="G1507" s="25"/>
      <c r="H1507" s="12"/>
      <c r="I1507" s="31"/>
      <c r="J1507" s="12"/>
      <c r="K1507" s="12"/>
      <c r="L1507" s="16"/>
      <c r="M1507" s="46"/>
      <c r="N1507" s="46"/>
      <c r="O1507" s="31"/>
      <c r="P1507" s="16"/>
      <c r="Q1507" s="16"/>
      <c r="R1507" s="16" t="str">
        <f t="shared" si="2"/>
        <v/>
      </c>
    </row>
    <row r="1508">
      <c r="B1508" s="16"/>
      <c r="C1508" s="12"/>
      <c r="D1508" s="12"/>
      <c r="E1508" s="12"/>
      <c r="F1508" s="12"/>
      <c r="G1508" s="25"/>
      <c r="H1508" s="12"/>
      <c r="I1508" s="31"/>
      <c r="J1508" s="12"/>
      <c r="K1508" s="12"/>
      <c r="L1508" s="16"/>
      <c r="M1508" s="46"/>
      <c r="N1508" s="46"/>
      <c r="O1508" s="31"/>
      <c r="P1508" s="16"/>
      <c r="Q1508" s="16"/>
      <c r="R1508" s="16" t="str">
        <f t="shared" si="2"/>
        <v/>
      </c>
    </row>
    <row r="1509">
      <c r="B1509" s="16"/>
      <c r="C1509" s="12"/>
      <c r="D1509" s="12"/>
      <c r="E1509" s="12"/>
      <c r="F1509" s="12"/>
      <c r="G1509" s="25"/>
      <c r="H1509" s="12"/>
      <c r="I1509" s="31"/>
      <c r="J1509" s="12"/>
      <c r="K1509" s="12"/>
      <c r="L1509" s="16"/>
      <c r="M1509" s="46"/>
      <c r="N1509" s="46"/>
      <c r="O1509" s="31"/>
      <c r="P1509" s="16"/>
      <c r="Q1509" s="16"/>
      <c r="R1509" s="16" t="str">
        <f t="shared" si="2"/>
        <v/>
      </c>
    </row>
    <row r="1510">
      <c r="B1510" s="16"/>
      <c r="C1510" s="12"/>
      <c r="D1510" s="12"/>
      <c r="E1510" s="12"/>
      <c r="F1510" s="12"/>
      <c r="G1510" s="25"/>
      <c r="H1510" s="12"/>
      <c r="I1510" s="31"/>
      <c r="J1510" s="12"/>
      <c r="K1510" s="12"/>
      <c r="L1510" s="16"/>
      <c r="M1510" s="46"/>
      <c r="N1510" s="46"/>
      <c r="O1510" s="31"/>
      <c r="P1510" s="16"/>
      <c r="Q1510" s="16"/>
      <c r="R1510" s="16" t="str">
        <f t="shared" si="2"/>
        <v/>
      </c>
    </row>
    <row r="1511">
      <c r="B1511" s="16"/>
      <c r="C1511" s="12"/>
      <c r="D1511" s="12"/>
      <c r="E1511" s="12"/>
      <c r="F1511" s="12"/>
      <c r="G1511" s="25"/>
      <c r="H1511" s="12"/>
      <c r="I1511" s="31"/>
      <c r="J1511" s="12"/>
      <c r="K1511" s="12"/>
      <c r="L1511" s="16"/>
      <c r="M1511" s="46"/>
      <c r="N1511" s="46"/>
      <c r="O1511" s="31"/>
      <c r="P1511" s="16"/>
      <c r="Q1511" s="16"/>
      <c r="R1511" s="16" t="str">
        <f t="shared" si="2"/>
        <v/>
      </c>
    </row>
    <row r="1512">
      <c r="B1512" s="16"/>
      <c r="C1512" s="12"/>
      <c r="D1512" s="12"/>
      <c r="E1512" s="12"/>
      <c r="F1512" s="12"/>
      <c r="G1512" s="25"/>
      <c r="H1512" s="12"/>
      <c r="I1512" s="31"/>
      <c r="J1512" s="12"/>
      <c r="K1512" s="12"/>
      <c r="L1512" s="16"/>
      <c r="M1512" s="46"/>
      <c r="N1512" s="46"/>
      <c r="O1512" s="31"/>
      <c r="P1512" s="16"/>
      <c r="Q1512" s="16"/>
      <c r="R1512" s="16" t="str">
        <f t="shared" si="2"/>
        <v/>
      </c>
    </row>
    <row r="1513">
      <c r="B1513" s="16"/>
      <c r="C1513" s="12"/>
      <c r="D1513" s="12"/>
      <c r="E1513" s="12"/>
      <c r="F1513" s="12"/>
      <c r="G1513" s="25"/>
      <c r="H1513" s="12"/>
      <c r="I1513" s="31"/>
      <c r="J1513" s="12"/>
      <c r="K1513" s="12"/>
      <c r="L1513" s="16"/>
      <c r="M1513" s="46"/>
      <c r="N1513" s="46"/>
      <c r="O1513" s="31"/>
      <c r="P1513" s="16"/>
      <c r="Q1513" s="16"/>
      <c r="R1513" s="16" t="str">
        <f t="shared" si="2"/>
        <v/>
      </c>
    </row>
    <row r="1514">
      <c r="B1514" s="16"/>
      <c r="C1514" s="12"/>
      <c r="D1514" s="12"/>
      <c r="E1514" s="12"/>
      <c r="F1514" s="12"/>
      <c r="G1514" s="25"/>
      <c r="H1514" s="12"/>
      <c r="I1514" s="31"/>
      <c r="J1514" s="12"/>
      <c r="K1514" s="12"/>
      <c r="L1514" s="16"/>
      <c r="M1514" s="46"/>
      <c r="N1514" s="46"/>
      <c r="O1514" s="31"/>
      <c r="P1514" s="16"/>
      <c r="Q1514" s="16"/>
      <c r="R1514" s="16" t="str">
        <f t="shared" si="2"/>
        <v/>
      </c>
    </row>
    <row r="1515">
      <c r="B1515" s="16"/>
      <c r="C1515" s="12"/>
      <c r="D1515" s="12"/>
      <c r="E1515" s="12"/>
      <c r="F1515" s="12"/>
      <c r="G1515" s="25"/>
      <c r="H1515" s="12"/>
      <c r="I1515" s="31"/>
      <c r="J1515" s="12"/>
      <c r="K1515" s="12"/>
      <c r="L1515" s="16"/>
      <c r="M1515" s="46"/>
      <c r="N1515" s="46"/>
      <c r="O1515" s="31"/>
      <c r="P1515" s="16"/>
      <c r="Q1515" s="16"/>
      <c r="R1515" s="16" t="str">
        <f t="shared" si="2"/>
        <v/>
      </c>
    </row>
    <row r="1516">
      <c r="B1516" s="16"/>
      <c r="C1516" s="12"/>
      <c r="D1516" s="12"/>
      <c r="E1516" s="12"/>
      <c r="F1516" s="12"/>
      <c r="G1516" s="25"/>
      <c r="H1516" s="12"/>
      <c r="I1516" s="31"/>
      <c r="J1516" s="12"/>
      <c r="K1516" s="12"/>
      <c r="L1516" s="16"/>
      <c r="M1516" s="46"/>
      <c r="N1516" s="46"/>
      <c r="O1516" s="31"/>
      <c r="P1516" s="16"/>
      <c r="Q1516" s="16"/>
      <c r="R1516" s="16" t="str">
        <f t="shared" si="2"/>
        <v/>
      </c>
    </row>
    <row r="1517">
      <c r="B1517" s="16"/>
      <c r="C1517" s="12"/>
      <c r="D1517" s="12"/>
      <c r="E1517" s="12"/>
      <c r="F1517" s="12"/>
      <c r="G1517" s="25"/>
      <c r="H1517" s="12"/>
      <c r="I1517" s="31"/>
      <c r="J1517" s="12"/>
      <c r="K1517" s="12"/>
      <c r="L1517" s="16"/>
      <c r="M1517" s="46"/>
      <c r="N1517" s="46"/>
      <c r="O1517" s="31"/>
      <c r="P1517" s="16"/>
      <c r="Q1517" s="16"/>
      <c r="R1517" s="16" t="str">
        <f t="shared" si="2"/>
        <v/>
      </c>
    </row>
    <row r="1518">
      <c r="B1518" s="16"/>
      <c r="C1518" s="12"/>
      <c r="D1518" s="12"/>
      <c r="E1518" s="12"/>
      <c r="F1518" s="12"/>
      <c r="G1518" s="25"/>
      <c r="H1518" s="12"/>
      <c r="I1518" s="31"/>
      <c r="J1518" s="12"/>
      <c r="K1518" s="12"/>
      <c r="L1518" s="16"/>
      <c r="M1518" s="46"/>
      <c r="N1518" s="46"/>
      <c r="O1518" s="31"/>
      <c r="P1518" s="16"/>
      <c r="Q1518" s="16"/>
      <c r="R1518" s="16" t="str">
        <f t="shared" si="2"/>
        <v/>
      </c>
    </row>
    <row r="1519">
      <c r="B1519" s="16"/>
      <c r="C1519" s="12"/>
      <c r="D1519" s="12"/>
      <c r="E1519" s="12"/>
      <c r="F1519" s="12"/>
      <c r="G1519" s="25"/>
      <c r="H1519" s="12"/>
      <c r="I1519" s="31"/>
      <c r="J1519" s="12"/>
      <c r="K1519" s="12"/>
      <c r="L1519" s="16"/>
      <c r="M1519" s="46"/>
      <c r="N1519" s="46"/>
      <c r="O1519" s="31"/>
      <c r="P1519" s="16"/>
      <c r="Q1519" s="16"/>
      <c r="R1519" s="16" t="str">
        <f t="shared" si="2"/>
        <v/>
      </c>
    </row>
    <row r="1520">
      <c r="B1520" s="16"/>
      <c r="C1520" s="12"/>
      <c r="D1520" s="12"/>
      <c r="E1520" s="12"/>
      <c r="F1520" s="12"/>
      <c r="G1520" s="25"/>
      <c r="H1520" s="12"/>
      <c r="I1520" s="31"/>
      <c r="J1520" s="12"/>
      <c r="K1520" s="12"/>
      <c r="L1520" s="16"/>
      <c r="M1520" s="46"/>
      <c r="N1520" s="46"/>
      <c r="O1520" s="31"/>
      <c r="P1520" s="16"/>
      <c r="Q1520" s="16"/>
      <c r="R1520" s="16" t="str">
        <f t="shared" si="2"/>
        <v/>
      </c>
    </row>
    <row r="1521">
      <c r="B1521" s="16"/>
      <c r="C1521" s="12"/>
      <c r="D1521" s="12"/>
      <c r="E1521" s="12"/>
      <c r="F1521" s="12"/>
      <c r="G1521" s="25"/>
      <c r="H1521" s="12"/>
      <c r="I1521" s="31"/>
      <c r="J1521" s="12"/>
      <c r="K1521" s="12"/>
      <c r="L1521" s="16"/>
      <c r="M1521" s="46"/>
      <c r="N1521" s="46"/>
      <c r="O1521" s="31"/>
      <c r="P1521" s="16"/>
      <c r="Q1521" s="16"/>
      <c r="R1521" s="16" t="str">
        <f t="shared" si="2"/>
        <v/>
      </c>
    </row>
    <row r="1522">
      <c r="B1522" s="16"/>
      <c r="C1522" s="12"/>
      <c r="D1522" s="12"/>
      <c r="E1522" s="12"/>
      <c r="F1522" s="12"/>
      <c r="G1522" s="25"/>
      <c r="H1522" s="12"/>
      <c r="I1522" s="31"/>
      <c r="J1522" s="12"/>
      <c r="K1522" s="12"/>
      <c r="L1522" s="16"/>
      <c r="M1522" s="46"/>
      <c r="N1522" s="46"/>
      <c r="O1522" s="31"/>
      <c r="P1522" s="16"/>
      <c r="Q1522" s="16"/>
      <c r="R1522" s="16" t="str">
        <f t="shared" si="2"/>
        <v/>
      </c>
    </row>
    <row r="1523">
      <c r="B1523" s="16"/>
      <c r="C1523" s="12"/>
      <c r="D1523" s="12"/>
      <c r="E1523" s="12"/>
      <c r="F1523" s="12"/>
      <c r="G1523" s="25"/>
      <c r="H1523" s="12"/>
      <c r="I1523" s="31"/>
      <c r="J1523" s="12"/>
      <c r="K1523" s="12"/>
      <c r="L1523" s="16"/>
      <c r="M1523" s="46"/>
      <c r="N1523" s="46"/>
      <c r="O1523" s="31"/>
      <c r="P1523" s="16"/>
      <c r="Q1523" s="16"/>
      <c r="R1523" s="16" t="str">
        <f t="shared" si="2"/>
        <v/>
      </c>
    </row>
    <row r="1524">
      <c r="B1524" s="16"/>
      <c r="C1524" s="12"/>
      <c r="D1524" s="12"/>
      <c r="E1524" s="12"/>
      <c r="F1524" s="12"/>
      <c r="G1524" s="25"/>
      <c r="H1524" s="12"/>
      <c r="I1524" s="31"/>
      <c r="J1524" s="12"/>
      <c r="K1524" s="12"/>
      <c r="L1524" s="16"/>
      <c r="M1524" s="46"/>
      <c r="N1524" s="46"/>
      <c r="O1524" s="31"/>
      <c r="P1524" s="16"/>
      <c r="Q1524" s="16"/>
      <c r="R1524" s="16" t="str">
        <f t="shared" si="2"/>
        <v/>
      </c>
    </row>
    <row r="1525">
      <c r="B1525" s="16"/>
      <c r="C1525" s="12"/>
      <c r="D1525" s="12"/>
      <c r="E1525" s="12"/>
      <c r="F1525" s="12"/>
      <c r="G1525" s="25"/>
      <c r="H1525" s="12"/>
      <c r="I1525" s="31"/>
      <c r="J1525" s="12"/>
      <c r="K1525" s="12"/>
      <c r="L1525" s="16"/>
      <c r="M1525" s="46"/>
      <c r="N1525" s="46"/>
      <c r="O1525" s="31"/>
      <c r="P1525" s="16"/>
      <c r="Q1525" s="16"/>
      <c r="R1525" s="16" t="str">
        <f t="shared" si="2"/>
        <v/>
      </c>
    </row>
    <row r="1526">
      <c r="B1526" s="16"/>
      <c r="C1526" s="12"/>
      <c r="D1526" s="12"/>
      <c r="E1526" s="12"/>
      <c r="F1526" s="12"/>
      <c r="G1526" s="25"/>
      <c r="H1526" s="12"/>
      <c r="I1526" s="31"/>
      <c r="J1526" s="12"/>
      <c r="K1526" s="12"/>
      <c r="L1526" s="16"/>
      <c r="M1526" s="46"/>
      <c r="N1526" s="46"/>
      <c r="O1526" s="31"/>
      <c r="P1526" s="16"/>
      <c r="Q1526" s="16"/>
      <c r="R1526" s="16" t="str">
        <f t="shared" si="2"/>
        <v/>
      </c>
    </row>
    <row r="1527">
      <c r="B1527" s="16"/>
      <c r="C1527" s="12"/>
      <c r="D1527" s="12"/>
      <c r="E1527" s="12"/>
      <c r="F1527" s="12"/>
      <c r="G1527" s="25"/>
      <c r="H1527" s="12"/>
      <c r="I1527" s="31"/>
      <c r="J1527" s="12"/>
      <c r="K1527" s="12"/>
      <c r="L1527" s="16"/>
      <c r="M1527" s="46"/>
      <c r="N1527" s="46"/>
      <c r="O1527" s="31"/>
      <c r="P1527" s="16"/>
      <c r="Q1527" s="16"/>
      <c r="R1527" s="16" t="str">
        <f t="shared" si="2"/>
        <v/>
      </c>
    </row>
    <row r="1528">
      <c r="B1528" s="16"/>
      <c r="C1528" s="12"/>
      <c r="D1528" s="12"/>
      <c r="E1528" s="12"/>
      <c r="F1528" s="12"/>
      <c r="G1528" s="25"/>
      <c r="H1528" s="12"/>
      <c r="I1528" s="31"/>
      <c r="J1528" s="12"/>
      <c r="K1528" s="12"/>
      <c r="L1528" s="16"/>
      <c r="M1528" s="46"/>
      <c r="N1528" s="46"/>
      <c r="O1528" s="31"/>
      <c r="P1528" s="16"/>
      <c r="Q1528" s="16"/>
      <c r="R1528" s="16" t="str">
        <f t="shared" si="2"/>
        <v/>
      </c>
    </row>
    <row r="1529">
      <c r="B1529" s="16"/>
      <c r="C1529" s="12"/>
      <c r="D1529" s="12"/>
      <c r="E1529" s="12"/>
      <c r="F1529" s="12"/>
      <c r="G1529" s="25"/>
      <c r="H1529" s="12"/>
      <c r="I1529" s="31"/>
      <c r="J1529" s="12"/>
      <c r="K1529" s="12"/>
      <c r="L1529" s="16"/>
      <c r="M1529" s="46"/>
      <c r="N1529" s="46"/>
      <c r="O1529" s="31"/>
      <c r="P1529" s="16"/>
      <c r="Q1529" s="16"/>
      <c r="R1529" s="16" t="str">
        <f t="shared" si="2"/>
        <v/>
      </c>
    </row>
    <row r="1530">
      <c r="B1530" s="16"/>
      <c r="C1530" s="12"/>
      <c r="D1530" s="12"/>
      <c r="E1530" s="12"/>
      <c r="F1530" s="12"/>
      <c r="G1530" s="25"/>
      <c r="H1530" s="12"/>
      <c r="I1530" s="31"/>
      <c r="J1530" s="12"/>
      <c r="K1530" s="12"/>
      <c r="L1530" s="16"/>
      <c r="M1530" s="46"/>
      <c r="N1530" s="46"/>
      <c r="O1530" s="31"/>
      <c r="P1530" s="16"/>
      <c r="Q1530" s="16"/>
      <c r="R1530" s="16" t="str">
        <f t="shared" si="2"/>
        <v/>
      </c>
    </row>
    <row r="1531">
      <c r="B1531" s="16"/>
      <c r="C1531" s="12"/>
      <c r="D1531" s="12"/>
      <c r="E1531" s="12"/>
      <c r="F1531" s="12"/>
      <c r="G1531" s="25"/>
      <c r="H1531" s="12"/>
      <c r="I1531" s="31"/>
      <c r="J1531" s="12"/>
      <c r="K1531" s="12"/>
      <c r="L1531" s="16"/>
      <c r="M1531" s="46"/>
      <c r="N1531" s="46"/>
      <c r="O1531" s="31"/>
      <c r="P1531" s="16"/>
      <c r="Q1531" s="16"/>
      <c r="R1531" s="16" t="str">
        <f t="shared" si="2"/>
        <v/>
      </c>
    </row>
    <row r="1532">
      <c r="B1532" s="16"/>
      <c r="C1532" s="12"/>
      <c r="D1532" s="12"/>
      <c r="E1532" s="12"/>
      <c r="F1532" s="12"/>
      <c r="G1532" s="25"/>
      <c r="H1532" s="12"/>
      <c r="I1532" s="31"/>
      <c r="J1532" s="12"/>
      <c r="K1532" s="12"/>
      <c r="L1532" s="16"/>
      <c r="M1532" s="46"/>
      <c r="N1532" s="46"/>
      <c r="O1532" s="31"/>
      <c r="P1532" s="16"/>
      <c r="Q1532" s="16"/>
      <c r="R1532" s="16" t="str">
        <f t="shared" si="2"/>
        <v/>
      </c>
    </row>
    <row r="1533">
      <c r="B1533" s="16"/>
      <c r="C1533" s="12"/>
      <c r="D1533" s="12"/>
      <c r="E1533" s="12"/>
      <c r="F1533" s="12"/>
      <c r="G1533" s="25"/>
      <c r="H1533" s="12"/>
      <c r="I1533" s="31"/>
      <c r="J1533" s="12"/>
      <c r="K1533" s="12"/>
      <c r="L1533" s="16"/>
      <c r="M1533" s="46"/>
      <c r="N1533" s="46"/>
      <c r="O1533" s="31"/>
      <c r="P1533" s="16"/>
      <c r="Q1533" s="16"/>
      <c r="R1533" s="16" t="str">
        <f t="shared" si="2"/>
        <v/>
      </c>
    </row>
    <row r="1534">
      <c r="B1534" s="16"/>
      <c r="C1534" s="12"/>
      <c r="D1534" s="12"/>
      <c r="E1534" s="12"/>
      <c r="F1534" s="12"/>
      <c r="G1534" s="25"/>
      <c r="H1534" s="12"/>
      <c r="I1534" s="31"/>
      <c r="J1534" s="12"/>
      <c r="K1534" s="12"/>
      <c r="L1534" s="16"/>
      <c r="M1534" s="46"/>
      <c r="N1534" s="46"/>
      <c r="O1534" s="31"/>
      <c r="P1534" s="16"/>
      <c r="Q1534" s="16"/>
      <c r="R1534" s="16" t="str">
        <f t="shared" si="2"/>
        <v/>
      </c>
    </row>
    <row r="1535">
      <c r="B1535" s="16"/>
      <c r="C1535" s="12"/>
      <c r="D1535" s="12"/>
      <c r="E1535" s="12"/>
      <c r="F1535" s="12"/>
      <c r="G1535" s="25"/>
      <c r="H1535" s="12"/>
      <c r="I1535" s="31"/>
      <c r="J1535" s="12"/>
      <c r="K1535" s="12"/>
      <c r="L1535" s="16"/>
      <c r="M1535" s="46"/>
      <c r="N1535" s="46"/>
      <c r="O1535" s="31"/>
      <c r="P1535" s="16"/>
      <c r="Q1535" s="16"/>
      <c r="R1535" s="16" t="str">
        <f t="shared" si="2"/>
        <v/>
      </c>
    </row>
    <row r="1536">
      <c r="B1536" s="16"/>
      <c r="C1536" s="12"/>
      <c r="D1536" s="12"/>
      <c r="E1536" s="12"/>
      <c r="F1536" s="12"/>
      <c r="G1536" s="25"/>
      <c r="H1536" s="12"/>
      <c r="I1536" s="31"/>
      <c r="J1536" s="12"/>
      <c r="K1536" s="12"/>
      <c r="L1536" s="16"/>
      <c r="M1536" s="46"/>
      <c r="N1536" s="46"/>
      <c r="O1536" s="31"/>
      <c r="P1536" s="16"/>
      <c r="Q1536" s="16"/>
      <c r="R1536" s="16" t="str">
        <f t="shared" si="2"/>
        <v/>
      </c>
    </row>
    <row r="1537">
      <c r="B1537" s="16"/>
      <c r="C1537" s="12"/>
      <c r="D1537" s="12"/>
      <c r="E1537" s="12"/>
      <c r="F1537" s="12"/>
      <c r="G1537" s="25"/>
      <c r="H1537" s="12"/>
      <c r="I1537" s="31"/>
      <c r="J1537" s="12"/>
      <c r="K1537" s="12"/>
      <c r="L1537" s="16"/>
      <c r="M1537" s="46"/>
      <c r="N1537" s="46"/>
      <c r="O1537" s="31"/>
      <c r="P1537" s="16"/>
      <c r="Q1537" s="16"/>
      <c r="R1537" s="16" t="str">
        <f t="shared" si="2"/>
        <v/>
      </c>
    </row>
    <row r="1538">
      <c r="B1538" s="16"/>
      <c r="C1538" s="12"/>
      <c r="D1538" s="12"/>
      <c r="E1538" s="12"/>
      <c r="F1538" s="12"/>
      <c r="G1538" s="25"/>
      <c r="H1538" s="12"/>
      <c r="I1538" s="31"/>
      <c r="J1538" s="12"/>
      <c r="K1538" s="12"/>
      <c r="L1538" s="16"/>
      <c r="M1538" s="46"/>
      <c r="N1538" s="46"/>
      <c r="O1538" s="31"/>
      <c r="P1538" s="16"/>
      <c r="Q1538" s="16"/>
      <c r="R1538" s="16" t="str">
        <f t="shared" si="2"/>
        <v/>
      </c>
    </row>
    <row r="1539">
      <c r="B1539" s="16"/>
      <c r="C1539" s="12"/>
      <c r="D1539" s="12"/>
      <c r="E1539" s="12"/>
      <c r="F1539" s="12"/>
      <c r="G1539" s="25"/>
      <c r="H1539" s="12"/>
      <c r="I1539" s="31"/>
      <c r="J1539" s="12"/>
      <c r="K1539" s="12"/>
      <c r="L1539" s="16"/>
      <c r="M1539" s="46"/>
      <c r="N1539" s="46"/>
      <c r="O1539" s="31"/>
      <c r="P1539" s="16"/>
      <c r="Q1539" s="16"/>
      <c r="R1539" s="16" t="str">
        <f t="shared" si="2"/>
        <v/>
      </c>
    </row>
    <row r="1540">
      <c r="B1540" s="16"/>
      <c r="C1540" s="12"/>
      <c r="D1540" s="12"/>
      <c r="E1540" s="12"/>
      <c r="F1540" s="12"/>
      <c r="G1540" s="25"/>
      <c r="H1540" s="12"/>
      <c r="I1540" s="31"/>
      <c r="J1540" s="12"/>
      <c r="K1540" s="12"/>
      <c r="L1540" s="16"/>
      <c r="M1540" s="46"/>
      <c r="N1540" s="46"/>
      <c r="O1540" s="31"/>
      <c r="P1540" s="16"/>
      <c r="Q1540" s="16"/>
      <c r="R1540" s="16" t="str">
        <f t="shared" si="2"/>
        <v/>
      </c>
    </row>
    <row r="1541">
      <c r="B1541" s="16"/>
      <c r="C1541" s="12"/>
      <c r="D1541" s="12"/>
      <c r="E1541" s="12"/>
      <c r="F1541" s="12"/>
      <c r="G1541" s="25"/>
      <c r="H1541" s="12"/>
      <c r="I1541" s="31"/>
      <c r="J1541" s="12"/>
      <c r="K1541" s="12"/>
      <c r="L1541" s="16"/>
      <c r="M1541" s="46"/>
      <c r="N1541" s="46"/>
      <c r="O1541" s="31"/>
      <c r="P1541" s="16"/>
      <c r="Q1541" s="16"/>
      <c r="R1541" s="16" t="str">
        <f t="shared" si="2"/>
        <v/>
      </c>
    </row>
    <row r="1542">
      <c r="B1542" s="16"/>
      <c r="C1542" s="12"/>
      <c r="D1542" s="12"/>
      <c r="E1542" s="12"/>
      <c r="F1542" s="12"/>
      <c r="G1542" s="25"/>
      <c r="H1542" s="12"/>
      <c r="I1542" s="31"/>
      <c r="J1542" s="12"/>
      <c r="K1542" s="12"/>
      <c r="L1542" s="16"/>
      <c r="M1542" s="46"/>
      <c r="N1542" s="46"/>
      <c r="O1542" s="31"/>
      <c r="P1542" s="16"/>
      <c r="Q1542" s="16"/>
      <c r="R1542" s="16" t="str">
        <f t="shared" si="2"/>
        <v/>
      </c>
    </row>
    <row r="1543">
      <c r="B1543" s="16"/>
      <c r="C1543" s="12"/>
      <c r="D1543" s="12"/>
      <c r="E1543" s="12"/>
      <c r="F1543" s="12"/>
      <c r="G1543" s="25"/>
      <c r="H1543" s="12"/>
      <c r="I1543" s="31"/>
      <c r="J1543" s="12"/>
      <c r="K1543" s="12"/>
      <c r="L1543" s="16"/>
      <c r="M1543" s="46"/>
      <c r="N1543" s="46"/>
      <c r="O1543" s="31"/>
      <c r="P1543" s="16"/>
      <c r="Q1543" s="16"/>
      <c r="R1543" s="16" t="str">
        <f t="shared" si="2"/>
        <v/>
      </c>
    </row>
    <row r="1544">
      <c r="B1544" s="16"/>
      <c r="C1544" s="12"/>
      <c r="D1544" s="12"/>
      <c r="E1544" s="12"/>
      <c r="F1544" s="12"/>
      <c r="G1544" s="25"/>
      <c r="H1544" s="12"/>
      <c r="I1544" s="31"/>
      <c r="J1544" s="12"/>
      <c r="K1544" s="12"/>
      <c r="L1544" s="16"/>
      <c r="M1544" s="46"/>
      <c r="N1544" s="46"/>
      <c r="O1544" s="31"/>
      <c r="P1544" s="16"/>
      <c r="Q1544" s="16"/>
      <c r="R1544" s="16" t="str">
        <f t="shared" si="2"/>
        <v/>
      </c>
    </row>
    <row r="1545">
      <c r="B1545" s="16"/>
      <c r="C1545" s="12"/>
      <c r="D1545" s="12"/>
      <c r="E1545" s="12"/>
      <c r="F1545" s="12"/>
      <c r="G1545" s="25"/>
      <c r="H1545" s="12"/>
      <c r="I1545" s="31"/>
      <c r="J1545" s="12"/>
      <c r="K1545" s="12"/>
      <c r="L1545" s="16"/>
      <c r="M1545" s="46"/>
      <c r="N1545" s="46"/>
      <c r="O1545" s="31"/>
      <c r="P1545" s="16"/>
      <c r="Q1545" s="16"/>
      <c r="R1545" s="16" t="str">
        <f t="shared" si="2"/>
        <v/>
      </c>
    </row>
    <row r="1546">
      <c r="B1546" s="16"/>
      <c r="C1546" s="12"/>
      <c r="D1546" s="12"/>
      <c r="E1546" s="12"/>
      <c r="F1546" s="12"/>
      <c r="G1546" s="25"/>
      <c r="H1546" s="12"/>
      <c r="I1546" s="31"/>
      <c r="J1546" s="12"/>
      <c r="K1546" s="12"/>
      <c r="L1546" s="16"/>
      <c r="M1546" s="46"/>
      <c r="N1546" s="46"/>
      <c r="O1546" s="31"/>
      <c r="P1546" s="16"/>
      <c r="Q1546" s="16"/>
      <c r="R1546" s="16" t="str">
        <f t="shared" si="2"/>
        <v/>
      </c>
    </row>
    <row r="1547">
      <c r="B1547" s="16"/>
      <c r="C1547" s="12"/>
      <c r="D1547" s="12"/>
      <c r="E1547" s="12"/>
      <c r="F1547" s="12"/>
      <c r="G1547" s="25"/>
      <c r="H1547" s="12"/>
      <c r="I1547" s="31"/>
      <c r="J1547" s="12"/>
      <c r="K1547" s="12"/>
      <c r="L1547" s="16"/>
      <c r="M1547" s="46"/>
      <c r="N1547" s="46"/>
      <c r="O1547" s="31"/>
      <c r="P1547" s="16"/>
      <c r="Q1547" s="16"/>
      <c r="R1547" s="16" t="str">
        <f t="shared" si="2"/>
        <v/>
      </c>
    </row>
    <row r="1548">
      <c r="B1548" s="16"/>
      <c r="C1548" s="12"/>
      <c r="D1548" s="12"/>
      <c r="E1548" s="12"/>
      <c r="F1548" s="12"/>
      <c r="G1548" s="25"/>
      <c r="H1548" s="12"/>
      <c r="I1548" s="31"/>
      <c r="J1548" s="12"/>
      <c r="K1548" s="12"/>
      <c r="L1548" s="16"/>
      <c r="M1548" s="46"/>
      <c r="N1548" s="46"/>
      <c r="O1548" s="31"/>
      <c r="P1548" s="16"/>
      <c r="Q1548" s="16"/>
      <c r="R1548" s="16" t="str">
        <f t="shared" si="2"/>
        <v/>
      </c>
    </row>
    <row r="1549">
      <c r="B1549" s="16"/>
      <c r="C1549" s="12"/>
      <c r="D1549" s="12"/>
      <c r="E1549" s="12"/>
      <c r="F1549" s="12"/>
      <c r="G1549" s="25"/>
      <c r="H1549" s="12"/>
      <c r="I1549" s="31"/>
      <c r="J1549" s="12"/>
      <c r="K1549" s="12"/>
      <c r="L1549" s="16"/>
      <c r="M1549" s="46"/>
      <c r="N1549" s="46"/>
      <c r="O1549" s="31"/>
      <c r="P1549" s="16"/>
      <c r="Q1549" s="16"/>
      <c r="R1549" s="16" t="str">
        <f t="shared" si="2"/>
        <v/>
      </c>
    </row>
    <row r="1550">
      <c r="B1550" s="16"/>
      <c r="C1550" s="12"/>
      <c r="D1550" s="12"/>
      <c r="E1550" s="12"/>
      <c r="F1550" s="12"/>
      <c r="G1550" s="25"/>
      <c r="H1550" s="12"/>
      <c r="I1550" s="31"/>
      <c r="J1550" s="12"/>
      <c r="K1550" s="12"/>
      <c r="L1550" s="16"/>
      <c r="M1550" s="46"/>
      <c r="N1550" s="46"/>
      <c r="O1550" s="31"/>
      <c r="P1550" s="16"/>
      <c r="Q1550" s="16"/>
      <c r="R1550" s="16" t="str">
        <f t="shared" si="2"/>
        <v/>
      </c>
    </row>
    <row r="1551">
      <c r="B1551" s="16"/>
      <c r="C1551" s="12"/>
      <c r="D1551" s="12"/>
      <c r="E1551" s="12"/>
      <c r="F1551" s="12"/>
      <c r="G1551" s="25"/>
      <c r="H1551" s="12"/>
      <c r="I1551" s="31"/>
      <c r="J1551" s="12"/>
      <c r="K1551" s="12"/>
      <c r="L1551" s="16"/>
      <c r="M1551" s="46"/>
      <c r="N1551" s="46"/>
      <c r="O1551" s="31"/>
      <c r="P1551" s="16"/>
      <c r="Q1551" s="16"/>
      <c r="R1551" s="16" t="str">
        <f t="shared" si="2"/>
        <v/>
      </c>
    </row>
    <row r="1552">
      <c r="B1552" s="16"/>
      <c r="C1552" s="12"/>
      <c r="D1552" s="12"/>
      <c r="E1552" s="12"/>
      <c r="F1552" s="12"/>
      <c r="G1552" s="25"/>
      <c r="H1552" s="12"/>
      <c r="I1552" s="31"/>
      <c r="J1552" s="12"/>
      <c r="K1552" s="12"/>
      <c r="L1552" s="16"/>
      <c r="M1552" s="46"/>
      <c r="N1552" s="46"/>
      <c r="O1552" s="31"/>
      <c r="P1552" s="16"/>
      <c r="Q1552" s="16"/>
      <c r="R1552" s="16" t="str">
        <f t="shared" si="2"/>
        <v/>
      </c>
    </row>
    <row r="1553">
      <c r="B1553" s="16"/>
      <c r="C1553" s="12"/>
      <c r="D1553" s="12"/>
      <c r="E1553" s="12"/>
      <c r="F1553" s="12"/>
      <c r="G1553" s="25"/>
      <c r="H1553" s="12"/>
      <c r="I1553" s="31"/>
      <c r="J1553" s="12"/>
      <c r="K1553" s="12"/>
      <c r="L1553" s="16"/>
      <c r="M1553" s="46"/>
      <c r="N1553" s="46"/>
      <c r="O1553" s="31"/>
      <c r="P1553" s="16"/>
      <c r="Q1553" s="16"/>
      <c r="R1553" s="16" t="str">
        <f t="shared" si="2"/>
        <v/>
      </c>
    </row>
    <row r="1554">
      <c r="B1554" s="16"/>
      <c r="C1554" s="12"/>
      <c r="D1554" s="12"/>
      <c r="E1554" s="12"/>
      <c r="F1554" s="12"/>
      <c r="G1554" s="25"/>
      <c r="H1554" s="12"/>
      <c r="I1554" s="31"/>
      <c r="J1554" s="12"/>
      <c r="K1554" s="12"/>
      <c r="L1554" s="16"/>
      <c r="M1554" s="46"/>
      <c r="N1554" s="46"/>
      <c r="O1554" s="31"/>
      <c r="P1554" s="16"/>
      <c r="Q1554" s="16"/>
      <c r="R1554" s="16" t="str">
        <f t="shared" si="2"/>
        <v/>
      </c>
    </row>
    <row r="1555">
      <c r="B1555" s="16"/>
      <c r="C1555" s="12"/>
      <c r="D1555" s="12"/>
      <c r="E1555" s="12"/>
      <c r="F1555" s="12"/>
      <c r="G1555" s="25"/>
      <c r="H1555" s="12"/>
      <c r="I1555" s="31"/>
      <c r="J1555" s="12"/>
      <c r="K1555" s="12"/>
      <c r="L1555" s="16"/>
      <c r="M1555" s="46"/>
      <c r="N1555" s="46"/>
      <c r="O1555" s="31"/>
      <c r="P1555" s="16"/>
      <c r="Q1555" s="16"/>
      <c r="R1555" s="16" t="str">
        <f t="shared" si="2"/>
        <v/>
      </c>
    </row>
    <row r="1556">
      <c r="B1556" s="16"/>
      <c r="C1556" s="12"/>
      <c r="D1556" s="12"/>
      <c r="E1556" s="12"/>
      <c r="F1556" s="12"/>
      <c r="G1556" s="25"/>
      <c r="H1556" s="12"/>
      <c r="I1556" s="31"/>
      <c r="J1556" s="12"/>
      <c r="K1556" s="12"/>
      <c r="L1556" s="16"/>
      <c r="M1556" s="46"/>
      <c r="N1556" s="46"/>
      <c r="O1556" s="31"/>
      <c r="P1556" s="16"/>
      <c r="Q1556" s="16"/>
      <c r="R1556" s="16" t="str">
        <f t="shared" si="2"/>
        <v/>
      </c>
    </row>
    <row r="1557">
      <c r="B1557" s="16"/>
      <c r="C1557" s="12"/>
      <c r="D1557" s="12"/>
      <c r="E1557" s="12"/>
      <c r="F1557" s="12"/>
      <c r="G1557" s="25"/>
      <c r="H1557" s="12"/>
      <c r="I1557" s="31"/>
      <c r="J1557" s="12"/>
      <c r="K1557" s="12"/>
      <c r="L1557" s="16"/>
      <c r="M1557" s="46"/>
      <c r="N1557" s="46"/>
      <c r="O1557" s="31"/>
      <c r="P1557" s="16"/>
      <c r="Q1557" s="16"/>
      <c r="R1557" s="16" t="str">
        <f t="shared" si="2"/>
        <v/>
      </c>
    </row>
    <row r="1558">
      <c r="B1558" s="16"/>
      <c r="C1558" s="12"/>
      <c r="D1558" s="12"/>
      <c r="E1558" s="12"/>
      <c r="F1558" s="12"/>
      <c r="G1558" s="25"/>
      <c r="H1558" s="12"/>
      <c r="I1558" s="31"/>
      <c r="J1558" s="12"/>
      <c r="K1558" s="12"/>
      <c r="L1558" s="16"/>
      <c r="M1558" s="46"/>
      <c r="N1558" s="46"/>
      <c r="O1558" s="31"/>
      <c r="P1558" s="16"/>
      <c r="Q1558" s="16"/>
      <c r="R1558" s="16" t="str">
        <f t="shared" si="2"/>
        <v/>
      </c>
    </row>
    <row r="1559">
      <c r="B1559" s="16"/>
      <c r="C1559" s="12"/>
      <c r="D1559" s="12"/>
      <c r="E1559" s="12"/>
      <c r="F1559" s="12"/>
      <c r="G1559" s="25"/>
      <c r="H1559" s="12"/>
      <c r="I1559" s="31"/>
      <c r="J1559" s="12"/>
      <c r="K1559" s="12"/>
      <c r="L1559" s="16"/>
      <c r="M1559" s="46"/>
      <c r="N1559" s="46"/>
      <c r="O1559" s="31"/>
      <c r="P1559" s="16"/>
      <c r="Q1559" s="16"/>
      <c r="R1559" s="16" t="str">
        <f t="shared" si="2"/>
        <v/>
      </c>
    </row>
    <row r="1560">
      <c r="B1560" s="16"/>
      <c r="C1560" s="12"/>
      <c r="D1560" s="12"/>
      <c r="E1560" s="12"/>
      <c r="F1560" s="12"/>
      <c r="G1560" s="25"/>
      <c r="H1560" s="12"/>
      <c r="I1560" s="31"/>
      <c r="J1560" s="12"/>
      <c r="K1560" s="12"/>
      <c r="L1560" s="16"/>
      <c r="M1560" s="46"/>
      <c r="N1560" s="46"/>
      <c r="O1560" s="31"/>
      <c r="P1560" s="16"/>
      <c r="Q1560" s="16"/>
      <c r="R1560" s="16" t="str">
        <f t="shared" si="2"/>
        <v/>
      </c>
    </row>
    <row r="1561">
      <c r="B1561" s="16"/>
      <c r="C1561" s="12"/>
      <c r="D1561" s="12"/>
      <c r="E1561" s="12"/>
      <c r="F1561" s="12"/>
      <c r="G1561" s="25"/>
      <c r="H1561" s="12"/>
      <c r="I1561" s="31"/>
      <c r="J1561" s="12"/>
      <c r="K1561" s="12"/>
      <c r="L1561" s="16"/>
      <c r="M1561" s="46"/>
      <c r="N1561" s="46"/>
      <c r="O1561" s="31"/>
      <c r="P1561" s="16"/>
      <c r="Q1561" s="16"/>
      <c r="R1561" s="16" t="str">
        <f t="shared" si="2"/>
        <v/>
      </c>
    </row>
    <row r="1562">
      <c r="B1562" s="16"/>
      <c r="C1562" s="12"/>
      <c r="D1562" s="12"/>
      <c r="E1562" s="12"/>
      <c r="F1562" s="12"/>
      <c r="G1562" s="25"/>
      <c r="H1562" s="12"/>
      <c r="I1562" s="31"/>
      <c r="J1562" s="12"/>
      <c r="K1562" s="12"/>
      <c r="L1562" s="16"/>
      <c r="M1562" s="46"/>
      <c r="N1562" s="46"/>
      <c r="O1562" s="31"/>
      <c r="P1562" s="16"/>
      <c r="Q1562" s="16"/>
      <c r="R1562" s="16" t="str">
        <f t="shared" si="2"/>
        <v/>
      </c>
    </row>
    <row r="1563">
      <c r="B1563" s="16"/>
      <c r="C1563" s="12"/>
      <c r="D1563" s="12"/>
      <c r="E1563" s="12"/>
      <c r="F1563" s="12"/>
      <c r="G1563" s="25"/>
      <c r="H1563" s="12"/>
      <c r="I1563" s="31"/>
      <c r="J1563" s="12"/>
      <c r="K1563" s="12"/>
      <c r="L1563" s="16"/>
      <c r="M1563" s="46"/>
      <c r="N1563" s="46"/>
      <c r="O1563" s="31"/>
      <c r="P1563" s="16"/>
      <c r="Q1563" s="16"/>
      <c r="R1563" s="16" t="str">
        <f t="shared" si="2"/>
        <v/>
      </c>
    </row>
    <row r="1564">
      <c r="B1564" s="16"/>
      <c r="C1564" s="12"/>
      <c r="D1564" s="12"/>
      <c r="E1564" s="12"/>
      <c r="F1564" s="12"/>
      <c r="G1564" s="25"/>
      <c r="H1564" s="12"/>
      <c r="I1564" s="31"/>
      <c r="J1564" s="12"/>
      <c r="K1564" s="12"/>
      <c r="L1564" s="16"/>
      <c r="M1564" s="46"/>
      <c r="N1564" s="46"/>
      <c r="O1564" s="31"/>
      <c r="P1564" s="16"/>
      <c r="Q1564" s="16"/>
      <c r="R1564" s="16" t="str">
        <f t="shared" si="2"/>
        <v/>
      </c>
    </row>
    <row r="1565">
      <c r="B1565" s="16"/>
      <c r="C1565" s="12"/>
      <c r="D1565" s="12"/>
      <c r="E1565" s="12"/>
      <c r="F1565" s="12"/>
      <c r="G1565" s="25"/>
      <c r="H1565" s="12"/>
      <c r="I1565" s="31"/>
      <c r="J1565" s="12"/>
      <c r="K1565" s="12"/>
      <c r="L1565" s="16"/>
      <c r="M1565" s="46"/>
      <c r="N1565" s="46"/>
      <c r="O1565" s="31"/>
      <c r="P1565" s="16"/>
      <c r="Q1565" s="16"/>
      <c r="R1565" s="16" t="str">
        <f t="shared" si="2"/>
        <v/>
      </c>
    </row>
    <row r="1566">
      <c r="B1566" s="16"/>
      <c r="C1566" s="12"/>
      <c r="D1566" s="12"/>
      <c r="E1566" s="12"/>
      <c r="F1566" s="12"/>
      <c r="G1566" s="25"/>
      <c r="H1566" s="12"/>
      <c r="I1566" s="31"/>
      <c r="J1566" s="12"/>
      <c r="K1566" s="12"/>
      <c r="L1566" s="16"/>
      <c r="M1566" s="46"/>
      <c r="N1566" s="46"/>
      <c r="O1566" s="31"/>
      <c r="P1566" s="16"/>
      <c r="Q1566" s="16"/>
      <c r="R1566" s="16" t="str">
        <f t="shared" si="2"/>
        <v/>
      </c>
    </row>
    <row r="1567">
      <c r="B1567" s="16"/>
      <c r="C1567" s="12"/>
      <c r="D1567" s="12"/>
      <c r="E1567" s="12"/>
      <c r="F1567" s="12"/>
      <c r="G1567" s="25"/>
      <c r="H1567" s="12"/>
      <c r="I1567" s="31"/>
      <c r="J1567" s="12"/>
      <c r="K1567" s="12"/>
      <c r="L1567" s="16"/>
      <c r="M1567" s="46"/>
      <c r="N1567" s="46"/>
      <c r="O1567" s="31"/>
      <c r="P1567" s="16"/>
      <c r="Q1567" s="16"/>
      <c r="R1567" s="16" t="str">
        <f t="shared" si="2"/>
        <v/>
      </c>
    </row>
    <row r="1568">
      <c r="B1568" s="16"/>
      <c r="C1568" s="12"/>
      <c r="D1568" s="12"/>
      <c r="E1568" s="12"/>
      <c r="F1568" s="12"/>
      <c r="G1568" s="25"/>
      <c r="H1568" s="12"/>
      <c r="I1568" s="31"/>
      <c r="J1568" s="12"/>
      <c r="K1568" s="12"/>
      <c r="L1568" s="16"/>
      <c r="M1568" s="46"/>
      <c r="N1568" s="46"/>
      <c r="O1568" s="31"/>
      <c r="P1568" s="16"/>
      <c r="Q1568" s="16"/>
      <c r="R1568" s="16" t="str">
        <f t="shared" si="2"/>
        <v/>
      </c>
    </row>
    <row r="1569">
      <c r="B1569" s="16"/>
      <c r="C1569" s="12"/>
      <c r="D1569" s="12"/>
      <c r="E1569" s="12"/>
      <c r="F1569" s="12"/>
      <c r="G1569" s="25"/>
      <c r="H1569" s="12"/>
      <c r="I1569" s="31"/>
      <c r="J1569" s="12"/>
      <c r="K1569" s="12"/>
      <c r="L1569" s="16"/>
      <c r="M1569" s="46"/>
      <c r="N1569" s="46"/>
      <c r="O1569" s="31"/>
      <c r="P1569" s="16"/>
      <c r="Q1569" s="16"/>
      <c r="R1569" s="16" t="str">
        <f t="shared" si="2"/>
        <v/>
      </c>
    </row>
    <row r="1570">
      <c r="B1570" s="16"/>
      <c r="C1570" s="12"/>
      <c r="D1570" s="12"/>
      <c r="E1570" s="12"/>
      <c r="F1570" s="12"/>
      <c r="G1570" s="25"/>
      <c r="H1570" s="12"/>
      <c r="I1570" s="31"/>
      <c r="J1570" s="12"/>
      <c r="K1570" s="12"/>
      <c r="L1570" s="16"/>
      <c r="M1570" s="46"/>
      <c r="N1570" s="46"/>
      <c r="O1570" s="31"/>
      <c r="P1570" s="16"/>
      <c r="Q1570" s="16"/>
      <c r="R1570" s="16" t="str">
        <f t="shared" si="2"/>
        <v/>
      </c>
    </row>
    <row r="1571">
      <c r="B1571" s="16"/>
      <c r="C1571" s="12"/>
      <c r="D1571" s="12"/>
      <c r="E1571" s="12"/>
      <c r="F1571" s="12"/>
      <c r="G1571" s="25"/>
      <c r="H1571" s="12"/>
      <c r="I1571" s="31"/>
      <c r="J1571" s="12"/>
      <c r="K1571" s="12"/>
      <c r="L1571" s="16"/>
      <c r="M1571" s="46"/>
      <c r="N1571" s="46"/>
      <c r="O1571" s="31"/>
      <c r="P1571" s="16"/>
      <c r="Q1571" s="16"/>
      <c r="R1571" s="16" t="str">
        <f t="shared" si="2"/>
        <v/>
      </c>
    </row>
    <row r="1572">
      <c r="B1572" s="16"/>
      <c r="C1572" s="12"/>
      <c r="D1572" s="12"/>
      <c r="E1572" s="12"/>
      <c r="F1572" s="12"/>
      <c r="G1572" s="25"/>
      <c r="H1572" s="12"/>
      <c r="I1572" s="31"/>
      <c r="J1572" s="12"/>
      <c r="K1572" s="12"/>
      <c r="L1572" s="16"/>
      <c r="M1572" s="46"/>
      <c r="N1572" s="46"/>
      <c r="O1572" s="31"/>
      <c r="P1572" s="16"/>
      <c r="Q1572" s="16"/>
      <c r="R1572" s="16" t="str">
        <f t="shared" si="2"/>
        <v/>
      </c>
    </row>
    <row r="1573">
      <c r="B1573" s="16"/>
      <c r="C1573" s="12"/>
      <c r="D1573" s="12"/>
      <c r="E1573" s="12"/>
      <c r="F1573" s="12"/>
      <c r="G1573" s="25"/>
      <c r="H1573" s="12"/>
      <c r="I1573" s="31"/>
      <c r="J1573" s="12"/>
      <c r="K1573" s="12"/>
      <c r="L1573" s="16"/>
      <c r="M1573" s="46"/>
      <c r="N1573" s="46"/>
      <c r="O1573" s="31"/>
      <c r="P1573" s="16"/>
      <c r="Q1573" s="16"/>
      <c r="R1573" s="16" t="str">
        <f t="shared" si="2"/>
        <v/>
      </c>
    </row>
    <row r="1574">
      <c r="B1574" s="16"/>
      <c r="C1574" s="12"/>
      <c r="D1574" s="12"/>
      <c r="E1574" s="12"/>
      <c r="F1574" s="12"/>
      <c r="G1574" s="25"/>
      <c r="H1574" s="12"/>
      <c r="I1574" s="31"/>
      <c r="J1574" s="12"/>
      <c r="K1574" s="12"/>
      <c r="L1574" s="16"/>
      <c r="M1574" s="46"/>
      <c r="N1574" s="46"/>
      <c r="O1574" s="31"/>
      <c r="P1574" s="16"/>
      <c r="Q1574" s="16"/>
      <c r="R1574" s="16" t="str">
        <f t="shared" si="2"/>
        <v/>
      </c>
    </row>
    <row r="1575">
      <c r="B1575" s="16"/>
      <c r="C1575" s="12"/>
      <c r="D1575" s="12"/>
      <c r="E1575" s="12"/>
      <c r="F1575" s="12"/>
      <c r="G1575" s="25"/>
      <c r="H1575" s="12"/>
      <c r="I1575" s="31"/>
      <c r="J1575" s="12"/>
      <c r="K1575" s="12"/>
      <c r="L1575" s="16"/>
      <c r="M1575" s="46"/>
      <c r="N1575" s="46"/>
      <c r="O1575" s="31"/>
      <c r="P1575" s="16"/>
      <c r="Q1575" s="16"/>
      <c r="R1575" s="16" t="str">
        <f t="shared" si="2"/>
        <v/>
      </c>
    </row>
    <row r="1576">
      <c r="B1576" s="16"/>
      <c r="C1576" s="12"/>
      <c r="D1576" s="12"/>
      <c r="E1576" s="12"/>
      <c r="F1576" s="12"/>
      <c r="G1576" s="25"/>
      <c r="H1576" s="12"/>
      <c r="I1576" s="31"/>
      <c r="J1576" s="12"/>
      <c r="K1576" s="12"/>
      <c r="L1576" s="16"/>
      <c r="M1576" s="46"/>
      <c r="N1576" s="46"/>
      <c r="O1576" s="31"/>
      <c r="P1576" s="16"/>
      <c r="Q1576" s="16"/>
      <c r="R1576" s="16" t="str">
        <f t="shared" si="2"/>
        <v/>
      </c>
    </row>
    <row r="1577">
      <c r="B1577" s="16"/>
      <c r="C1577" s="12"/>
      <c r="D1577" s="12"/>
      <c r="E1577" s="12"/>
      <c r="F1577" s="12"/>
      <c r="G1577" s="25"/>
      <c r="H1577" s="12"/>
      <c r="I1577" s="31"/>
      <c r="J1577" s="12"/>
      <c r="K1577" s="12"/>
      <c r="L1577" s="16"/>
      <c r="M1577" s="46"/>
      <c r="N1577" s="46"/>
      <c r="O1577" s="31"/>
      <c r="P1577" s="16"/>
      <c r="Q1577" s="16"/>
      <c r="R1577" s="16" t="str">
        <f t="shared" si="2"/>
        <v/>
      </c>
    </row>
    <row r="1578">
      <c r="B1578" s="16"/>
      <c r="C1578" s="12"/>
      <c r="D1578" s="12"/>
      <c r="E1578" s="12"/>
      <c r="F1578" s="12"/>
      <c r="G1578" s="25"/>
      <c r="H1578" s="12"/>
      <c r="I1578" s="31"/>
      <c r="J1578" s="12"/>
      <c r="K1578" s="12"/>
      <c r="L1578" s="16"/>
      <c r="M1578" s="46"/>
      <c r="N1578" s="46"/>
      <c r="O1578" s="31"/>
      <c r="P1578" s="16"/>
      <c r="Q1578" s="16"/>
      <c r="R1578" s="16" t="str">
        <f t="shared" si="2"/>
        <v/>
      </c>
    </row>
    <row r="1579">
      <c r="B1579" s="16"/>
      <c r="C1579" s="12"/>
      <c r="D1579" s="12"/>
      <c r="E1579" s="12"/>
      <c r="F1579" s="12"/>
      <c r="G1579" s="25"/>
      <c r="H1579" s="12"/>
      <c r="I1579" s="31"/>
      <c r="J1579" s="12"/>
      <c r="K1579" s="12"/>
      <c r="L1579" s="16"/>
      <c r="M1579" s="46"/>
      <c r="N1579" s="46"/>
      <c r="O1579" s="31"/>
      <c r="P1579" s="16"/>
      <c r="Q1579" s="16"/>
      <c r="R1579" s="16" t="str">
        <f t="shared" si="2"/>
        <v/>
      </c>
    </row>
    <row r="1580">
      <c r="B1580" s="16"/>
      <c r="C1580" s="12"/>
      <c r="D1580" s="12"/>
      <c r="E1580" s="12"/>
      <c r="F1580" s="12"/>
      <c r="G1580" s="25"/>
      <c r="H1580" s="12"/>
      <c r="I1580" s="31"/>
      <c r="J1580" s="12"/>
      <c r="K1580" s="12"/>
      <c r="L1580" s="16"/>
      <c r="M1580" s="46"/>
      <c r="N1580" s="46"/>
      <c r="O1580" s="31"/>
      <c r="P1580" s="16"/>
      <c r="Q1580" s="16"/>
      <c r="R1580" s="16" t="str">
        <f t="shared" si="2"/>
        <v/>
      </c>
    </row>
    <row r="1581">
      <c r="B1581" s="16"/>
      <c r="C1581" s="12"/>
      <c r="D1581" s="12"/>
      <c r="E1581" s="12"/>
      <c r="F1581" s="12"/>
      <c r="G1581" s="25"/>
      <c r="H1581" s="12"/>
      <c r="I1581" s="31"/>
      <c r="J1581" s="12"/>
      <c r="K1581" s="12"/>
      <c r="L1581" s="16"/>
      <c r="M1581" s="46"/>
      <c r="N1581" s="46"/>
      <c r="O1581" s="31"/>
      <c r="P1581" s="16"/>
      <c r="Q1581" s="16"/>
      <c r="R1581" s="16" t="str">
        <f t="shared" si="2"/>
        <v/>
      </c>
    </row>
    <row r="1582">
      <c r="B1582" s="16"/>
      <c r="C1582" s="12"/>
      <c r="D1582" s="12"/>
      <c r="E1582" s="12"/>
      <c r="F1582" s="12"/>
      <c r="G1582" s="25"/>
      <c r="H1582" s="12"/>
      <c r="I1582" s="31"/>
      <c r="J1582" s="12"/>
      <c r="K1582" s="12"/>
      <c r="L1582" s="16"/>
      <c r="M1582" s="46"/>
      <c r="N1582" s="46"/>
      <c r="O1582" s="31"/>
      <c r="P1582" s="16"/>
      <c r="Q1582" s="16"/>
      <c r="R1582" s="16" t="str">
        <f t="shared" si="2"/>
        <v/>
      </c>
    </row>
    <row r="1583">
      <c r="B1583" s="16"/>
      <c r="C1583" s="12"/>
      <c r="D1583" s="12"/>
      <c r="E1583" s="12"/>
      <c r="F1583" s="12"/>
      <c r="G1583" s="25"/>
      <c r="H1583" s="12"/>
      <c r="I1583" s="31"/>
      <c r="J1583" s="12"/>
      <c r="K1583" s="12"/>
      <c r="L1583" s="16"/>
      <c r="M1583" s="46"/>
      <c r="N1583" s="46"/>
      <c r="O1583" s="31"/>
      <c r="P1583" s="16"/>
      <c r="Q1583" s="16"/>
      <c r="R1583" s="16" t="str">
        <f t="shared" si="2"/>
        <v/>
      </c>
    </row>
    <row r="1584">
      <c r="B1584" s="16"/>
      <c r="C1584" s="12"/>
      <c r="D1584" s="12"/>
      <c r="E1584" s="12"/>
      <c r="F1584" s="12"/>
      <c r="G1584" s="25"/>
      <c r="H1584" s="12"/>
      <c r="I1584" s="31"/>
      <c r="J1584" s="12"/>
      <c r="K1584" s="12"/>
      <c r="L1584" s="16"/>
      <c r="M1584" s="46"/>
      <c r="N1584" s="46"/>
      <c r="O1584" s="31"/>
      <c r="P1584" s="16"/>
      <c r="Q1584" s="16"/>
      <c r="R1584" s="16" t="str">
        <f t="shared" si="2"/>
        <v/>
      </c>
    </row>
    <row r="1585">
      <c r="B1585" s="16"/>
      <c r="C1585" s="12"/>
      <c r="D1585" s="12"/>
      <c r="E1585" s="12"/>
      <c r="F1585" s="12"/>
      <c r="G1585" s="25"/>
      <c r="H1585" s="12"/>
      <c r="I1585" s="31"/>
      <c r="J1585" s="12"/>
      <c r="K1585" s="12"/>
      <c r="L1585" s="16"/>
      <c r="M1585" s="46"/>
      <c r="N1585" s="46"/>
      <c r="O1585" s="31"/>
      <c r="P1585" s="16"/>
      <c r="Q1585" s="16"/>
      <c r="R1585" s="16" t="str">
        <f t="shared" si="2"/>
        <v/>
      </c>
    </row>
    <row r="1586">
      <c r="B1586" s="16"/>
      <c r="C1586" s="12"/>
      <c r="D1586" s="12"/>
      <c r="E1586" s="12"/>
      <c r="F1586" s="12"/>
      <c r="G1586" s="25"/>
      <c r="H1586" s="12"/>
      <c r="I1586" s="31"/>
      <c r="J1586" s="12"/>
      <c r="K1586" s="12"/>
      <c r="L1586" s="16"/>
      <c r="M1586" s="46"/>
      <c r="N1586" s="46"/>
      <c r="O1586" s="31"/>
      <c r="P1586" s="16"/>
      <c r="Q1586" s="16"/>
      <c r="R1586" s="16" t="str">
        <f t="shared" si="2"/>
        <v/>
      </c>
    </row>
    <row r="1587">
      <c r="B1587" s="16"/>
      <c r="C1587" s="12"/>
      <c r="D1587" s="12"/>
      <c r="E1587" s="12"/>
      <c r="F1587" s="12"/>
      <c r="G1587" s="25"/>
      <c r="H1587" s="12"/>
      <c r="I1587" s="31"/>
      <c r="J1587" s="12"/>
      <c r="K1587" s="12"/>
      <c r="L1587" s="16"/>
      <c r="M1587" s="46"/>
      <c r="N1587" s="46"/>
      <c r="O1587" s="31"/>
      <c r="P1587" s="16"/>
      <c r="Q1587" s="16"/>
      <c r="R1587" s="16" t="str">
        <f t="shared" si="2"/>
        <v/>
      </c>
    </row>
    <row r="1588">
      <c r="B1588" s="16"/>
      <c r="C1588" s="12"/>
      <c r="D1588" s="12"/>
      <c r="E1588" s="12"/>
      <c r="F1588" s="12"/>
      <c r="G1588" s="25"/>
      <c r="H1588" s="12"/>
      <c r="I1588" s="31"/>
      <c r="J1588" s="12"/>
      <c r="K1588" s="12"/>
      <c r="L1588" s="16"/>
      <c r="M1588" s="46"/>
      <c r="N1588" s="46"/>
      <c r="O1588" s="31"/>
      <c r="P1588" s="16"/>
      <c r="Q1588" s="16"/>
      <c r="R1588" s="16" t="str">
        <f t="shared" si="2"/>
        <v/>
      </c>
    </row>
    <row r="1589">
      <c r="B1589" s="16"/>
      <c r="C1589" s="12"/>
      <c r="D1589" s="12"/>
      <c r="E1589" s="12"/>
      <c r="F1589" s="12"/>
      <c r="G1589" s="25"/>
      <c r="H1589" s="12"/>
      <c r="I1589" s="31"/>
      <c r="J1589" s="12"/>
      <c r="K1589" s="12"/>
      <c r="L1589" s="16"/>
      <c r="M1589" s="46"/>
      <c r="N1589" s="46"/>
      <c r="O1589" s="31"/>
      <c r="P1589" s="16"/>
      <c r="Q1589" s="16"/>
      <c r="R1589" s="16" t="str">
        <f t="shared" si="2"/>
        <v/>
      </c>
    </row>
    <row r="1590">
      <c r="B1590" s="16"/>
      <c r="C1590" s="12"/>
      <c r="D1590" s="12"/>
      <c r="E1590" s="12"/>
      <c r="F1590" s="12"/>
      <c r="G1590" s="25"/>
      <c r="H1590" s="12"/>
      <c r="I1590" s="31"/>
      <c r="J1590" s="12"/>
      <c r="K1590" s="12"/>
      <c r="L1590" s="16"/>
      <c r="M1590" s="46"/>
      <c r="N1590" s="46"/>
      <c r="O1590" s="31"/>
      <c r="P1590" s="16"/>
      <c r="Q1590" s="16"/>
      <c r="R1590" s="16" t="str">
        <f t="shared" si="2"/>
        <v/>
      </c>
    </row>
    <row r="1591">
      <c r="B1591" s="16"/>
      <c r="C1591" s="12"/>
      <c r="D1591" s="12"/>
      <c r="E1591" s="12"/>
      <c r="F1591" s="12"/>
      <c r="G1591" s="25"/>
      <c r="H1591" s="12"/>
      <c r="I1591" s="31"/>
      <c r="J1591" s="12"/>
      <c r="K1591" s="12"/>
      <c r="L1591" s="16"/>
      <c r="M1591" s="46"/>
      <c r="N1591" s="46"/>
      <c r="O1591" s="31"/>
      <c r="P1591" s="16"/>
      <c r="Q1591" s="16"/>
      <c r="R1591" s="16" t="str">
        <f t="shared" si="2"/>
        <v/>
      </c>
    </row>
    <row r="1592">
      <c r="B1592" s="16"/>
      <c r="C1592" s="12"/>
      <c r="D1592" s="12"/>
      <c r="E1592" s="12"/>
      <c r="F1592" s="12"/>
      <c r="G1592" s="25"/>
      <c r="H1592" s="12"/>
      <c r="I1592" s="31"/>
      <c r="J1592" s="12"/>
      <c r="K1592" s="12"/>
      <c r="L1592" s="16"/>
      <c r="M1592" s="46"/>
      <c r="N1592" s="46"/>
      <c r="O1592" s="31"/>
      <c r="P1592" s="16"/>
      <c r="Q1592" s="16"/>
      <c r="R1592" s="16" t="str">
        <f t="shared" si="2"/>
        <v/>
      </c>
    </row>
    <row r="1593">
      <c r="B1593" s="16"/>
      <c r="C1593" s="12"/>
      <c r="D1593" s="12"/>
      <c r="E1593" s="12"/>
      <c r="F1593" s="12"/>
      <c r="G1593" s="25"/>
      <c r="H1593" s="12"/>
      <c r="I1593" s="31"/>
      <c r="J1593" s="12"/>
      <c r="K1593" s="12"/>
      <c r="L1593" s="16"/>
      <c r="M1593" s="46"/>
      <c r="N1593" s="46"/>
      <c r="O1593" s="31"/>
      <c r="P1593" s="16"/>
      <c r="Q1593" s="16"/>
      <c r="R1593" s="16" t="str">
        <f t="shared" si="2"/>
        <v/>
      </c>
    </row>
    <row r="1594">
      <c r="B1594" s="16"/>
      <c r="C1594" s="12"/>
      <c r="D1594" s="12"/>
      <c r="E1594" s="12"/>
      <c r="F1594" s="12"/>
      <c r="G1594" s="25"/>
      <c r="H1594" s="12"/>
      <c r="I1594" s="31"/>
      <c r="J1594" s="12"/>
      <c r="K1594" s="12"/>
      <c r="L1594" s="16"/>
      <c r="M1594" s="46"/>
      <c r="N1594" s="46"/>
      <c r="O1594" s="31"/>
      <c r="P1594" s="16"/>
      <c r="Q1594" s="16"/>
      <c r="R1594" s="16" t="str">
        <f t="shared" si="2"/>
        <v/>
      </c>
    </row>
    <row r="1595">
      <c r="B1595" s="16"/>
      <c r="C1595" s="12"/>
      <c r="D1595" s="12"/>
      <c r="E1595" s="12"/>
      <c r="F1595" s="12"/>
      <c r="G1595" s="25"/>
      <c r="H1595" s="12"/>
      <c r="I1595" s="31"/>
      <c r="J1595" s="12"/>
      <c r="K1595" s="12"/>
      <c r="L1595" s="16"/>
      <c r="M1595" s="46"/>
      <c r="N1595" s="46"/>
      <c r="O1595" s="31"/>
      <c r="P1595" s="16"/>
      <c r="Q1595" s="16"/>
      <c r="R1595" s="16" t="str">
        <f t="shared" si="2"/>
        <v/>
      </c>
    </row>
    <row r="1596">
      <c r="B1596" s="16"/>
      <c r="C1596" s="12"/>
      <c r="D1596" s="12"/>
      <c r="E1596" s="12"/>
      <c r="F1596" s="12"/>
      <c r="G1596" s="25"/>
      <c r="H1596" s="12"/>
      <c r="I1596" s="31"/>
      <c r="J1596" s="12"/>
      <c r="K1596" s="12"/>
      <c r="L1596" s="16"/>
      <c r="M1596" s="30" t="s">
        <v>2034</v>
      </c>
      <c r="N1596" s="46"/>
      <c r="O1596" s="31"/>
      <c r="P1596" s="16"/>
      <c r="Q1596" s="16"/>
      <c r="R1596" s="16" t="str">
        <f t="shared" si="2"/>
        <v/>
      </c>
    </row>
    <row r="1597">
      <c r="B1597" s="16"/>
      <c r="C1597" s="12"/>
      <c r="D1597" s="12"/>
      <c r="E1597" s="12"/>
      <c r="F1597" s="12"/>
      <c r="G1597" s="25"/>
      <c r="H1597" s="12"/>
      <c r="I1597" s="31"/>
      <c r="J1597" s="12"/>
      <c r="K1597" s="12"/>
      <c r="L1597" s="16"/>
      <c r="M1597" s="46"/>
      <c r="N1597" s="46"/>
      <c r="O1597" s="31"/>
      <c r="P1597" s="16"/>
      <c r="Q1597" s="16"/>
      <c r="R1597" s="16" t="str">
        <f t="shared" si="2"/>
        <v/>
      </c>
    </row>
    <row r="1598">
      <c r="B1598" s="16"/>
      <c r="C1598" s="12"/>
      <c r="D1598" s="12"/>
      <c r="E1598" s="12"/>
      <c r="F1598" s="12"/>
      <c r="G1598" s="25"/>
      <c r="H1598" s="12"/>
      <c r="I1598" s="31"/>
      <c r="J1598" s="12"/>
      <c r="K1598" s="12"/>
      <c r="L1598" s="16"/>
      <c r="M1598" s="46"/>
      <c r="N1598" s="46"/>
      <c r="O1598" s="31"/>
      <c r="P1598" s="16"/>
      <c r="Q1598" s="16"/>
      <c r="R1598" s="16" t="str">
        <f t="shared" si="2"/>
        <v/>
      </c>
    </row>
    <row r="1599">
      <c r="B1599" s="16"/>
      <c r="C1599" s="12"/>
      <c r="D1599" s="12"/>
      <c r="E1599" s="12"/>
      <c r="F1599" s="12"/>
      <c r="G1599" s="25"/>
      <c r="H1599" s="12"/>
      <c r="I1599" s="31"/>
      <c r="J1599" s="12"/>
      <c r="K1599" s="12"/>
      <c r="L1599" s="16"/>
      <c r="M1599" s="46"/>
      <c r="N1599" s="46"/>
      <c r="O1599" s="31"/>
      <c r="P1599" s="16"/>
      <c r="Q1599" s="16"/>
      <c r="R1599" s="16" t="str">
        <f t="shared" si="2"/>
        <v/>
      </c>
    </row>
    <row r="1600">
      <c r="B1600" s="16"/>
      <c r="C1600" s="12"/>
      <c r="D1600" s="12"/>
      <c r="E1600" s="12"/>
      <c r="F1600" s="12"/>
      <c r="G1600" s="25"/>
      <c r="H1600" s="12"/>
      <c r="I1600" s="31"/>
      <c r="J1600" s="12"/>
      <c r="K1600" s="12"/>
      <c r="L1600" s="16"/>
      <c r="M1600" s="46"/>
      <c r="N1600" s="46"/>
      <c r="O1600" s="31"/>
      <c r="P1600" s="16"/>
      <c r="Q1600" s="16"/>
      <c r="R1600" s="16" t="str">
        <f t="shared" si="2"/>
        <v/>
      </c>
    </row>
    <row r="1601">
      <c r="B1601" s="16"/>
      <c r="C1601" s="12"/>
      <c r="D1601" s="12"/>
      <c r="E1601" s="12"/>
      <c r="F1601" s="12"/>
      <c r="G1601" s="25"/>
      <c r="H1601" s="12"/>
      <c r="I1601" s="31"/>
      <c r="J1601" s="12"/>
      <c r="K1601" s="12"/>
      <c r="L1601" s="16"/>
      <c r="M1601" s="46"/>
      <c r="N1601" s="46"/>
      <c r="O1601" s="31"/>
      <c r="P1601" s="16"/>
      <c r="Q1601" s="16"/>
      <c r="R1601" s="16" t="str">
        <f t="shared" si="2"/>
        <v/>
      </c>
    </row>
    <row r="1602">
      <c r="B1602" s="16"/>
      <c r="C1602" s="12"/>
      <c r="D1602" s="12"/>
      <c r="E1602" s="12"/>
      <c r="F1602" s="12"/>
      <c r="G1602" s="25"/>
      <c r="H1602" s="12"/>
      <c r="I1602" s="31"/>
      <c r="J1602" s="12"/>
      <c r="K1602" s="12"/>
      <c r="L1602" s="16"/>
      <c r="M1602" s="46"/>
      <c r="N1602" s="46"/>
      <c r="O1602" s="31"/>
      <c r="P1602" s="16"/>
      <c r="Q1602" s="16"/>
      <c r="R1602" s="16" t="str">
        <f t="shared" si="2"/>
        <v/>
      </c>
    </row>
    <row r="1603">
      <c r="B1603" s="16"/>
      <c r="C1603" s="12"/>
      <c r="D1603" s="12"/>
      <c r="E1603" s="12"/>
      <c r="F1603" s="12"/>
      <c r="G1603" s="25"/>
      <c r="H1603" s="12"/>
      <c r="I1603" s="31"/>
      <c r="J1603" s="12"/>
      <c r="K1603" s="12"/>
      <c r="L1603" s="16"/>
      <c r="M1603" s="46"/>
      <c r="N1603" s="46"/>
      <c r="O1603" s="31"/>
      <c r="P1603" s="16"/>
      <c r="Q1603" s="16"/>
      <c r="R1603" s="16" t="str">
        <f t="shared" si="2"/>
        <v/>
      </c>
    </row>
    <row r="1604">
      <c r="B1604" s="16"/>
      <c r="C1604" s="12"/>
      <c r="D1604" s="12"/>
      <c r="E1604" s="12"/>
      <c r="F1604" s="12"/>
      <c r="G1604" s="25"/>
      <c r="H1604" s="12"/>
      <c r="I1604" s="31"/>
      <c r="J1604" s="12"/>
      <c r="K1604" s="12"/>
      <c r="L1604" s="16"/>
      <c r="M1604" s="46"/>
      <c r="N1604" s="46"/>
      <c r="O1604" s="31"/>
      <c r="P1604" s="16"/>
      <c r="Q1604" s="16"/>
      <c r="R1604" s="16" t="str">
        <f t="shared" si="2"/>
        <v/>
      </c>
    </row>
    <row r="1605">
      <c r="B1605" s="16"/>
      <c r="C1605" s="12"/>
      <c r="D1605" s="12"/>
      <c r="E1605" s="12"/>
      <c r="F1605" s="12"/>
      <c r="G1605" s="25"/>
      <c r="H1605" s="12"/>
      <c r="I1605" s="31"/>
      <c r="J1605" s="12"/>
      <c r="K1605" s="12"/>
      <c r="L1605" s="16"/>
      <c r="M1605" s="46"/>
      <c r="N1605" s="46"/>
      <c r="O1605" s="31"/>
      <c r="P1605" s="16"/>
      <c r="Q1605" s="16"/>
      <c r="R1605" s="16" t="str">
        <f t="shared" si="2"/>
        <v/>
      </c>
    </row>
    <row r="1606">
      <c r="B1606" s="16"/>
      <c r="C1606" s="12"/>
      <c r="D1606" s="12"/>
      <c r="E1606" s="12"/>
      <c r="F1606" s="12"/>
      <c r="G1606" s="25"/>
      <c r="H1606" s="12"/>
      <c r="I1606" s="31"/>
      <c r="J1606" s="12"/>
      <c r="K1606" s="12"/>
      <c r="L1606" s="16"/>
      <c r="M1606" s="46"/>
      <c r="N1606" s="46"/>
      <c r="O1606" s="31"/>
      <c r="P1606" s="16"/>
      <c r="Q1606" s="16"/>
      <c r="R1606" s="16" t="str">
        <f t="shared" si="2"/>
        <v/>
      </c>
    </row>
    <row r="1607">
      <c r="B1607" s="16"/>
      <c r="C1607" s="12"/>
      <c r="D1607" s="12"/>
      <c r="E1607" s="12"/>
      <c r="F1607" s="12"/>
      <c r="G1607" s="25"/>
      <c r="H1607" s="12"/>
      <c r="I1607" s="31"/>
      <c r="J1607" s="12"/>
      <c r="K1607" s="12"/>
      <c r="L1607" s="16"/>
      <c r="M1607" s="46"/>
      <c r="N1607" s="46"/>
      <c r="O1607" s="31"/>
      <c r="P1607" s="16"/>
      <c r="Q1607" s="16"/>
      <c r="R1607" s="16" t="str">
        <f t="shared" si="2"/>
        <v/>
      </c>
    </row>
    <row r="1608">
      <c r="B1608" s="16"/>
      <c r="C1608" s="12"/>
      <c r="D1608" s="12"/>
      <c r="E1608" s="12"/>
      <c r="F1608" s="12"/>
      <c r="G1608" s="25"/>
      <c r="H1608" s="12"/>
      <c r="I1608" s="31"/>
      <c r="J1608" s="12"/>
      <c r="K1608" s="12"/>
      <c r="L1608" s="16"/>
      <c r="M1608" s="46"/>
      <c r="N1608" s="46"/>
      <c r="O1608" s="31"/>
      <c r="P1608" s="16"/>
      <c r="Q1608" s="16"/>
      <c r="R1608" s="16" t="str">
        <f t="shared" si="2"/>
        <v/>
      </c>
    </row>
    <row r="1609">
      <c r="B1609" s="16"/>
      <c r="C1609" s="12"/>
      <c r="D1609" s="12"/>
      <c r="E1609" s="12"/>
      <c r="F1609" s="12"/>
      <c r="G1609" s="25"/>
      <c r="H1609" s="12"/>
      <c r="I1609" s="31"/>
      <c r="J1609" s="12"/>
      <c r="K1609" s="12"/>
      <c r="L1609" s="16"/>
      <c r="M1609" s="46"/>
      <c r="N1609" s="46"/>
      <c r="O1609" s="31"/>
      <c r="P1609" s="16"/>
      <c r="Q1609" s="16"/>
      <c r="R1609" s="16" t="str">
        <f t="shared" si="2"/>
        <v/>
      </c>
    </row>
    <row r="1610">
      <c r="B1610" s="16"/>
      <c r="C1610" s="12"/>
      <c r="D1610" s="12"/>
      <c r="E1610" s="12"/>
      <c r="F1610" s="12"/>
      <c r="G1610" s="25"/>
      <c r="H1610" s="12"/>
      <c r="I1610" s="31"/>
      <c r="J1610" s="12"/>
      <c r="K1610" s="12"/>
      <c r="L1610" s="16"/>
      <c r="M1610" s="46"/>
      <c r="N1610" s="46"/>
      <c r="O1610" s="31"/>
      <c r="P1610" s="16"/>
      <c r="Q1610" s="16"/>
      <c r="R1610" s="16" t="str">
        <f t="shared" si="2"/>
        <v/>
      </c>
    </row>
    <row r="1611">
      <c r="B1611" s="16"/>
      <c r="C1611" s="12"/>
      <c r="D1611" s="12"/>
      <c r="E1611" s="12"/>
      <c r="F1611" s="12"/>
      <c r="G1611" s="25"/>
      <c r="H1611" s="12"/>
      <c r="I1611" s="31"/>
      <c r="J1611" s="12"/>
      <c r="K1611" s="12"/>
      <c r="L1611" s="16"/>
      <c r="M1611" s="46"/>
      <c r="N1611" s="46"/>
      <c r="O1611" s="31"/>
      <c r="P1611" s="16"/>
      <c r="Q1611" s="16"/>
      <c r="R1611" s="16" t="str">
        <f t="shared" si="2"/>
        <v/>
      </c>
    </row>
    <row r="1612">
      <c r="B1612" s="16"/>
      <c r="C1612" s="12"/>
      <c r="D1612" s="12"/>
      <c r="E1612" s="12"/>
      <c r="F1612" s="12"/>
      <c r="G1612" s="25"/>
      <c r="H1612" s="12"/>
      <c r="I1612" s="31"/>
      <c r="J1612" s="12"/>
      <c r="K1612" s="12"/>
      <c r="L1612" s="16"/>
      <c r="M1612" s="46"/>
      <c r="N1612" s="46"/>
      <c r="O1612" s="31"/>
      <c r="P1612" s="16"/>
      <c r="Q1612" s="16"/>
      <c r="R1612" s="16" t="str">
        <f t="shared" si="2"/>
        <v/>
      </c>
    </row>
    <row r="1613">
      <c r="B1613" s="16"/>
      <c r="C1613" s="12"/>
      <c r="D1613" s="12"/>
      <c r="E1613" s="12"/>
      <c r="F1613" s="12"/>
      <c r="G1613" s="25"/>
      <c r="H1613" s="12"/>
      <c r="I1613" s="31"/>
      <c r="J1613" s="12"/>
      <c r="K1613" s="12"/>
      <c r="L1613" s="16"/>
      <c r="M1613" s="46"/>
      <c r="N1613" s="46"/>
      <c r="O1613" s="31"/>
      <c r="P1613" s="16"/>
      <c r="Q1613" s="16"/>
      <c r="R1613" s="16" t="str">
        <f t="shared" si="2"/>
        <v/>
      </c>
    </row>
    <row r="1614">
      <c r="B1614" s="16"/>
      <c r="C1614" s="12"/>
      <c r="D1614" s="12"/>
      <c r="E1614" s="12"/>
      <c r="F1614" s="12"/>
      <c r="G1614" s="25"/>
      <c r="H1614" s="12"/>
      <c r="I1614" s="31"/>
      <c r="J1614" s="12"/>
      <c r="K1614" s="12"/>
      <c r="L1614" s="16"/>
      <c r="M1614" s="46"/>
      <c r="N1614" s="46"/>
      <c r="O1614" s="31"/>
      <c r="P1614" s="16"/>
      <c r="Q1614" s="16"/>
      <c r="R1614" s="16" t="str">
        <f t="shared" si="2"/>
        <v/>
      </c>
    </row>
    <row r="1615">
      <c r="B1615" s="16"/>
      <c r="C1615" s="12"/>
      <c r="D1615" s="12"/>
      <c r="E1615" s="12"/>
      <c r="F1615" s="12"/>
      <c r="G1615" s="25"/>
      <c r="H1615" s="12"/>
      <c r="I1615" s="31"/>
      <c r="J1615" s="12"/>
      <c r="K1615" s="12"/>
      <c r="L1615" s="16"/>
      <c r="M1615" s="46"/>
      <c r="N1615" s="46"/>
      <c r="O1615" s="31"/>
      <c r="P1615" s="16"/>
      <c r="Q1615" s="16"/>
      <c r="R1615" s="16" t="str">
        <f t="shared" si="2"/>
        <v/>
      </c>
    </row>
    <row r="1616">
      <c r="B1616" s="16"/>
      <c r="C1616" s="12"/>
      <c r="D1616" s="12"/>
      <c r="E1616" s="12"/>
      <c r="F1616" s="12"/>
      <c r="G1616" s="25"/>
      <c r="H1616" s="12"/>
      <c r="I1616" s="31"/>
      <c r="J1616" s="12"/>
      <c r="K1616" s="12"/>
      <c r="L1616" s="16"/>
      <c r="M1616" s="46"/>
      <c r="N1616" s="46"/>
      <c r="O1616" s="31"/>
      <c r="P1616" s="16"/>
      <c r="Q1616" s="16"/>
      <c r="R1616" s="16" t="str">
        <f t="shared" si="2"/>
        <v/>
      </c>
    </row>
    <row r="1617">
      <c r="B1617" s="16"/>
      <c r="C1617" s="12"/>
      <c r="D1617" s="12"/>
      <c r="E1617" s="12"/>
      <c r="F1617" s="12"/>
      <c r="G1617" s="25"/>
      <c r="H1617" s="12"/>
      <c r="I1617" s="31"/>
      <c r="J1617" s="12"/>
      <c r="K1617" s="12"/>
      <c r="L1617" s="16"/>
      <c r="M1617" s="46"/>
      <c r="N1617" s="46"/>
      <c r="O1617" s="31"/>
      <c r="P1617" s="16"/>
      <c r="Q1617" s="16"/>
      <c r="R1617" s="16" t="str">
        <f t="shared" si="2"/>
        <v/>
      </c>
    </row>
    <row r="1618">
      <c r="B1618" s="16"/>
      <c r="C1618" s="12"/>
      <c r="D1618" s="12"/>
      <c r="E1618" s="12"/>
      <c r="F1618" s="12"/>
      <c r="G1618" s="25"/>
      <c r="H1618" s="12"/>
      <c r="I1618" s="31"/>
      <c r="J1618" s="12"/>
      <c r="K1618" s="12"/>
      <c r="L1618" s="16"/>
      <c r="M1618" s="46"/>
      <c r="N1618" s="46"/>
      <c r="O1618" s="31"/>
      <c r="P1618" s="16"/>
      <c r="Q1618" s="16"/>
      <c r="R1618" s="16" t="str">
        <f t="shared" si="2"/>
        <v/>
      </c>
    </row>
    <row r="1619">
      <c r="B1619" s="16"/>
      <c r="C1619" s="12"/>
      <c r="D1619" s="12"/>
      <c r="E1619" s="12"/>
      <c r="F1619" s="12"/>
      <c r="G1619" s="25"/>
      <c r="H1619" s="12"/>
      <c r="I1619" s="31"/>
      <c r="J1619" s="12"/>
      <c r="K1619" s="12"/>
      <c r="L1619" s="16"/>
      <c r="M1619" s="46"/>
      <c r="N1619" s="46"/>
      <c r="O1619" s="31"/>
      <c r="P1619" s="16"/>
      <c r="Q1619" s="16"/>
      <c r="R1619" s="16" t="str">
        <f t="shared" si="2"/>
        <v/>
      </c>
    </row>
    <row r="1620">
      <c r="B1620" s="16"/>
      <c r="C1620" s="12"/>
      <c r="D1620" s="12"/>
      <c r="E1620" s="12"/>
      <c r="F1620" s="12"/>
      <c r="G1620" s="25"/>
      <c r="H1620" s="12"/>
      <c r="I1620" s="31"/>
      <c r="J1620" s="12"/>
      <c r="K1620" s="12"/>
      <c r="L1620" s="16"/>
      <c r="M1620" s="46"/>
      <c r="N1620" s="46"/>
      <c r="O1620" s="31"/>
      <c r="P1620" s="16"/>
      <c r="Q1620" s="16"/>
      <c r="R1620" s="16" t="str">
        <f t="shared" si="2"/>
        <v/>
      </c>
    </row>
    <row r="1621">
      <c r="B1621" s="16"/>
      <c r="C1621" s="12"/>
      <c r="D1621" s="12"/>
      <c r="E1621" s="12"/>
      <c r="F1621" s="12"/>
      <c r="G1621" s="25"/>
      <c r="H1621" s="12"/>
      <c r="I1621" s="31"/>
      <c r="J1621" s="12"/>
      <c r="K1621" s="12"/>
      <c r="L1621" s="16"/>
      <c r="M1621" s="46"/>
      <c r="N1621" s="46"/>
      <c r="O1621" s="31"/>
      <c r="P1621" s="16"/>
      <c r="Q1621" s="16"/>
      <c r="R1621" s="16" t="str">
        <f t="shared" si="2"/>
        <v/>
      </c>
    </row>
    <row r="1622">
      <c r="B1622" s="16"/>
      <c r="C1622" s="12"/>
      <c r="D1622" s="12"/>
      <c r="E1622" s="12"/>
      <c r="F1622" s="12"/>
      <c r="G1622" s="25"/>
      <c r="H1622" s="12"/>
      <c r="I1622" s="31"/>
      <c r="J1622" s="12"/>
      <c r="K1622" s="12"/>
      <c r="L1622" s="16"/>
      <c r="M1622" s="46"/>
      <c r="N1622" s="46"/>
      <c r="O1622" s="31"/>
      <c r="P1622" s="16"/>
      <c r="Q1622" s="16"/>
      <c r="R1622" s="16" t="str">
        <f t="shared" si="2"/>
        <v/>
      </c>
    </row>
    <row r="1623">
      <c r="B1623" s="16"/>
      <c r="C1623" s="12"/>
      <c r="D1623" s="12"/>
      <c r="E1623" s="12"/>
      <c r="F1623" s="12"/>
      <c r="G1623" s="25"/>
      <c r="H1623" s="12"/>
      <c r="I1623" s="31"/>
      <c r="J1623" s="12"/>
      <c r="K1623" s="12"/>
      <c r="L1623" s="16"/>
      <c r="M1623" s="46"/>
      <c r="N1623" s="46"/>
      <c r="O1623" s="31"/>
      <c r="P1623" s="16"/>
      <c r="Q1623" s="16"/>
      <c r="R1623" s="16" t="str">
        <f t="shared" si="2"/>
        <v/>
      </c>
    </row>
    <row r="1624">
      <c r="B1624" s="16"/>
      <c r="C1624" s="12"/>
      <c r="D1624" s="12"/>
      <c r="E1624" s="12"/>
      <c r="F1624" s="12"/>
      <c r="G1624" s="25"/>
      <c r="H1624" s="12"/>
      <c r="I1624" s="31"/>
      <c r="J1624" s="12"/>
      <c r="K1624" s="12"/>
      <c r="L1624" s="16"/>
      <c r="M1624" s="46"/>
      <c r="N1624" s="46"/>
      <c r="O1624" s="31"/>
      <c r="P1624" s="16"/>
      <c r="Q1624" s="16"/>
      <c r="R1624" s="16" t="str">
        <f t="shared" si="2"/>
        <v/>
      </c>
    </row>
    <row r="1625">
      <c r="B1625" s="16"/>
      <c r="C1625" s="12"/>
      <c r="D1625" s="12"/>
      <c r="E1625" s="12"/>
      <c r="F1625" s="12"/>
      <c r="G1625" s="25"/>
      <c r="H1625" s="12"/>
      <c r="I1625" s="31"/>
      <c r="J1625" s="12"/>
      <c r="K1625" s="12"/>
      <c r="L1625" s="16"/>
      <c r="M1625" s="46"/>
      <c r="N1625" s="46"/>
      <c r="O1625" s="31"/>
      <c r="P1625" s="16"/>
      <c r="Q1625" s="16"/>
      <c r="R1625" s="16" t="str">
        <f t="shared" si="2"/>
        <v/>
      </c>
    </row>
    <row r="1626">
      <c r="B1626" s="16"/>
      <c r="C1626" s="12"/>
      <c r="D1626" s="12"/>
      <c r="E1626" s="12"/>
      <c r="F1626" s="12"/>
      <c r="G1626" s="25"/>
      <c r="H1626" s="12"/>
      <c r="I1626" s="31"/>
      <c r="J1626" s="12"/>
      <c r="K1626" s="12"/>
      <c r="L1626" s="16"/>
      <c r="M1626" s="46"/>
      <c r="N1626" s="46"/>
      <c r="O1626" s="31"/>
      <c r="P1626" s="16"/>
      <c r="Q1626" s="16"/>
      <c r="R1626" s="16" t="str">
        <f t="shared" si="2"/>
        <v/>
      </c>
    </row>
    <row r="1627">
      <c r="B1627" s="16"/>
      <c r="C1627" s="12"/>
      <c r="D1627" s="12"/>
      <c r="E1627" s="12"/>
      <c r="F1627" s="12"/>
      <c r="G1627" s="25"/>
      <c r="H1627" s="12"/>
      <c r="I1627" s="31"/>
      <c r="J1627" s="12"/>
      <c r="K1627" s="12"/>
      <c r="L1627" s="16"/>
      <c r="M1627" s="46"/>
      <c r="N1627" s="46"/>
      <c r="O1627" s="31"/>
      <c r="P1627" s="16"/>
      <c r="Q1627" s="16"/>
      <c r="R1627" s="16" t="str">
        <f t="shared" si="2"/>
        <v/>
      </c>
    </row>
    <row r="1628">
      <c r="B1628" s="16"/>
      <c r="C1628" s="12"/>
      <c r="D1628" s="12"/>
      <c r="E1628" s="12"/>
      <c r="F1628" s="12"/>
      <c r="G1628" s="25"/>
      <c r="H1628" s="12"/>
      <c r="I1628" s="31"/>
      <c r="J1628" s="12"/>
      <c r="K1628" s="12"/>
      <c r="L1628" s="16"/>
      <c r="M1628" s="46"/>
      <c r="N1628" s="46"/>
      <c r="O1628" s="31"/>
      <c r="P1628" s="16"/>
      <c r="Q1628" s="16"/>
      <c r="R1628" s="16" t="str">
        <f t="shared" si="2"/>
        <v/>
      </c>
    </row>
    <row r="1629">
      <c r="B1629" s="16"/>
      <c r="C1629" s="12"/>
      <c r="D1629" s="12"/>
      <c r="E1629" s="12"/>
      <c r="F1629" s="12"/>
      <c r="G1629" s="25"/>
      <c r="H1629" s="12"/>
      <c r="I1629" s="31"/>
      <c r="J1629" s="12"/>
      <c r="K1629" s="12"/>
      <c r="L1629" s="16"/>
      <c r="M1629" s="46"/>
      <c r="N1629" s="46"/>
      <c r="O1629" s="31"/>
      <c r="P1629" s="16"/>
      <c r="Q1629" s="16"/>
      <c r="R1629" s="16" t="str">
        <f t="shared" si="2"/>
        <v/>
      </c>
    </row>
    <row r="1630">
      <c r="B1630" s="16"/>
      <c r="C1630" s="12"/>
      <c r="D1630" s="12"/>
      <c r="E1630" s="12"/>
      <c r="F1630" s="12"/>
      <c r="G1630" s="25"/>
      <c r="H1630" s="12"/>
      <c r="I1630" s="31"/>
      <c r="J1630" s="12"/>
      <c r="K1630" s="12"/>
      <c r="L1630" s="16"/>
      <c r="M1630" s="46"/>
      <c r="N1630" s="46"/>
      <c r="O1630" s="31"/>
      <c r="P1630" s="16"/>
      <c r="Q1630" s="16"/>
      <c r="R1630" s="16" t="str">
        <f t="shared" si="2"/>
        <v/>
      </c>
    </row>
    <row r="1631">
      <c r="B1631" s="16"/>
      <c r="C1631" s="12"/>
      <c r="D1631" s="12"/>
      <c r="E1631" s="12"/>
      <c r="F1631" s="12"/>
      <c r="G1631" s="25"/>
      <c r="H1631" s="12"/>
      <c r="I1631" s="31"/>
      <c r="J1631" s="12"/>
      <c r="K1631" s="12"/>
      <c r="L1631" s="16"/>
      <c r="M1631" s="46"/>
      <c r="N1631" s="46"/>
      <c r="O1631" s="31"/>
      <c r="P1631" s="16"/>
      <c r="Q1631" s="16"/>
      <c r="R1631" s="16" t="str">
        <f t="shared" si="2"/>
        <v/>
      </c>
    </row>
    <row r="1632">
      <c r="B1632" s="16"/>
      <c r="C1632" s="12"/>
      <c r="D1632" s="12"/>
      <c r="E1632" s="12"/>
      <c r="F1632" s="12"/>
      <c r="G1632" s="25"/>
      <c r="H1632" s="12"/>
      <c r="I1632" s="31"/>
      <c r="J1632" s="12"/>
      <c r="K1632" s="12"/>
      <c r="L1632" s="16"/>
      <c r="M1632" s="46"/>
      <c r="N1632" s="46"/>
      <c r="O1632" s="31"/>
      <c r="P1632" s="16"/>
      <c r="Q1632" s="16"/>
      <c r="R1632" s="16" t="str">
        <f t="shared" si="2"/>
        <v/>
      </c>
    </row>
    <row r="1633">
      <c r="B1633" s="16"/>
      <c r="C1633" s="12"/>
      <c r="D1633" s="12"/>
      <c r="E1633" s="12"/>
      <c r="F1633" s="12"/>
      <c r="G1633" s="25"/>
      <c r="H1633" s="12"/>
      <c r="I1633" s="31"/>
      <c r="J1633" s="12"/>
      <c r="K1633" s="12"/>
      <c r="L1633" s="16"/>
      <c r="M1633" s="46"/>
      <c r="N1633" s="46"/>
      <c r="O1633" s="31"/>
      <c r="P1633" s="16"/>
      <c r="Q1633" s="16"/>
      <c r="R1633" s="16" t="str">
        <f t="shared" si="2"/>
        <v/>
      </c>
    </row>
    <row r="1634">
      <c r="B1634" s="16"/>
      <c r="C1634" s="12"/>
      <c r="D1634" s="12"/>
      <c r="E1634" s="12"/>
      <c r="F1634" s="12"/>
      <c r="G1634" s="25"/>
      <c r="H1634" s="12"/>
      <c r="I1634" s="31"/>
      <c r="J1634" s="12"/>
      <c r="K1634" s="12"/>
      <c r="L1634" s="16"/>
      <c r="M1634" s="46"/>
      <c r="N1634" s="46"/>
      <c r="O1634" s="31"/>
      <c r="P1634" s="16"/>
      <c r="Q1634" s="16"/>
      <c r="R1634" s="16" t="str">
        <f t="shared" si="2"/>
        <v/>
      </c>
    </row>
    <row r="1635">
      <c r="B1635" s="16"/>
      <c r="C1635" s="12"/>
      <c r="D1635" s="12"/>
      <c r="E1635" s="12"/>
      <c r="F1635" s="12"/>
      <c r="G1635" s="25"/>
      <c r="H1635" s="12"/>
      <c r="I1635" s="31"/>
      <c r="J1635" s="12"/>
      <c r="K1635" s="12"/>
      <c r="L1635" s="16"/>
      <c r="M1635" s="46"/>
      <c r="N1635" s="46"/>
      <c r="O1635" s="31"/>
      <c r="P1635" s="16"/>
      <c r="Q1635" s="16"/>
      <c r="R1635" s="16" t="str">
        <f t="shared" si="2"/>
        <v/>
      </c>
    </row>
    <row r="1636">
      <c r="B1636" s="16"/>
      <c r="C1636" s="12"/>
      <c r="D1636" s="12"/>
      <c r="E1636" s="12"/>
      <c r="F1636" s="12"/>
      <c r="G1636" s="25"/>
      <c r="H1636" s="12"/>
      <c r="I1636" s="31"/>
      <c r="J1636" s="12"/>
      <c r="K1636" s="12"/>
      <c r="L1636" s="16"/>
      <c r="M1636" s="46"/>
      <c r="N1636" s="46"/>
      <c r="O1636" s="31"/>
      <c r="P1636" s="16"/>
      <c r="Q1636" s="16"/>
      <c r="R1636" s="16" t="str">
        <f t="shared" si="2"/>
        <v/>
      </c>
    </row>
    <row r="1637">
      <c r="B1637" s="16"/>
      <c r="C1637" s="12"/>
      <c r="D1637" s="12"/>
      <c r="E1637" s="12"/>
      <c r="F1637" s="12"/>
      <c r="G1637" s="25"/>
      <c r="H1637" s="12"/>
      <c r="I1637" s="31"/>
      <c r="J1637" s="12"/>
      <c r="K1637" s="12"/>
      <c r="L1637" s="16"/>
      <c r="M1637" s="46"/>
      <c r="N1637" s="46"/>
      <c r="O1637" s="31"/>
      <c r="P1637" s="16"/>
      <c r="Q1637" s="16"/>
      <c r="R1637" s="16" t="str">
        <f t="shared" si="2"/>
        <v/>
      </c>
    </row>
    <row r="1638">
      <c r="B1638" s="16"/>
      <c r="C1638" s="12"/>
      <c r="D1638" s="12"/>
      <c r="E1638" s="12"/>
      <c r="F1638" s="12"/>
      <c r="G1638" s="25"/>
      <c r="H1638" s="12"/>
      <c r="I1638" s="31"/>
      <c r="J1638" s="12"/>
      <c r="K1638" s="12"/>
      <c r="L1638" s="16"/>
      <c r="M1638" s="46"/>
      <c r="N1638" s="46"/>
      <c r="O1638" s="31"/>
      <c r="P1638" s="16"/>
      <c r="Q1638" s="16"/>
      <c r="R1638" s="16" t="str">
        <f t="shared" si="2"/>
        <v/>
      </c>
    </row>
    <row r="1639">
      <c r="B1639" s="16"/>
      <c r="C1639" s="12"/>
      <c r="D1639" s="12"/>
      <c r="E1639" s="12"/>
      <c r="F1639" s="12"/>
      <c r="G1639" s="25"/>
      <c r="H1639" s="12"/>
      <c r="I1639" s="31"/>
      <c r="J1639" s="12"/>
      <c r="K1639" s="12"/>
      <c r="L1639" s="16"/>
      <c r="M1639" s="46"/>
      <c r="N1639" s="46"/>
      <c r="O1639" s="31"/>
      <c r="P1639" s="16"/>
      <c r="Q1639" s="16"/>
      <c r="R1639" s="16" t="str">
        <f t="shared" si="2"/>
        <v/>
      </c>
    </row>
    <row r="1640">
      <c r="B1640" s="16"/>
      <c r="C1640" s="12"/>
      <c r="D1640" s="12"/>
      <c r="E1640" s="12"/>
      <c r="F1640" s="12"/>
      <c r="G1640" s="25"/>
      <c r="H1640" s="12"/>
      <c r="I1640" s="31"/>
      <c r="J1640" s="12"/>
      <c r="K1640" s="12"/>
      <c r="L1640" s="16"/>
      <c r="M1640" s="46"/>
      <c r="N1640" s="46"/>
      <c r="O1640" s="31"/>
      <c r="P1640" s="16"/>
      <c r="Q1640" s="16"/>
      <c r="R1640" s="16" t="str">
        <f t="shared" si="2"/>
        <v/>
      </c>
    </row>
    <row r="1641">
      <c r="B1641" s="16"/>
      <c r="C1641" s="12"/>
      <c r="D1641" s="12"/>
      <c r="E1641" s="12"/>
      <c r="F1641" s="12"/>
      <c r="G1641" s="25"/>
      <c r="H1641" s="12"/>
      <c r="I1641" s="31"/>
      <c r="J1641" s="12"/>
      <c r="K1641" s="12"/>
      <c r="L1641" s="16"/>
      <c r="M1641" s="46"/>
      <c r="N1641" s="46"/>
      <c r="O1641" s="31"/>
      <c r="P1641" s="16"/>
      <c r="Q1641" s="16"/>
      <c r="R1641" s="16" t="str">
        <f t="shared" si="2"/>
        <v/>
      </c>
    </row>
    <row r="1642">
      <c r="B1642" s="16"/>
      <c r="C1642" s="12"/>
      <c r="D1642" s="12"/>
      <c r="E1642" s="12"/>
      <c r="F1642" s="12"/>
      <c r="G1642" s="25"/>
      <c r="H1642" s="12"/>
      <c r="I1642" s="31"/>
      <c r="J1642" s="12"/>
      <c r="K1642" s="12"/>
      <c r="L1642" s="16"/>
      <c r="M1642" s="46"/>
      <c r="N1642" s="46"/>
      <c r="O1642" s="31"/>
      <c r="P1642" s="16"/>
      <c r="Q1642" s="16"/>
      <c r="R1642" s="16" t="str">
        <f t="shared" si="2"/>
        <v/>
      </c>
    </row>
    <row r="1643">
      <c r="B1643" s="16"/>
      <c r="C1643" s="12"/>
      <c r="D1643" s="12"/>
      <c r="E1643" s="12"/>
      <c r="F1643" s="12"/>
      <c r="G1643" s="25"/>
      <c r="H1643" s="12"/>
      <c r="I1643" s="31"/>
      <c r="J1643" s="12"/>
      <c r="K1643" s="12"/>
      <c r="L1643" s="16"/>
      <c r="M1643" s="46"/>
      <c r="N1643" s="46"/>
      <c r="O1643" s="31"/>
      <c r="P1643" s="16"/>
      <c r="Q1643" s="16"/>
      <c r="R1643" s="16" t="str">
        <f t="shared" si="2"/>
        <v/>
      </c>
    </row>
    <row r="1644">
      <c r="B1644" s="16"/>
      <c r="C1644" s="12"/>
      <c r="D1644" s="12"/>
      <c r="E1644" s="12"/>
      <c r="F1644" s="12"/>
      <c r="G1644" s="25"/>
      <c r="H1644" s="12"/>
      <c r="I1644" s="31"/>
      <c r="J1644" s="12"/>
      <c r="K1644" s="12"/>
      <c r="L1644" s="16"/>
      <c r="M1644" s="46"/>
      <c r="N1644" s="46"/>
      <c r="O1644" s="31"/>
      <c r="P1644" s="16"/>
      <c r="Q1644" s="16"/>
      <c r="R1644" s="16" t="str">
        <f t="shared" si="2"/>
        <v/>
      </c>
    </row>
    <row r="1645">
      <c r="B1645" s="16"/>
      <c r="C1645" s="12"/>
      <c r="D1645" s="12"/>
      <c r="E1645" s="12"/>
      <c r="F1645" s="12"/>
      <c r="G1645" s="25"/>
      <c r="H1645" s="12"/>
      <c r="I1645" s="31"/>
      <c r="J1645" s="12"/>
      <c r="K1645" s="12"/>
      <c r="L1645" s="16"/>
      <c r="M1645" s="46"/>
      <c r="N1645" s="46"/>
      <c r="O1645" s="31"/>
      <c r="P1645" s="16"/>
      <c r="Q1645" s="16"/>
      <c r="R1645" s="16" t="str">
        <f t="shared" si="2"/>
        <v/>
      </c>
    </row>
    <row r="1646">
      <c r="B1646" s="16"/>
      <c r="C1646" s="12"/>
      <c r="D1646" s="12"/>
      <c r="E1646" s="12"/>
      <c r="F1646" s="12"/>
      <c r="G1646" s="25"/>
      <c r="H1646" s="12"/>
      <c r="I1646" s="31"/>
      <c r="J1646" s="12"/>
      <c r="K1646" s="12"/>
      <c r="L1646" s="16"/>
      <c r="M1646" s="46"/>
      <c r="N1646" s="46"/>
      <c r="O1646" s="31"/>
      <c r="P1646" s="16"/>
      <c r="Q1646" s="16"/>
      <c r="R1646" s="16" t="str">
        <f t="shared" si="2"/>
        <v/>
      </c>
    </row>
    <row r="1647">
      <c r="B1647" s="16"/>
      <c r="C1647" s="12"/>
      <c r="D1647" s="12"/>
      <c r="E1647" s="12"/>
      <c r="F1647" s="12"/>
      <c r="G1647" s="25"/>
      <c r="H1647" s="12"/>
      <c r="I1647" s="31"/>
      <c r="J1647" s="12"/>
      <c r="K1647" s="12"/>
      <c r="L1647" s="16"/>
      <c r="M1647" s="46"/>
      <c r="N1647" s="46"/>
      <c r="O1647" s="31"/>
      <c r="P1647" s="16"/>
      <c r="Q1647" s="16"/>
      <c r="R1647" s="16" t="str">
        <f t="shared" si="2"/>
        <v/>
      </c>
    </row>
    <row r="1648">
      <c r="B1648" s="16"/>
      <c r="C1648" s="12"/>
      <c r="D1648" s="12"/>
      <c r="E1648" s="12"/>
      <c r="F1648" s="12"/>
      <c r="G1648" s="25"/>
      <c r="H1648" s="12"/>
      <c r="I1648" s="31"/>
      <c r="J1648" s="12"/>
      <c r="K1648" s="12"/>
      <c r="L1648" s="16"/>
      <c r="M1648" s="46"/>
      <c r="N1648" s="46"/>
      <c r="O1648" s="31"/>
      <c r="P1648" s="16"/>
      <c r="Q1648" s="16"/>
      <c r="R1648" s="16" t="str">
        <f t="shared" si="2"/>
        <v/>
      </c>
    </row>
    <row r="1649">
      <c r="B1649" s="16"/>
      <c r="C1649" s="12"/>
      <c r="D1649" s="12"/>
      <c r="E1649" s="12"/>
      <c r="F1649" s="12"/>
      <c r="G1649" s="25"/>
      <c r="H1649" s="12"/>
      <c r="I1649" s="31"/>
      <c r="J1649" s="12"/>
      <c r="K1649" s="12"/>
      <c r="L1649" s="16"/>
      <c r="M1649" s="46"/>
      <c r="N1649" s="46"/>
      <c r="O1649" s="31"/>
      <c r="P1649" s="16"/>
      <c r="Q1649" s="16"/>
      <c r="R1649" s="16" t="str">
        <f t="shared" si="2"/>
        <v/>
      </c>
    </row>
    <row r="1650">
      <c r="B1650" s="16"/>
      <c r="C1650" s="12"/>
      <c r="D1650" s="12"/>
      <c r="E1650" s="12"/>
      <c r="F1650" s="12"/>
      <c r="G1650" s="25"/>
      <c r="H1650" s="12"/>
      <c r="I1650" s="31"/>
      <c r="J1650" s="12"/>
      <c r="K1650" s="12"/>
      <c r="L1650" s="16"/>
      <c r="M1650" s="46"/>
      <c r="N1650" s="46"/>
      <c r="O1650" s="31"/>
      <c r="P1650" s="16"/>
      <c r="Q1650" s="16"/>
      <c r="R1650" s="16" t="str">
        <f t="shared" si="2"/>
        <v/>
      </c>
    </row>
    <row r="1651">
      <c r="B1651" s="16"/>
      <c r="C1651" s="12"/>
      <c r="D1651" s="12"/>
      <c r="E1651" s="12"/>
      <c r="F1651" s="12"/>
      <c r="G1651" s="25"/>
      <c r="H1651" s="12"/>
      <c r="I1651" s="31"/>
      <c r="J1651" s="12"/>
      <c r="K1651" s="12"/>
      <c r="L1651" s="16"/>
      <c r="M1651" s="46"/>
      <c r="N1651" s="46"/>
      <c r="O1651" s="31"/>
      <c r="P1651" s="16"/>
      <c r="Q1651" s="16"/>
      <c r="R1651" s="16" t="str">
        <f t="shared" si="2"/>
        <v/>
      </c>
    </row>
    <row r="1652">
      <c r="B1652" s="16"/>
      <c r="C1652" s="12"/>
      <c r="D1652" s="12"/>
      <c r="E1652" s="12"/>
      <c r="F1652" s="12"/>
      <c r="G1652" s="25"/>
      <c r="H1652" s="12"/>
      <c r="I1652" s="31"/>
      <c r="J1652" s="12"/>
      <c r="K1652" s="12"/>
      <c r="L1652" s="16"/>
      <c r="M1652" s="46"/>
      <c r="N1652" s="46"/>
      <c r="O1652" s="31"/>
      <c r="P1652" s="16"/>
      <c r="Q1652" s="16"/>
      <c r="R1652" s="16" t="str">
        <f t="shared" si="2"/>
        <v/>
      </c>
    </row>
    <row r="1653">
      <c r="B1653" s="16"/>
      <c r="C1653" s="12"/>
      <c r="D1653" s="12"/>
      <c r="E1653" s="12"/>
      <c r="F1653" s="12"/>
      <c r="G1653" s="25"/>
      <c r="H1653" s="12"/>
      <c r="I1653" s="31"/>
      <c r="J1653" s="12"/>
      <c r="K1653" s="12"/>
      <c r="L1653" s="16"/>
      <c r="M1653" s="46"/>
      <c r="N1653" s="46"/>
      <c r="O1653" s="31"/>
      <c r="P1653" s="16"/>
      <c r="Q1653" s="16"/>
      <c r="R1653" s="16" t="str">
        <f t="shared" si="2"/>
        <v/>
      </c>
    </row>
    <row r="1654">
      <c r="B1654" s="16"/>
      <c r="C1654" s="12"/>
      <c r="D1654" s="12"/>
      <c r="E1654" s="12"/>
      <c r="F1654" s="12"/>
      <c r="G1654" s="25"/>
      <c r="H1654" s="12"/>
      <c r="I1654" s="31"/>
      <c r="J1654" s="12"/>
      <c r="K1654" s="12"/>
      <c r="L1654" s="16"/>
      <c r="M1654" s="46"/>
      <c r="N1654" s="46"/>
      <c r="O1654" s="31"/>
      <c r="P1654" s="16"/>
      <c r="Q1654" s="16"/>
      <c r="R1654" s="16" t="str">
        <f t="shared" si="2"/>
        <v/>
      </c>
    </row>
    <row r="1655">
      <c r="B1655" s="16"/>
      <c r="C1655" s="12"/>
      <c r="D1655" s="12"/>
      <c r="E1655" s="12"/>
      <c r="F1655" s="12"/>
      <c r="G1655" s="25"/>
      <c r="H1655" s="12"/>
      <c r="I1655" s="31"/>
      <c r="J1655" s="12"/>
      <c r="K1655" s="12"/>
      <c r="L1655" s="16"/>
      <c r="M1655" s="46"/>
      <c r="N1655" s="46"/>
      <c r="O1655" s="31"/>
      <c r="P1655" s="16"/>
      <c r="Q1655" s="16"/>
      <c r="R1655" s="16" t="str">
        <f t="shared" si="2"/>
        <v/>
      </c>
    </row>
    <row r="1656">
      <c r="B1656" s="16"/>
      <c r="C1656" s="12"/>
      <c r="D1656" s="12"/>
      <c r="E1656" s="12"/>
      <c r="F1656" s="12"/>
      <c r="G1656" s="25"/>
      <c r="H1656" s="12"/>
      <c r="I1656" s="31"/>
      <c r="J1656" s="12"/>
      <c r="K1656" s="12"/>
      <c r="L1656" s="16"/>
      <c r="M1656" s="46"/>
      <c r="N1656" s="46"/>
      <c r="O1656" s="31"/>
      <c r="P1656" s="16"/>
      <c r="Q1656" s="16"/>
      <c r="R1656" s="16" t="str">
        <f t="shared" si="2"/>
        <v/>
      </c>
    </row>
    <row r="1657">
      <c r="B1657" s="16"/>
      <c r="C1657" s="12"/>
      <c r="D1657" s="12"/>
      <c r="E1657" s="12"/>
      <c r="F1657" s="12"/>
      <c r="G1657" s="25"/>
      <c r="H1657" s="12"/>
      <c r="I1657" s="31"/>
      <c r="J1657" s="12"/>
      <c r="K1657" s="12"/>
      <c r="L1657" s="16"/>
      <c r="M1657" s="46"/>
      <c r="N1657" s="46"/>
      <c r="O1657" s="31"/>
      <c r="P1657" s="16"/>
      <c r="Q1657" s="16"/>
      <c r="R1657" s="16" t="str">
        <f t="shared" si="2"/>
        <v/>
      </c>
    </row>
    <row r="1658">
      <c r="B1658" s="16"/>
      <c r="C1658" s="12"/>
      <c r="D1658" s="12"/>
      <c r="E1658" s="12"/>
      <c r="F1658" s="12"/>
      <c r="G1658" s="25"/>
      <c r="H1658" s="12"/>
      <c r="I1658" s="31"/>
      <c r="J1658" s="12"/>
      <c r="K1658" s="12"/>
      <c r="L1658" s="16"/>
      <c r="M1658" s="46"/>
      <c r="N1658" s="46"/>
      <c r="O1658" s="31"/>
      <c r="P1658" s="16"/>
      <c r="Q1658" s="16"/>
      <c r="R1658" s="16" t="str">
        <f t="shared" si="2"/>
        <v/>
      </c>
    </row>
    <row r="1659">
      <c r="B1659" s="16"/>
      <c r="C1659" s="12"/>
      <c r="D1659" s="12"/>
      <c r="E1659" s="12"/>
      <c r="F1659" s="12"/>
      <c r="G1659" s="25"/>
      <c r="H1659" s="12"/>
      <c r="I1659" s="31"/>
      <c r="J1659" s="12"/>
      <c r="K1659" s="12"/>
      <c r="L1659" s="16"/>
      <c r="M1659" s="46"/>
      <c r="N1659" s="46"/>
      <c r="O1659" s="31"/>
      <c r="P1659" s="16"/>
      <c r="Q1659" s="16"/>
      <c r="R1659" s="16" t="str">
        <f t="shared" si="2"/>
        <v/>
      </c>
    </row>
    <row r="1660">
      <c r="B1660" s="16"/>
      <c r="C1660" s="12"/>
      <c r="D1660" s="12"/>
      <c r="E1660" s="12"/>
      <c r="F1660" s="12"/>
      <c r="G1660" s="25"/>
      <c r="H1660" s="12"/>
      <c r="I1660" s="31"/>
      <c r="J1660" s="12"/>
      <c r="K1660" s="12"/>
      <c r="L1660" s="16"/>
      <c r="M1660" s="46"/>
      <c r="N1660" s="46"/>
      <c r="O1660" s="31"/>
      <c r="P1660" s="16"/>
      <c r="Q1660" s="16"/>
      <c r="R1660" s="16" t="str">
        <f t="shared" si="2"/>
        <v/>
      </c>
    </row>
    <row r="1661">
      <c r="B1661" s="16"/>
      <c r="C1661" s="12"/>
      <c r="D1661" s="12"/>
      <c r="E1661" s="12"/>
      <c r="F1661" s="12"/>
      <c r="G1661" s="25"/>
      <c r="H1661" s="12"/>
      <c r="I1661" s="31"/>
      <c r="J1661" s="12"/>
      <c r="K1661" s="12"/>
      <c r="L1661" s="16"/>
      <c r="M1661" s="46"/>
      <c r="N1661" s="46"/>
      <c r="O1661" s="31"/>
      <c r="P1661" s="16"/>
      <c r="Q1661" s="16"/>
      <c r="R1661" s="16" t="str">
        <f t="shared" si="2"/>
        <v/>
      </c>
    </row>
    <row r="1662">
      <c r="B1662" s="16"/>
      <c r="C1662" s="12"/>
      <c r="D1662" s="12"/>
      <c r="E1662" s="12"/>
      <c r="F1662" s="12"/>
      <c r="G1662" s="25"/>
      <c r="H1662" s="12"/>
      <c r="I1662" s="31"/>
      <c r="J1662" s="12"/>
      <c r="K1662" s="12"/>
      <c r="L1662" s="16"/>
      <c r="M1662" s="46"/>
      <c r="N1662" s="46"/>
      <c r="O1662" s="31"/>
      <c r="P1662" s="16"/>
      <c r="Q1662" s="16"/>
      <c r="R1662" s="16" t="str">
        <f t="shared" si="2"/>
        <v/>
      </c>
    </row>
    <row r="1663">
      <c r="B1663" s="16"/>
      <c r="C1663" s="12"/>
      <c r="D1663" s="12"/>
      <c r="E1663" s="12"/>
      <c r="F1663" s="12"/>
      <c r="G1663" s="25"/>
      <c r="H1663" s="12"/>
      <c r="I1663" s="31"/>
      <c r="J1663" s="12"/>
      <c r="K1663" s="12"/>
      <c r="L1663" s="16"/>
      <c r="M1663" s="46"/>
      <c r="N1663" s="46"/>
      <c r="O1663" s="31"/>
      <c r="P1663" s="16"/>
      <c r="Q1663" s="16"/>
      <c r="R1663" s="16" t="str">
        <f t="shared" si="2"/>
        <v/>
      </c>
    </row>
    <row r="1664">
      <c r="B1664" s="16"/>
      <c r="C1664" s="12"/>
      <c r="D1664" s="12"/>
      <c r="E1664" s="12"/>
      <c r="F1664" s="12"/>
      <c r="G1664" s="25"/>
      <c r="H1664" s="12"/>
      <c r="I1664" s="31"/>
      <c r="J1664" s="12"/>
      <c r="K1664" s="12"/>
      <c r="L1664" s="16"/>
      <c r="M1664" s="46"/>
      <c r="N1664" s="46"/>
      <c r="O1664" s="31"/>
      <c r="P1664" s="16"/>
      <c r="Q1664" s="16"/>
      <c r="R1664" s="16" t="str">
        <f t="shared" si="2"/>
        <v/>
      </c>
    </row>
    <row r="1665">
      <c r="B1665" s="16"/>
      <c r="C1665" s="12"/>
      <c r="D1665" s="12"/>
      <c r="E1665" s="12"/>
      <c r="F1665" s="12"/>
      <c r="G1665" s="25"/>
      <c r="H1665" s="12"/>
      <c r="I1665" s="31"/>
      <c r="J1665" s="12"/>
      <c r="K1665" s="12"/>
      <c r="L1665" s="16"/>
      <c r="M1665" s="46"/>
      <c r="N1665" s="46"/>
      <c r="O1665" s="31"/>
      <c r="P1665" s="16"/>
      <c r="Q1665" s="16"/>
      <c r="R1665" s="16" t="str">
        <f t="shared" si="2"/>
        <v/>
      </c>
    </row>
    <row r="1666">
      <c r="B1666" s="16"/>
      <c r="C1666" s="12"/>
      <c r="D1666" s="12"/>
      <c r="E1666" s="12"/>
      <c r="F1666" s="12"/>
      <c r="G1666" s="25"/>
      <c r="H1666" s="12"/>
      <c r="I1666" s="31"/>
      <c r="J1666" s="12"/>
      <c r="K1666" s="12"/>
      <c r="L1666" s="16"/>
      <c r="M1666" s="46"/>
      <c r="N1666" s="46"/>
      <c r="O1666" s="31"/>
      <c r="P1666" s="16"/>
      <c r="Q1666" s="16"/>
      <c r="R1666" s="16" t="str">
        <f t="shared" si="2"/>
        <v/>
      </c>
    </row>
    <row r="1667">
      <c r="B1667" s="16"/>
      <c r="C1667" s="12"/>
      <c r="D1667" s="12"/>
      <c r="E1667" s="12"/>
      <c r="F1667" s="12"/>
      <c r="G1667" s="25"/>
      <c r="H1667" s="12"/>
      <c r="I1667" s="31"/>
      <c r="J1667" s="12"/>
      <c r="K1667" s="12"/>
      <c r="L1667" s="16"/>
      <c r="M1667" s="46"/>
      <c r="N1667" s="46"/>
      <c r="O1667" s="31"/>
      <c r="P1667" s="16"/>
      <c r="Q1667" s="16"/>
      <c r="R1667" s="16" t="str">
        <f t="shared" si="2"/>
        <v/>
      </c>
    </row>
    <row r="1668">
      <c r="B1668" s="16"/>
      <c r="C1668" s="12"/>
      <c r="D1668" s="12"/>
      <c r="E1668" s="12"/>
      <c r="F1668" s="12"/>
      <c r="G1668" s="25"/>
      <c r="H1668" s="12"/>
      <c r="I1668" s="31"/>
      <c r="J1668" s="12"/>
      <c r="K1668" s="12"/>
      <c r="L1668" s="16"/>
      <c r="M1668" s="46"/>
      <c r="N1668" s="46"/>
      <c r="O1668" s="31"/>
      <c r="P1668" s="16"/>
      <c r="Q1668" s="16"/>
      <c r="R1668" s="16" t="str">
        <f t="shared" si="2"/>
        <v/>
      </c>
    </row>
    <row r="1669">
      <c r="B1669" s="16"/>
      <c r="C1669" s="12"/>
      <c r="D1669" s="12"/>
      <c r="E1669" s="12"/>
      <c r="F1669" s="12"/>
      <c r="G1669" s="25"/>
      <c r="H1669" s="12"/>
      <c r="I1669" s="31"/>
      <c r="J1669" s="12"/>
      <c r="K1669" s="12"/>
      <c r="L1669" s="16"/>
      <c r="M1669" s="46"/>
      <c r="N1669" s="46"/>
      <c r="O1669" s="31"/>
      <c r="P1669" s="16"/>
      <c r="Q1669" s="16"/>
      <c r="R1669" s="16" t="str">
        <f t="shared" si="2"/>
        <v/>
      </c>
    </row>
    <row r="1670">
      <c r="B1670" s="16"/>
      <c r="C1670" s="12"/>
      <c r="D1670" s="12"/>
      <c r="E1670" s="12"/>
      <c r="F1670" s="12"/>
      <c r="G1670" s="25"/>
      <c r="H1670" s="12"/>
      <c r="I1670" s="31"/>
      <c r="J1670" s="12"/>
      <c r="K1670" s="12"/>
      <c r="L1670" s="16"/>
      <c r="M1670" s="46"/>
      <c r="N1670" s="46"/>
      <c r="O1670" s="31"/>
      <c r="P1670" s="16"/>
      <c r="Q1670" s="16"/>
      <c r="R1670" s="16" t="str">
        <f t="shared" si="2"/>
        <v/>
      </c>
    </row>
    <row r="1671">
      <c r="B1671" s="16"/>
      <c r="C1671" s="12"/>
      <c r="D1671" s="12"/>
      <c r="E1671" s="12"/>
      <c r="F1671" s="12"/>
      <c r="G1671" s="25"/>
      <c r="H1671" s="12"/>
      <c r="I1671" s="31"/>
      <c r="J1671" s="12"/>
      <c r="K1671" s="12"/>
      <c r="L1671" s="16"/>
      <c r="M1671" s="46"/>
      <c r="N1671" s="46"/>
      <c r="O1671" s="31"/>
      <c r="P1671" s="16"/>
      <c r="Q1671" s="16"/>
      <c r="R1671" s="16" t="str">
        <f t="shared" si="2"/>
        <v/>
      </c>
    </row>
    <row r="1672">
      <c r="B1672" s="16"/>
      <c r="C1672" s="12"/>
      <c r="D1672" s="12"/>
      <c r="E1672" s="12"/>
      <c r="F1672" s="12"/>
      <c r="G1672" s="25"/>
      <c r="H1672" s="12"/>
      <c r="I1672" s="31"/>
      <c r="J1672" s="12"/>
      <c r="K1672" s="12"/>
      <c r="L1672" s="16"/>
      <c r="M1672" s="46"/>
      <c r="N1672" s="46"/>
      <c r="O1672" s="31"/>
      <c r="P1672" s="16"/>
      <c r="Q1672" s="16"/>
      <c r="R1672" s="16" t="str">
        <f t="shared" si="2"/>
        <v/>
      </c>
    </row>
    <row r="1673">
      <c r="B1673" s="16"/>
      <c r="C1673" s="12"/>
      <c r="D1673" s="12"/>
      <c r="E1673" s="12"/>
      <c r="F1673" s="12"/>
      <c r="G1673" s="25"/>
      <c r="H1673" s="12"/>
      <c r="I1673" s="31"/>
      <c r="J1673" s="12"/>
      <c r="K1673" s="12"/>
      <c r="L1673" s="16"/>
      <c r="M1673" s="46"/>
      <c r="N1673" s="46"/>
      <c r="O1673" s="31"/>
      <c r="P1673" s="16"/>
      <c r="Q1673" s="16"/>
      <c r="R1673" s="16" t="str">
        <f t="shared" si="2"/>
        <v/>
      </c>
    </row>
    <row r="1674">
      <c r="B1674" s="16"/>
      <c r="C1674" s="12"/>
      <c r="D1674" s="12"/>
      <c r="E1674" s="12"/>
      <c r="F1674" s="12"/>
      <c r="G1674" s="25"/>
      <c r="H1674" s="12"/>
      <c r="I1674" s="31"/>
      <c r="J1674" s="12"/>
      <c r="K1674" s="12"/>
      <c r="L1674" s="16"/>
      <c r="M1674" s="46"/>
      <c r="N1674" s="46"/>
      <c r="O1674" s="31"/>
      <c r="P1674" s="16"/>
      <c r="Q1674" s="16"/>
      <c r="R1674" s="16" t="str">
        <f t="shared" si="2"/>
        <v/>
      </c>
    </row>
    <row r="1675">
      <c r="B1675" s="16"/>
      <c r="C1675" s="12"/>
      <c r="D1675" s="12"/>
      <c r="E1675" s="12"/>
      <c r="F1675" s="12"/>
      <c r="G1675" s="25"/>
      <c r="H1675" s="12"/>
      <c r="I1675" s="31"/>
      <c r="J1675" s="12"/>
      <c r="K1675" s="12"/>
      <c r="L1675" s="16"/>
      <c r="M1675" s="46"/>
      <c r="N1675" s="46"/>
      <c r="O1675" s="31"/>
      <c r="P1675" s="16"/>
      <c r="Q1675" s="16"/>
      <c r="R1675" s="16" t="str">
        <f t="shared" si="2"/>
        <v/>
      </c>
    </row>
    <row r="1676">
      <c r="B1676" s="16"/>
      <c r="C1676" s="12"/>
      <c r="D1676" s="12"/>
      <c r="E1676" s="12"/>
      <c r="F1676" s="12"/>
      <c r="G1676" s="25"/>
      <c r="H1676" s="12"/>
      <c r="I1676" s="31"/>
      <c r="J1676" s="12"/>
      <c r="K1676" s="12"/>
      <c r="L1676" s="16"/>
      <c r="M1676" s="46"/>
      <c r="N1676" s="46"/>
      <c r="O1676" s="31"/>
      <c r="P1676" s="16"/>
      <c r="Q1676" s="16"/>
      <c r="R1676" s="16" t="str">
        <f t="shared" si="2"/>
        <v/>
      </c>
    </row>
    <row r="1677">
      <c r="B1677" s="16"/>
      <c r="C1677" s="12"/>
      <c r="D1677" s="12"/>
      <c r="E1677" s="12"/>
      <c r="F1677" s="12"/>
      <c r="G1677" s="25"/>
      <c r="H1677" s="12"/>
      <c r="I1677" s="31"/>
      <c r="J1677" s="12"/>
      <c r="K1677" s="12"/>
      <c r="L1677" s="16"/>
      <c r="M1677" s="46"/>
      <c r="N1677" s="46"/>
      <c r="O1677" s="31"/>
      <c r="P1677" s="16"/>
      <c r="Q1677" s="16"/>
      <c r="R1677" s="16" t="str">
        <f t="shared" si="2"/>
        <v/>
      </c>
    </row>
    <row r="1678">
      <c r="B1678" s="16"/>
      <c r="C1678" s="12"/>
      <c r="D1678" s="12"/>
      <c r="E1678" s="12"/>
      <c r="F1678" s="12"/>
      <c r="G1678" s="25"/>
      <c r="H1678" s="12"/>
      <c r="I1678" s="31"/>
      <c r="J1678" s="12"/>
      <c r="K1678" s="12"/>
      <c r="L1678" s="16"/>
      <c r="M1678" s="46"/>
      <c r="N1678" s="46"/>
      <c r="O1678" s="31"/>
      <c r="P1678" s="16"/>
      <c r="Q1678" s="16"/>
      <c r="R1678" s="16" t="str">
        <f t="shared" si="2"/>
        <v/>
      </c>
    </row>
    <row r="1679">
      <c r="B1679" s="16"/>
      <c r="C1679" s="12"/>
      <c r="D1679" s="12"/>
      <c r="E1679" s="12"/>
      <c r="F1679" s="12"/>
      <c r="G1679" s="25"/>
      <c r="H1679" s="12"/>
      <c r="I1679" s="31"/>
      <c r="J1679" s="12"/>
      <c r="K1679" s="12"/>
      <c r="L1679" s="16"/>
      <c r="M1679" s="46"/>
      <c r="N1679" s="46"/>
      <c r="O1679" s="31"/>
      <c r="P1679" s="16"/>
      <c r="Q1679" s="16"/>
      <c r="R1679" s="16" t="str">
        <f t="shared" si="2"/>
        <v/>
      </c>
    </row>
    <row r="1680">
      <c r="B1680" s="16"/>
      <c r="C1680" s="12"/>
      <c r="D1680" s="12"/>
      <c r="E1680" s="12"/>
      <c r="F1680" s="12"/>
      <c r="G1680" s="25"/>
      <c r="H1680" s="12"/>
      <c r="I1680" s="31"/>
      <c r="J1680" s="12"/>
      <c r="K1680" s="12"/>
      <c r="L1680" s="16"/>
      <c r="M1680" s="46"/>
      <c r="N1680" s="46"/>
      <c r="O1680" s="31"/>
      <c r="P1680" s="16"/>
      <c r="Q1680" s="16"/>
      <c r="R1680" s="16" t="str">
        <f t="shared" si="2"/>
        <v/>
      </c>
    </row>
    <row r="1681">
      <c r="B1681" s="16"/>
      <c r="C1681" s="12"/>
      <c r="D1681" s="12"/>
      <c r="E1681" s="12"/>
      <c r="F1681" s="12"/>
      <c r="G1681" s="25"/>
      <c r="H1681" s="12"/>
      <c r="I1681" s="31"/>
      <c r="J1681" s="12"/>
      <c r="K1681" s="12"/>
      <c r="L1681" s="16"/>
      <c r="M1681" s="46"/>
      <c r="N1681" s="46"/>
      <c r="O1681" s="31"/>
      <c r="P1681" s="16"/>
      <c r="Q1681" s="16"/>
      <c r="R1681" s="16" t="str">
        <f t="shared" si="2"/>
        <v/>
      </c>
    </row>
    <row r="1682">
      <c r="B1682" s="16"/>
      <c r="C1682" s="12"/>
      <c r="D1682" s="12"/>
      <c r="E1682" s="12"/>
      <c r="F1682" s="12"/>
      <c r="G1682" s="25"/>
      <c r="H1682" s="12"/>
      <c r="I1682" s="31"/>
      <c r="J1682" s="12"/>
      <c r="K1682" s="12"/>
      <c r="L1682" s="16"/>
      <c r="M1682" s="46"/>
      <c r="N1682" s="46"/>
      <c r="O1682" s="31"/>
      <c r="P1682" s="16"/>
      <c r="Q1682" s="16"/>
      <c r="R1682" s="16" t="str">
        <f t="shared" si="2"/>
        <v/>
      </c>
    </row>
    <row r="1683">
      <c r="B1683" s="16"/>
      <c r="C1683" s="12"/>
      <c r="D1683" s="12"/>
      <c r="E1683" s="12"/>
      <c r="F1683" s="12"/>
      <c r="G1683" s="25"/>
      <c r="H1683" s="12"/>
      <c r="I1683" s="31"/>
      <c r="J1683" s="12"/>
      <c r="K1683" s="12"/>
      <c r="L1683" s="16"/>
      <c r="M1683" s="46"/>
      <c r="N1683" s="46"/>
      <c r="O1683" s="31"/>
      <c r="P1683" s="16"/>
      <c r="Q1683" s="16"/>
      <c r="R1683" s="16" t="str">
        <f t="shared" si="2"/>
        <v/>
      </c>
    </row>
    <row r="1684">
      <c r="B1684" s="16"/>
      <c r="C1684" s="12"/>
      <c r="D1684" s="12"/>
      <c r="E1684" s="12"/>
      <c r="F1684" s="12"/>
      <c r="G1684" s="25"/>
      <c r="H1684" s="12"/>
      <c r="I1684" s="31"/>
      <c r="J1684" s="12"/>
      <c r="K1684" s="12"/>
      <c r="L1684" s="16"/>
      <c r="M1684" s="46"/>
      <c r="N1684" s="46"/>
      <c r="O1684" s="31"/>
      <c r="P1684" s="16"/>
      <c r="Q1684" s="16"/>
      <c r="R1684" s="16" t="str">
        <f t="shared" si="2"/>
        <v/>
      </c>
    </row>
    <row r="1685">
      <c r="B1685" s="16"/>
      <c r="C1685" s="12"/>
      <c r="D1685" s="12"/>
      <c r="E1685" s="12"/>
      <c r="F1685" s="12"/>
      <c r="G1685" s="25"/>
      <c r="H1685" s="12"/>
      <c r="I1685" s="31"/>
      <c r="J1685" s="12"/>
      <c r="K1685" s="12"/>
      <c r="L1685" s="16"/>
      <c r="M1685" s="46"/>
      <c r="N1685" s="46"/>
      <c r="O1685" s="31"/>
      <c r="P1685" s="16"/>
      <c r="Q1685" s="16"/>
      <c r="R1685" s="16" t="str">
        <f t="shared" si="2"/>
        <v/>
      </c>
    </row>
    <row r="1686">
      <c r="B1686" s="16"/>
      <c r="C1686" s="12"/>
      <c r="D1686" s="12"/>
      <c r="E1686" s="12"/>
      <c r="F1686" s="12"/>
      <c r="G1686" s="25"/>
      <c r="H1686" s="12"/>
      <c r="I1686" s="31"/>
      <c r="J1686" s="12"/>
      <c r="K1686" s="12"/>
      <c r="L1686" s="16"/>
      <c r="M1686" s="46"/>
      <c r="N1686" s="46"/>
      <c r="O1686" s="31"/>
      <c r="P1686" s="16"/>
      <c r="Q1686" s="16"/>
      <c r="R1686" s="16" t="str">
        <f t="shared" si="2"/>
        <v/>
      </c>
    </row>
    <row r="1687">
      <c r="B1687" s="16"/>
      <c r="C1687" s="12"/>
      <c r="D1687" s="12"/>
      <c r="E1687" s="12"/>
      <c r="F1687" s="12"/>
      <c r="G1687" s="25"/>
      <c r="H1687" s="12"/>
      <c r="I1687" s="31"/>
      <c r="J1687" s="12"/>
      <c r="K1687" s="12"/>
      <c r="L1687" s="16"/>
      <c r="M1687" s="46"/>
      <c r="N1687" s="46"/>
      <c r="O1687" s="31"/>
      <c r="P1687" s="16"/>
      <c r="Q1687" s="16"/>
      <c r="R1687" s="16" t="str">
        <f t="shared" si="2"/>
        <v/>
      </c>
    </row>
    <row r="1688">
      <c r="B1688" s="16"/>
      <c r="C1688" s="12"/>
      <c r="D1688" s="12"/>
      <c r="E1688" s="12"/>
      <c r="F1688" s="12"/>
      <c r="G1688" s="25"/>
      <c r="H1688" s="12"/>
      <c r="I1688" s="31"/>
      <c r="J1688" s="12"/>
      <c r="K1688" s="12"/>
      <c r="L1688" s="16"/>
      <c r="M1688" s="46"/>
      <c r="N1688" s="46"/>
      <c r="O1688" s="31"/>
      <c r="P1688" s="16"/>
      <c r="Q1688" s="16"/>
      <c r="R1688" s="16" t="str">
        <f t="shared" si="2"/>
        <v/>
      </c>
    </row>
    <row r="1689">
      <c r="B1689" s="16"/>
      <c r="C1689" s="12"/>
      <c r="D1689" s="12"/>
      <c r="E1689" s="12"/>
      <c r="F1689" s="12"/>
      <c r="G1689" s="25"/>
      <c r="H1689" s="12"/>
      <c r="I1689" s="31"/>
      <c r="J1689" s="12"/>
      <c r="K1689" s="12"/>
      <c r="L1689" s="16"/>
      <c r="M1689" s="46"/>
      <c r="N1689" s="46"/>
      <c r="O1689" s="31"/>
      <c r="P1689" s="16"/>
      <c r="Q1689" s="16"/>
      <c r="R1689" s="16" t="str">
        <f t="shared" si="2"/>
        <v/>
      </c>
    </row>
    <row r="1690">
      <c r="B1690" s="16"/>
      <c r="C1690" s="12"/>
      <c r="D1690" s="12"/>
      <c r="E1690" s="12"/>
      <c r="F1690" s="12"/>
      <c r="G1690" s="25"/>
      <c r="H1690" s="12"/>
      <c r="I1690" s="31"/>
      <c r="J1690" s="12"/>
      <c r="K1690" s="12"/>
      <c r="L1690" s="16"/>
      <c r="M1690" s="46"/>
      <c r="N1690" s="46"/>
      <c r="O1690" s="31"/>
      <c r="P1690" s="16"/>
      <c r="Q1690" s="16"/>
      <c r="R1690" s="16" t="str">
        <f t="shared" si="2"/>
        <v/>
      </c>
    </row>
    <row r="1691">
      <c r="B1691" s="16"/>
      <c r="C1691" s="12"/>
      <c r="D1691" s="12"/>
      <c r="E1691" s="12"/>
      <c r="F1691" s="12"/>
      <c r="G1691" s="25"/>
      <c r="H1691" s="12"/>
      <c r="I1691" s="31"/>
      <c r="J1691" s="12"/>
      <c r="K1691" s="12"/>
      <c r="L1691" s="16"/>
      <c r="M1691" s="46"/>
      <c r="N1691" s="46"/>
      <c r="O1691" s="31"/>
      <c r="P1691" s="16"/>
      <c r="Q1691" s="16"/>
      <c r="R1691" s="16" t="str">
        <f t="shared" si="2"/>
        <v/>
      </c>
    </row>
    <row r="1692">
      <c r="B1692" s="16"/>
      <c r="C1692" s="12"/>
      <c r="D1692" s="12"/>
      <c r="E1692" s="12"/>
      <c r="F1692" s="12"/>
      <c r="G1692" s="25"/>
      <c r="H1692" s="12"/>
      <c r="I1692" s="31"/>
      <c r="J1692" s="12"/>
      <c r="K1692" s="12"/>
      <c r="L1692" s="16"/>
      <c r="M1692" s="46"/>
      <c r="N1692" s="46"/>
      <c r="O1692" s="31"/>
      <c r="P1692" s="16"/>
      <c r="Q1692" s="16"/>
      <c r="R1692" s="16" t="str">
        <f t="shared" si="2"/>
        <v/>
      </c>
    </row>
    <row r="1693">
      <c r="B1693" s="16"/>
      <c r="C1693" s="12"/>
      <c r="D1693" s="12"/>
      <c r="E1693" s="12"/>
      <c r="F1693" s="12"/>
      <c r="G1693" s="25"/>
      <c r="H1693" s="12"/>
      <c r="I1693" s="31"/>
      <c r="J1693" s="12"/>
      <c r="K1693" s="12"/>
      <c r="L1693" s="16"/>
      <c r="M1693" s="46"/>
      <c r="N1693" s="46"/>
      <c r="O1693" s="31"/>
      <c r="P1693" s="16"/>
      <c r="Q1693" s="16"/>
      <c r="R1693" s="16" t="str">
        <f t="shared" si="2"/>
        <v/>
      </c>
    </row>
    <row r="1694">
      <c r="B1694" s="16"/>
      <c r="C1694" s="12"/>
      <c r="D1694" s="12"/>
      <c r="E1694" s="12"/>
      <c r="F1694" s="12"/>
      <c r="G1694" s="25"/>
      <c r="H1694" s="12"/>
      <c r="I1694" s="31"/>
      <c r="J1694" s="12"/>
      <c r="K1694" s="12"/>
      <c r="L1694" s="16"/>
      <c r="M1694" s="46"/>
      <c r="N1694" s="46"/>
      <c r="O1694" s="31"/>
      <c r="P1694" s="16"/>
      <c r="Q1694" s="16"/>
      <c r="R1694" s="16" t="str">
        <f t="shared" si="2"/>
        <v/>
      </c>
    </row>
    <row r="1695">
      <c r="B1695" s="16"/>
      <c r="C1695" s="12"/>
      <c r="D1695" s="12"/>
      <c r="E1695" s="12"/>
      <c r="F1695" s="12"/>
      <c r="G1695" s="25"/>
      <c r="H1695" s="12"/>
      <c r="I1695" s="31"/>
      <c r="J1695" s="12"/>
      <c r="K1695" s="12"/>
      <c r="L1695" s="16"/>
      <c r="M1695" s="46"/>
      <c r="N1695" s="46"/>
      <c r="O1695" s="31"/>
      <c r="P1695" s="16"/>
      <c r="Q1695" s="16"/>
      <c r="R1695" s="16" t="str">
        <f t="shared" si="2"/>
        <v/>
      </c>
    </row>
    <row r="1696">
      <c r="B1696" s="16"/>
      <c r="C1696" s="12"/>
      <c r="D1696" s="12"/>
      <c r="E1696" s="12"/>
      <c r="F1696" s="12"/>
      <c r="G1696" s="25"/>
      <c r="H1696" s="12"/>
      <c r="I1696" s="31"/>
      <c r="J1696" s="12"/>
      <c r="K1696" s="12"/>
      <c r="L1696" s="16"/>
      <c r="M1696" s="46"/>
      <c r="N1696" s="46"/>
      <c r="O1696" s="31"/>
      <c r="P1696" s="16"/>
      <c r="Q1696" s="16"/>
      <c r="R1696" s="16" t="str">
        <f t="shared" si="2"/>
        <v/>
      </c>
    </row>
    <row r="1697">
      <c r="B1697" s="16"/>
      <c r="C1697" s="12"/>
      <c r="D1697" s="12"/>
      <c r="E1697" s="12"/>
      <c r="F1697" s="12"/>
      <c r="G1697" s="25"/>
      <c r="H1697" s="12"/>
      <c r="I1697" s="31"/>
      <c r="J1697" s="12"/>
      <c r="K1697" s="12"/>
      <c r="L1697" s="16"/>
      <c r="M1697" s="46"/>
      <c r="N1697" s="46"/>
      <c r="O1697" s="31"/>
      <c r="P1697" s="16"/>
      <c r="Q1697" s="16"/>
      <c r="R1697" s="16" t="str">
        <f t="shared" si="2"/>
        <v/>
      </c>
    </row>
    <row r="1698">
      <c r="B1698" s="16"/>
      <c r="C1698" s="12"/>
      <c r="D1698" s="12"/>
      <c r="E1698" s="12"/>
      <c r="F1698" s="12"/>
      <c r="G1698" s="25"/>
      <c r="H1698" s="12"/>
      <c r="I1698" s="31"/>
      <c r="J1698" s="12"/>
      <c r="K1698" s="12"/>
      <c r="L1698" s="16"/>
      <c r="M1698" s="46"/>
      <c r="N1698" s="46"/>
      <c r="O1698" s="31"/>
      <c r="P1698" s="16"/>
      <c r="Q1698" s="16"/>
      <c r="R1698" s="16" t="str">
        <f t="shared" si="2"/>
        <v/>
      </c>
    </row>
    <row r="1699">
      <c r="B1699" s="16"/>
      <c r="C1699" s="12"/>
      <c r="D1699" s="12"/>
      <c r="E1699" s="12"/>
      <c r="F1699" s="12"/>
      <c r="G1699" s="25"/>
      <c r="H1699" s="12"/>
      <c r="I1699" s="31"/>
      <c r="J1699" s="12"/>
      <c r="K1699" s="12"/>
      <c r="L1699" s="16"/>
      <c r="M1699" s="46"/>
      <c r="N1699" s="46"/>
      <c r="O1699" s="31"/>
      <c r="P1699" s="16"/>
      <c r="Q1699" s="16"/>
      <c r="R1699" s="16" t="str">
        <f t="shared" si="2"/>
        <v/>
      </c>
    </row>
    <row r="1700">
      <c r="B1700" s="16"/>
      <c r="C1700" s="12"/>
      <c r="D1700" s="12"/>
      <c r="E1700" s="12"/>
      <c r="F1700" s="12"/>
      <c r="G1700" s="25"/>
      <c r="H1700" s="12"/>
      <c r="I1700" s="31"/>
      <c r="J1700" s="12"/>
      <c r="K1700" s="12"/>
      <c r="L1700" s="16"/>
      <c r="M1700" s="46"/>
      <c r="N1700" s="46"/>
      <c r="O1700" s="31"/>
      <c r="P1700" s="16"/>
      <c r="Q1700" s="16"/>
      <c r="R1700" s="16" t="str">
        <f t="shared" si="2"/>
        <v/>
      </c>
    </row>
    <row r="1701">
      <c r="B1701" s="16"/>
      <c r="C1701" s="12"/>
      <c r="D1701" s="12"/>
      <c r="E1701" s="12"/>
      <c r="F1701" s="12"/>
      <c r="G1701" s="25"/>
      <c r="H1701" s="12"/>
      <c r="I1701" s="31"/>
      <c r="J1701" s="12"/>
      <c r="K1701" s="12"/>
      <c r="L1701" s="16"/>
      <c r="M1701" s="46"/>
      <c r="N1701" s="46"/>
      <c r="O1701" s="31"/>
      <c r="P1701" s="16"/>
      <c r="Q1701" s="16"/>
      <c r="R1701" s="16" t="str">
        <f t="shared" si="2"/>
        <v/>
      </c>
    </row>
    <row r="1702">
      <c r="B1702" s="16"/>
      <c r="C1702" s="12"/>
      <c r="D1702" s="12"/>
      <c r="E1702" s="12"/>
      <c r="F1702" s="12"/>
      <c r="G1702" s="25"/>
      <c r="H1702" s="12"/>
      <c r="I1702" s="31"/>
      <c r="J1702" s="12"/>
      <c r="K1702" s="12"/>
      <c r="L1702" s="16"/>
      <c r="M1702" s="46"/>
      <c r="N1702" s="46"/>
      <c r="O1702" s="31"/>
      <c r="P1702" s="16"/>
      <c r="Q1702" s="16"/>
      <c r="R1702" s="16" t="str">
        <f t="shared" si="2"/>
        <v/>
      </c>
    </row>
    <row r="1703">
      <c r="B1703" s="16"/>
      <c r="C1703" s="12"/>
      <c r="D1703" s="12"/>
      <c r="E1703" s="12"/>
      <c r="F1703" s="12"/>
      <c r="G1703" s="25"/>
      <c r="H1703" s="12"/>
      <c r="I1703" s="31"/>
      <c r="J1703" s="12"/>
      <c r="K1703" s="12"/>
      <c r="L1703" s="16"/>
      <c r="M1703" s="46"/>
      <c r="N1703" s="46"/>
      <c r="O1703" s="31"/>
      <c r="P1703" s="16"/>
      <c r="Q1703" s="16"/>
      <c r="R1703" s="16" t="str">
        <f t="shared" si="2"/>
        <v/>
      </c>
    </row>
    <row r="1704">
      <c r="B1704" s="16"/>
      <c r="C1704" s="12"/>
      <c r="D1704" s="12"/>
      <c r="E1704" s="12"/>
      <c r="F1704" s="12"/>
      <c r="G1704" s="25"/>
      <c r="H1704" s="12"/>
      <c r="I1704" s="31"/>
      <c r="J1704" s="12"/>
      <c r="K1704" s="12"/>
      <c r="L1704" s="16"/>
      <c r="M1704" s="46"/>
      <c r="N1704" s="46"/>
      <c r="O1704" s="31"/>
      <c r="P1704" s="16"/>
      <c r="Q1704" s="16"/>
      <c r="R1704" s="16" t="str">
        <f t="shared" si="2"/>
        <v/>
      </c>
    </row>
    <row r="1705">
      <c r="B1705" s="16"/>
      <c r="C1705" s="12"/>
      <c r="D1705" s="12"/>
      <c r="E1705" s="12"/>
      <c r="F1705" s="12"/>
      <c r="G1705" s="25"/>
      <c r="H1705" s="12"/>
      <c r="I1705" s="31"/>
      <c r="J1705" s="12"/>
      <c r="K1705" s="12"/>
      <c r="L1705" s="16"/>
      <c r="M1705" s="46"/>
      <c r="N1705" s="46"/>
      <c r="O1705" s="31"/>
      <c r="P1705" s="16"/>
      <c r="Q1705" s="16"/>
      <c r="R1705" s="16" t="str">
        <f t="shared" si="2"/>
        <v/>
      </c>
    </row>
    <row r="1706">
      <c r="B1706" s="16"/>
      <c r="C1706" s="12"/>
      <c r="D1706" s="12"/>
      <c r="E1706" s="12"/>
      <c r="F1706" s="12"/>
      <c r="G1706" s="25"/>
      <c r="H1706" s="12"/>
      <c r="I1706" s="31"/>
      <c r="J1706" s="12"/>
      <c r="K1706" s="12"/>
      <c r="L1706" s="16"/>
      <c r="M1706" s="46"/>
      <c r="N1706" s="46"/>
      <c r="O1706" s="31"/>
      <c r="P1706" s="16"/>
      <c r="Q1706" s="16"/>
      <c r="R1706" s="16" t="str">
        <f t="shared" si="2"/>
        <v/>
      </c>
    </row>
    <row r="1707">
      <c r="B1707" s="16"/>
      <c r="C1707" s="12"/>
      <c r="D1707" s="12"/>
      <c r="E1707" s="12"/>
      <c r="F1707" s="12"/>
      <c r="G1707" s="25"/>
      <c r="H1707" s="12"/>
      <c r="I1707" s="31"/>
      <c r="J1707" s="12"/>
      <c r="K1707" s="12"/>
      <c r="L1707" s="16"/>
      <c r="M1707" s="46"/>
      <c r="N1707" s="46"/>
      <c r="O1707" s="31"/>
      <c r="P1707" s="16"/>
      <c r="Q1707" s="16"/>
      <c r="R1707" s="16" t="str">
        <f t="shared" si="2"/>
        <v/>
      </c>
    </row>
    <row r="1708">
      <c r="B1708" s="16"/>
      <c r="C1708" s="12"/>
      <c r="D1708" s="12"/>
      <c r="E1708" s="12"/>
      <c r="F1708" s="12"/>
      <c r="G1708" s="25"/>
      <c r="H1708" s="12"/>
      <c r="I1708" s="31"/>
      <c r="J1708" s="12"/>
      <c r="K1708" s="12"/>
      <c r="L1708" s="16"/>
      <c r="M1708" s="46"/>
      <c r="N1708" s="46"/>
      <c r="O1708" s="31"/>
      <c r="P1708" s="16"/>
      <c r="Q1708" s="16"/>
      <c r="R1708" s="16" t="str">
        <f t="shared" si="2"/>
        <v/>
      </c>
    </row>
    <row r="1709">
      <c r="B1709" s="16"/>
      <c r="C1709" s="12"/>
      <c r="D1709" s="12"/>
      <c r="E1709" s="12"/>
      <c r="F1709" s="12"/>
      <c r="G1709" s="25"/>
      <c r="H1709" s="12"/>
      <c r="I1709" s="31"/>
      <c r="J1709" s="12"/>
      <c r="K1709" s="12"/>
      <c r="L1709" s="16"/>
      <c r="M1709" s="46"/>
      <c r="N1709" s="46"/>
      <c r="O1709" s="31"/>
      <c r="P1709" s="16"/>
      <c r="Q1709" s="16"/>
      <c r="R1709" s="16" t="str">
        <f t="shared" si="2"/>
        <v/>
      </c>
    </row>
    <row r="1710">
      <c r="B1710" s="16"/>
      <c r="C1710" s="12"/>
      <c r="D1710" s="12"/>
      <c r="E1710" s="12"/>
      <c r="F1710" s="12"/>
      <c r="G1710" s="25"/>
      <c r="H1710" s="12"/>
      <c r="I1710" s="31"/>
      <c r="J1710" s="12"/>
      <c r="K1710" s="12"/>
      <c r="L1710" s="16"/>
      <c r="M1710" s="46"/>
      <c r="N1710" s="46"/>
      <c r="O1710" s="31"/>
      <c r="P1710" s="16"/>
      <c r="Q1710" s="16"/>
      <c r="R1710" s="16" t="str">
        <f t="shared" si="2"/>
        <v/>
      </c>
    </row>
    <row r="1711">
      <c r="B1711" s="16"/>
      <c r="C1711" s="12"/>
      <c r="D1711" s="12"/>
      <c r="E1711" s="12"/>
      <c r="F1711" s="12"/>
      <c r="G1711" s="25"/>
      <c r="H1711" s="12"/>
      <c r="I1711" s="31"/>
      <c r="J1711" s="12"/>
      <c r="K1711" s="12"/>
      <c r="L1711" s="16"/>
      <c r="M1711" s="46"/>
      <c r="N1711" s="46"/>
      <c r="O1711" s="31"/>
      <c r="P1711" s="16"/>
      <c r="Q1711" s="16"/>
      <c r="R1711" s="16" t="str">
        <f t="shared" si="2"/>
        <v/>
      </c>
    </row>
    <row r="1712">
      <c r="B1712" s="16"/>
      <c r="C1712" s="12"/>
      <c r="D1712" s="12"/>
      <c r="E1712" s="12"/>
      <c r="F1712" s="12"/>
      <c r="G1712" s="25"/>
      <c r="H1712" s="12"/>
      <c r="I1712" s="31"/>
      <c r="J1712" s="12"/>
      <c r="K1712" s="12"/>
      <c r="L1712" s="16"/>
      <c r="M1712" s="46"/>
      <c r="N1712" s="46"/>
      <c r="O1712" s="31"/>
      <c r="P1712" s="16"/>
      <c r="Q1712" s="16"/>
      <c r="R1712" s="16" t="str">
        <f t="shared" si="2"/>
        <v/>
      </c>
    </row>
    <row r="1713">
      <c r="B1713" s="16"/>
      <c r="C1713" s="12"/>
      <c r="D1713" s="12"/>
      <c r="E1713" s="12"/>
      <c r="F1713" s="12"/>
      <c r="G1713" s="25"/>
      <c r="H1713" s="12"/>
      <c r="I1713" s="31"/>
      <c r="J1713" s="12"/>
      <c r="K1713" s="12"/>
      <c r="L1713" s="16"/>
      <c r="M1713" s="46"/>
      <c r="N1713" s="46"/>
      <c r="O1713" s="31"/>
      <c r="P1713" s="16"/>
      <c r="Q1713" s="16"/>
      <c r="R1713" s="16" t="str">
        <f t="shared" si="2"/>
        <v/>
      </c>
    </row>
    <row r="1714">
      <c r="B1714" s="16"/>
      <c r="C1714" s="12"/>
      <c r="D1714" s="12"/>
      <c r="E1714" s="12"/>
      <c r="F1714" s="12"/>
      <c r="G1714" s="25"/>
      <c r="H1714" s="12"/>
      <c r="I1714" s="31"/>
      <c r="J1714" s="12"/>
      <c r="K1714" s="12"/>
      <c r="L1714" s="16"/>
      <c r="M1714" s="46"/>
      <c r="N1714" s="46"/>
      <c r="O1714" s="31"/>
      <c r="P1714" s="16"/>
      <c r="Q1714" s="16"/>
      <c r="R1714" s="16" t="str">
        <f t="shared" si="2"/>
        <v/>
      </c>
    </row>
    <row r="1715">
      <c r="B1715" s="16"/>
      <c r="C1715" s="12"/>
      <c r="D1715" s="12"/>
      <c r="E1715" s="12"/>
      <c r="F1715" s="12"/>
      <c r="G1715" s="25"/>
      <c r="H1715" s="12"/>
      <c r="I1715" s="31"/>
      <c r="J1715" s="12"/>
      <c r="K1715" s="12"/>
      <c r="L1715" s="16"/>
      <c r="M1715" s="46"/>
      <c r="N1715" s="46"/>
      <c r="O1715" s="31"/>
      <c r="P1715" s="16"/>
      <c r="Q1715" s="16"/>
      <c r="R1715" s="16" t="str">
        <f t="shared" si="2"/>
        <v/>
      </c>
    </row>
    <row r="1716">
      <c r="B1716" s="16"/>
      <c r="C1716" s="12"/>
      <c r="D1716" s="12"/>
      <c r="E1716" s="12"/>
      <c r="F1716" s="12"/>
      <c r="G1716" s="25"/>
      <c r="H1716" s="12"/>
      <c r="I1716" s="31"/>
      <c r="J1716" s="12"/>
      <c r="K1716" s="12"/>
      <c r="L1716" s="16"/>
      <c r="M1716" s="46"/>
      <c r="N1716" s="46"/>
      <c r="O1716" s="31"/>
      <c r="P1716" s="16"/>
      <c r="Q1716" s="16"/>
      <c r="R1716" s="16" t="str">
        <f t="shared" si="2"/>
        <v/>
      </c>
    </row>
    <row r="1717">
      <c r="B1717" s="16"/>
      <c r="C1717" s="12"/>
      <c r="D1717" s="12"/>
      <c r="E1717" s="12"/>
      <c r="F1717" s="12"/>
      <c r="G1717" s="25"/>
      <c r="H1717" s="12"/>
      <c r="I1717" s="31"/>
      <c r="J1717" s="12"/>
      <c r="K1717" s="12"/>
      <c r="L1717" s="16"/>
      <c r="M1717" s="46"/>
      <c r="N1717" s="46"/>
      <c r="O1717" s="31"/>
      <c r="P1717" s="16"/>
      <c r="Q1717" s="16"/>
      <c r="R1717" s="16" t="str">
        <f t="shared" si="2"/>
        <v/>
      </c>
    </row>
    <row r="1718">
      <c r="B1718" s="16"/>
      <c r="C1718" s="12"/>
      <c r="D1718" s="12"/>
      <c r="E1718" s="12"/>
      <c r="F1718" s="12"/>
      <c r="G1718" s="25"/>
      <c r="H1718" s="12"/>
      <c r="I1718" s="31"/>
      <c r="J1718" s="12"/>
      <c r="K1718" s="12"/>
      <c r="L1718" s="16"/>
      <c r="M1718" s="46"/>
      <c r="N1718" s="46"/>
      <c r="O1718" s="31"/>
      <c r="P1718" s="16"/>
      <c r="Q1718" s="16"/>
      <c r="R1718" s="16" t="str">
        <f t="shared" si="2"/>
        <v/>
      </c>
    </row>
    <row r="1719">
      <c r="B1719" s="16"/>
      <c r="C1719" s="12"/>
      <c r="D1719" s="12"/>
      <c r="E1719" s="12"/>
      <c r="F1719" s="12"/>
      <c r="G1719" s="25"/>
      <c r="H1719" s="12"/>
      <c r="I1719" s="31"/>
      <c r="J1719" s="12"/>
      <c r="K1719" s="12"/>
      <c r="L1719" s="16"/>
      <c r="M1719" s="46"/>
      <c r="N1719" s="46"/>
      <c r="O1719" s="31"/>
      <c r="P1719" s="16"/>
      <c r="Q1719" s="16"/>
      <c r="R1719" s="16" t="str">
        <f t="shared" si="2"/>
        <v/>
      </c>
    </row>
    <row r="1720">
      <c r="B1720" s="16"/>
      <c r="C1720" s="12"/>
      <c r="D1720" s="12"/>
      <c r="E1720" s="12"/>
      <c r="F1720" s="12"/>
      <c r="G1720" s="25"/>
      <c r="H1720" s="12"/>
      <c r="I1720" s="31"/>
      <c r="J1720" s="12"/>
      <c r="K1720" s="12"/>
      <c r="L1720" s="16"/>
      <c r="M1720" s="46"/>
      <c r="N1720" s="46"/>
      <c r="O1720" s="31"/>
      <c r="P1720" s="16"/>
      <c r="Q1720" s="16"/>
      <c r="R1720" s="16" t="str">
        <f t="shared" si="2"/>
        <v/>
      </c>
    </row>
    <row r="1721">
      <c r="B1721" s="16"/>
      <c r="C1721" s="12"/>
      <c r="D1721" s="12"/>
      <c r="E1721" s="12"/>
      <c r="F1721" s="12"/>
      <c r="G1721" s="25"/>
      <c r="H1721" s="12"/>
      <c r="I1721" s="31"/>
      <c r="J1721" s="12"/>
      <c r="K1721" s="12"/>
      <c r="L1721" s="16"/>
      <c r="M1721" s="46"/>
      <c r="N1721" s="46"/>
      <c r="O1721" s="31"/>
      <c r="P1721" s="16"/>
      <c r="Q1721" s="16"/>
      <c r="R1721" s="16" t="str">
        <f t="shared" si="2"/>
        <v/>
      </c>
    </row>
    <row r="1722">
      <c r="B1722" s="16"/>
      <c r="C1722" s="12"/>
      <c r="D1722" s="12"/>
      <c r="E1722" s="12"/>
      <c r="F1722" s="12"/>
      <c r="G1722" s="25"/>
      <c r="H1722" s="12"/>
      <c r="I1722" s="31"/>
      <c r="J1722" s="12"/>
      <c r="K1722" s="12"/>
      <c r="L1722" s="16"/>
      <c r="M1722" s="46"/>
      <c r="N1722" s="46"/>
      <c r="O1722" s="31"/>
      <c r="P1722" s="16"/>
      <c r="Q1722" s="16"/>
      <c r="R1722" s="16" t="str">
        <f t="shared" si="2"/>
        <v/>
      </c>
    </row>
    <row r="1723">
      <c r="B1723" s="16"/>
      <c r="C1723" s="12"/>
      <c r="D1723" s="12"/>
      <c r="E1723" s="12"/>
      <c r="F1723" s="12"/>
      <c r="G1723" s="25"/>
      <c r="H1723" s="12"/>
      <c r="I1723" s="31"/>
      <c r="J1723" s="12"/>
      <c r="K1723" s="12"/>
      <c r="L1723" s="16"/>
      <c r="M1723" s="46"/>
      <c r="N1723" s="46"/>
      <c r="O1723" s="31"/>
      <c r="P1723" s="16"/>
      <c r="Q1723" s="16"/>
      <c r="R1723" s="16" t="str">
        <f t="shared" si="2"/>
        <v/>
      </c>
    </row>
    <row r="1724">
      <c r="B1724" s="16"/>
      <c r="C1724" s="12"/>
      <c r="D1724" s="12"/>
      <c r="E1724" s="12"/>
      <c r="F1724" s="12"/>
      <c r="G1724" s="25"/>
      <c r="H1724" s="12"/>
      <c r="I1724" s="31"/>
      <c r="J1724" s="12"/>
      <c r="K1724" s="12"/>
      <c r="L1724" s="16"/>
      <c r="M1724" s="46"/>
      <c r="N1724" s="46"/>
      <c r="O1724" s="31"/>
      <c r="P1724" s="16"/>
      <c r="Q1724" s="16"/>
      <c r="R1724" s="16" t="str">
        <f t="shared" si="2"/>
        <v/>
      </c>
    </row>
    <row r="1725">
      <c r="B1725" s="16"/>
      <c r="C1725" s="12"/>
      <c r="D1725" s="12"/>
      <c r="E1725" s="12"/>
      <c r="F1725" s="12"/>
      <c r="G1725" s="25"/>
      <c r="H1725" s="12"/>
      <c r="I1725" s="31"/>
      <c r="J1725" s="12"/>
      <c r="K1725" s="12"/>
      <c r="L1725" s="16"/>
      <c r="M1725" s="46"/>
      <c r="N1725" s="46"/>
      <c r="O1725" s="31"/>
      <c r="P1725" s="16"/>
      <c r="Q1725" s="16"/>
      <c r="R1725" s="16" t="str">
        <f t="shared" si="2"/>
        <v/>
      </c>
    </row>
    <row r="1726">
      <c r="B1726" s="16"/>
      <c r="C1726" s="12"/>
      <c r="D1726" s="12"/>
      <c r="E1726" s="12"/>
      <c r="F1726" s="12"/>
      <c r="G1726" s="25"/>
      <c r="H1726" s="12"/>
      <c r="I1726" s="31"/>
      <c r="J1726" s="12"/>
      <c r="K1726" s="12"/>
      <c r="L1726" s="16"/>
      <c r="M1726" s="46"/>
      <c r="N1726" s="46"/>
      <c r="O1726" s="31"/>
      <c r="P1726" s="16"/>
      <c r="Q1726" s="16"/>
      <c r="R1726" s="16" t="str">
        <f t="shared" si="2"/>
        <v/>
      </c>
    </row>
    <row r="1727">
      <c r="B1727" s="16"/>
      <c r="C1727" s="12"/>
      <c r="D1727" s="12"/>
      <c r="E1727" s="12"/>
      <c r="F1727" s="12"/>
      <c r="G1727" s="25"/>
      <c r="H1727" s="12"/>
      <c r="I1727" s="31"/>
      <c r="J1727" s="12"/>
      <c r="K1727" s="12"/>
      <c r="L1727" s="16"/>
      <c r="M1727" s="46"/>
      <c r="N1727" s="46"/>
      <c r="O1727" s="31"/>
      <c r="P1727" s="16"/>
      <c r="Q1727" s="16"/>
      <c r="R1727" s="16" t="str">
        <f t="shared" si="2"/>
        <v/>
      </c>
    </row>
    <row r="1728">
      <c r="B1728" s="16"/>
      <c r="C1728" s="12"/>
      <c r="D1728" s="12"/>
      <c r="E1728" s="12"/>
      <c r="F1728" s="12"/>
      <c r="G1728" s="25"/>
      <c r="H1728" s="12"/>
      <c r="I1728" s="31"/>
      <c r="J1728" s="12"/>
      <c r="K1728" s="12"/>
      <c r="L1728" s="16"/>
      <c r="M1728" s="46"/>
      <c r="N1728" s="46"/>
      <c r="O1728" s="31"/>
      <c r="P1728" s="16"/>
      <c r="Q1728" s="16"/>
      <c r="R1728" s="16" t="str">
        <f t="shared" si="2"/>
        <v/>
      </c>
    </row>
    <row r="1729">
      <c r="B1729" s="16"/>
      <c r="C1729" s="12"/>
      <c r="D1729" s="12"/>
      <c r="E1729" s="12"/>
      <c r="F1729" s="12"/>
      <c r="G1729" s="25"/>
      <c r="H1729" s="12"/>
      <c r="I1729" s="31"/>
      <c r="J1729" s="12"/>
      <c r="K1729" s="12"/>
      <c r="L1729" s="16"/>
      <c r="M1729" s="46"/>
      <c r="N1729" s="46"/>
      <c r="O1729" s="31"/>
      <c r="P1729" s="16"/>
      <c r="Q1729" s="16"/>
      <c r="R1729" s="16" t="str">
        <f t="shared" si="2"/>
        <v/>
      </c>
    </row>
    <row r="1730">
      <c r="B1730" s="16"/>
      <c r="C1730" s="12"/>
      <c r="D1730" s="12"/>
      <c r="E1730" s="12"/>
      <c r="F1730" s="12"/>
      <c r="G1730" s="25"/>
      <c r="H1730" s="12"/>
      <c r="I1730" s="31"/>
      <c r="J1730" s="12"/>
      <c r="K1730" s="12"/>
      <c r="L1730" s="16"/>
      <c r="M1730" s="46"/>
      <c r="N1730" s="46"/>
      <c r="O1730" s="31"/>
      <c r="P1730" s="16"/>
      <c r="Q1730" s="16"/>
      <c r="R1730" s="16" t="str">
        <f t="shared" si="2"/>
        <v/>
      </c>
    </row>
    <row r="1731">
      <c r="B1731" s="16"/>
      <c r="C1731" s="12"/>
      <c r="D1731" s="12"/>
      <c r="E1731" s="12"/>
      <c r="F1731" s="12"/>
      <c r="G1731" s="25"/>
      <c r="H1731" s="12"/>
      <c r="I1731" s="31"/>
      <c r="J1731" s="12"/>
      <c r="K1731" s="12"/>
      <c r="L1731" s="16"/>
      <c r="M1731" s="46"/>
      <c r="N1731" s="46"/>
      <c r="O1731" s="31"/>
      <c r="P1731" s="16"/>
      <c r="Q1731" s="16"/>
      <c r="R1731" s="16" t="str">
        <f t="shared" si="2"/>
        <v/>
      </c>
    </row>
    <row r="1732">
      <c r="B1732" s="16"/>
      <c r="C1732" s="12"/>
      <c r="D1732" s="12"/>
      <c r="E1732" s="12"/>
      <c r="F1732" s="12"/>
      <c r="G1732" s="25"/>
      <c r="H1732" s="12"/>
      <c r="I1732" s="31"/>
      <c r="J1732" s="12"/>
      <c r="K1732" s="12"/>
      <c r="L1732" s="16"/>
      <c r="M1732" s="46"/>
      <c r="N1732" s="46"/>
      <c r="O1732" s="31"/>
      <c r="P1732" s="16"/>
      <c r="Q1732" s="16"/>
      <c r="R1732" s="16" t="str">
        <f t="shared" si="2"/>
        <v/>
      </c>
    </row>
    <row r="1733">
      <c r="B1733" s="16"/>
      <c r="C1733" s="12"/>
      <c r="D1733" s="12"/>
      <c r="E1733" s="12"/>
      <c r="F1733" s="12"/>
      <c r="G1733" s="25"/>
      <c r="H1733" s="12"/>
      <c r="I1733" s="31"/>
      <c r="J1733" s="12"/>
      <c r="K1733" s="12"/>
      <c r="L1733" s="16"/>
      <c r="M1733" s="46"/>
      <c r="N1733" s="46"/>
      <c r="O1733" s="31"/>
      <c r="P1733" s="16"/>
      <c r="Q1733" s="16"/>
      <c r="R1733" s="16" t="str">
        <f t="shared" si="2"/>
        <v/>
      </c>
    </row>
    <row r="1734">
      <c r="B1734" s="16"/>
      <c r="C1734" s="12"/>
      <c r="D1734" s="12"/>
      <c r="E1734" s="12"/>
      <c r="F1734" s="12"/>
      <c r="G1734" s="25"/>
      <c r="H1734" s="12"/>
      <c r="I1734" s="31"/>
      <c r="J1734" s="12"/>
      <c r="K1734" s="12"/>
      <c r="L1734" s="16"/>
      <c r="M1734" s="46"/>
      <c r="N1734" s="46"/>
      <c r="O1734" s="31"/>
      <c r="P1734" s="16"/>
      <c r="Q1734" s="16"/>
      <c r="R1734" s="16" t="str">
        <f t="shared" si="2"/>
        <v/>
      </c>
    </row>
    <row r="1735">
      <c r="B1735" s="16"/>
      <c r="C1735" s="12"/>
      <c r="D1735" s="12"/>
      <c r="E1735" s="12"/>
      <c r="F1735" s="12"/>
      <c r="G1735" s="25"/>
      <c r="H1735" s="12"/>
      <c r="I1735" s="31"/>
      <c r="J1735" s="12"/>
      <c r="K1735" s="12"/>
      <c r="L1735" s="16"/>
      <c r="M1735" s="46"/>
      <c r="N1735" s="46"/>
      <c r="O1735" s="31"/>
      <c r="P1735" s="16"/>
      <c r="Q1735" s="16"/>
      <c r="R1735" s="16" t="str">
        <f t="shared" si="2"/>
        <v/>
      </c>
    </row>
    <row r="1736">
      <c r="B1736" s="16"/>
      <c r="C1736" s="12"/>
      <c r="D1736" s="12"/>
      <c r="E1736" s="12"/>
      <c r="F1736" s="12"/>
      <c r="G1736" s="25"/>
      <c r="H1736" s="12"/>
      <c r="I1736" s="31"/>
      <c r="J1736" s="12"/>
      <c r="K1736" s="12"/>
      <c r="L1736" s="16"/>
      <c r="M1736" s="46"/>
      <c r="N1736" s="46"/>
      <c r="O1736" s="31"/>
      <c r="P1736" s="16"/>
      <c r="Q1736" s="16"/>
      <c r="R1736" s="16" t="str">
        <f t="shared" si="2"/>
        <v/>
      </c>
    </row>
    <row r="1737">
      <c r="B1737" s="16"/>
      <c r="C1737" s="12"/>
      <c r="D1737" s="12"/>
      <c r="E1737" s="12"/>
      <c r="F1737" s="12"/>
      <c r="G1737" s="25"/>
      <c r="H1737" s="12"/>
      <c r="I1737" s="31"/>
      <c r="J1737" s="12"/>
      <c r="K1737" s="12"/>
      <c r="L1737" s="16"/>
      <c r="M1737" s="46"/>
      <c r="N1737" s="46"/>
      <c r="O1737" s="31"/>
      <c r="P1737" s="16"/>
      <c r="Q1737" s="16"/>
      <c r="R1737" s="16" t="str">
        <f t="shared" si="2"/>
        <v/>
      </c>
    </row>
    <row r="1738">
      <c r="B1738" s="16"/>
      <c r="C1738" s="12"/>
      <c r="D1738" s="12"/>
      <c r="E1738" s="12"/>
      <c r="F1738" s="12"/>
      <c r="G1738" s="25"/>
      <c r="H1738" s="12"/>
      <c r="I1738" s="31"/>
      <c r="J1738" s="12"/>
      <c r="K1738" s="12"/>
      <c r="L1738" s="16"/>
      <c r="M1738" s="46"/>
      <c r="N1738" s="46"/>
      <c r="O1738" s="31"/>
      <c r="P1738" s="16"/>
      <c r="Q1738" s="16"/>
      <c r="R1738" s="16" t="str">
        <f t="shared" si="2"/>
        <v/>
      </c>
    </row>
    <row r="1739">
      <c r="B1739" s="16"/>
      <c r="C1739" s="12"/>
      <c r="D1739" s="12"/>
      <c r="E1739" s="12"/>
      <c r="F1739" s="12"/>
      <c r="G1739" s="25"/>
      <c r="H1739" s="12"/>
      <c r="I1739" s="31"/>
      <c r="J1739" s="12"/>
      <c r="K1739" s="12"/>
      <c r="L1739" s="16"/>
      <c r="M1739" s="46"/>
      <c r="N1739" s="46"/>
      <c r="O1739" s="31"/>
      <c r="P1739" s="16"/>
      <c r="Q1739" s="16"/>
      <c r="R1739" s="16" t="str">
        <f t="shared" si="2"/>
        <v/>
      </c>
    </row>
    <row r="1740">
      <c r="B1740" s="16"/>
      <c r="C1740" s="12"/>
      <c r="D1740" s="12"/>
      <c r="E1740" s="12"/>
      <c r="F1740" s="12"/>
      <c r="G1740" s="25"/>
      <c r="H1740" s="12"/>
      <c r="I1740" s="31"/>
      <c r="J1740" s="12"/>
      <c r="K1740" s="12"/>
      <c r="L1740" s="16"/>
      <c r="M1740" s="46"/>
      <c r="N1740" s="46"/>
      <c r="O1740" s="31"/>
      <c r="P1740" s="16"/>
      <c r="Q1740" s="16"/>
      <c r="R1740" s="16" t="str">
        <f t="shared" si="2"/>
        <v/>
      </c>
    </row>
    <row r="1741">
      <c r="B1741" s="16"/>
      <c r="C1741" s="12"/>
      <c r="D1741" s="12"/>
      <c r="E1741" s="12"/>
      <c r="F1741" s="12"/>
      <c r="G1741" s="25"/>
      <c r="H1741" s="12"/>
      <c r="I1741" s="31"/>
      <c r="J1741" s="12"/>
      <c r="K1741" s="12"/>
      <c r="L1741" s="16"/>
      <c r="M1741" s="46"/>
      <c r="N1741" s="46"/>
      <c r="O1741" s="31"/>
      <c r="P1741" s="16"/>
      <c r="Q1741" s="16"/>
      <c r="R1741" s="16" t="str">
        <f t="shared" si="2"/>
        <v/>
      </c>
    </row>
    <row r="1742">
      <c r="B1742" s="16"/>
      <c r="C1742" s="12"/>
      <c r="D1742" s="12"/>
      <c r="E1742" s="12"/>
      <c r="F1742" s="12"/>
      <c r="G1742" s="25"/>
      <c r="H1742" s="12"/>
      <c r="I1742" s="31"/>
      <c r="J1742" s="12"/>
      <c r="K1742" s="12"/>
      <c r="L1742" s="16"/>
      <c r="M1742" s="46"/>
      <c r="N1742" s="46"/>
      <c r="O1742" s="31"/>
      <c r="P1742" s="16"/>
      <c r="Q1742" s="16"/>
      <c r="R1742" s="16" t="str">
        <f t="shared" si="2"/>
        <v/>
      </c>
    </row>
    <row r="1743">
      <c r="B1743" s="16"/>
      <c r="C1743" s="12"/>
      <c r="D1743" s="12"/>
      <c r="E1743" s="12"/>
      <c r="F1743" s="12"/>
      <c r="G1743" s="25"/>
      <c r="H1743" s="12"/>
      <c r="I1743" s="31"/>
      <c r="J1743" s="12"/>
      <c r="K1743" s="12"/>
      <c r="L1743" s="16"/>
      <c r="M1743" s="46"/>
      <c r="N1743" s="46"/>
      <c r="O1743" s="31"/>
      <c r="P1743" s="16"/>
      <c r="Q1743" s="16"/>
      <c r="R1743" s="16" t="str">
        <f t="shared" si="2"/>
        <v/>
      </c>
    </row>
    <row r="1744">
      <c r="B1744" s="16"/>
      <c r="C1744" s="12"/>
      <c r="D1744" s="12"/>
      <c r="E1744" s="12"/>
      <c r="F1744" s="12"/>
      <c r="G1744" s="25"/>
      <c r="H1744" s="12"/>
      <c r="I1744" s="31"/>
      <c r="J1744" s="12"/>
      <c r="K1744" s="12"/>
      <c r="L1744" s="16"/>
      <c r="M1744" s="46"/>
      <c r="N1744" s="46"/>
      <c r="O1744" s="31"/>
      <c r="P1744" s="16"/>
      <c r="Q1744" s="16"/>
      <c r="R1744" s="16" t="str">
        <f t="shared" si="2"/>
        <v/>
      </c>
    </row>
    <row r="1745">
      <c r="B1745" s="16"/>
      <c r="C1745" s="12"/>
      <c r="D1745" s="12"/>
      <c r="E1745" s="12"/>
      <c r="F1745" s="12"/>
      <c r="G1745" s="25"/>
      <c r="H1745" s="12"/>
      <c r="I1745" s="31"/>
      <c r="J1745" s="12"/>
      <c r="K1745" s="12"/>
      <c r="L1745" s="16"/>
      <c r="M1745" s="46"/>
      <c r="N1745" s="46"/>
      <c r="O1745" s="31"/>
      <c r="P1745" s="16"/>
      <c r="Q1745" s="16"/>
      <c r="R1745" s="16" t="str">
        <f t="shared" si="2"/>
        <v/>
      </c>
    </row>
    <row r="1746">
      <c r="B1746" s="16"/>
      <c r="C1746" s="12"/>
      <c r="D1746" s="12"/>
      <c r="E1746" s="12"/>
      <c r="F1746" s="12"/>
      <c r="G1746" s="25"/>
      <c r="H1746" s="12"/>
      <c r="I1746" s="31"/>
      <c r="J1746" s="12"/>
      <c r="K1746" s="12"/>
      <c r="L1746" s="16"/>
      <c r="M1746" s="46"/>
      <c r="N1746" s="46"/>
      <c r="O1746" s="31"/>
      <c r="P1746" s="16"/>
      <c r="Q1746" s="16"/>
      <c r="R1746" s="16" t="str">
        <f t="shared" si="2"/>
        <v/>
      </c>
    </row>
    <row r="1747">
      <c r="B1747" s="16"/>
      <c r="C1747" s="12"/>
      <c r="D1747" s="12"/>
      <c r="E1747" s="12"/>
      <c r="F1747" s="12"/>
      <c r="G1747" s="25"/>
      <c r="H1747" s="12"/>
      <c r="I1747" s="31"/>
      <c r="J1747" s="12"/>
      <c r="K1747" s="12"/>
      <c r="L1747" s="16"/>
      <c r="M1747" s="46"/>
      <c r="N1747" s="46"/>
      <c r="O1747" s="31"/>
      <c r="P1747" s="16"/>
      <c r="Q1747" s="16"/>
      <c r="R1747" s="16" t="str">
        <f t="shared" si="2"/>
        <v/>
      </c>
    </row>
    <row r="1748">
      <c r="B1748" s="16"/>
      <c r="C1748" s="12"/>
      <c r="D1748" s="12"/>
      <c r="E1748" s="12"/>
      <c r="F1748" s="12"/>
      <c r="G1748" s="25"/>
      <c r="H1748" s="12"/>
      <c r="I1748" s="31"/>
      <c r="J1748" s="12"/>
      <c r="K1748" s="12"/>
      <c r="L1748" s="16"/>
      <c r="M1748" s="46"/>
      <c r="N1748" s="46"/>
      <c r="O1748" s="31"/>
      <c r="P1748" s="16"/>
      <c r="Q1748" s="16"/>
      <c r="R1748" s="16" t="str">
        <f t="shared" si="2"/>
        <v/>
      </c>
    </row>
    <row r="1749">
      <c r="B1749" s="16"/>
      <c r="C1749" s="12"/>
      <c r="D1749" s="12"/>
      <c r="E1749" s="12"/>
      <c r="F1749" s="12"/>
      <c r="G1749" s="25"/>
      <c r="H1749" s="12"/>
      <c r="I1749" s="31"/>
      <c r="J1749" s="12"/>
      <c r="K1749" s="12"/>
      <c r="L1749" s="16"/>
      <c r="M1749" s="46"/>
      <c r="N1749" s="46"/>
      <c r="O1749" s="31"/>
      <c r="P1749" s="16"/>
      <c r="Q1749" s="16"/>
      <c r="R1749" s="16" t="str">
        <f t="shared" si="2"/>
        <v/>
      </c>
    </row>
    <row r="1750">
      <c r="B1750" s="16"/>
      <c r="C1750" s="12"/>
      <c r="D1750" s="12"/>
      <c r="E1750" s="12"/>
      <c r="F1750" s="12"/>
      <c r="G1750" s="25"/>
      <c r="H1750" s="12"/>
      <c r="I1750" s="31"/>
      <c r="J1750" s="12"/>
      <c r="K1750" s="12"/>
      <c r="L1750" s="16"/>
      <c r="M1750" s="46"/>
      <c r="N1750" s="46"/>
      <c r="O1750" s="31"/>
      <c r="P1750" s="16"/>
      <c r="Q1750" s="16"/>
      <c r="R1750" s="16" t="str">
        <f t="shared" si="2"/>
        <v/>
      </c>
    </row>
    <row r="1751">
      <c r="B1751" s="16"/>
      <c r="C1751" s="12"/>
      <c r="D1751" s="12"/>
      <c r="E1751" s="12"/>
      <c r="F1751" s="12"/>
      <c r="G1751" s="25"/>
      <c r="H1751" s="12"/>
      <c r="I1751" s="31"/>
      <c r="J1751" s="12"/>
      <c r="K1751" s="12"/>
      <c r="L1751" s="16"/>
      <c r="M1751" s="46"/>
      <c r="N1751" s="46"/>
      <c r="O1751" s="31"/>
      <c r="P1751" s="16"/>
      <c r="Q1751" s="16"/>
      <c r="R1751" s="16" t="str">
        <f t="shared" si="2"/>
        <v/>
      </c>
    </row>
    <row r="1752">
      <c r="B1752" s="16"/>
      <c r="C1752" s="12"/>
      <c r="D1752" s="12"/>
      <c r="E1752" s="12"/>
      <c r="F1752" s="12"/>
      <c r="G1752" s="25"/>
      <c r="H1752" s="12"/>
      <c r="I1752" s="31"/>
      <c r="J1752" s="12"/>
      <c r="K1752" s="12"/>
      <c r="L1752" s="16"/>
      <c r="M1752" s="46"/>
      <c r="N1752" s="46"/>
      <c r="O1752" s="31"/>
      <c r="P1752" s="16"/>
      <c r="Q1752" s="16"/>
      <c r="R1752" s="16" t="str">
        <f t="shared" si="2"/>
        <v/>
      </c>
    </row>
    <row r="1753">
      <c r="B1753" s="16"/>
      <c r="C1753" s="12"/>
      <c r="D1753" s="12"/>
      <c r="E1753" s="12"/>
      <c r="F1753" s="12"/>
      <c r="G1753" s="25"/>
      <c r="H1753" s="12"/>
      <c r="I1753" s="31"/>
      <c r="J1753" s="12"/>
      <c r="K1753" s="12"/>
      <c r="L1753" s="16"/>
      <c r="M1753" s="46"/>
      <c r="N1753" s="46"/>
      <c r="O1753" s="31"/>
      <c r="P1753" s="16"/>
      <c r="Q1753" s="16"/>
      <c r="R1753" s="16" t="str">
        <f t="shared" si="2"/>
        <v/>
      </c>
    </row>
    <row r="1754">
      <c r="B1754" s="16"/>
      <c r="C1754" s="12"/>
      <c r="D1754" s="12"/>
      <c r="E1754" s="12"/>
      <c r="F1754" s="12"/>
      <c r="G1754" s="25"/>
      <c r="H1754" s="12"/>
      <c r="I1754" s="31"/>
      <c r="J1754" s="12"/>
      <c r="K1754" s="12"/>
      <c r="L1754" s="16"/>
      <c r="M1754" s="46"/>
      <c r="N1754" s="46"/>
      <c r="O1754" s="31"/>
      <c r="P1754" s="16"/>
      <c r="Q1754" s="16"/>
      <c r="R1754" s="16" t="str">
        <f t="shared" si="2"/>
        <v/>
      </c>
    </row>
    <row r="1755">
      <c r="B1755" s="16"/>
      <c r="C1755" s="12"/>
      <c r="D1755" s="12"/>
      <c r="E1755" s="12"/>
      <c r="F1755" s="12"/>
      <c r="G1755" s="25"/>
      <c r="H1755" s="12"/>
      <c r="I1755" s="31"/>
      <c r="J1755" s="12"/>
      <c r="K1755" s="12"/>
      <c r="L1755" s="16"/>
      <c r="M1755" s="46"/>
      <c r="N1755" s="46"/>
      <c r="O1755" s="31"/>
      <c r="P1755" s="16"/>
      <c r="Q1755" s="16"/>
      <c r="R1755" s="16" t="str">
        <f t="shared" si="2"/>
        <v/>
      </c>
    </row>
    <row r="1756">
      <c r="B1756" s="16"/>
      <c r="C1756" s="12"/>
      <c r="D1756" s="12"/>
      <c r="E1756" s="12"/>
      <c r="F1756" s="12"/>
      <c r="G1756" s="25"/>
      <c r="H1756" s="12"/>
      <c r="I1756" s="31"/>
      <c r="J1756" s="12"/>
      <c r="K1756" s="12"/>
      <c r="L1756" s="16"/>
      <c r="M1756" s="46"/>
      <c r="N1756" s="46"/>
      <c r="O1756" s="31"/>
      <c r="P1756" s="16"/>
      <c r="Q1756" s="16"/>
      <c r="R1756" s="16" t="str">
        <f t="shared" si="2"/>
        <v/>
      </c>
    </row>
    <row r="1757">
      <c r="B1757" s="16"/>
      <c r="C1757" s="12"/>
      <c r="D1757" s="12"/>
      <c r="E1757" s="12"/>
      <c r="F1757" s="12"/>
      <c r="G1757" s="25"/>
      <c r="H1757" s="12"/>
      <c r="I1757" s="31"/>
      <c r="J1757" s="12"/>
      <c r="K1757" s="12"/>
      <c r="L1757" s="16"/>
      <c r="M1757" s="46"/>
      <c r="N1757" s="46"/>
      <c r="O1757" s="31"/>
      <c r="P1757" s="16"/>
      <c r="Q1757" s="16"/>
      <c r="R1757" s="16" t="str">
        <f t="shared" si="2"/>
        <v/>
      </c>
    </row>
    <row r="1758">
      <c r="B1758" s="16"/>
      <c r="C1758" s="12"/>
      <c r="D1758" s="12"/>
      <c r="E1758" s="12"/>
      <c r="F1758" s="12"/>
      <c r="G1758" s="25"/>
      <c r="H1758" s="12"/>
      <c r="I1758" s="31"/>
      <c r="J1758" s="12"/>
      <c r="K1758" s="12"/>
      <c r="L1758" s="16"/>
      <c r="M1758" s="46"/>
      <c r="N1758" s="46"/>
      <c r="O1758" s="31"/>
      <c r="P1758" s="16"/>
      <c r="Q1758" s="16"/>
      <c r="R1758" s="16" t="str">
        <f t="shared" si="2"/>
        <v/>
      </c>
    </row>
    <row r="1759">
      <c r="B1759" s="16"/>
      <c r="C1759" s="12"/>
      <c r="D1759" s="12"/>
      <c r="E1759" s="12"/>
      <c r="F1759" s="12"/>
      <c r="G1759" s="25"/>
      <c r="H1759" s="12"/>
      <c r="I1759" s="31"/>
      <c r="J1759" s="12"/>
      <c r="K1759" s="12"/>
      <c r="L1759" s="16"/>
      <c r="M1759" s="46"/>
      <c r="N1759" s="46"/>
      <c r="O1759" s="31"/>
      <c r="P1759" s="16"/>
      <c r="Q1759" s="16"/>
      <c r="R1759" s="16" t="str">
        <f t="shared" si="2"/>
        <v/>
      </c>
    </row>
    <row r="1760">
      <c r="B1760" s="16"/>
      <c r="C1760" s="12"/>
      <c r="D1760" s="12"/>
      <c r="E1760" s="12"/>
      <c r="F1760" s="12"/>
      <c r="G1760" s="25"/>
      <c r="H1760" s="12"/>
      <c r="I1760" s="31"/>
      <c r="J1760" s="12"/>
      <c r="K1760" s="12"/>
      <c r="L1760" s="16"/>
      <c r="M1760" s="46"/>
      <c r="N1760" s="46"/>
      <c r="O1760" s="31"/>
      <c r="P1760" s="16"/>
      <c r="Q1760" s="16"/>
      <c r="R1760" s="16" t="str">
        <f t="shared" si="2"/>
        <v/>
      </c>
    </row>
    <row r="1761">
      <c r="B1761" s="16"/>
      <c r="C1761" s="12"/>
      <c r="D1761" s="12"/>
      <c r="E1761" s="12"/>
      <c r="F1761" s="12"/>
      <c r="G1761" s="25"/>
      <c r="H1761" s="12"/>
      <c r="I1761" s="31"/>
      <c r="J1761" s="12"/>
      <c r="K1761" s="12"/>
      <c r="L1761" s="16"/>
      <c r="M1761" s="46"/>
      <c r="N1761" s="46"/>
      <c r="O1761" s="31"/>
      <c r="P1761" s="16"/>
      <c r="Q1761" s="16"/>
      <c r="R1761" s="16" t="str">
        <f t="shared" si="2"/>
        <v/>
      </c>
    </row>
    <row r="1762">
      <c r="B1762" s="16"/>
      <c r="C1762" s="12"/>
      <c r="D1762" s="12"/>
      <c r="E1762" s="12"/>
      <c r="F1762" s="12"/>
      <c r="G1762" s="25"/>
      <c r="H1762" s="12"/>
      <c r="I1762" s="31"/>
      <c r="J1762" s="12"/>
      <c r="K1762" s="12"/>
      <c r="L1762" s="16"/>
      <c r="M1762" s="46"/>
      <c r="N1762" s="46"/>
      <c r="O1762" s="31"/>
      <c r="P1762" s="16"/>
      <c r="Q1762" s="16"/>
      <c r="R1762" s="16" t="str">
        <f t="shared" si="2"/>
        <v/>
      </c>
    </row>
    <row r="1763">
      <c r="B1763" s="16"/>
      <c r="C1763" s="12"/>
      <c r="D1763" s="12"/>
      <c r="E1763" s="12"/>
      <c r="F1763" s="12"/>
      <c r="G1763" s="25"/>
      <c r="H1763" s="12"/>
      <c r="I1763" s="31"/>
      <c r="J1763" s="12"/>
      <c r="K1763" s="12"/>
      <c r="L1763" s="16"/>
      <c r="M1763" s="46"/>
      <c r="N1763" s="46"/>
      <c r="O1763" s="31"/>
      <c r="P1763" s="16"/>
      <c r="Q1763" s="16"/>
      <c r="R1763" s="16" t="str">
        <f t="shared" si="2"/>
        <v/>
      </c>
    </row>
    <row r="1764">
      <c r="B1764" s="16"/>
      <c r="C1764" s="12"/>
      <c r="D1764" s="12"/>
      <c r="E1764" s="12"/>
      <c r="F1764" s="12"/>
      <c r="G1764" s="25"/>
      <c r="H1764" s="12"/>
      <c r="I1764" s="31"/>
      <c r="J1764" s="12"/>
      <c r="K1764" s="12"/>
      <c r="L1764" s="16"/>
      <c r="M1764" s="46"/>
      <c r="N1764" s="46"/>
      <c r="O1764" s="31"/>
      <c r="P1764" s="16"/>
      <c r="Q1764" s="16"/>
      <c r="R1764" s="16" t="str">
        <f t="shared" si="2"/>
        <v/>
      </c>
    </row>
    <row r="1765">
      <c r="B1765" s="16"/>
      <c r="C1765" s="12"/>
      <c r="D1765" s="12"/>
      <c r="E1765" s="12"/>
      <c r="F1765" s="12"/>
      <c r="G1765" s="25"/>
      <c r="H1765" s="12"/>
      <c r="I1765" s="31"/>
      <c r="J1765" s="12"/>
      <c r="K1765" s="12"/>
      <c r="L1765" s="16"/>
      <c r="M1765" s="46"/>
      <c r="N1765" s="46"/>
      <c r="O1765" s="31"/>
      <c r="P1765" s="16"/>
      <c r="Q1765" s="16"/>
      <c r="R1765" s="16" t="str">
        <f t="shared" si="2"/>
        <v/>
      </c>
    </row>
    <row r="1766">
      <c r="B1766" s="16"/>
      <c r="C1766" s="12"/>
      <c r="D1766" s="12"/>
      <c r="E1766" s="12"/>
      <c r="F1766" s="12"/>
      <c r="G1766" s="25"/>
      <c r="H1766" s="12"/>
      <c r="I1766" s="31"/>
      <c r="J1766" s="12"/>
      <c r="K1766" s="12"/>
      <c r="L1766" s="16"/>
      <c r="M1766" s="46"/>
      <c r="N1766" s="46"/>
      <c r="O1766" s="31"/>
      <c r="P1766" s="16"/>
      <c r="Q1766" s="16"/>
      <c r="R1766" s="16" t="str">
        <f t="shared" si="2"/>
        <v/>
      </c>
    </row>
    <row r="1767">
      <c r="B1767" s="16"/>
      <c r="C1767" s="12"/>
      <c r="D1767" s="12"/>
      <c r="E1767" s="12"/>
      <c r="F1767" s="12"/>
      <c r="G1767" s="25"/>
      <c r="H1767" s="12"/>
      <c r="I1767" s="31"/>
      <c r="J1767" s="12"/>
      <c r="K1767" s="12"/>
      <c r="L1767" s="16"/>
      <c r="M1767" s="46"/>
      <c r="N1767" s="46"/>
      <c r="O1767" s="31"/>
      <c r="P1767" s="16"/>
      <c r="Q1767" s="16"/>
      <c r="R1767" s="16" t="str">
        <f t="shared" si="2"/>
        <v/>
      </c>
    </row>
    <row r="1768">
      <c r="B1768" s="16"/>
      <c r="C1768" s="12"/>
      <c r="D1768" s="12"/>
      <c r="E1768" s="12"/>
      <c r="F1768" s="12"/>
      <c r="G1768" s="25"/>
      <c r="H1768" s="12"/>
      <c r="I1768" s="31"/>
      <c r="J1768" s="12"/>
      <c r="K1768" s="12"/>
      <c r="L1768" s="16"/>
      <c r="M1768" s="46"/>
      <c r="N1768" s="46"/>
      <c r="O1768" s="31"/>
      <c r="P1768" s="16"/>
      <c r="Q1768" s="16"/>
      <c r="R1768" s="16" t="str">
        <f t="shared" si="2"/>
        <v/>
      </c>
    </row>
    <row r="1769">
      <c r="B1769" s="16"/>
      <c r="C1769" s="12"/>
      <c r="D1769" s="12"/>
      <c r="E1769" s="12"/>
      <c r="F1769" s="12"/>
      <c r="G1769" s="25"/>
      <c r="H1769" s="12"/>
      <c r="I1769" s="31"/>
      <c r="J1769" s="12"/>
      <c r="K1769" s="12"/>
      <c r="L1769" s="16"/>
      <c r="M1769" s="46"/>
      <c r="N1769" s="46"/>
      <c r="O1769" s="31"/>
      <c r="P1769" s="16"/>
      <c r="Q1769" s="16"/>
      <c r="R1769" s="16" t="str">
        <f t="shared" si="2"/>
        <v/>
      </c>
    </row>
    <row r="1770">
      <c r="B1770" s="16"/>
      <c r="C1770" s="12"/>
      <c r="D1770" s="12"/>
      <c r="E1770" s="12"/>
      <c r="F1770" s="12"/>
      <c r="G1770" s="25"/>
      <c r="H1770" s="12"/>
      <c r="I1770" s="31"/>
      <c r="J1770" s="12"/>
      <c r="K1770" s="12"/>
      <c r="L1770" s="16"/>
      <c r="M1770" s="46"/>
      <c r="N1770" s="46"/>
      <c r="O1770" s="31"/>
      <c r="P1770" s="16"/>
      <c r="Q1770" s="16"/>
      <c r="R1770" s="16" t="str">
        <f t="shared" si="2"/>
        <v/>
      </c>
    </row>
    <row r="1771">
      <c r="B1771" s="16"/>
      <c r="C1771" s="12"/>
      <c r="D1771" s="12"/>
      <c r="E1771" s="12"/>
      <c r="F1771" s="12"/>
      <c r="G1771" s="25"/>
      <c r="H1771" s="12"/>
      <c r="I1771" s="31"/>
      <c r="J1771" s="12"/>
      <c r="K1771" s="12"/>
      <c r="L1771" s="16"/>
      <c r="M1771" s="46"/>
      <c r="N1771" s="46"/>
      <c r="O1771" s="31"/>
      <c r="P1771" s="16"/>
      <c r="Q1771" s="16"/>
      <c r="R1771" s="16" t="str">
        <f t="shared" si="2"/>
        <v/>
      </c>
    </row>
    <row r="1772">
      <c r="B1772" s="16"/>
      <c r="C1772" s="12"/>
      <c r="D1772" s="12"/>
      <c r="E1772" s="12"/>
      <c r="F1772" s="12"/>
      <c r="G1772" s="25"/>
      <c r="H1772" s="12"/>
      <c r="I1772" s="31"/>
      <c r="J1772" s="12"/>
      <c r="K1772" s="12"/>
      <c r="L1772" s="16"/>
      <c r="M1772" s="46"/>
      <c r="N1772" s="46"/>
      <c r="O1772" s="31"/>
      <c r="P1772" s="16"/>
      <c r="Q1772" s="16"/>
      <c r="R1772" s="16" t="str">
        <f t="shared" si="2"/>
        <v/>
      </c>
    </row>
    <row r="1773">
      <c r="B1773" s="16"/>
      <c r="C1773" s="12"/>
      <c r="D1773" s="12"/>
      <c r="E1773" s="12"/>
      <c r="F1773" s="12"/>
      <c r="G1773" s="25"/>
      <c r="H1773" s="12"/>
      <c r="I1773" s="31"/>
      <c r="J1773" s="12"/>
      <c r="K1773" s="12"/>
      <c r="L1773" s="16"/>
      <c r="M1773" s="46"/>
      <c r="N1773" s="46"/>
      <c r="O1773" s="31"/>
      <c r="P1773" s="16"/>
      <c r="Q1773" s="16"/>
      <c r="R1773" s="16" t="str">
        <f t="shared" si="2"/>
        <v/>
      </c>
    </row>
    <row r="1774">
      <c r="B1774" s="16"/>
      <c r="C1774" s="12"/>
      <c r="D1774" s="12"/>
      <c r="E1774" s="12"/>
      <c r="F1774" s="12"/>
      <c r="G1774" s="25"/>
      <c r="H1774" s="12"/>
      <c r="I1774" s="31"/>
      <c r="J1774" s="12"/>
      <c r="K1774" s="12"/>
      <c r="L1774" s="16"/>
      <c r="M1774" s="46"/>
      <c r="N1774" s="46"/>
      <c r="O1774" s="31"/>
      <c r="P1774" s="16"/>
      <c r="Q1774" s="16"/>
      <c r="R1774" s="16" t="str">
        <f t="shared" si="2"/>
        <v/>
      </c>
    </row>
    <row r="1775">
      <c r="B1775" s="16"/>
      <c r="C1775" s="12"/>
      <c r="D1775" s="12"/>
      <c r="E1775" s="12"/>
      <c r="F1775" s="12"/>
      <c r="G1775" s="25"/>
      <c r="H1775" s="12"/>
      <c r="I1775" s="31"/>
      <c r="J1775" s="12"/>
      <c r="K1775" s="12"/>
      <c r="L1775" s="16"/>
      <c r="M1775" s="46"/>
      <c r="N1775" s="46"/>
      <c r="O1775" s="31"/>
      <c r="P1775" s="16"/>
      <c r="Q1775" s="16"/>
      <c r="R1775" s="16" t="str">
        <f t="shared" si="2"/>
        <v/>
      </c>
    </row>
    <row r="1776">
      <c r="B1776" s="16"/>
      <c r="C1776" s="12"/>
      <c r="D1776" s="12"/>
      <c r="E1776" s="12"/>
      <c r="F1776" s="12"/>
      <c r="G1776" s="25"/>
      <c r="H1776" s="12"/>
      <c r="I1776" s="31"/>
      <c r="J1776" s="12"/>
      <c r="K1776" s="12"/>
      <c r="L1776" s="16"/>
      <c r="M1776" s="46"/>
      <c r="N1776" s="46"/>
      <c r="O1776" s="31"/>
      <c r="P1776" s="16"/>
      <c r="Q1776" s="16"/>
      <c r="R1776" s="16" t="str">
        <f t="shared" si="2"/>
        <v/>
      </c>
    </row>
    <row r="1777">
      <c r="B1777" s="16"/>
      <c r="C1777" s="12"/>
      <c r="D1777" s="12"/>
      <c r="E1777" s="12"/>
      <c r="F1777" s="12"/>
      <c r="G1777" s="25"/>
      <c r="H1777" s="12"/>
      <c r="I1777" s="31"/>
      <c r="J1777" s="12"/>
      <c r="K1777" s="12"/>
      <c r="L1777" s="16"/>
      <c r="M1777" s="46"/>
      <c r="N1777" s="46"/>
      <c r="O1777" s="31"/>
      <c r="P1777" s="16"/>
      <c r="Q1777" s="16"/>
      <c r="R1777" s="16" t="str">
        <f t="shared" si="2"/>
        <v/>
      </c>
    </row>
    <row r="1778">
      <c r="B1778" s="16"/>
      <c r="C1778" s="12"/>
      <c r="D1778" s="12"/>
      <c r="E1778" s="12"/>
      <c r="F1778" s="12"/>
      <c r="G1778" s="25"/>
      <c r="H1778" s="12"/>
      <c r="I1778" s="31"/>
      <c r="J1778" s="12"/>
      <c r="K1778" s="12"/>
      <c r="L1778" s="16"/>
      <c r="M1778" s="46"/>
      <c r="N1778" s="46"/>
      <c r="O1778" s="31"/>
      <c r="P1778" s="16"/>
      <c r="Q1778" s="16"/>
      <c r="R1778" s="16" t="str">
        <f t="shared" si="2"/>
        <v/>
      </c>
    </row>
    <row r="1779">
      <c r="B1779" s="16"/>
      <c r="C1779" s="12"/>
      <c r="D1779" s="12"/>
      <c r="E1779" s="12"/>
      <c r="F1779" s="12"/>
      <c r="G1779" s="25"/>
      <c r="H1779" s="12"/>
      <c r="I1779" s="31"/>
      <c r="J1779" s="12"/>
      <c r="K1779" s="12"/>
      <c r="L1779" s="16"/>
      <c r="M1779" s="46"/>
      <c r="N1779" s="46"/>
      <c r="O1779" s="31"/>
      <c r="P1779" s="16"/>
      <c r="Q1779" s="16"/>
      <c r="R1779" s="16" t="str">
        <f t="shared" si="2"/>
        <v/>
      </c>
    </row>
    <row r="1780">
      <c r="B1780" s="16"/>
      <c r="C1780" s="12"/>
      <c r="D1780" s="12"/>
      <c r="E1780" s="12"/>
      <c r="F1780" s="12"/>
      <c r="G1780" s="25"/>
      <c r="H1780" s="12"/>
      <c r="I1780" s="31"/>
      <c r="J1780" s="12"/>
      <c r="K1780" s="12"/>
      <c r="L1780" s="16"/>
      <c r="M1780" s="46"/>
      <c r="N1780" s="46"/>
      <c r="O1780" s="31"/>
      <c r="P1780" s="16"/>
      <c r="Q1780" s="16"/>
      <c r="R1780" s="16" t="str">
        <f t="shared" si="2"/>
        <v/>
      </c>
    </row>
    <row r="1781">
      <c r="B1781" s="16"/>
      <c r="C1781" s="12"/>
      <c r="D1781" s="12"/>
      <c r="E1781" s="12"/>
      <c r="F1781" s="12"/>
      <c r="G1781" s="25"/>
      <c r="H1781" s="12"/>
      <c r="I1781" s="31"/>
      <c r="J1781" s="12"/>
      <c r="K1781" s="12"/>
      <c r="L1781" s="16"/>
      <c r="M1781" s="46"/>
      <c r="N1781" s="46"/>
      <c r="O1781" s="31"/>
      <c r="P1781" s="16"/>
      <c r="Q1781" s="16"/>
      <c r="R1781" s="16" t="str">
        <f t="shared" si="2"/>
        <v/>
      </c>
    </row>
    <row r="1782">
      <c r="B1782" s="16"/>
      <c r="C1782" s="12"/>
      <c r="D1782" s="12"/>
      <c r="E1782" s="12"/>
      <c r="F1782" s="12"/>
      <c r="G1782" s="25"/>
      <c r="H1782" s="12"/>
      <c r="I1782" s="31"/>
      <c r="J1782" s="12"/>
      <c r="K1782" s="12"/>
      <c r="L1782" s="16"/>
      <c r="M1782" s="46"/>
      <c r="N1782" s="46"/>
      <c r="O1782" s="31"/>
      <c r="P1782" s="16"/>
      <c r="Q1782" s="16"/>
      <c r="R1782" s="16" t="str">
        <f t="shared" si="2"/>
        <v/>
      </c>
    </row>
    <row r="1783">
      <c r="B1783" s="16"/>
      <c r="C1783" s="12"/>
      <c r="D1783" s="12"/>
      <c r="E1783" s="12"/>
      <c r="F1783" s="12"/>
      <c r="G1783" s="25"/>
      <c r="H1783" s="12"/>
      <c r="I1783" s="31"/>
      <c r="J1783" s="12"/>
      <c r="K1783" s="12"/>
      <c r="L1783" s="16"/>
      <c r="M1783" s="46"/>
      <c r="N1783" s="46"/>
      <c r="O1783" s="31"/>
      <c r="P1783" s="16"/>
      <c r="Q1783" s="16"/>
      <c r="R1783" s="16" t="str">
        <f t="shared" si="2"/>
        <v/>
      </c>
    </row>
    <row r="1784">
      <c r="B1784" s="16"/>
      <c r="C1784" s="12"/>
      <c r="D1784" s="12"/>
      <c r="E1784" s="12"/>
      <c r="F1784" s="12"/>
      <c r="G1784" s="25"/>
      <c r="H1784" s="12"/>
      <c r="I1784" s="31"/>
      <c r="J1784" s="12"/>
      <c r="K1784" s="12"/>
      <c r="L1784" s="16"/>
      <c r="M1784" s="46"/>
      <c r="N1784" s="46"/>
      <c r="O1784" s="31"/>
      <c r="P1784" s="16"/>
      <c r="Q1784" s="16"/>
      <c r="R1784" s="16" t="str">
        <f t="shared" si="2"/>
        <v/>
      </c>
    </row>
    <row r="1785">
      <c r="B1785" s="16"/>
      <c r="C1785" s="12"/>
      <c r="D1785" s="12"/>
      <c r="E1785" s="12"/>
      <c r="F1785" s="12"/>
      <c r="G1785" s="25"/>
      <c r="H1785" s="12"/>
      <c r="I1785" s="31"/>
      <c r="J1785" s="12"/>
      <c r="K1785" s="12"/>
      <c r="L1785" s="16"/>
      <c r="M1785" s="46"/>
      <c r="N1785" s="46"/>
      <c r="O1785" s="31"/>
      <c r="P1785" s="16"/>
      <c r="Q1785" s="16"/>
      <c r="R1785" s="16" t="str">
        <f t="shared" si="2"/>
        <v/>
      </c>
    </row>
    <row r="1786">
      <c r="B1786" s="16"/>
      <c r="C1786" s="12"/>
      <c r="D1786" s="12"/>
      <c r="E1786" s="12"/>
      <c r="F1786" s="12"/>
      <c r="G1786" s="25"/>
      <c r="H1786" s="12"/>
      <c r="I1786" s="31"/>
      <c r="J1786" s="12"/>
      <c r="K1786" s="12"/>
      <c r="L1786" s="16"/>
      <c r="M1786" s="46"/>
      <c r="N1786" s="46"/>
      <c r="O1786" s="31"/>
      <c r="P1786" s="16"/>
      <c r="Q1786" s="16"/>
      <c r="R1786" s="16" t="str">
        <f t="shared" si="2"/>
        <v/>
      </c>
    </row>
    <row r="1787">
      <c r="B1787" s="16"/>
      <c r="C1787" s="12"/>
      <c r="D1787" s="12"/>
      <c r="E1787" s="12"/>
      <c r="F1787" s="12"/>
      <c r="G1787" s="25"/>
      <c r="H1787" s="12"/>
      <c r="I1787" s="31"/>
      <c r="J1787" s="12"/>
      <c r="K1787" s="12"/>
      <c r="L1787" s="16"/>
      <c r="M1787" s="46"/>
      <c r="N1787" s="46"/>
      <c r="O1787" s="31"/>
      <c r="P1787" s="16"/>
      <c r="Q1787" s="16"/>
      <c r="R1787" s="16" t="str">
        <f t="shared" si="2"/>
        <v/>
      </c>
    </row>
    <row r="1788">
      <c r="B1788" s="16"/>
      <c r="C1788" s="12"/>
      <c r="D1788" s="12"/>
      <c r="E1788" s="12"/>
      <c r="F1788" s="12"/>
      <c r="G1788" s="25"/>
      <c r="H1788" s="12"/>
      <c r="I1788" s="31"/>
      <c r="J1788" s="12"/>
      <c r="K1788" s="12"/>
      <c r="L1788" s="16"/>
      <c r="M1788" s="46"/>
      <c r="N1788" s="46"/>
      <c r="O1788" s="31"/>
      <c r="P1788" s="16"/>
      <c r="Q1788" s="16"/>
      <c r="R1788" s="16" t="str">
        <f t="shared" si="2"/>
        <v/>
      </c>
    </row>
    <row r="1789">
      <c r="B1789" s="16"/>
      <c r="C1789" s="12"/>
      <c r="D1789" s="12"/>
      <c r="E1789" s="12"/>
      <c r="F1789" s="12"/>
      <c r="G1789" s="25"/>
      <c r="H1789" s="12"/>
      <c r="I1789" s="31"/>
      <c r="J1789" s="12"/>
      <c r="K1789" s="12"/>
      <c r="L1789" s="16"/>
      <c r="M1789" s="46"/>
      <c r="N1789" s="46"/>
      <c r="O1789" s="31"/>
      <c r="P1789" s="16"/>
      <c r="Q1789" s="16"/>
      <c r="R1789" s="16" t="str">
        <f t="shared" si="2"/>
        <v/>
      </c>
    </row>
    <row r="1790">
      <c r="B1790" s="16"/>
      <c r="C1790" s="12"/>
      <c r="D1790" s="12"/>
      <c r="E1790" s="12"/>
      <c r="F1790" s="12"/>
      <c r="G1790" s="25"/>
      <c r="H1790" s="12"/>
      <c r="I1790" s="31"/>
      <c r="J1790" s="12"/>
      <c r="K1790" s="12"/>
      <c r="L1790" s="16"/>
      <c r="M1790" s="46"/>
      <c r="N1790" s="46"/>
      <c r="O1790" s="31"/>
      <c r="P1790" s="16"/>
      <c r="Q1790" s="16"/>
      <c r="R1790" s="16" t="str">
        <f t="shared" si="2"/>
        <v/>
      </c>
    </row>
    <row r="1791">
      <c r="B1791" s="16"/>
      <c r="C1791" s="12"/>
      <c r="D1791" s="12"/>
      <c r="E1791" s="12"/>
      <c r="F1791" s="12"/>
      <c r="G1791" s="25"/>
      <c r="H1791" s="12"/>
      <c r="I1791" s="31"/>
      <c r="J1791" s="12"/>
      <c r="K1791" s="12"/>
      <c r="L1791" s="16"/>
      <c r="M1791" s="46"/>
      <c r="N1791" s="46"/>
      <c r="O1791" s="31"/>
      <c r="P1791" s="16"/>
      <c r="Q1791" s="16"/>
      <c r="R1791" s="16" t="str">
        <f t="shared" si="2"/>
        <v/>
      </c>
    </row>
    <row r="1792">
      <c r="B1792" s="16"/>
      <c r="C1792" s="12"/>
      <c r="D1792" s="12"/>
      <c r="E1792" s="12"/>
      <c r="F1792" s="12"/>
      <c r="G1792" s="25"/>
      <c r="H1792" s="12"/>
      <c r="I1792" s="31"/>
      <c r="J1792" s="12"/>
      <c r="K1792" s="12"/>
      <c r="L1792" s="16"/>
      <c r="M1792" s="46"/>
      <c r="N1792" s="46"/>
      <c r="O1792" s="31"/>
      <c r="P1792" s="16"/>
      <c r="Q1792" s="16"/>
      <c r="R1792" s="16" t="str">
        <f t="shared" si="2"/>
        <v/>
      </c>
    </row>
    <row r="1793">
      <c r="B1793" s="16"/>
      <c r="C1793" s="12"/>
      <c r="D1793" s="12"/>
      <c r="E1793" s="12"/>
      <c r="F1793" s="12"/>
      <c r="G1793" s="25"/>
      <c r="H1793" s="12"/>
      <c r="I1793" s="31"/>
      <c r="J1793" s="12"/>
      <c r="K1793" s="12"/>
      <c r="L1793" s="16"/>
      <c r="M1793" s="46"/>
      <c r="N1793" s="46"/>
      <c r="O1793" s="31"/>
      <c r="P1793" s="16"/>
      <c r="Q1793" s="16"/>
      <c r="R1793" s="16" t="str">
        <f t="shared" si="2"/>
        <v/>
      </c>
    </row>
    <row r="1794">
      <c r="B1794" s="16"/>
      <c r="C1794" s="12"/>
      <c r="D1794" s="12"/>
      <c r="E1794" s="12"/>
      <c r="F1794" s="12"/>
      <c r="G1794" s="25"/>
      <c r="H1794" s="12"/>
      <c r="I1794" s="31"/>
      <c r="J1794" s="12"/>
      <c r="K1794" s="12"/>
      <c r="L1794" s="16"/>
      <c r="M1794" s="46"/>
      <c r="N1794" s="46"/>
      <c r="O1794" s="31"/>
      <c r="P1794" s="16"/>
      <c r="Q1794" s="16"/>
      <c r="R1794" s="16" t="str">
        <f t="shared" si="2"/>
        <v/>
      </c>
    </row>
    <row r="1795">
      <c r="B1795" s="16"/>
      <c r="C1795" s="12"/>
      <c r="D1795" s="12"/>
      <c r="E1795" s="12"/>
      <c r="F1795" s="12"/>
      <c r="G1795" s="25"/>
      <c r="H1795" s="12"/>
      <c r="I1795" s="31"/>
      <c r="J1795" s="12"/>
      <c r="K1795" s="12"/>
      <c r="L1795" s="16"/>
      <c r="M1795" s="46"/>
      <c r="N1795" s="46"/>
      <c r="O1795" s="31"/>
      <c r="P1795" s="16"/>
      <c r="Q1795" s="16"/>
      <c r="R1795" s="16" t="str">
        <f t="shared" si="2"/>
        <v/>
      </c>
    </row>
    <row r="1796">
      <c r="B1796" s="16"/>
      <c r="C1796" s="12"/>
      <c r="D1796" s="12"/>
      <c r="E1796" s="12"/>
      <c r="F1796" s="12"/>
      <c r="G1796" s="25"/>
      <c r="H1796" s="12"/>
      <c r="I1796" s="31"/>
      <c r="J1796" s="12"/>
      <c r="K1796" s="12"/>
      <c r="L1796" s="16"/>
      <c r="M1796" s="46"/>
      <c r="N1796" s="46"/>
      <c r="O1796" s="31"/>
      <c r="P1796" s="16"/>
      <c r="Q1796" s="16"/>
      <c r="R1796" s="16" t="str">
        <f t="shared" si="2"/>
        <v/>
      </c>
    </row>
    <row r="1797">
      <c r="B1797" s="16"/>
      <c r="C1797" s="12"/>
      <c r="D1797" s="12"/>
      <c r="E1797" s="12"/>
      <c r="F1797" s="12"/>
      <c r="G1797" s="25"/>
      <c r="H1797" s="12"/>
      <c r="I1797" s="31"/>
      <c r="J1797" s="12"/>
      <c r="K1797" s="12"/>
      <c r="L1797" s="16"/>
      <c r="M1797" s="46"/>
      <c r="N1797" s="46"/>
      <c r="O1797" s="31"/>
      <c r="P1797" s="16"/>
      <c r="Q1797" s="16"/>
      <c r="R1797" s="16" t="str">
        <f t="shared" si="2"/>
        <v/>
      </c>
    </row>
    <row r="1798">
      <c r="B1798" s="16"/>
      <c r="C1798" s="12"/>
      <c r="D1798" s="12"/>
      <c r="E1798" s="12"/>
      <c r="F1798" s="12"/>
      <c r="G1798" s="25"/>
      <c r="H1798" s="12"/>
      <c r="I1798" s="31"/>
      <c r="J1798" s="12"/>
      <c r="K1798" s="12"/>
      <c r="L1798" s="16"/>
      <c r="M1798" s="46"/>
      <c r="N1798" s="46"/>
      <c r="O1798" s="31"/>
      <c r="P1798" s="16"/>
      <c r="Q1798" s="16"/>
      <c r="R1798" s="16" t="str">
        <f t="shared" si="2"/>
        <v/>
      </c>
    </row>
    <row r="1799">
      <c r="B1799" s="16"/>
      <c r="C1799" s="12"/>
      <c r="D1799" s="12"/>
      <c r="E1799" s="12"/>
      <c r="F1799" s="12"/>
      <c r="G1799" s="25"/>
      <c r="H1799" s="12"/>
      <c r="I1799" s="31"/>
      <c r="J1799" s="12"/>
      <c r="K1799" s="12"/>
      <c r="L1799" s="16"/>
      <c r="M1799" s="46"/>
      <c r="N1799" s="46"/>
      <c r="O1799" s="31"/>
      <c r="P1799" s="16"/>
      <c r="Q1799" s="16"/>
      <c r="R1799" s="16" t="str">
        <f t="shared" si="2"/>
        <v/>
      </c>
    </row>
    <row r="1800">
      <c r="B1800" s="16"/>
      <c r="C1800" s="12"/>
      <c r="D1800" s="12"/>
      <c r="E1800" s="12"/>
      <c r="F1800" s="12"/>
      <c r="G1800" s="25"/>
      <c r="H1800" s="12"/>
      <c r="I1800" s="31"/>
      <c r="J1800" s="12"/>
      <c r="K1800" s="12"/>
      <c r="L1800" s="16"/>
      <c r="M1800" s="46"/>
      <c r="N1800" s="46"/>
      <c r="O1800" s="31"/>
      <c r="P1800" s="16"/>
      <c r="Q1800" s="16"/>
      <c r="R1800" s="16" t="str">
        <f t="shared" si="2"/>
        <v/>
      </c>
    </row>
    <row r="1801">
      <c r="B1801" s="16"/>
      <c r="C1801" s="12"/>
      <c r="D1801" s="12"/>
      <c r="E1801" s="12"/>
      <c r="F1801" s="12"/>
      <c r="G1801" s="25"/>
      <c r="H1801" s="12"/>
      <c r="I1801" s="31"/>
      <c r="J1801" s="12"/>
      <c r="K1801" s="12"/>
      <c r="L1801" s="16"/>
      <c r="M1801" s="46"/>
      <c r="N1801" s="46"/>
      <c r="O1801" s="31"/>
      <c r="P1801" s="16"/>
      <c r="Q1801" s="16"/>
      <c r="R1801" s="16" t="str">
        <f t="shared" si="2"/>
        <v/>
      </c>
    </row>
    <row r="1802">
      <c r="B1802" s="16"/>
      <c r="C1802" s="12"/>
      <c r="D1802" s="12"/>
      <c r="E1802" s="12"/>
      <c r="F1802" s="12"/>
      <c r="G1802" s="25"/>
      <c r="H1802" s="12"/>
      <c r="I1802" s="31"/>
      <c r="J1802" s="12"/>
      <c r="K1802" s="12"/>
      <c r="L1802" s="16"/>
      <c r="M1802" s="46"/>
      <c r="N1802" s="46"/>
      <c r="O1802" s="31"/>
      <c r="P1802" s="16"/>
      <c r="Q1802" s="16"/>
      <c r="R1802" s="16" t="str">
        <f t="shared" si="2"/>
        <v/>
      </c>
    </row>
    <row r="1803">
      <c r="B1803" s="16"/>
      <c r="C1803" s="12"/>
      <c r="D1803" s="12"/>
      <c r="E1803" s="12"/>
      <c r="F1803" s="12"/>
      <c r="G1803" s="25"/>
      <c r="H1803" s="12"/>
      <c r="I1803" s="31"/>
      <c r="J1803" s="12"/>
      <c r="K1803" s="12"/>
      <c r="L1803" s="16"/>
      <c r="M1803" s="46"/>
      <c r="N1803" s="46"/>
      <c r="O1803" s="31"/>
      <c r="P1803" s="16"/>
      <c r="Q1803" s="16"/>
      <c r="R1803" s="16" t="str">
        <f t="shared" si="2"/>
        <v/>
      </c>
    </row>
    <row r="1804">
      <c r="B1804" s="16"/>
      <c r="C1804" s="12"/>
      <c r="D1804" s="12"/>
      <c r="E1804" s="12"/>
      <c r="F1804" s="12"/>
      <c r="G1804" s="25"/>
      <c r="H1804" s="12"/>
      <c r="I1804" s="31"/>
      <c r="J1804" s="12"/>
      <c r="K1804" s="12"/>
      <c r="L1804" s="16"/>
      <c r="M1804" s="46"/>
      <c r="N1804" s="46"/>
      <c r="O1804" s="31"/>
      <c r="P1804" s="16"/>
      <c r="Q1804" s="16"/>
      <c r="R1804" s="16" t="str">
        <f t="shared" si="2"/>
        <v/>
      </c>
    </row>
    <row r="1805">
      <c r="B1805" s="16"/>
      <c r="C1805" s="12"/>
      <c r="D1805" s="12"/>
      <c r="E1805" s="12"/>
      <c r="F1805" s="12"/>
      <c r="G1805" s="25"/>
      <c r="H1805" s="12"/>
      <c r="I1805" s="31"/>
      <c r="J1805" s="12"/>
      <c r="K1805" s="12"/>
      <c r="L1805" s="16"/>
      <c r="M1805" s="46"/>
      <c r="N1805" s="46"/>
      <c r="O1805" s="31"/>
      <c r="P1805" s="16"/>
      <c r="Q1805" s="16"/>
      <c r="R1805" s="16" t="str">
        <f t="shared" si="2"/>
        <v/>
      </c>
    </row>
    <row r="1806">
      <c r="B1806" s="16"/>
      <c r="C1806" s="12"/>
      <c r="D1806" s="12"/>
      <c r="E1806" s="12"/>
      <c r="F1806" s="12"/>
      <c r="G1806" s="25"/>
      <c r="H1806" s="12"/>
      <c r="I1806" s="31"/>
      <c r="J1806" s="12"/>
      <c r="K1806" s="12"/>
      <c r="L1806" s="16"/>
      <c r="M1806" s="46"/>
      <c r="N1806" s="46"/>
      <c r="O1806" s="31"/>
      <c r="P1806" s="16"/>
      <c r="Q1806" s="16"/>
      <c r="R1806" s="16" t="str">
        <f t="shared" si="2"/>
        <v/>
      </c>
    </row>
    <row r="1807">
      <c r="B1807" s="16"/>
      <c r="C1807" s="12"/>
      <c r="D1807" s="12"/>
      <c r="E1807" s="12"/>
      <c r="F1807" s="12"/>
      <c r="G1807" s="25"/>
      <c r="H1807" s="12"/>
      <c r="I1807" s="31"/>
      <c r="J1807" s="12"/>
      <c r="K1807" s="12"/>
      <c r="L1807" s="16"/>
      <c r="M1807" s="46"/>
      <c r="N1807" s="46"/>
      <c r="O1807" s="31"/>
      <c r="P1807" s="16"/>
      <c r="Q1807" s="16"/>
      <c r="R1807" s="16" t="str">
        <f t="shared" si="2"/>
        <v/>
      </c>
    </row>
    <row r="1808">
      <c r="B1808" s="16"/>
      <c r="C1808" s="12"/>
      <c r="D1808" s="12"/>
      <c r="E1808" s="12"/>
      <c r="F1808" s="12"/>
      <c r="G1808" s="25"/>
      <c r="H1808" s="12"/>
      <c r="I1808" s="31"/>
      <c r="J1808" s="12"/>
      <c r="K1808" s="12"/>
      <c r="L1808" s="16"/>
      <c r="M1808" s="46"/>
      <c r="N1808" s="46"/>
      <c r="O1808" s="31"/>
      <c r="P1808" s="16"/>
      <c r="Q1808" s="16"/>
      <c r="R1808" s="16" t="str">
        <f t="shared" si="2"/>
        <v/>
      </c>
    </row>
    <row r="1809">
      <c r="B1809" s="16"/>
      <c r="C1809" s="12"/>
      <c r="D1809" s="12"/>
      <c r="E1809" s="12"/>
      <c r="F1809" s="12"/>
      <c r="G1809" s="25"/>
      <c r="H1809" s="12"/>
      <c r="I1809" s="31"/>
      <c r="J1809" s="12"/>
      <c r="K1809" s="12"/>
      <c r="L1809" s="16"/>
      <c r="M1809" s="46"/>
      <c r="N1809" s="46"/>
      <c r="O1809" s="31"/>
      <c r="P1809" s="16"/>
      <c r="Q1809" s="16"/>
      <c r="R1809" s="16" t="str">
        <f t="shared" si="2"/>
        <v/>
      </c>
    </row>
    <row r="1810">
      <c r="B1810" s="16"/>
      <c r="C1810" s="12"/>
      <c r="D1810" s="12"/>
      <c r="E1810" s="12"/>
      <c r="F1810" s="12"/>
      <c r="G1810" s="25"/>
      <c r="H1810" s="12"/>
      <c r="I1810" s="31"/>
      <c r="J1810" s="12"/>
      <c r="K1810" s="12"/>
      <c r="L1810" s="16"/>
      <c r="M1810" s="46"/>
      <c r="N1810" s="46"/>
      <c r="O1810" s="31"/>
      <c r="P1810" s="16"/>
      <c r="Q1810" s="16"/>
      <c r="R1810" s="16" t="str">
        <f t="shared" si="2"/>
        <v/>
      </c>
    </row>
    <row r="1811">
      <c r="B1811" s="16"/>
      <c r="C1811" s="12"/>
      <c r="D1811" s="12"/>
      <c r="E1811" s="12"/>
      <c r="F1811" s="12"/>
      <c r="G1811" s="25"/>
      <c r="H1811" s="12"/>
      <c r="I1811" s="31"/>
      <c r="J1811" s="12"/>
      <c r="K1811" s="12"/>
      <c r="L1811" s="16"/>
      <c r="M1811" s="46"/>
      <c r="N1811" s="46"/>
      <c r="O1811" s="31"/>
      <c r="P1811" s="16"/>
      <c r="Q1811" s="16"/>
      <c r="R1811" s="16" t="str">
        <f t="shared" si="2"/>
        <v/>
      </c>
    </row>
    <row r="1812">
      <c r="B1812" s="16"/>
      <c r="C1812" s="12"/>
      <c r="D1812" s="12"/>
      <c r="E1812" s="12"/>
      <c r="F1812" s="12"/>
      <c r="G1812" s="25"/>
      <c r="H1812" s="12"/>
      <c r="I1812" s="31"/>
      <c r="J1812" s="12"/>
      <c r="K1812" s="12"/>
      <c r="L1812" s="16"/>
      <c r="M1812" s="46"/>
      <c r="N1812" s="46"/>
      <c r="O1812" s="31"/>
      <c r="P1812" s="16"/>
      <c r="Q1812" s="16"/>
      <c r="R1812" s="16" t="str">
        <f t="shared" si="2"/>
        <v/>
      </c>
    </row>
    <row r="1813">
      <c r="B1813" s="16"/>
      <c r="C1813" s="12"/>
      <c r="D1813" s="12"/>
      <c r="E1813" s="12"/>
      <c r="F1813" s="12"/>
      <c r="G1813" s="25"/>
      <c r="H1813" s="12"/>
      <c r="I1813" s="31"/>
      <c r="J1813" s="12"/>
      <c r="K1813" s="12"/>
      <c r="L1813" s="16"/>
      <c r="M1813" s="46"/>
      <c r="N1813" s="46"/>
      <c r="O1813" s="31"/>
      <c r="P1813" s="16"/>
      <c r="Q1813" s="16"/>
      <c r="R1813" s="16" t="str">
        <f t="shared" si="2"/>
        <v/>
      </c>
    </row>
    <row r="1814">
      <c r="B1814" s="16"/>
      <c r="C1814" s="12"/>
      <c r="D1814" s="12"/>
      <c r="E1814" s="12"/>
      <c r="F1814" s="12"/>
      <c r="G1814" s="25"/>
      <c r="H1814" s="12"/>
      <c r="I1814" s="31"/>
      <c r="J1814" s="12"/>
      <c r="K1814" s="12"/>
      <c r="L1814" s="16"/>
      <c r="M1814" s="46"/>
      <c r="N1814" s="46"/>
      <c r="O1814" s="31"/>
      <c r="P1814" s="16"/>
      <c r="Q1814" s="16"/>
      <c r="R1814" s="16" t="str">
        <f t="shared" si="2"/>
        <v/>
      </c>
    </row>
    <row r="1815">
      <c r="B1815" s="16"/>
      <c r="C1815" s="12"/>
      <c r="D1815" s="12"/>
      <c r="E1815" s="12"/>
      <c r="F1815" s="12"/>
      <c r="G1815" s="25"/>
      <c r="H1815" s="12"/>
      <c r="I1815" s="31"/>
      <c r="J1815" s="12"/>
      <c r="K1815" s="12"/>
      <c r="L1815" s="16"/>
      <c r="M1815" s="46"/>
      <c r="N1815" s="46"/>
      <c r="O1815" s="31"/>
      <c r="P1815" s="16"/>
      <c r="Q1815" s="16"/>
      <c r="R1815" s="16" t="str">
        <f t="shared" si="2"/>
        <v/>
      </c>
    </row>
    <row r="1816">
      <c r="B1816" s="16"/>
      <c r="C1816" s="12"/>
      <c r="D1816" s="12"/>
      <c r="E1816" s="12"/>
      <c r="F1816" s="12"/>
      <c r="G1816" s="25"/>
      <c r="H1816" s="12"/>
      <c r="I1816" s="31"/>
      <c r="J1816" s="12"/>
      <c r="K1816" s="12"/>
      <c r="L1816" s="16"/>
      <c r="M1816" s="46"/>
      <c r="N1816" s="46"/>
      <c r="O1816" s="31"/>
      <c r="P1816" s="16"/>
      <c r="Q1816" s="16"/>
      <c r="R1816" s="16" t="str">
        <f t="shared" si="2"/>
        <v/>
      </c>
    </row>
    <row r="1817">
      <c r="B1817" s="16"/>
      <c r="C1817" s="12"/>
      <c r="D1817" s="12"/>
      <c r="E1817" s="12"/>
      <c r="F1817" s="12"/>
      <c r="G1817" s="25"/>
      <c r="H1817" s="12"/>
      <c r="I1817" s="31"/>
      <c r="J1817" s="12"/>
      <c r="K1817" s="12"/>
      <c r="L1817" s="16"/>
      <c r="M1817" s="46"/>
      <c r="N1817" s="46"/>
      <c r="O1817" s="31"/>
      <c r="P1817" s="16"/>
      <c r="Q1817" s="16"/>
      <c r="R1817" s="16" t="str">
        <f t="shared" si="2"/>
        <v/>
      </c>
    </row>
    <row r="1818">
      <c r="B1818" s="16"/>
      <c r="C1818" s="12"/>
      <c r="D1818" s="12"/>
      <c r="E1818" s="12"/>
      <c r="F1818" s="12"/>
      <c r="G1818" s="25"/>
      <c r="H1818" s="12"/>
      <c r="I1818" s="31"/>
      <c r="J1818" s="12"/>
      <c r="K1818" s="12"/>
      <c r="L1818" s="16"/>
      <c r="M1818" s="46"/>
      <c r="N1818" s="46"/>
      <c r="O1818" s="31"/>
      <c r="P1818" s="16"/>
      <c r="Q1818" s="16"/>
      <c r="R1818" s="16" t="str">
        <f t="shared" si="2"/>
        <v/>
      </c>
    </row>
    <row r="1819">
      <c r="B1819" s="16"/>
      <c r="C1819" s="12"/>
      <c r="D1819" s="12"/>
      <c r="E1819" s="12"/>
      <c r="F1819" s="12"/>
      <c r="G1819" s="25"/>
      <c r="H1819" s="12"/>
      <c r="I1819" s="31"/>
      <c r="J1819" s="12"/>
      <c r="K1819" s="12"/>
      <c r="L1819" s="16"/>
      <c r="M1819" s="46"/>
      <c r="N1819" s="46"/>
      <c r="O1819" s="31"/>
      <c r="P1819" s="16"/>
      <c r="Q1819" s="16"/>
      <c r="R1819" s="16" t="str">
        <f t="shared" si="2"/>
        <v/>
      </c>
    </row>
    <row r="1820">
      <c r="B1820" s="16"/>
      <c r="C1820" s="12"/>
      <c r="D1820" s="12"/>
      <c r="E1820" s="12"/>
      <c r="F1820" s="12"/>
      <c r="G1820" s="25"/>
      <c r="H1820" s="12"/>
      <c r="I1820" s="31"/>
      <c r="J1820" s="12"/>
      <c r="K1820" s="12"/>
      <c r="L1820" s="16"/>
      <c r="M1820" s="46"/>
      <c r="N1820" s="46"/>
      <c r="O1820" s="31"/>
      <c r="P1820" s="16"/>
      <c r="Q1820" s="16"/>
      <c r="R1820" s="16" t="str">
        <f t="shared" si="2"/>
        <v/>
      </c>
    </row>
    <row r="1821">
      <c r="B1821" s="16"/>
      <c r="C1821" s="12"/>
      <c r="D1821" s="12"/>
      <c r="E1821" s="12"/>
      <c r="F1821" s="12"/>
      <c r="G1821" s="25"/>
      <c r="H1821" s="12"/>
      <c r="I1821" s="31"/>
      <c r="J1821" s="12"/>
      <c r="K1821" s="12"/>
      <c r="L1821" s="16"/>
      <c r="M1821" s="46"/>
      <c r="N1821" s="46"/>
      <c r="O1821" s="31"/>
      <c r="P1821" s="16"/>
      <c r="Q1821" s="16"/>
      <c r="R1821" s="16" t="str">
        <f t="shared" si="2"/>
        <v/>
      </c>
    </row>
    <row r="1822">
      <c r="B1822" s="16"/>
      <c r="C1822" s="12"/>
      <c r="D1822" s="12"/>
      <c r="E1822" s="12"/>
      <c r="F1822" s="12"/>
      <c r="G1822" s="25"/>
      <c r="H1822" s="12"/>
      <c r="I1822" s="31"/>
      <c r="J1822" s="12"/>
      <c r="K1822" s="12"/>
      <c r="L1822" s="16"/>
      <c r="M1822" s="46"/>
      <c r="N1822" s="46"/>
      <c r="O1822" s="31"/>
      <c r="P1822" s="16"/>
      <c r="Q1822" s="16"/>
      <c r="R1822" s="16" t="str">
        <f t="shared" si="2"/>
        <v/>
      </c>
    </row>
    <row r="1823">
      <c r="B1823" s="16"/>
      <c r="C1823" s="12"/>
      <c r="D1823" s="12"/>
      <c r="E1823" s="12"/>
      <c r="F1823" s="12"/>
      <c r="G1823" s="25"/>
      <c r="H1823" s="12"/>
      <c r="I1823" s="31"/>
      <c r="J1823" s="12"/>
      <c r="K1823" s="12"/>
      <c r="L1823" s="16"/>
      <c r="M1823" s="46"/>
      <c r="N1823" s="46"/>
      <c r="O1823" s="31"/>
      <c r="P1823" s="16"/>
      <c r="Q1823" s="16"/>
      <c r="R1823" s="16" t="str">
        <f t="shared" si="2"/>
        <v/>
      </c>
    </row>
    <row r="1824">
      <c r="B1824" s="16"/>
      <c r="C1824" s="12"/>
      <c r="D1824" s="12"/>
      <c r="E1824" s="12"/>
      <c r="F1824" s="12"/>
      <c r="G1824" s="25"/>
      <c r="H1824" s="12"/>
      <c r="I1824" s="31"/>
      <c r="J1824" s="12"/>
      <c r="K1824" s="12"/>
      <c r="L1824" s="16"/>
      <c r="M1824" s="46"/>
      <c r="N1824" s="46"/>
      <c r="O1824" s="31"/>
      <c r="P1824" s="16"/>
      <c r="Q1824" s="16"/>
      <c r="R1824" s="16" t="str">
        <f t="shared" si="2"/>
        <v/>
      </c>
    </row>
    <row r="1825">
      <c r="B1825" s="16"/>
      <c r="C1825" s="12"/>
      <c r="D1825" s="12"/>
      <c r="E1825" s="12"/>
      <c r="F1825" s="12"/>
      <c r="G1825" s="25"/>
      <c r="H1825" s="12"/>
      <c r="I1825" s="31"/>
      <c r="J1825" s="12"/>
      <c r="K1825" s="12"/>
      <c r="L1825" s="16"/>
      <c r="M1825" s="46"/>
      <c r="N1825" s="46"/>
      <c r="O1825" s="31"/>
      <c r="P1825" s="16"/>
      <c r="Q1825" s="16"/>
      <c r="R1825" s="16" t="str">
        <f t="shared" si="2"/>
        <v/>
      </c>
    </row>
    <row r="1826">
      <c r="B1826" s="16"/>
      <c r="C1826" s="12"/>
      <c r="D1826" s="12"/>
      <c r="E1826" s="12"/>
      <c r="F1826" s="12"/>
      <c r="G1826" s="25"/>
      <c r="H1826" s="12"/>
      <c r="I1826" s="31"/>
      <c r="J1826" s="12"/>
      <c r="K1826" s="12"/>
      <c r="L1826" s="16"/>
      <c r="M1826" s="46"/>
      <c r="N1826" s="46"/>
      <c r="O1826" s="31"/>
      <c r="P1826" s="16"/>
      <c r="Q1826" s="16"/>
      <c r="R1826" s="16" t="str">
        <f t="shared" si="2"/>
        <v/>
      </c>
    </row>
    <row r="1827">
      <c r="B1827" s="16"/>
      <c r="C1827" s="12"/>
      <c r="D1827" s="12"/>
      <c r="E1827" s="12"/>
      <c r="F1827" s="12"/>
      <c r="G1827" s="25"/>
      <c r="H1827" s="12"/>
      <c r="I1827" s="31"/>
      <c r="J1827" s="12"/>
      <c r="K1827" s="12"/>
      <c r="L1827" s="16"/>
      <c r="M1827" s="46"/>
      <c r="N1827" s="46"/>
      <c r="O1827" s="31"/>
      <c r="P1827" s="16"/>
      <c r="Q1827" s="16"/>
      <c r="R1827" s="16" t="str">
        <f t="shared" si="2"/>
        <v/>
      </c>
    </row>
    <row r="1828">
      <c r="B1828" s="16"/>
      <c r="C1828" s="12"/>
      <c r="D1828" s="12"/>
      <c r="E1828" s="12"/>
      <c r="F1828" s="12"/>
      <c r="G1828" s="25"/>
      <c r="H1828" s="12"/>
      <c r="I1828" s="31"/>
      <c r="J1828" s="12"/>
      <c r="K1828" s="12"/>
      <c r="L1828" s="16"/>
      <c r="M1828" s="46"/>
      <c r="N1828" s="46"/>
      <c r="O1828" s="31"/>
      <c r="P1828" s="16"/>
      <c r="Q1828" s="16"/>
      <c r="R1828" s="16" t="str">
        <f t="shared" si="2"/>
        <v/>
      </c>
    </row>
    <row r="1829">
      <c r="B1829" s="16"/>
      <c r="C1829" s="12"/>
      <c r="D1829" s="12"/>
      <c r="E1829" s="12"/>
      <c r="F1829" s="12"/>
      <c r="G1829" s="25"/>
      <c r="H1829" s="12"/>
      <c r="I1829" s="31"/>
      <c r="J1829" s="12"/>
      <c r="K1829" s="12"/>
      <c r="L1829" s="16"/>
      <c r="M1829" s="46"/>
      <c r="N1829" s="46"/>
      <c r="O1829" s="31"/>
      <c r="P1829" s="16"/>
      <c r="Q1829" s="16"/>
      <c r="R1829" s="16" t="str">
        <f t="shared" si="2"/>
        <v/>
      </c>
    </row>
    <row r="1830">
      <c r="B1830" s="16"/>
      <c r="C1830" s="12"/>
      <c r="D1830" s="12"/>
      <c r="E1830" s="12"/>
      <c r="F1830" s="12"/>
      <c r="G1830" s="25"/>
      <c r="H1830" s="12"/>
      <c r="I1830" s="31"/>
      <c r="J1830" s="12"/>
      <c r="K1830" s="12"/>
      <c r="L1830" s="16"/>
      <c r="M1830" s="46"/>
      <c r="N1830" s="46"/>
      <c r="O1830" s="31"/>
      <c r="P1830" s="16"/>
      <c r="Q1830" s="16"/>
      <c r="R1830" s="16" t="str">
        <f t="shared" si="2"/>
        <v/>
      </c>
    </row>
    <row r="1831">
      <c r="B1831" s="16"/>
      <c r="C1831" s="12"/>
      <c r="D1831" s="12"/>
      <c r="E1831" s="12"/>
      <c r="F1831" s="12"/>
      <c r="G1831" s="25"/>
      <c r="H1831" s="12"/>
      <c r="I1831" s="31"/>
      <c r="J1831" s="12"/>
      <c r="K1831" s="12"/>
      <c r="L1831" s="16"/>
      <c r="M1831" s="46"/>
      <c r="N1831" s="46"/>
      <c r="O1831" s="31"/>
      <c r="P1831" s="16"/>
      <c r="Q1831" s="16"/>
      <c r="R1831" s="16" t="str">
        <f t="shared" si="2"/>
        <v/>
      </c>
    </row>
    <row r="1832">
      <c r="B1832" s="16"/>
      <c r="C1832" s="12"/>
      <c r="D1832" s="12"/>
      <c r="E1832" s="12"/>
      <c r="F1832" s="12"/>
      <c r="G1832" s="25"/>
      <c r="H1832" s="12"/>
      <c r="I1832" s="31"/>
      <c r="J1832" s="12"/>
      <c r="K1832" s="12"/>
      <c r="L1832" s="16"/>
      <c r="M1832" s="46"/>
      <c r="N1832" s="46"/>
      <c r="O1832" s="31"/>
      <c r="P1832" s="16"/>
      <c r="Q1832" s="16"/>
      <c r="R1832" s="16" t="str">
        <f t="shared" si="2"/>
        <v/>
      </c>
    </row>
    <row r="1833">
      <c r="B1833" s="16"/>
      <c r="C1833" s="12"/>
      <c r="D1833" s="12"/>
      <c r="E1833" s="12"/>
      <c r="F1833" s="12"/>
      <c r="G1833" s="25"/>
      <c r="H1833" s="12"/>
      <c r="I1833" s="31"/>
      <c r="J1833" s="12"/>
      <c r="K1833" s="12"/>
      <c r="L1833" s="16"/>
      <c r="M1833" s="46"/>
      <c r="N1833" s="46"/>
      <c r="O1833" s="31"/>
      <c r="P1833" s="16"/>
      <c r="Q1833" s="16"/>
      <c r="R1833" s="16" t="str">
        <f t="shared" si="2"/>
        <v/>
      </c>
    </row>
    <row r="1834">
      <c r="B1834" s="16"/>
      <c r="C1834" s="12"/>
      <c r="D1834" s="12"/>
      <c r="E1834" s="12"/>
      <c r="F1834" s="12"/>
      <c r="G1834" s="25"/>
      <c r="H1834" s="12"/>
      <c r="I1834" s="31"/>
      <c r="J1834" s="12"/>
      <c r="K1834" s="12"/>
      <c r="L1834" s="16"/>
      <c r="M1834" s="46"/>
      <c r="N1834" s="46"/>
      <c r="O1834" s="31"/>
      <c r="P1834" s="16"/>
      <c r="Q1834" s="16"/>
      <c r="R1834" s="16" t="str">
        <f t="shared" si="2"/>
        <v/>
      </c>
    </row>
    <row r="1835">
      <c r="B1835" s="16"/>
      <c r="C1835" s="12"/>
      <c r="D1835" s="12"/>
      <c r="E1835" s="12"/>
      <c r="F1835" s="12"/>
      <c r="G1835" s="25"/>
      <c r="H1835" s="12"/>
      <c r="I1835" s="31"/>
      <c r="J1835" s="12"/>
      <c r="K1835" s="12"/>
      <c r="L1835" s="16"/>
      <c r="M1835" s="46"/>
      <c r="N1835" s="46"/>
      <c r="O1835" s="31"/>
      <c r="P1835" s="16"/>
      <c r="Q1835" s="16"/>
      <c r="R1835" s="16" t="str">
        <f t="shared" si="2"/>
        <v/>
      </c>
    </row>
    <row r="1836">
      <c r="B1836" s="16"/>
      <c r="C1836" s="12"/>
      <c r="D1836" s="12"/>
      <c r="E1836" s="12"/>
      <c r="F1836" s="12"/>
      <c r="G1836" s="25"/>
      <c r="H1836" s="12"/>
      <c r="I1836" s="31"/>
      <c r="J1836" s="12"/>
      <c r="K1836" s="12"/>
      <c r="L1836" s="16"/>
      <c r="M1836" s="46"/>
      <c r="N1836" s="46"/>
      <c r="O1836" s="31"/>
      <c r="P1836" s="16"/>
      <c r="Q1836" s="16"/>
      <c r="R1836" s="16" t="str">
        <f t="shared" si="2"/>
        <v/>
      </c>
    </row>
    <row r="1837">
      <c r="B1837" s="16"/>
      <c r="C1837" s="12"/>
      <c r="D1837" s="12"/>
      <c r="E1837" s="12"/>
      <c r="F1837" s="12"/>
      <c r="G1837" s="25"/>
      <c r="H1837" s="12"/>
      <c r="I1837" s="31"/>
      <c r="J1837" s="12"/>
      <c r="K1837" s="12"/>
      <c r="L1837" s="16"/>
      <c r="M1837" s="46"/>
      <c r="N1837" s="46"/>
      <c r="O1837" s="31"/>
      <c r="P1837" s="16"/>
      <c r="Q1837" s="16"/>
      <c r="R1837" s="16" t="str">
        <f t="shared" si="2"/>
        <v/>
      </c>
    </row>
    <row r="1838">
      <c r="B1838" s="16"/>
      <c r="C1838" s="12"/>
      <c r="D1838" s="12"/>
      <c r="E1838" s="12"/>
      <c r="F1838" s="12"/>
      <c r="G1838" s="25"/>
      <c r="H1838" s="12"/>
      <c r="I1838" s="31"/>
      <c r="J1838" s="12"/>
      <c r="K1838" s="12"/>
      <c r="L1838" s="16"/>
      <c r="M1838" s="46"/>
      <c r="N1838" s="46"/>
      <c r="O1838" s="31"/>
      <c r="P1838" s="16"/>
      <c r="Q1838" s="16"/>
      <c r="R1838" s="16" t="str">
        <f t="shared" si="2"/>
        <v/>
      </c>
    </row>
    <row r="1839">
      <c r="B1839" s="16"/>
      <c r="C1839" s="12"/>
      <c r="D1839" s="12"/>
      <c r="E1839" s="12"/>
      <c r="F1839" s="12"/>
      <c r="G1839" s="25"/>
      <c r="H1839" s="12"/>
      <c r="I1839" s="31"/>
      <c r="J1839" s="12"/>
      <c r="K1839" s="12"/>
      <c r="L1839" s="16"/>
      <c r="M1839" s="46"/>
      <c r="N1839" s="46"/>
      <c r="O1839" s="31"/>
      <c r="P1839" s="16"/>
      <c r="Q1839" s="16"/>
      <c r="R1839" s="16" t="str">
        <f t="shared" si="2"/>
        <v/>
      </c>
    </row>
    <row r="1840">
      <c r="B1840" s="16"/>
      <c r="C1840" s="12"/>
      <c r="D1840" s="12"/>
      <c r="E1840" s="12"/>
      <c r="F1840" s="12"/>
      <c r="G1840" s="25"/>
      <c r="H1840" s="12"/>
      <c r="I1840" s="31"/>
      <c r="J1840" s="12"/>
      <c r="K1840" s="12"/>
      <c r="L1840" s="16"/>
      <c r="M1840" s="46"/>
      <c r="N1840" s="46"/>
      <c r="O1840" s="31"/>
      <c r="P1840" s="16"/>
      <c r="Q1840" s="16"/>
      <c r="R1840" s="16" t="str">
        <f t="shared" si="2"/>
        <v/>
      </c>
    </row>
    <row r="1841">
      <c r="B1841" s="16"/>
      <c r="C1841" s="12"/>
      <c r="D1841" s="12"/>
      <c r="E1841" s="12"/>
      <c r="F1841" s="12"/>
      <c r="G1841" s="25"/>
      <c r="H1841" s="12"/>
      <c r="I1841" s="31"/>
      <c r="J1841" s="12"/>
      <c r="K1841" s="12"/>
      <c r="L1841" s="16"/>
      <c r="M1841" s="46"/>
      <c r="N1841" s="46"/>
      <c r="O1841" s="31"/>
      <c r="P1841" s="16"/>
      <c r="Q1841" s="16"/>
      <c r="R1841" s="16" t="str">
        <f t="shared" si="2"/>
        <v/>
      </c>
    </row>
    <row r="1842">
      <c r="B1842" s="16"/>
      <c r="C1842" s="12"/>
      <c r="D1842" s="12"/>
      <c r="E1842" s="12"/>
      <c r="F1842" s="12"/>
      <c r="G1842" s="25"/>
      <c r="H1842" s="12"/>
      <c r="I1842" s="31"/>
      <c r="J1842" s="12"/>
      <c r="K1842" s="12"/>
      <c r="L1842" s="16"/>
      <c r="M1842" s="46"/>
      <c r="N1842" s="46"/>
      <c r="O1842" s="31"/>
      <c r="P1842" s="16"/>
      <c r="Q1842" s="16"/>
      <c r="R1842" s="16" t="str">
        <f t="shared" si="2"/>
        <v/>
      </c>
    </row>
    <row r="1843">
      <c r="B1843" s="16"/>
      <c r="C1843" s="12"/>
      <c r="D1843" s="12"/>
      <c r="E1843" s="12"/>
      <c r="F1843" s="12"/>
      <c r="G1843" s="25"/>
      <c r="H1843" s="12"/>
      <c r="I1843" s="31"/>
      <c r="J1843" s="12"/>
      <c r="K1843" s="12"/>
      <c r="L1843" s="16"/>
      <c r="M1843" s="46"/>
      <c r="N1843" s="46"/>
      <c r="O1843" s="31"/>
      <c r="P1843" s="16"/>
      <c r="Q1843" s="16"/>
      <c r="R1843" s="16" t="str">
        <f t="shared" si="2"/>
        <v/>
      </c>
    </row>
    <row r="1844">
      <c r="B1844" s="16"/>
      <c r="C1844" s="12"/>
      <c r="D1844" s="12"/>
      <c r="E1844" s="12"/>
      <c r="F1844" s="12"/>
      <c r="G1844" s="25"/>
      <c r="H1844" s="12"/>
      <c r="I1844" s="31"/>
      <c r="J1844" s="12"/>
      <c r="K1844" s="12"/>
      <c r="L1844" s="16"/>
      <c r="M1844" s="46"/>
      <c r="N1844" s="46"/>
      <c r="O1844" s="31"/>
      <c r="P1844" s="16"/>
      <c r="Q1844" s="16"/>
      <c r="R1844" s="16" t="str">
        <f t="shared" si="2"/>
        <v/>
      </c>
    </row>
    <row r="1845">
      <c r="B1845" s="16"/>
      <c r="C1845" s="12"/>
      <c r="D1845" s="12"/>
      <c r="E1845" s="12"/>
      <c r="F1845" s="12"/>
      <c r="G1845" s="25"/>
      <c r="H1845" s="12"/>
      <c r="I1845" s="31"/>
      <c r="J1845" s="12"/>
      <c r="K1845" s="12"/>
      <c r="L1845" s="16"/>
      <c r="M1845" s="46"/>
      <c r="N1845" s="46"/>
      <c r="O1845" s="31"/>
      <c r="P1845" s="16"/>
      <c r="Q1845" s="16"/>
      <c r="R1845" s="16" t="str">
        <f t="shared" si="2"/>
        <v/>
      </c>
    </row>
    <row r="1846">
      <c r="B1846" s="16"/>
      <c r="C1846" s="12"/>
      <c r="D1846" s="12"/>
      <c r="E1846" s="12"/>
      <c r="F1846" s="12"/>
      <c r="G1846" s="25"/>
      <c r="H1846" s="12"/>
      <c r="I1846" s="31"/>
      <c r="J1846" s="12"/>
      <c r="K1846" s="12"/>
      <c r="L1846" s="16"/>
      <c r="M1846" s="46"/>
      <c r="N1846" s="46"/>
      <c r="O1846" s="31"/>
      <c r="P1846" s="16"/>
      <c r="Q1846" s="16"/>
      <c r="R1846" s="16" t="str">
        <f t="shared" si="2"/>
        <v/>
      </c>
    </row>
    <row r="1847">
      <c r="B1847" s="16"/>
      <c r="C1847" s="12"/>
      <c r="D1847" s="12"/>
      <c r="E1847" s="12"/>
      <c r="F1847" s="12"/>
      <c r="G1847" s="25"/>
      <c r="H1847" s="12"/>
      <c r="I1847" s="31"/>
      <c r="J1847" s="12"/>
      <c r="K1847" s="12"/>
      <c r="L1847" s="16"/>
      <c r="M1847" s="46"/>
      <c r="N1847" s="46"/>
      <c r="O1847" s="31"/>
      <c r="P1847" s="16"/>
      <c r="Q1847" s="16"/>
      <c r="R1847" s="16" t="str">
        <f t="shared" si="2"/>
        <v/>
      </c>
    </row>
    <row r="1848">
      <c r="B1848" s="16"/>
      <c r="C1848" s="12"/>
      <c r="D1848" s="12"/>
      <c r="E1848" s="12"/>
      <c r="F1848" s="12"/>
      <c r="G1848" s="25"/>
      <c r="H1848" s="12"/>
      <c r="I1848" s="31"/>
      <c r="J1848" s="12"/>
      <c r="K1848" s="12"/>
      <c r="L1848" s="16"/>
      <c r="M1848" s="46"/>
      <c r="N1848" s="46"/>
      <c r="O1848" s="31"/>
      <c r="P1848" s="16"/>
      <c r="Q1848" s="16"/>
      <c r="R1848" s="16" t="str">
        <f t="shared" si="2"/>
        <v/>
      </c>
    </row>
    <row r="1849">
      <c r="B1849" s="16"/>
      <c r="C1849" s="12"/>
      <c r="D1849" s="12"/>
      <c r="E1849" s="12"/>
      <c r="F1849" s="12"/>
      <c r="G1849" s="25"/>
      <c r="H1849" s="12"/>
      <c r="I1849" s="31"/>
      <c r="J1849" s="12"/>
      <c r="K1849" s="12"/>
      <c r="L1849" s="16"/>
      <c r="M1849" s="46"/>
      <c r="N1849" s="46"/>
      <c r="O1849" s="31"/>
      <c r="P1849" s="16"/>
      <c r="Q1849" s="16"/>
      <c r="R1849" s="16" t="str">
        <f t="shared" si="2"/>
        <v/>
      </c>
    </row>
    <row r="1850">
      <c r="B1850" s="16"/>
      <c r="C1850" s="12"/>
      <c r="D1850" s="12"/>
      <c r="E1850" s="12"/>
      <c r="F1850" s="12"/>
      <c r="G1850" s="25"/>
      <c r="H1850" s="12"/>
      <c r="I1850" s="31"/>
      <c r="J1850" s="12"/>
      <c r="K1850" s="12"/>
      <c r="L1850" s="16"/>
      <c r="M1850" s="46"/>
      <c r="N1850" s="46"/>
      <c r="O1850" s="31"/>
      <c r="P1850" s="16"/>
      <c r="Q1850" s="16"/>
      <c r="R1850" s="16" t="str">
        <f t="shared" si="2"/>
        <v/>
      </c>
    </row>
    <row r="1851">
      <c r="B1851" s="16"/>
      <c r="C1851" s="12"/>
      <c r="D1851" s="12"/>
      <c r="E1851" s="12"/>
      <c r="F1851" s="12"/>
      <c r="G1851" s="25"/>
      <c r="H1851" s="12"/>
      <c r="I1851" s="31"/>
      <c r="J1851" s="12"/>
      <c r="K1851" s="12"/>
      <c r="L1851" s="16"/>
      <c r="M1851" s="46"/>
      <c r="N1851" s="46"/>
      <c r="O1851" s="31"/>
      <c r="P1851" s="16"/>
      <c r="Q1851" s="16"/>
      <c r="R1851" s="16" t="str">
        <f t="shared" si="2"/>
        <v/>
      </c>
    </row>
    <row r="1852">
      <c r="B1852" s="16"/>
      <c r="C1852" s="12"/>
      <c r="D1852" s="12"/>
      <c r="E1852" s="12"/>
      <c r="F1852" s="12"/>
      <c r="G1852" s="25"/>
      <c r="H1852" s="12"/>
      <c r="I1852" s="31"/>
      <c r="J1852" s="12"/>
      <c r="K1852" s="12"/>
      <c r="L1852" s="16"/>
      <c r="M1852" s="46"/>
      <c r="N1852" s="46"/>
      <c r="O1852" s="31"/>
      <c r="P1852" s="16"/>
      <c r="Q1852" s="16"/>
      <c r="R1852" s="16" t="str">
        <f t="shared" si="2"/>
        <v/>
      </c>
    </row>
    <row r="1853">
      <c r="B1853" s="16"/>
      <c r="C1853" s="12"/>
      <c r="D1853" s="12"/>
      <c r="E1853" s="12"/>
      <c r="F1853" s="12"/>
      <c r="G1853" s="25"/>
      <c r="H1853" s="12"/>
      <c r="I1853" s="31"/>
      <c r="J1853" s="12"/>
      <c r="K1853" s="12"/>
      <c r="L1853" s="16"/>
      <c r="M1853" s="46"/>
      <c r="N1853" s="46"/>
      <c r="O1853" s="31"/>
      <c r="P1853" s="16"/>
      <c r="Q1853" s="16"/>
      <c r="R1853" s="16" t="str">
        <f t="shared" si="2"/>
        <v/>
      </c>
    </row>
    <row r="1854">
      <c r="B1854" s="16"/>
      <c r="C1854" s="12"/>
      <c r="D1854" s="12"/>
      <c r="E1854" s="12"/>
      <c r="F1854" s="12"/>
      <c r="G1854" s="25"/>
      <c r="H1854" s="12"/>
      <c r="I1854" s="31"/>
      <c r="J1854" s="12"/>
      <c r="K1854" s="12"/>
      <c r="L1854" s="16"/>
      <c r="M1854" s="46"/>
      <c r="N1854" s="46"/>
      <c r="O1854" s="31"/>
      <c r="P1854" s="16"/>
      <c r="Q1854" s="16"/>
      <c r="R1854" s="16" t="str">
        <f t="shared" si="2"/>
        <v/>
      </c>
    </row>
    <row r="1855">
      <c r="B1855" s="16"/>
      <c r="C1855" s="12"/>
      <c r="D1855" s="12"/>
      <c r="E1855" s="12"/>
      <c r="F1855" s="12"/>
      <c r="G1855" s="25"/>
      <c r="H1855" s="12"/>
      <c r="I1855" s="31"/>
      <c r="J1855" s="12"/>
      <c r="K1855" s="12"/>
      <c r="L1855" s="16"/>
      <c r="M1855" s="46"/>
      <c r="N1855" s="46"/>
      <c r="O1855" s="31"/>
      <c r="P1855" s="16"/>
      <c r="Q1855" s="16"/>
      <c r="R1855" s="16" t="str">
        <f t="shared" si="2"/>
        <v/>
      </c>
    </row>
    <row r="1856">
      <c r="B1856" s="16"/>
      <c r="C1856" s="12"/>
      <c r="D1856" s="12"/>
      <c r="E1856" s="12"/>
      <c r="F1856" s="12"/>
      <c r="G1856" s="25"/>
      <c r="H1856" s="12"/>
      <c r="I1856" s="31"/>
      <c r="J1856" s="12"/>
      <c r="K1856" s="12"/>
      <c r="L1856" s="16"/>
      <c r="M1856" s="46"/>
      <c r="N1856" s="46"/>
      <c r="O1856" s="31"/>
      <c r="P1856" s="16"/>
      <c r="Q1856" s="16"/>
      <c r="R1856" s="16" t="str">
        <f t="shared" si="2"/>
        <v/>
      </c>
    </row>
    <row r="1857">
      <c r="B1857" s="16"/>
      <c r="C1857" s="12"/>
      <c r="D1857" s="12"/>
      <c r="E1857" s="12"/>
      <c r="F1857" s="12"/>
      <c r="G1857" s="25"/>
      <c r="H1857" s="12"/>
      <c r="I1857" s="31"/>
      <c r="J1857" s="12"/>
      <c r="K1857" s="12"/>
      <c r="L1857" s="16"/>
      <c r="M1857" s="46"/>
      <c r="N1857" s="46"/>
      <c r="O1857" s="31"/>
      <c r="P1857" s="16"/>
      <c r="Q1857" s="16"/>
      <c r="R1857" s="16" t="str">
        <f t="shared" si="2"/>
        <v/>
      </c>
    </row>
    <row r="1858">
      <c r="B1858" s="16"/>
      <c r="C1858" s="12"/>
      <c r="D1858" s="12"/>
      <c r="E1858" s="12"/>
      <c r="F1858" s="12"/>
      <c r="G1858" s="25"/>
      <c r="H1858" s="12"/>
      <c r="I1858" s="31"/>
      <c r="J1858" s="12"/>
      <c r="K1858" s="12"/>
      <c r="L1858" s="16"/>
      <c r="M1858" s="46"/>
      <c r="N1858" s="46"/>
      <c r="O1858" s="31"/>
      <c r="P1858" s="16"/>
      <c r="Q1858" s="16"/>
      <c r="R1858" s="16" t="str">
        <f t="shared" si="2"/>
        <v/>
      </c>
    </row>
    <row r="1859">
      <c r="B1859" s="16"/>
      <c r="C1859" s="12"/>
      <c r="D1859" s="12"/>
      <c r="E1859" s="12"/>
      <c r="F1859" s="12"/>
      <c r="G1859" s="25"/>
      <c r="H1859" s="12"/>
      <c r="I1859" s="31"/>
      <c r="J1859" s="12"/>
      <c r="K1859" s="12"/>
      <c r="L1859" s="16"/>
      <c r="M1859" s="46"/>
      <c r="N1859" s="46"/>
      <c r="O1859" s="31"/>
      <c r="P1859" s="16"/>
      <c r="Q1859" s="16"/>
      <c r="R1859" s="16" t="str">
        <f t="shared" si="2"/>
        <v/>
      </c>
    </row>
    <row r="1860">
      <c r="B1860" s="16"/>
      <c r="C1860" s="12"/>
      <c r="D1860" s="12"/>
      <c r="E1860" s="12"/>
      <c r="F1860" s="12"/>
      <c r="G1860" s="25"/>
      <c r="H1860" s="12"/>
      <c r="I1860" s="31"/>
      <c r="J1860" s="12"/>
      <c r="K1860" s="12"/>
      <c r="L1860" s="16"/>
      <c r="M1860" s="46"/>
      <c r="N1860" s="46"/>
      <c r="O1860" s="31"/>
      <c r="P1860" s="16"/>
      <c r="Q1860" s="16"/>
      <c r="R1860" s="16" t="str">
        <f t="shared" si="2"/>
        <v/>
      </c>
    </row>
    <row r="1861">
      <c r="B1861" s="16"/>
      <c r="C1861" s="12"/>
      <c r="D1861" s="12"/>
      <c r="E1861" s="12"/>
      <c r="F1861" s="12"/>
      <c r="G1861" s="25"/>
      <c r="H1861" s="12"/>
      <c r="I1861" s="31"/>
      <c r="J1861" s="12"/>
      <c r="K1861" s="12"/>
      <c r="L1861" s="16"/>
      <c r="M1861" s="46"/>
      <c r="N1861" s="46"/>
      <c r="O1861" s="31"/>
      <c r="P1861" s="16"/>
      <c r="Q1861" s="16"/>
      <c r="R1861" s="16" t="str">
        <f t="shared" si="2"/>
        <v/>
      </c>
    </row>
    <row r="1862">
      <c r="B1862" s="16"/>
      <c r="C1862" s="12"/>
      <c r="D1862" s="12"/>
      <c r="E1862" s="12"/>
      <c r="F1862" s="12"/>
      <c r="G1862" s="25"/>
      <c r="H1862" s="12"/>
      <c r="I1862" s="31"/>
      <c r="J1862" s="12"/>
      <c r="K1862" s="12"/>
      <c r="L1862" s="16"/>
      <c r="M1862" s="46"/>
      <c r="N1862" s="46"/>
      <c r="O1862" s="31"/>
      <c r="P1862" s="16"/>
      <c r="Q1862" s="16"/>
      <c r="R1862" s="16" t="str">
        <f t="shared" si="2"/>
        <v/>
      </c>
    </row>
    <row r="1863">
      <c r="B1863" s="16"/>
      <c r="C1863" s="12"/>
      <c r="D1863" s="12"/>
      <c r="E1863" s="12"/>
      <c r="F1863" s="12"/>
      <c r="G1863" s="25"/>
      <c r="H1863" s="12"/>
      <c r="I1863" s="31"/>
      <c r="J1863" s="12"/>
      <c r="K1863" s="12"/>
      <c r="L1863" s="16"/>
      <c r="M1863" s="46"/>
      <c r="N1863" s="46"/>
      <c r="O1863" s="31"/>
      <c r="P1863" s="16"/>
      <c r="Q1863" s="16"/>
      <c r="R1863" s="16" t="str">
        <f t="shared" si="2"/>
        <v/>
      </c>
    </row>
    <row r="1864">
      <c r="B1864" s="16"/>
      <c r="C1864" s="12"/>
      <c r="D1864" s="12"/>
      <c r="E1864" s="12"/>
      <c r="F1864" s="12"/>
      <c r="G1864" s="25"/>
      <c r="H1864" s="12"/>
      <c r="I1864" s="31"/>
      <c r="J1864" s="12"/>
      <c r="K1864" s="12"/>
      <c r="L1864" s="16"/>
      <c r="M1864" s="46"/>
      <c r="N1864" s="46"/>
      <c r="O1864" s="31"/>
      <c r="P1864" s="16"/>
      <c r="Q1864" s="16"/>
      <c r="R1864" s="16" t="str">
        <f t="shared" si="2"/>
        <v/>
      </c>
    </row>
    <row r="1865">
      <c r="B1865" s="16"/>
      <c r="C1865" s="12"/>
      <c r="D1865" s="12"/>
      <c r="E1865" s="12"/>
      <c r="F1865" s="12"/>
      <c r="G1865" s="25"/>
      <c r="H1865" s="12"/>
      <c r="I1865" s="31"/>
      <c r="J1865" s="12"/>
      <c r="K1865" s="12"/>
      <c r="L1865" s="16"/>
      <c r="M1865" s="46"/>
      <c r="N1865" s="46"/>
      <c r="O1865" s="31"/>
      <c r="P1865" s="16"/>
      <c r="Q1865" s="16"/>
      <c r="R1865" s="16" t="str">
        <f t="shared" si="2"/>
        <v/>
      </c>
    </row>
    <row r="1866">
      <c r="B1866" s="16"/>
      <c r="C1866" s="12"/>
      <c r="D1866" s="12"/>
      <c r="E1866" s="12"/>
      <c r="F1866" s="12"/>
      <c r="G1866" s="25"/>
      <c r="H1866" s="12"/>
      <c r="I1866" s="31"/>
      <c r="J1866" s="12"/>
      <c r="K1866" s="12"/>
      <c r="L1866" s="16"/>
      <c r="M1866" s="46"/>
      <c r="N1866" s="46"/>
      <c r="O1866" s="31"/>
      <c r="P1866" s="16"/>
      <c r="Q1866" s="16"/>
      <c r="R1866" s="16" t="str">
        <f t="shared" si="2"/>
        <v/>
      </c>
    </row>
    <row r="1867">
      <c r="B1867" s="16"/>
      <c r="C1867" s="12"/>
      <c r="D1867" s="12"/>
      <c r="E1867" s="12"/>
      <c r="F1867" s="12"/>
      <c r="G1867" s="25"/>
      <c r="H1867" s="12"/>
      <c r="I1867" s="31"/>
      <c r="J1867" s="12"/>
      <c r="K1867" s="12"/>
      <c r="L1867" s="16"/>
      <c r="M1867" s="46"/>
      <c r="N1867" s="46"/>
      <c r="O1867" s="31"/>
      <c r="P1867" s="16"/>
      <c r="Q1867" s="16"/>
      <c r="R1867" s="16" t="str">
        <f t="shared" si="2"/>
        <v/>
      </c>
    </row>
    <row r="1868">
      <c r="B1868" s="16"/>
      <c r="C1868" s="12"/>
      <c r="D1868" s="12"/>
      <c r="E1868" s="12"/>
      <c r="F1868" s="12"/>
      <c r="G1868" s="25"/>
      <c r="H1868" s="12"/>
      <c r="I1868" s="31"/>
      <c r="J1868" s="12"/>
      <c r="K1868" s="12"/>
      <c r="L1868" s="16"/>
      <c r="M1868" s="46"/>
      <c r="N1868" s="46"/>
      <c r="O1868" s="31"/>
      <c r="P1868" s="16"/>
      <c r="Q1868" s="16"/>
      <c r="R1868" s="16" t="str">
        <f t="shared" si="2"/>
        <v/>
      </c>
    </row>
    <row r="1869">
      <c r="B1869" s="16"/>
      <c r="C1869" s="12"/>
      <c r="D1869" s="12"/>
      <c r="E1869" s="12"/>
      <c r="F1869" s="12"/>
      <c r="G1869" s="25"/>
      <c r="H1869" s="12"/>
      <c r="I1869" s="31"/>
      <c r="J1869" s="12"/>
      <c r="K1869" s="12"/>
      <c r="L1869" s="16"/>
      <c r="M1869" s="46"/>
      <c r="N1869" s="46"/>
      <c r="O1869" s="31"/>
      <c r="P1869" s="16"/>
      <c r="Q1869" s="16"/>
      <c r="R1869" s="16" t="str">
        <f t="shared" si="2"/>
        <v/>
      </c>
    </row>
    <row r="1870">
      <c r="B1870" s="16"/>
      <c r="C1870" s="12"/>
      <c r="D1870" s="12"/>
      <c r="E1870" s="12"/>
      <c r="F1870" s="12"/>
      <c r="G1870" s="25"/>
      <c r="H1870" s="12"/>
      <c r="I1870" s="31"/>
      <c r="J1870" s="12"/>
      <c r="K1870" s="12"/>
      <c r="L1870" s="16"/>
      <c r="M1870" s="46"/>
      <c r="N1870" s="46"/>
      <c r="O1870" s="31"/>
      <c r="P1870" s="16"/>
      <c r="Q1870" s="16"/>
      <c r="R1870" s="16" t="str">
        <f t="shared" si="2"/>
        <v/>
      </c>
    </row>
    <row r="1871">
      <c r="B1871" s="16"/>
      <c r="C1871" s="12"/>
      <c r="D1871" s="12"/>
      <c r="E1871" s="12"/>
      <c r="F1871" s="12"/>
      <c r="G1871" s="25"/>
      <c r="H1871" s="12"/>
      <c r="I1871" s="31"/>
      <c r="J1871" s="12"/>
      <c r="K1871" s="12"/>
      <c r="L1871" s="16"/>
      <c r="M1871" s="46"/>
      <c r="N1871" s="46"/>
      <c r="O1871" s="31"/>
      <c r="P1871" s="16"/>
      <c r="Q1871" s="16"/>
      <c r="R1871" s="16" t="str">
        <f t="shared" si="2"/>
        <v/>
      </c>
    </row>
    <row r="1872">
      <c r="B1872" s="16"/>
      <c r="C1872" s="12"/>
      <c r="D1872" s="12"/>
      <c r="E1872" s="12"/>
      <c r="F1872" s="12"/>
      <c r="G1872" s="25"/>
      <c r="H1872" s="12"/>
      <c r="I1872" s="31"/>
      <c r="J1872" s="12"/>
      <c r="K1872" s="12"/>
      <c r="L1872" s="16"/>
      <c r="M1872" s="46"/>
      <c r="N1872" s="46"/>
      <c r="O1872" s="31"/>
      <c r="P1872" s="16"/>
      <c r="Q1872" s="16"/>
      <c r="R1872" s="16" t="str">
        <f t="shared" si="2"/>
        <v/>
      </c>
    </row>
    <row r="1873">
      <c r="B1873" s="16"/>
      <c r="C1873" s="12"/>
      <c r="D1873" s="12"/>
      <c r="E1873" s="12"/>
      <c r="F1873" s="12"/>
      <c r="G1873" s="25"/>
      <c r="H1873" s="12"/>
      <c r="I1873" s="31"/>
      <c r="J1873" s="12"/>
      <c r="K1873" s="12"/>
      <c r="L1873" s="16"/>
      <c r="M1873" s="46"/>
      <c r="N1873" s="46"/>
      <c r="O1873" s="31"/>
      <c r="P1873" s="16"/>
      <c r="Q1873" s="16"/>
      <c r="R1873" s="16" t="str">
        <f t="shared" si="2"/>
        <v/>
      </c>
    </row>
    <row r="1874">
      <c r="B1874" s="16"/>
      <c r="C1874" s="12"/>
      <c r="D1874" s="12"/>
      <c r="E1874" s="12"/>
      <c r="F1874" s="12"/>
      <c r="G1874" s="25"/>
      <c r="H1874" s="12"/>
      <c r="I1874" s="31"/>
      <c r="J1874" s="12"/>
      <c r="K1874" s="12"/>
      <c r="L1874" s="16"/>
      <c r="M1874" s="46"/>
      <c r="N1874" s="46"/>
      <c r="O1874" s="31"/>
      <c r="P1874" s="16"/>
      <c r="Q1874" s="16"/>
      <c r="R1874" s="16" t="str">
        <f t="shared" si="2"/>
        <v/>
      </c>
    </row>
    <row r="1875">
      <c r="B1875" s="16"/>
      <c r="C1875" s="12"/>
      <c r="D1875" s="12"/>
      <c r="E1875" s="12"/>
      <c r="F1875" s="12"/>
      <c r="G1875" s="25"/>
      <c r="H1875" s="12"/>
      <c r="I1875" s="31"/>
      <c r="J1875" s="12"/>
      <c r="K1875" s="12"/>
      <c r="L1875" s="16"/>
      <c r="M1875" s="46"/>
      <c r="N1875" s="46"/>
      <c r="O1875" s="31"/>
      <c r="P1875" s="16"/>
      <c r="Q1875" s="16"/>
      <c r="R1875" s="16" t="str">
        <f t="shared" si="2"/>
        <v/>
      </c>
    </row>
    <row r="1876">
      <c r="B1876" s="16"/>
      <c r="C1876" s="12"/>
      <c r="D1876" s="12"/>
      <c r="E1876" s="12"/>
      <c r="F1876" s="12"/>
      <c r="G1876" s="25"/>
      <c r="H1876" s="12"/>
      <c r="I1876" s="31"/>
      <c r="J1876" s="12"/>
      <c r="K1876" s="12"/>
      <c r="L1876" s="16"/>
      <c r="M1876" s="46"/>
      <c r="N1876" s="46"/>
      <c r="O1876" s="31"/>
      <c r="P1876" s="16"/>
      <c r="Q1876" s="16"/>
      <c r="R1876" s="16" t="str">
        <f t="shared" si="2"/>
        <v/>
      </c>
    </row>
    <row r="1877">
      <c r="B1877" s="16"/>
      <c r="C1877" s="12"/>
      <c r="D1877" s="12"/>
      <c r="E1877" s="12"/>
      <c r="F1877" s="12"/>
      <c r="G1877" s="25"/>
      <c r="H1877" s="12"/>
      <c r="I1877" s="31"/>
      <c r="J1877" s="12"/>
      <c r="K1877" s="12"/>
      <c r="L1877" s="16"/>
      <c r="M1877" s="46"/>
      <c r="N1877" s="46"/>
      <c r="O1877" s="31"/>
      <c r="P1877" s="16"/>
      <c r="Q1877" s="16"/>
      <c r="R1877" s="16" t="str">
        <f t="shared" si="2"/>
        <v/>
      </c>
    </row>
    <row r="1878">
      <c r="B1878" s="16"/>
      <c r="C1878" s="12"/>
      <c r="D1878" s="12"/>
      <c r="E1878" s="12"/>
      <c r="F1878" s="12"/>
      <c r="G1878" s="25"/>
      <c r="H1878" s="12"/>
      <c r="I1878" s="31"/>
      <c r="J1878" s="12"/>
      <c r="K1878" s="12"/>
      <c r="L1878" s="16"/>
      <c r="M1878" s="46"/>
      <c r="N1878" s="46"/>
      <c r="O1878" s="31"/>
      <c r="P1878" s="16"/>
      <c r="Q1878" s="16"/>
      <c r="R1878" s="16" t="str">
        <f t="shared" si="2"/>
        <v/>
      </c>
    </row>
    <row r="1879">
      <c r="B1879" s="16"/>
      <c r="C1879" s="12"/>
      <c r="D1879" s="12"/>
      <c r="E1879" s="12"/>
      <c r="F1879" s="12"/>
      <c r="G1879" s="25"/>
      <c r="H1879" s="12"/>
      <c r="I1879" s="31"/>
      <c r="J1879" s="12"/>
      <c r="K1879" s="12"/>
      <c r="L1879" s="16"/>
      <c r="M1879" s="46"/>
      <c r="N1879" s="46"/>
      <c r="O1879" s="31"/>
      <c r="P1879" s="16"/>
      <c r="Q1879" s="16"/>
      <c r="R1879" s="16" t="str">
        <f t="shared" si="2"/>
        <v/>
      </c>
    </row>
    <row r="1880">
      <c r="B1880" s="16"/>
      <c r="C1880" s="12"/>
      <c r="D1880" s="12"/>
      <c r="E1880" s="12"/>
      <c r="F1880" s="12"/>
      <c r="G1880" s="25"/>
      <c r="H1880" s="12"/>
      <c r="I1880" s="31"/>
      <c r="J1880" s="12"/>
      <c r="K1880" s="12"/>
      <c r="L1880" s="16"/>
      <c r="M1880" s="46"/>
      <c r="N1880" s="46"/>
      <c r="O1880" s="31"/>
      <c r="P1880" s="16"/>
      <c r="Q1880" s="16"/>
      <c r="R1880" s="16" t="str">
        <f t="shared" si="2"/>
        <v/>
      </c>
    </row>
    <row r="1881">
      <c r="B1881" s="16"/>
      <c r="C1881" s="12"/>
      <c r="D1881" s="12"/>
      <c r="E1881" s="12"/>
      <c r="F1881" s="12"/>
      <c r="G1881" s="25"/>
      <c r="H1881" s="12"/>
      <c r="I1881" s="31"/>
      <c r="J1881" s="12"/>
      <c r="K1881" s="12"/>
      <c r="L1881" s="16"/>
      <c r="M1881" s="46"/>
      <c r="N1881" s="46"/>
      <c r="O1881" s="31"/>
      <c r="P1881" s="16"/>
      <c r="Q1881" s="16"/>
      <c r="R1881" s="16" t="str">
        <f t="shared" si="2"/>
        <v/>
      </c>
    </row>
    <row r="1882">
      <c r="B1882" s="16"/>
      <c r="C1882" s="12"/>
      <c r="D1882" s="12"/>
      <c r="E1882" s="12"/>
      <c r="F1882" s="12"/>
      <c r="G1882" s="25"/>
      <c r="H1882" s="12"/>
      <c r="I1882" s="31"/>
      <c r="J1882" s="12"/>
      <c r="K1882" s="12"/>
      <c r="L1882" s="16"/>
      <c r="M1882" s="46"/>
      <c r="N1882" s="46"/>
      <c r="O1882" s="31"/>
      <c r="P1882" s="16"/>
      <c r="Q1882" s="16"/>
      <c r="R1882" s="16" t="str">
        <f t="shared" si="2"/>
        <v/>
      </c>
    </row>
    <row r="1883">
      <c r="B1883" s="16"/>
      <c r="C1883" s="12"/>
      <c r="D1883" s="12"/>
      <c r="E1883" s="12"/>
      <c r="F1883" s="12"/>
      <c r="G1883" s="25"/>
      <c r="H1883" s="12"/>
      <c r="I1883" s="31"/>
      <c r="J1883" s="12"/>
      <c r="K1883" s="12"/>
      <c r="L1883" s="16"/>
      <c r="M1883" s="46"/>
      <c r="N1883" s="46"/>
      <c r="O1883" s="31"/>
      <c r="P1883" s="16"/>
      <c r="Q1883" s="16"/>
      <c r="R1883" s="16" t="str">
        <f t="shared" si="2"/>
        <v/>
      </c>
    </row>
    <row r="1884">
      <c r="B1884" s="16"/>
      <c r="C1884" s="12"/>
      <c r="D1884" s="12"/>
      <c r="E1884" s="12"/>
      <c r="F1884" s="12"/>
      <c r="G1884" s="25"/>
      <c r="H1884" s="12"/>
      <c r="I1884" s="31"/>
      <c r="J1884" s="12"/>
      <c r="K1884" s="12"/>
      <c r="L1884" s="16"/>
      <c r="M1884" s="46"/>
      <c r="N1884" s="46"/>
      <c r="O1884" s="31"/>
      <c r="P1884" s="16"/>
      <c r="Q1884" s="16"/>
      <c r="R1884" s="16" t="str">
        <f t="shared" si="2"/>
        <v/>
      </c>
    </row>
    <row r="1885">
      <c r="B1885" s="16"/>
      <c r="C1885" s="12"/>
      <c r="D1885" s="12"/>
      <c r="E1885" s="12"/>
      <c r="F1885" s="12"/>
      <c r="G1885" s="25"/>
      <c r="H1885" s="12"/>
      <c r="I1885" s="31"/>
      <c r="J1885" s="12"/>
      <c r="K1885" s="12"/>
      <c r="L1885" s="16"/>
      <c r="M1885" s="46"/>
      <c r="N1885" s="46"/>
      <c r="O1885" s="31"/>
      <c r="P1885" s="16"/>
      <c r="Q1885" s="16"/>
      <c r="R1885" s="16" t="str">
        <f t="shared" si="2"/>
        <v/>
      </c>
    </row>
    <row r="1886">
      <c r="B1886" s="16"/>
      <c r="C1886" s="12"/>
      <c r="D1886" s="12"/>
      <c r="E1886" s="12"/>
      <c r="F1886" s="12"/>
      <c r="G1886" s="25"/>
      <c r="H1886" s="12"/>
      <c r="I1886" s="31"/>
      <c r="J1886" s="12"/>
      <c r="K1886" s="12"/>
      <c r="L1886" s="16"/>
      <c r="M1886" s="46"/>
      <c r="N1886" s="46"/>
      <c r="O1886" s="31"/>
      <c r="P1886" s="16"/>
      <c r="Q1886" s="16"/>
      <c r="R1886" s="16" t="str">
        <f t="shared" si="2"/>
        <v/>
      </c>
    </row>
    <row r="1887">
      <c r="B1887" s="16"/>
      <c r="C1887" s="12"/>
      <c r="D1887" s="12"/>
      <c r="E1887" s="12"/>
      <c r="F1887" s="12"/>
      <c r="G1887" s="25"/>
      <c r="H1887" s="12"/>
      <c r="I1887" s="31"/>
      <c r="J1887" s="12"/>
      <c r="K1887" s="12"/>
      <c r="L1887" s="16"/>
      <c r="M1887" s="46"/>
      <c r="N1887" s="46"/>
      <c r="O1887" s="31"/>
      <c r="P1887" s="16"/>
      <c r="Q1887" s="16"/>
      <c r="R1887" s="16" t="str">
        <f t="shared" si="2"/>
        <v/>
      </c>
    </row>
    <row r="1888">
      <c r="B1888" s="16"/>
      <c r="C1888" s="12"/>
      <c r="D1888" s="12"/>
      <c r="E1888" s="12"/>
      <c r="F1888" s="12"/>
      <c r="G1888" s="25"/>
      <c r="H1888" s="12"/>
      <c r="I1888" s="31"/>
      <c r="J1888" s="12"/>
      <c r="K1888" s="12"/>
      <c r="L1888" s="16"/>
      <c r="M1888" s="46"/>
      <c r="N1888" s="46"/>
      <c r="O1888" s="31"/>
      <c r="P1888" s="16"/>
      <c r="Q1888" s="16"/>
      <c r="R1888" s="16" t="str">
        <f t="shared" si="2"/>
        <v/>
      </c>
    </row>
    <row r="1889">
      <c r="B1889" s="16"/>
      <c r="C1889" s="12"/>
      <c r="D1889" s="12"/>
      <c r="E1889" s="12"/>
      <c r="F1889" s="12"/>
      <c r="G1889" s="25"/>
      <c r="H1889" s="12"/>
      <c r="I1889" s="31"/>
      <c r="J1889" s="12"/>
      <c r="K1889" s="12"/>
      <c r="L1889" s="16"/>
      <c r="M1889" s="46"/>
      <c r="N1889" s="46"/>
      <c r="O1889" s="31"/>
      <c r="P1889" s="16"/>
      <c r="Q1889" s="16"/>
      <c r="R1889" s="16" t="str">
        <f t="shared" si="2"/>
        <v/>
      </c>
    </row>
    <row r="1890">
      <c r="B1890" s="16"/>
      <c r="C1890" s="12"/>
      <c r="D1890" s="12"/>
      <c r="E1890" s="12"/>
      <c r="F1890" s="12"/>
      <c r="G1890" s="25"/>
      <c r="H1890" s="12"/>
      <c r="I1890" s="31"/>
      <c r="J1890" s="12"/>
      <c r="K1890" s="12"/>
      <c r="L1890" s="16"/>
      <c r="M1890" s="46"/>
      <c r="N1890" s="46"/>
      <c r="O1890" s="31"/>
      <c r="P1890" s="16"/>
      <c r="Q1890" s="16"/>
      <c r="R1890" s="16" t="str">
        <f t="shared" si="2"/>
        <v/>
      </c>
    </row>
    <row r="1891">
      <c r="B1891" s="16"/>
      <c r="C1891" s="12"/>
      <c r="D1891" s="12"/>
      <c r="E1891" s="12"/>
      <c r="F1891" s="12"/>
      <c r="G1891" s="25"/>
      <c r="H1891" s="12"/>
      <c r="I1891" s="31"/>
      <c r="J1891" s="12"/>
      <c r="K1891" s="12"/>
      <c r="L1891" s="16"/>
      <c r="M1891" s="46"/>
      <c r="N1891" s="46"/>
      <c r="O1891" s="31"/>
      <c r="P1891" s="16"/>
      <c r="Q1891" s="16"/>
      <c r="R1891" s="16" t="str">
        <f t="shared" si="2"/>
        <v/>
      </c>
    </row>
    <row r="1892">
      <c r="B1892" s="16"/>
      <c r="C1892" s="12"/>
      <c r="D1892" s="12"/>
      <c r="E1892" s="12"/>
      <c r="F1892" s="12"/>
      <c r="G1892" s="25"/>
      <c r="H1892" s="12"/>
      <c r="I1892" s="31"/>
      <c r="J1892" s="12"/>
      <c r="K1892" s="12"/>
      <c r="L1892" s="16"/>
      <c r="M1892" s="46"/>
      <c r="N1892" s="46"/>
      <c r="O1892" s="31"/>
      <c r="P1892" s="16"/>
      <c r="Q1892" s="16"/>
      <c r="R1892" s="16" t="str">
        <f t="shared" si="2"/>
        <v/>
      </c>
    </row>
    <row r="1893">
      <c r="B1893" s="16"/>
      <c r="C1893" s="12"/>
      <c r="D1893" s="12"/>
      <c r="E1893" s="12"/>
      <c r="F1893" s="12"/>
      <c r="G1893" s="25"/>
      <c r="H1893" s="12"/>
      <c r="I1893" s="31"/>
      <c r="J1893" s="12"/>
      <c r="K1893" s="12"/>
      <c r="L1893" s="16"/>
      <c r="M1893" s="46"/>
      <c r="N1893" s="46"/>
      <c r="O1893" s="31"/>
      <c r="P1893" s="16"/>
      <c r="Q1893" s="16"/>
      <c r="R1893" s="16" t="str">
        <f t="shared" si="2"/>
        <v/>
      </c>
    </row>
  </sheetData>
  <mergeCells count="2">
    <mergeCell ref="A1:D1"/>
    <mergeCell ref="A2:D2"/>
  </mergeCells>
  <conditionalFormatting sqref="E643:E714 E985:E1038">
    <cfRule type="expression" dxfId="0" priority="1">
      <formula>COUNT.SE()</formula>
    </cfRule>
  </conditionalFormatting>
  <conditionalFormatting sqref="A3:S3">
    <cfRule type="notContainsBlanks" dxfId="0" priority="2">
      <formula>LEN(TRIM(A3))&gt;0</formula>
    </cfRule>
  </conditionalFormatting>
  <conditionalFormatting sqref="R4:R1893">
    <cfRule type="containsText" dxfId="1" priority="3" operator="containsText" text="Igual">
      <formula>NOT(ISERROR(SEARCH(("Igual"),(R4))))</formula>
    </cfRule>
  </conditionalFormatting>
  <conditionalFormatting sqref="R4:R1893">
    <cfRule type="containsText" dxfId="2" priority="4" operator="containsText" text="Diferente">
      <formula>NOT(ISERROR(SEARCH(("Diferente"),(R4))))</formula>
    </cfRule>
  </conditionalFormatting>
  <conditionalFormatting sqref="E1:E1893">
    <cfRule type="expression" dxfId="3" priority="5">
      <formula>COUNTIF(E:E,E1)&gt;1</formula>
    </cfRule>
  </conditionalFormatting>
  <dataValidations>
    <dataValidation type="list" allowBlank="1" showErrorMessage="1" sqref="P4:Q1893">
      <formula1>"Sim,Não,Parcialmente"</formula1>
    </dataValidation>
    <dataValidation type="list" allowBlank="1" showErrorMessage="1" sqref="L4:L1893">
      <formula1>"RQ1,RQ2,RQ3,RQ4,RQ5,RQ6,RQ7,RQ8,RQ9"</formula1>
    </dataValidation>
    <dataValidation type="list" allowBlank="1" showErrorMessage="1" sqref="B4:B1893">
      <formula1>"Conference,Journal"</formula1>
    </dataValidation>
  </dataValidations>
  <hyperlinks>
    <hyperlink r:id="rId1" ref="F4"/>
    <hyperlink r:id="rId2" ref="F13"/>
    <hyperlink r:id="rId3" ref="F22"/>
    <hyperlink r:id="rId4" ref="F31"/>
    <hyperlink r:id="rId5" ref="F40"/>
    <hyperlink r:id="rId6" ref="F49"/>
    <hyperlink r:id="rId7" ref="F58"/>
    <hyperlink r:id="rId8" ref="F67"/>
    <hyperlink r:id="rId9" ref="F76"/>
    <hyperlink r:id="rId10" ref="F85"/>
    <hyperlink r:id="rId11" ref="F94"/>
    <hyperlink r:id="rId12" ref="F103"/>
    <hyperlink r:id="rId13" ref="F112"/>
    <hyperlink r:id="rId14" ref="F121"/>
    <hyperlink r:id="rId15" ref="F130"/>
    <hyperlink r:id="rId16" ref="F139"/>
    <hyperlink r:id="rId17" ref="F148"/>
    <hyperlink r:id="rId18" ref="F157"/>
    <hyperlink r:id="rId19" ref="F166"/>
    <hyperlink r:id="rId20" ref="F175"/>
    <hyperlink r:id="rId21" ref="F184"/>
    <hyperlink r:id="rId22" ref="F193"/>
    <hyperlink r:id="rId23" ref="F202"/>
    <hyperlink r:id="rId24" ref="F211"/>
    <hyperlink r:id="rId25" ref="F220"/>
    <hyperlink r:id="rId26" ref="F229"/>
    <hyperlink r:id="rId27" ref="F238"/>
    <hyperlink r:id="rId28" ref="F247"/>
    <hyperlink r:id="rId29" ref="F256"/>
    <hyperlink r:id="rId30" ref="F265"/>
    <hyperlink r:id="rId31" ref="F274"/>
    <hyperlink r:id="rId32" ref="F283"/>
    <hyperlink r:id="rId33" ref="F292"/>
    <hyperlink r:id="rId34" ref="F301"/>
    <hyperlink r:id="rId35" ref="F310"/>
    <hyperlink r:id="rId36" ref="F319"/>
    <hyperlink r:id="rId37" ref="F328"/>
    <hyperlink r:id="rId38" ref="F337"/>
    <hyperlink r:id="rId39" ref="F346"/>
    <hyperlink r:id="rId40" ref="F355"/>
    <hyperlink r:id="rId41" ref="F364"/>
    <hyperlink r:id="rId42" ref="F373"/>
    <hyperlink r:id="rId43" ref="F382"/>
    <hyperlink r:id="rId44" ref="F391"/>
    <hyperlink r:id="rId45" ref="F400"/>
    <hyperlink r:id="rId46" ref="F409"/>
    <hyperlink r:id="rId47" ref="F418"/>
    <hyperlink r:id="rId48" ref="F427"/>
    <hyperlink r:id="rId49" ref="F436"/>
    <hyperlink r:id="rId50" ref="F445"/>
    <hyperlink r:id="rId51" ref="F454"/>
    <hyperlink r:id="rId52" ref="F463"/>
    <hyperlink r:id="rId53" ref="F472"/>
    <hyperlink r:id="rId54" ref="F481"/>
    <hyperlink r:id="rId55" ref="F490"/>
    <hyperlink r:id="rId56" ref="F499"/>
    <hyperlink r:id="rId57" ref="F508"/>
    <hyperlink r:id="rId58" ref="F517"/>
    <hyperlink r:id="rId59" ref="F526"/>
    <hyperlink r:id="rId60" ref="F535"/>
    <hyperlink r:id="rId61" ref="F544"/>
    <hyperlink r:id="rId62" ref="F553"/>
    <hyperlink r:id="rId63" ref="F562"/>
    <hyperlink r:id="rId64" ref="F571"/>
    <hyperlink r:id="rId65" ref="F580"/>
    <hyperlink r:id="rId66" ref="F589"/>
    <hyperlink r:id="rId67" ref="F598"/>
    <hyperlink r:id="rId68" ref="F607"/>
    <hyperlink r:id="rId69" ref="F616"/>
    <hyperlink r:id="rId70" ref="F625"/>
    <hyperlink r:id="rId71" ref="F634"/>
    <hyperlink r:id="rId72" ref="F643"/>
    <hyperlink r:id="rId73" ref="F652"/>
    <hyperlink r:id="rId74" ref="F661"/>
    <hyperlink r:id="rId75" ref="F670"/>
    <hyperlink r:id="rId76" ref="F679"/>
    <hyperlink r:id="rId77" ref="F688"/>
    <hyperlink r:id="rId78" ref="F697"/>
    <hyperlink r:id="rId79" ref="F706"/>
    <hyperlink r:id="rId80" ref="F715"/>
    <hyperlink r:id="rId81" ref="F724"/>
    <hyperlink r:id="rId82" ref="F733"/>
    <hyperlink r:id="rId83" ref="F742"/>
    <hyperlink r:id="rId84" ref="F751"/>
    <hyperlink r:id="rId85" ref="F760"/>
    <hyperlink r:id="rId86" ref="F769"/>
    <hyperlink r:id="rId87" ref="F778"/>
    <hyperlink r:id="rId88" ref="F787"/>
    <hyperlink r:id="rId89" ref="F796"/>
    <hyperlink r:id="rId90" ref="F805"/>
    <hyperlink r:id="rId91" ref="F814"/>
    <hyperlink r:id="rId92" ref="F823"/>
    <hyperlink r:id="rId93" ref="F832"/>
    <hyperlink r:id="rId94" ref="F841"/>
    <hyperlink r:id="rId95" ref="F850"/>
    <hyperlink r:id="rId96" ref="F859"/>
    <hyperlink r:id="rId97" ref="F868"/>
    <hyperlink r:id="rId98" ref="F877"/>
    <hyperlink r:id="rId99" ref="F886"/>
    <hyperlink r:id="rId100" ref="F895"/>
    <hyperlink r:id="rId101" ref="F904"/>
    <hyperlink r:id="rId102" ref="F913"/>
    <hyperlink r:id="rId103" ref="F922"/>
    <hyperlink r:id="rId104" ref="F931"/>
    <hyperlink r:id="rId105" ref="F940"/>
    <hyperlink r:id="rId106" ref="F949"/>
    <hyperlink r:id="rId107" ref="F958"/>
    <hyperlink r:id="rId108" ref="F967"/>
    <hyperlink r:id="rId109" ref="F976"/>
    <hyperlink r:id="rId110" ref="F985"/>
    <hyperlink r:id="rId111" ref="F994"/>
    <hyperlink r:id="rId112" ref="F1003"/>
    <hyperlink r:id="rId113" ref="F1012"/>
    <hyperlink r:id="rId114" ref="F1021"/>
    <hyperlink r:id="rId115" ref="F1030"/>
  </hyperlinks>
  <drawing r:id="rId1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7.38"/>
    <col customWidth="1" min="3" max="3" width="17.88"/>
    <col customWidth="1" min="4" max="4" width="16.38"/>
    <col customWidth="1" min="5" max="5" width="19.38"/>
    <col customWidth="1" min="6" max="6" width="17.88"/>
    <col customWidth="1" min="7" max="7" width="16.13"/>
    <col customWidth="1" min="8" max="8" width="14.63"/>
    <col customWidth="1" min="9" max="9" width="12.13"/>
  </cols>
  <sheetData>
    <row r="1">
      <c r="A1" s="61" t="s">
        <v>2752</v>
      </c>
      <c r="B1" s="61" t="s">
        <v>2753</v>
      </c>
      <c r="C1" s="61" t="s">
        <v>2754</v>
      </c>
      <c r="D1" s="61" t="s">
        <v>2755</v>
      </c>
      <c r="E1" s="61" t="s">
        <v>2756</v>
      </c>
      <c r="F1" s="61" t="s">
        <v>2757</v>
      </c>
      <c r="G1" s="61" t="s">
        <v>2758</v>
      </c>
      <c r="H1" s="61" t="s">
        <v>2759</v>
      </c>
      <c r="I1" s="61" t="s">
        <v>2760</v>
      </c>
    </row>
    <row r="2">
      <c r="A2" s="14" t="s">
        <v>25</v>
      </c>
      <c r="B2" s="16">
        <f>COUNTIF('Extração'!L:L,A2)</f>
        <v>115</v>
      </c>
      <c r="C2" s="16">
        <f>IF(B2=0,"",COUNTIFS('Extração'!P:P,"Sim",'Extração'!L:L,A2)/B2)</f>
        <v>0.6173913043</v>
      </c>
      <c r="D2" s="16">
        <f>IF(B2=0,"",COUNTIFS('Extração'!Q:Q,"Sim",'Extração'!L:L,A2)/B2)</f>
        <v>0.7304347826</v>
      </c>
      <c r="E2" s="16">
        <f>IF(B2=0,"",COUNTIFS('Extração'!P:P,"Parcialmente",'Extração'!L:L,A2)/B2)</f>
        <v>0.0347826087</v>
      </c>
      <c r="F2" s="16">
        <f>IF(B2=0,"",COUNTIFS('Extração'!Q:Q,"Parcialmente",'Extração'!L:L,A2)/B2)</f>
        <v>0.04347826087</v>
      </c>
      <c r="G2" s="16">
        <f>IF(B2=0,"",COUNTIFS('Extração'!P:P,"Não",'Extração'!L:L,A2)/B2)</f>
        <v>0.2869565217</v>
      </c>
      <c r="H2" s="16">
        <f>IF(B2=0,"",COUNTIFS('Extração'!Q:Q,"Não",'Extração'!L:L,A2)/B2)</f>
        <v>0.1652173913</v>
      </c>
      <c r="I2" s="16">
        <f>IF(B2=0,"",COUNTIFS('Extração'!R:R,"Igual",'Extração'!L:L,A2)/B2)</f>
        <v>0.6347826087</v>
      </c>
    </row>
    <row r="3">
      <c r="A3" s="14" t="s">
        <v>31</v>
      </c>
      <c r="B3" s="16">
        <f>COUNTIF('Extração'!L:L,A3)</f>
        <v>115</v>
      </c>
      <c r="C3" s="16">
        <f>IF(B3=0,"",COUNTIFS('Extração'!P:P,"Sim",'Extração'!L:L,A3)/B3)</f>
        <v>0.6434782609</v>
      </c>
      <c r="D3" s="16">
        <f>IF(B3=0,"",COUNTIFS('Extração'!Q:Q,"Sim",'Extração'!L:L,A3)/B3)</f>
        <v>0.7739130435</v>
      </c>
      <c r="E3" s="16">
        <f>IF(B3=0,"",COUNTIFS('Extração'!P:P,"Parcialmente",'Extração'!L:L,A3)/B3)</f>
        <v>0.05217391304</v>
      </c>
      <c r="F3" s="16">
        <f>IF(B3=0,"",COUNTIFS('Extração'!Q:Q,"Parcialmente",'Extração'!L:L,A3)/B3)</f>
        <v>0.01739130435</v>
      </c>
      <c r="G3" s="16">
        <f>IF(B3=0,"",COUNTIFS('Extração'!P:P,"Não",'Extração'!L:L,A3)/B3)</f>
        <v>0.2434782609</v>
      </c>
      <c r="H3" s="16">
        <f>IF(B3=0,"",COUNTIFS('Extração'!Q:Q,"Não",'Extração'!L:L,A3)/B3)</f>
        <v>0.147826087</v>
      </c>
      <c r="I3" s="16">
        <f>IF(B3=0,"",COUNTIFS('Extração'!R:R,"Igual",'Extração'!L:L,A3)/B3)</f>
        <v>0.6260869565</v>
      </c>
    </row>
    <row r="4">
      <c r="A4" s="14" t="s">
        <v>36</v>
      </c>
      <c r="B4" s="16">
        <f>COUNTIF('Extração'!L:L,A4)</f>
        <v>115</v>
      </c>
      <c r="C4" s="16">
        <f>IF(B4=0,"",COUNTIFS('Extração'!P:P,"Sim",'Extração'!L:L,A4)/B4)</f>
        <v>0.6086956522</v>
      </c>
      <c r="D4" s="16">
        <f>IF(B4=0,"",COUNTIFS('Extração'!Q:Q,"Sim",'Extração'!L:L,A4)/B4)</f>
        <v>0.7913043478</v>
      </c>
      <c r="E4" s="16">
        <f>IF(B4=0,"",COUNTIFS('Extração'!P:P,"Parcialmente",'Extração'!L:L,A4)/B4)</f>
        <v>0.07826086957</v>
      </c>
      <c r="F4" s="16">
        <f>IF(B4=0,"",COUNTIFS('Extração'!Q:Q,"Parcialmente",'Extração'!L:L,A4)/B4)</f>
        <v>0.05217391304</v>
      </c>
      <c r="G4" s="16">
        <f>IF(B4=0,"",COUNTIFS('Extração'!P:P,"Não",'Extração'!L:L,A4)/B4)</f>
        <v>0.2434782609</v>
      </c>
      <c r="H4" s="16">
        <f>IF(B4=0,"",COUNTIFS('Extração'!Q:Q,"Não",'Extração'!L:L,A4)/B4)</f>
        <v>0.08695652174</v>
      </c>
      <c r="I4" s="16">
        <f>IF(B4=0,"",COUNTIFS('Extração'!R:R,"Igual",'Extração'!L:L,A4)/B4)</f>
        <v>0.547826087</v>
      </c>
    </row>
    <row r="5">
      <c r="A5" s="14" t="s">
        <v>41</v>
      </c>
      <c r="B5" s="16">
        <f>COUNTIF('Extração'!L:L,A5)</f>
        <v>115</v>
      </c>
      <c r="C5" s="16">
        <f>IF(B5=0,"",COUNTIFS('Extração'!P:P,"Sim",'Extração'!L:L,A5)/B5)</f>
        <v>0.5130434783</v>
      </c>
      <c r="D5" s="16">
        <f>IF(B5=0,"",COUNTIFS('Extração'!Q:Q,"Sim",'Extração'!L:L,A5)/B5)</f>
        <v>0.7043478261</v>
      </c>
      <c r="E5" s="16">
        <f>IF(B5=0,"",COUNTIFS('Extração'!P:P,"Parcialmente",'Extração'!L:L,A5)/B5)</f>
        <v>0.08695652174</v>
      </c>
      <c r="F5" s="16">
        <f>IF(B5=0,"",COUNTIFS('Extração'!Q:Q,"Parcialmente",'Extração'!L:L,A5)/B5)</f>
        <v>0.06086956522</v>
      </c>
      <c r="G5" s="16">
        <f>IF(B5=0,"",COUNTIFS('Extração'!P:P,"Não",'Extração'!L:L,A5)/B5)</f>
        <v>0.3391304348</v>
      </c>
      <c r="H5" s="16">
        <f>IF(B5=0,"",COUNTIFS('Extração'!Q:Q,"Não",'Extração'!L:L,A5)/B5)</f>
        <v>0.1739130435</v>
      </c>
      <c r="I5" s="16">
        <f>IF(B5=0,"",COUNTIFS('Extração'!R:R,"Igual",'Extração'!L:L,A5)/B5)</f>
        <v>0.452173913</v>
      </c>
    </row>
    <row r="6">
      <c r="A6" s="14" t="s">
        <v>47</v>
      </c>
      <c r="B6" s="16">
        <f>COUNTIF('Extração'!L:L,A6)</f>
        <v>115</v>
      </c>
      <c r="C6" s="16">
        <f>IF(B6=0,"",COUNTIFS('Extração'!P:P,"Sim",'Extração'!L:L,A6)/B6)</f>
        <v>0.6782608696</v>
      </c>
      <c r="D6" s="16">
        <f>IF(B6=0,"",COUNTIFS('Extração'!Q:Q,"Sim",'Extração'!L:L,A6)/B6)</f>
        <v>0.7565217391</v>
      </c>
      <c r="E6" s="16">
        <f>IF(B6=0,"",COUNTIFS('Extração'!P:P,"Parcialmente",'Extração'!L:L,A6)/B6)</f>
        <v>0.0347826087</v>
      </c>
      <c r="F6" s="16">
        <f>IF(B6=0,"",COUNTIFS('Extração'!Q:Q,"Parcialmente",'Extração'!L:L,A6)/B6)</f>
        <v>0.06086956522</v>
      </c>
      <c r="G6" s="16">
        <f>IF(B6=0,"",COUNTIFS('Extração'!P:P,"Não",'Extração'!L:L,A6)/B6)</f>
        <v>0.2173913043</v>
      </c>
      <c r="H6" s="16">
        <f>IF(B6=0,"",COUNTIFS('Extração'!Q:Q,"Não",'Extração'!L:L,A6)/B6)</f>
        <v>0.1130434783</v>
      </c>
      <c r="I6" s="16">
        <f>IF(B6=0,"",COUNTIFS('Extração'!R:R,"Igual",'Extração'!L:L,A6)/B6)</f>
        <v>0.6782608696</v>
      </c>
    </row>
    <row r="7">
      <c r="A7" s="14" t="s">
        <v>53</v>
      </c>
      <c r="B7" s="16">
        <f>COUNTIF('Extração'!L:L,A7)</f>
        <v>115</v>
      </c>
      <c r="C7" s="16">
        <f>IF(B7=0,"",COUNTIFS('Extração'!P:P,"Sim",'Extração'!L:L,A7)/B7)</f>
        <v>0.6869565217</v>
      </c>
      <c r="D7" s="16">
        <f>IF(B7=0,"",COUNTIFS('Extração'!Q:Q,"Sim",'Extração'!L:L,A7)/B7)</f>
        <v>0.7739130435</v>
      </c>
      <c r="E7" s="16">
        <f>IF(B7=0,"",COUNTIFS('Extração'!P:P,"Parcialmente",'Extração'!L:L,A7)/B7)</f>
        <v>0.0347826087</v>
      </c>
      <c r="F7" s="16">
        <f>IF(B7=0,"",COUNTIFS('Extração'!Q:Q,"Parcialmente",'Extração'!L:L,A7)/B7)</f>
        <v>0.01739130435</v>
      </c>
      <c r="G7" s="16">
        <f>IF(B7=0,"",COUNTIFS('Extração'!P:P,"Não",'Extração'!L:L,A7)/B7)</f>
        <v>0.2173913043</v>
      </c>
      <c r="H7" s="16">
        <f>IF(B7=0,"",COUNTIFS('Extração'!Q:Q,"Não",'Extração'!L:L,A7)/B7)</f>
        <v>0.1391304348</v>
      </c>
      <c r="I7" s="16">
        <f>IF(B7=0,"",COUNTIFS('Extração'!R:R,"Igual",'Extração'!L:L,A7)/B7)</f>
        <v>0.8</v>
      </c>
    </row>
    <row r="8">
      <c r="A8" s="14" t="s">
        <v>59</v>
      </c>
      <c r="B8" s="16">
        <f>COUNTIF('Extração'!L:L,A8)</f>
        <v>115</v>
      </c>
      <c r="C8" s="16">
        <f>IF(B8=0,"",COUNTIFS('Extração'!P:P,"Sim",'Extração'!L:L,A8)/B8)</f>
        <v>0.6608695652</v>
      </c>
      <c r="D8" s="16">
        <f>IF(B8=0,"",COUNTIFS('Extração'!Q:Q,"Sim",'Extração'!L:L,A8)/B8)</f>
        <v>0.7739130435</v>
      </c>
      <c r="E8" s="16">
        <f>IF(B8=0,"",COUNTIFS('Extração'!P:P,"Parcialmente",'Extração'!L:L,A8)/B8)</f>
        <v>0.04347826087</v>
      </c>
      <c r="F8" s="16">
        <f>IF(B8=0,"",COUNTIFS('Extração'!Q:Q,"Parcialmente",'Extração'!L:L,A8)/B8)</f>
        <v>0.04347826087</v>
      </c>
      <c r="G8" s="16">
        <f>IF(B8=0,"",COUNTIFS('Extração'!P:P,"Não",'Extração'!L:L,A8)/B8)</f>
        <v>0.2260869565</v>
      </c>
      <c r="H8" s="16">
        <f>IF(B8=0,"",COUNTIFS('Extração'!Q:Q,"Não",'Extração'!L:L,A8)/B8)</f>
        <v>0.1130434783</v>
      </c>
      <c r="I8" s="16">
        <f>IF(B8=0,"",COUNTIFS('Extração'!R:R,"Igual",'Extração'!L:L,A8)/B8)</f>
        <v>0.6869565217</v>
      </c>
    </row>
    <row r="9">
      <c r="A9" s="14" t="s">
        <v>65</v>
      </c>
      <c r="B9" s="16">
        <f>COUNTIF('Extração'!L:L,A9)</f>
        <v>115</v>
      </c>
      <c r="C9" s="16">
        <f>IF(B9=0,"",COUNTIFS('Extração'!P:P,"Sim",'Extração'!L:L,A9)/B9)</f>
        <v>0.7826086957</v>
      </c>
      <c r="D9" s="16">
        <f>IF(B9=0,"",COUNTIFS('Extração'!Q:Q,"Sim",'Extração'!L:L,A9)/B9)</f>
        <v>0.8434782609</v>
      </c>
      <c r="E9" s="16">
        <f>IF(B9=0,"",COUNTIFS('Extração'!P:P,"Parcialmente",'Extração'!L:L,A9)/B9)</f>
        <v>0.008695652174</v>
      </c>
      <c r="F9" s="16">
        <f>IF(B9=0,"",COUNTIFS('Extração'!Q:Q,"Parcialmente",'Extração'!L:L,A9)/B9)</f>
        <v>0</v>
      </c>
      <c r="G9" s="16">
        <f>IF(B9=0,"",COUNTIFS('Extração'!P:P,"Não",'Extração'!L:L,A9)/B9)</f>
        <v>0.147826087</v>
      </c>
      <c r="H9" s="16">
        <f>IF(B9=0,"",COUNTIFS('Extração'!Q:Q,"Não",'Extração'!L:L,A9)/B9)</f>
        <v>0.09565217391</v>
      </c>
      <c r="I9" s="16">
        <f>IF(B9=0,"",COUNTIFS('Extração'!R:R,"Igual",'Extração'!L:L,A9)/B9)</f>
        <v>0.8434782609</v>
      </c>
    </row>
    <row r="10">
      <c r="A10" s="14" t="s">
        <v>71</v>
      </c>
      <c r="B10" s="16">
        <f>COUNTIF('Extração'!L:L,A10)</f>
        <v>115</v>
      </c>
      <c r="C10" s="16">
        <f>IF(B10=0,"",COUNTIFS('Extração'!P:P,"Sim",'Extração'!L:L,A10)/B10)</f>
        <v>0.6434782609</v>
      </c>
      <c r="D10" s="16">
        <f>IF(B10=0,"",COUNTIFS('Extração'!Q:Q,"Sim",'Extração'!L:L,A10)/B10)</f>
        <v>0.6956521739</v>
      </c>
      <c r="E10" s="16">
        <f>IF(B10=0,"",COUNTIFS('Extração'!P:P,"Parcialmente",'Extração'!L:L,A10)/B10)</f>
        <v>0.06086956522</v>
      </c>
      <c r="F10" s="16">
        <f>IF(B10=0,"",COUNTIFS('Extração'!Q:Q,"Parcialmente",'Extração'!L:L,A10)/B10)</f>
        <v>0.05217391304</v>
      </c>
      <c r="G10" s="16">
        <f>IF(B10=0,"",COUNTIFS('Extração'!P:P,"Não",'Extração'!L:L,A10)/B10)</f>
        <v>0.2260869565</v>
      </c>
      <c r="H10" s="16">
        <f>IF(B10=0,"",COUNTIFS('Extração'!Q:Q,"Não",'Extração'!L:L,A10)/B10)</f>
        <v>0.1826086957</v>
      </c>
      <c r="I10" s="16">
        <f>IF(B10=0,"",COUNTIFS('Extração'!R:R,"Igual",'Extração'!L:L,A10)/B10)</f>
        <v>0.5043478261</v>
      </c>
    </row>
    <row r="11">
      <c r="A11" s="14"/>
      <c r="B11" s="16">
        <f>COUNTIF('Extração'!L:L,A11)</f>
        <v>0</v>
      </c>
      <c r="C11" s="16" t="str">
        <f>IF(B11=0,"",COUNTIFS('Extração'!P:P,"Sim",'Extração'!L:L,A11)/B11)</f>
        <v/>
      </c>
      <c r="D11" s="16" t="str">
        <f>IF(B11=0,"",COUNTIFS('Extração'!Q:Q,"Sim",'Extração'!L:L,A11)/B11)</f>
        <v/>
      </c>
      <c r="E11" s="16" t="str">
        <f>IF(B11=0,"",COUNTIFS('Extração'!P:P,"Parcialmente",'Extração'!L:L,A11)/B11)</f>
        <v/>
      </c>
      <c r="F11" s="16" t="str">
        <f>IF(B11=0,"",COUNTIFS('Extração'!Q:Q,"Parcialmente",'Extração'!L:L,A11)/B11)</f>
        <v/>
      </c>
      <c r="G11" s="16" t="str">
        <f>IF(B11=0,"",COUNTIFS('Extração'!P:P,"Não",'Extração'!L:L,A11)/B11)</f>
        <v/>
      </c>
      <c r="H11" s="16" t="str">
        <f>IF(B11=0,"",COUNTIFS('Extração'!Q:Q,"Não",'Extração'!L:L,A11)/B11)</f>
        <v/>
      </c>
      <c r="I11" s="16" t="str">
        <f>IF(B11=0,"",COUNTIFS('Extração'!R:R,"Igual",'Extração'!L:L,A11)/B11)</f>
        <v/>
      </c>
    </row>
    <row r="12">
      <c r="B12" s="16">
        <f>COUNTIF('Extração'!L:L,A12)</f>
        <v>0</v>
      </c>
      <c r="C12" s="16" t="str">
        <f>IF(B12=0,"",COUNTIFS('Extração'!P:P,"Sim",'Extração'!L:L,A12)/B12)</f>
        <v/>
      </c>
      <c r="D12" s="16" t="str">
        <f>IF(B12=0,"",COUNTIFS('Extração'!Q:Q,"Sim",'Extração'!L:L,A12)/B12)</f>
        <v/>
      </c>
      <c r="E12" s="16" t="str">
        <f>IF(B12=0,"",COUNTIFS('Extração'!P:P,"Parcialmente",'Extração'!L:L,A12)/B12)</f>
        <v/>
      </c>
      <c r="F12" s="16" t="str">
        <f>IF(B12=0,"",COUNTIFS('Extração'!Q:Q,"Parcialmente",'Extração'!L:L,A12)/B12)</f>
        <v/>
      </c>
      <c r="G12" s="16" t="str">
        <f>IF(B12=0,"",COUNTIFS('Extração'!P:P,"Não",'Extração'!L:L,A12)/B12)</f>
        <v/>
      </c>
      <c r="H12" s="16" t="str">
        <f>IF(B12=0,"",COUNTIFS('Extração'!Q:Q,"Não",'Extração'!L:L,A12)/B12)</f>
        <v/>
      </c>
      <c r="I12" s="16" t="str">
        <f>IF(B12=0,"",COUNTIFS('Extração'!R:R,"Igual",'Extração'!L:L,A12)/B12)</f>
        <v/>
      </c>
    </row>
    <row r="13">
      <c r="B13" s="16">
        <f>COUNTIF('Extração'!L:L,A13)</f>
        <v>0</v>
      </c>
      <c r="C13" s="16" t="str">
        <f>IF(B13=0,"",COUNTIFS('Extração'!P:P,"Sim",'Extração'!L:L,A13)/B13)</f>
        <v/>
      </c>
      <c r="D13" s="16" t="str">
        <f>IF(B13=0,"",COUNTIFS('Extração'!Q:Q,"Sim",'Extração'!L:L,A13)/B13)</f>
        <v/>
      </c>
      <c r="E13" s="16" t="str">
        <f>IF(B13=0,"",COUNTIFS('Extração'!P:P,"Parcialmente",'Extração'!L:L,A13)/B13)</f>
        <v/>
      </c>
      <c r="F13" s="16" t="str">
        <f>IF(B13=0,"",COUNTIFS('Extração'!Q:Q,"Parcialmente",'Extração'!L:L,A13)/B13)</f>
        <v/>
      </c>
      <c r="G13" s="16" t="str">
        <f>IF(B13=0,"",COUNTIFS('Extração'!P:P,"Não",'Extração'!L:L,A13)/B13)</f>
        <v/>
      </c>
      <c r="H13" s="16" t="str">
        <f>IF(B13=0,"",COUNTIFS('Extração'!Q:Q,"Não",'Extração'!L:L,A13)/B13)</f>
        <v/>
      </c>
      <c r="I13" s="16" t="str">
        <f>IF(B13=0,"",COUNTIFS('Extração'!R:R,"Igual",'Extração'!L:L,A13)/B13)</f>
        <v/>
      </c>
    </row>
    <row r="14">
      <c r="B14" s="16">
        <f>COUNTIF('Extração'!L:L,A14)</f>
        <v>0</v>
      </c>
      <c r="C14" s="16" t="str">
        <f>IF(B14=0,"",COUNTIFS('Extração'!P:P,"Sim",'Extração'!L:L,A14)/B14)</f>
        <v/>
      </c>
      <c r="D14" s="16" t="str">
        <f>IF(B14=0,"",COUNTIFS('Extração'!Q:Q,"Sim",'Extração'!L:L,A14)/B14)</f>
        <v/>
      </c>
      <c r="E14" s="16" t="str">
        <f>IF(B14=0,"",COUNTIFS('Extração'!P:P,"Parcialmente",'Extração'!L:L,A14)/B14)</f>
        <v/>
      </c>
      <c r="F14" s="16" t="str">
        <f>IF(B14=0,"",COUNTIFS('Extração'!Q:Q,"Parcialmente",'Extração'!L:L,A14)/B14)</f>
        <v/>
      </c>
      <c r="G14" s="16" t="str">
        <f>IF(B14=0,"",COUNTIFS('Extração'!P:P,"Não",'Extração'!L:L,A14)/B14)</f>
        <v/>
      </c>
      <c r="H14" s="16" t="str">
        <f>IF(B14=0,"",COUNTIFS('Extração'!Q:Q,"Não",'Extração'!L:L,A14)/B14)</f>
        <v/>
      </c>
      <c r="I14" s="16" t="str">
        <f>IF(B14=0,"",COUNTIFS('Extração'!R:R,"Igual",'Extração'!L:L,A14)/B14)</f>
        <v/>
      </c>
    </row>
    <row r="15">
      <c r="B15" s="16">
        <f>COUNTIF('Extração'!L:L,A15)</f>
        <v>0</v>
      </c>
      <c r="C15" s="16" t="str">
        <f>IF(B15=0,"",COUNTIFS('Extração'!P:P,"Sim",'Extração'!L:L,A15)/B15)</f>
        <v/>
      </c>
      <c r="D15" s="16" t="str">
        <f>IF(B15=0,"",COUNTIFS('Extração'!Q:Q,"Sim",'Extração'!L:L,A15)/B15)</f>
        <v/>
      </c>
      <c r="E15" s="16" t="str">
        <f>IF(B15=0,"",COUNTIFS('Extração'!P:P,"Parcialmente",'Extração'!L:L,A15)/B15)</f>
        <v/>
      </c>
      <c r="F15" s="16" t="str">
        <f>IF(B15=0,"",COUNTIFS('Extração'!Q:Q,"Parcialmente",'Extração'!L:L,A15)/B15)</f>
        <v/>
      </c>
      <c r="G15" s="16" t="str">
        <f>IF(B15=0,"",COUNTIFS('Extração'!P:P,"Não",'Extração'!L:L,A15)/B15)</f>
        <v/>
      </c>
      <c r="H15" s="16" t="str">
        <f>IF(B15=0,"",COUNTIFS('Extração'!Q:Q,"Não",'Extração'!L:L,A15)/B15)</f>
        <v/>
      </c>
      <c r="I15" s="16" t="str">
        <f>IF(B15=0,"",COUNTIFS('Extração'!R:R,"Igual",'Extração'!L:L,A15)/B15)</f>
        <v/>
      </c>
    </row>
    <row r="16">
      <c r="B16" s="16">
        <f>COUNTIF('Extração'!L:L,A16)</f>
        <v>0</v>
      </c>
      <c r="C16" s="16" t="str">
        <f>IF(B16=0,"",COUNTIFS('Extração'!P:P,"Sim",'Extração'!L:L,A16)/B16)</f>
        <v/>
      </c>
      <c r="D16" s="16" t="str">
        <f>IF(B16=0,"",COUNTIFS('Extração'!Q:Q,"Sim",'Extração'!L:L,A16)/B16)</f>
        <v/>
      </c>
      <c r="E16" s="16" t="str">
        <f>IF(B16=0,"",COUNTIFS('Extração'!P:P,"Parcialmente",'Extração'!L:L,A16)/B16)</f>
        <v/>
      </c>
      <c r="F16" s="16" t="str">
        <f>IF(B16=0,"",COUNTIFS('Extração'!Q:Q,"Parcialmente",'Extração'!L:L,A16)/B16)</f>
        <v/>
      </c>
      <c r="G16" s="16" t="str">
        <f>IF(B16=0,"",COUNTIFS('Extração'!P:P,"Não",'Extração'!L:L,A16)/B16)</f>
        <v/>
      </c>
      <c r="H16" s="16" t="str">
        <f>IF(B16=0,"",COUNTIFS('Extração'!Q:Q,"Não",'Extração'!L:L,A16)/B16)</f>
        <v/>
      </c>
      <c r="I16" s="16" t="str">
        <f>IF(B16=0,"",COUNTIFS('Extração'!R:R,"Igual",'Extração'!L:L,A16)/B16)</f>
        <v/>
      </c>
    </row>
    <row r="17">
      <c r="B17" s="16">
        <f>COUNTIF('Extração'!L:L,A17)</f>
        <v>0</v>
      </c>
      <c r="C17" s="16" t="str">
        <f>IF(B17=0,"",COUNTIFS('Extração'!P:P,"Sim",'Extração'!L:L,A17)/B17)</f>
        <v/>
      </c>
      <c r="D17" s="16" t="str">
        <f>IF(B17=0,"",COUNTIFS('Extração'!Q:Q,"Sim",'Extração'!L:L,A17)/B17)</f>
        <v/>
      </c>
      <c r="E17" s="16" t="str">
        <f>IF(B17=0,"",COUNTIFS('Extração'!P:P,"Parcialmente",'Extração'!L:L,A17)/B17)</f>
        <v/>
      </c>
      <c r="F17" s="16" t="str">
        <f>IF(B17=0,"",COUNTIFS('Extração'!Q:Q,"Parcialmente",'Extração'!L:L,A17)/B17)</f>
        <v/>
      </c>
      <c r="G17" s="16" t="str">
        <f>IF(B17=0,"",COUNTIFS('Extração'!P:P,"Não",'Extração'!L:L,A17)/B17)</f>
        <v/>
      </c>
      <c r="H17" s="16" t="str">
        <f>IF(B17=0,"",COUNTIFS('Extração'!Q:Q,"Não",'Extração'!L:L,A17)/B17)</f>
        <v/>
      </c>
      <c r="I17" s="16" t="str">
        <f>IF(B17=0,"",COUNTIFS('Extração'!R:R,"Igual",'Extração'!L:L,A17)/B17)</f>
        <v/>
      </c>
    </row>
    <row r="18">
      <c r="B18" s="16">
        <f>COUNTIF('Extração'!L:L,A18)</f>
        <v>0</v>
      </c>
      <c r="C18" s="16" t="str">
        <f>IF(B18=0,"",COUNTIFS('Extração'!P:P,"Sim",'Extração'!L:L,A18)/B18)</f>
        <v/>
      </c>
      <c r="D18" s="16" t="str">
        <f>IF(B18=0,"",COUNTIFS('Extração'!Q:Q,"Sim",'Extração'!L:L,A18)/B18)</f>
        <v/>
      </c>
      <c r="E18" s="16" t="str">
        <f>IF(B18=0,"",COUNTIFS('Extração'!P:P,"Parcialmente",'Extração'!L:L,A18)/B18)</f>
        <v/>
      </c>
      <c r="F18" s="16" t="str">
        <f>IF(B18=0,"",COUNTIFS('Extração'!Q:Q,"Parcialmente",'Extração'!L:L,A18)/B18)</f>
        <v/>
      </c>
      <c r="G18" s="16" t="str">
        <f>IF(B18=0,"",COUNTIFS('Extração'!P:P,"Não",'Extração'!L:L,A18)/B18)</f>
        <v/>
      </c>
      <c r="H18" s="16" t="str">
        <f>IF(B18=0,"",COUNTIFS('Extração'!Q:Q,"Não",'Extração'!L:L,A18)/B18)</f>
        <v/>
      </c>
      <c r="I18" s="16" t="str">
        <f>IF(B18=0,"",COUNTIFS('Extração'!R:R,"Igual",'Extração'!L:L,A18)/B18)</f>
        <v/>
      </c>
    </row>
    <row r="19">
      <c r="B19" s="16">
        <f>COUNTIF('Extração'!L:L,A19)</f>
        <v>0</v>
      </c>
      <c r="C19" s="16" t="str">
        <f>IF(B19=0,"",COUNTIFS('Extração'!P:P,"Sim",'Extração'!L:L,A19)/B19)</f>
        <v/>
      </c>
      <c r="D19" s="16" t="str">
        <f>IF(B19=0,"",COUNTIFS('Extração'!Q:Q,"Sim",'Extração'!L:L,A19)/B19)</f>
        <v/>
      </c>
      <c r="E19" s="16" t="str">
        <f>IF(B19=0,"",COUNTIFS('Extração'!P:P,"Parcialmente",'Extração'!L:L,A19)/B19)</f>
        <v/>
      </c>
      <c r="F19" s="16" t="str">
        <f>IF(B19=0,"",COUNTIFS('Extração'!Q:Q,"Parcialmente",'Extração'!L:L,A19)/B19)</f>
        <v/>
      </c>
      <c r="G19" s="16" t="str">
        <f>IF(B19=0,"",COUNTIFS('Extração'!P:P,"Não",'Extração'!L:L,A19)/B19)</f>
        <v/>
      </c>
      <c r="H19" s="16" t="str">
        <f>IF(B19=0,"",COUNTIFS('Extração'!Q:Q,"Não",'Extração'!L:L,A19)/B19)</f>
        <v/>
      </c>
      <c r="I19" s="16" t="str">
        <f>IF(B19=0,"",COUNTIFS('Extração'!R:R,"Igual",'Extração'!L:L,A19)/B19)</f>
        <v/>
      </c>
    </row>
    <row r="20">
      <c r="B20" s="16">
        <f>COUNTIF('Extração'!L:L,A20)</f>
        <v>0</v>
      </c>
      <c r="C20" s="16" t="str">
        <f>IF(B20=0,"",COUNTIFS('Extração'!P:P,"Sim",'Extração'!L:L,A20)/B20)</f>
        <v/>
      </c>
      <c r="D20" s="16" t="str">
        <f>IF(B20=0,"",COUNTIFS('Extração'!Q:Q,"Sim",'Extração'!L:L,A20)/B20)</f>
        <v/>
      </c>
      <c r="E20" s="16" t="str">
        <f>IF(B20=0,"",COUNTIFS('Extração'!P:P,"Parcialmente",'Extração'!L:L,A20)/B20)</f>
        <v/>
      </c>
      <c r="F20" s="16" t="str">
        <f>IF(B20=0,"",COUNTIFS('Extração'!Q:Q,"Parcialmente",'Extração'!L:L,A20)/B20)</f>
        <v/>
      </c>
      <c r="G20" s="16" t="str">
        <f>IF(B20=0,"",COUNTIFS('Extração'!P:P,"Não",'Extração'!L:L,A20)/B20)</f>
        <v/>
      </c>
      <c r="H20" s="16" t="str">
        <f>IF(B20=0,"",COUNTIFS('Extração'!Q:Q,"Não",'Extração'!L:L,A20)/B20)</f>
        <v/>
      </c>
      <c r="I20" s="16" t="str">
        <f>IF(B20=0,"",COUNTIFS('Extração'!R:R,"Igual",'Extração'!L:L,A20)/B20)</f>
        <v/>
      </c>
    </row>
    <row r="21">
      <c r="B21" s="16">
        <f>COUNTIF('Extração'!L:L,A21)</f>
        <v>0</v>
      </c>
      <c r="C21" s="16" t="str">
        <f>IF(B21=0,"",COUNTIFS('Extração'!P:P,"Sim",'Extração'!L:L,A21)/B21)</f>
        <v/>
      </c>
      <c r="D21" s="16" t="str">
        <f>IF(B21=0,"",COUNTIFS('Extração'!Q:Q,"Sim",'Extração'!L:L,A21)/B21)</f>
        <v/>
      </c>
      <c r="E21" s="16" t="str">
        <f>IF(B21=0,"",COUNTIFS('Extração'!P:P,"Parcialmente",'Extração'!L:L,A21)/B21)</f>
        <v/>
      </c>
      <c r="F21" s="16" t="str">
        <f>IF(B21=0,"",COUNTIFS('Extração'!Q:Q,"Parcialmente",'Extração'!L:L,A21)/B21)</f>
        <v/>
      </c>
      <c r="G21" s="16" t="str">
        <f>IF(B21=0,"",COUNTIFS('Extração'!P:P,"Não",'Extração'!L:L,A21)/B21)</f>
        <v/>
      </c>
      <c r="H21" s="16" t="str">
        <f>IF(B21=0,"",COUNTIFS('Extração'!Q:Q,"Não",'Extração'!L:L,A21)/B21)</f>
        <v/>
      </c>
      <c r="I21" s="16" t="str">
        <f>IF(B21=0,"",COUNTIFS('Extração'!R:R,"Igual",'Extração'!L:L,A21)/B21)</f>
        <v/>
      </c>
    </row>
    <row r="22">
      <c r="B22" s="16">
        <f>COUNTIF('Extração'!L:L,A22)</f>
        <v>0</v>
      </c>
      <c r="C22" s="16" t="str">
        <f>IF(B22=0,"",COUNTIFS('Extração'!P:P,"Sim",'Extração'!L:L,A22)/B22)</f>
        <v/>
      </c>
      <c r="D22" s="16" t="str">
        <f>IF(B22=0,"",COUNTIFS('Extração'!Q:Q,"Sim",'Extração'!L:L,A22)/B22)</f>
        <v/>
      </c>
      <c r="E22" s="16" t="str">
        <f>IF(B22=0,"",COUNTIFS('Extração'!P:P,"Parcialmente",'Extração'!L:L,A22)/B22)</f>
        <v/>
      </c>
      <c r="F22" s="16" t="str">
        <f>IF(B22=0,"",COUNTIFS('Extração'!Q:Q,"Parcialmente",'Extração'!L:L,A22)/B22)</f>
        <v/>
      </c>
      <c r="G22" s="16" t="str">
        <f>IF(B22=0,"",COUNTIFS('Extração'!P:P,"Não",'Extração'!L:L,A22)/B22)</f>
        <v/>
      </c>
      <c r="H22" s="16" t="str">
        <f>IF(B22=0,"",COUNTIFS('Extração'!Q:Q,"Não",'Extração'!L:L,A22)/B22)</f>
        <v/>
      </c>
      <c r="I22" s="16" t="str">
        <f>IF(B22=0,"",COUNTIFS('Extração'!R:R,"Igual",'Extração'!L:L,A22)/B22)</f>
        <v/>
      </c>
    </row>
    <row r="23">
      <c r="B23" s="16">
        <f>COUNTIF('Extração'!L:L,A23)</f>
        <v>0</v>
      </c>
      <c r="C23" s="16" t="str">
        <f>IF(B23=0,"",COUNTIFS('Extração'!P:P,"Sim",'Extração'!L:L,A23)/B23)</f>
        <v/>
      </c>
      <c r="D23" s="16" t="str">
        <f>IF(B23=0,"",COUNTIFS('Extração'!Q:Q,"Sim",'Extração'!L:L,A23)/B23)</f>
        <v/>
      </c>
      <c r="E23" s="16" t="str">
        <f>IF(B23=0,"",COUNTIFS('Extração'!P:P,"Parcialmente",'Extração'!L:L,A23)/B23)</f>
        <v/>
      </c>
      <c r="F23" s="16" t="str">
        <f>IF(B23=0,"",COUNTIFS('Extração'!Q:Q,"Parcialmente",'Extração'!L:L,A23)/B23)</f>
        <v/>
      </c>
      <c r="G23" s="16" t="str">
        <f>IF(B23=0,"",COUNTIFS('Extração'!P:P,"Não",'Extração'!L:L,A23)/B23)</f>
        <v/>
      </c>
      <c r="H23" s="16" t="str">
        <f>IF(B23=0,"",COUNTIFS('Extração'!Q:Q,"Não",'Extração'!L:L,A23)/B23)</f>
        <v/>
      </c>
      <c r="I23" s="16" t="str">
        <f>IF(B23=0,"",COUNTIFS('Extração'!R:R,"Igual",'Extração'!L:L,A23)/B23)</f>
        <v/>
      </c>
    </row>
    <row r="24">
      <c r="B24" s="16">
        <f>COUNTIF('Extração'!L:L,A24)</f>
        <v>0</v>
      </c>
      <c r="C24" s="16" t="str">
        <f>IF(B24=0,"",COUNTIFS('Extração'!P:P,"Sim",'Extração'!L:L,A24)/B24)</f>
        <v/>
      </c>
      <c r="D24" s="16" t="str">
        <f>IF(B24=0,"",COUNTIFS('Extração'!Q:Q,"Sim",'Extração'!L:L,A24)/B24)</f>
        <v/>
      </c>
      <c r="E24" s="16" t="str">
        <f>IF(B24=0,"",COUNTIFS('Extração'!P:P,"Parcialmente",'Extração'!L:L,A24)/B24)</f>
        <v/>
      </c>
      <c r="F24" s="16" t="str">
        <f>IF(B24=0,"",COUNTIFS('Extração'!Q:Q,"Parcialmente",'Extração'!L:L,A24)/B24)</f>
        <v/>
      </c>
      <c r="G24" s="16" t="str">
        <f>IF(B24=0,"",COUNTIFS('Extração'!P:P,"Não",'Extração'!L:L,A24)/B24)</f>
        <v/>
      </c>
      <c r="H24" s="16" t="str">
        <f>IF(B24=0,"",COUNTIFS('Extração'!Q:Q,"Não",'Extração'!L:L,A24)/B24)</f>
        <v/>
      </c>
      <c r="I24" s="16" t="str">
        <f>IF(B24=0,"",COUNTIFS('Extração'!R:R,"Igual",'Extração'!L:L,A24)/B24)</f>
        <v/>
      </c>
    </row>
    <row r="25">
      <c r="B25" s="16">
        <f>COUNTIF('Extração'!L:L,A25)</f>
        <v>0</v>
      </c>
      <c r="C25" s="16" t="str">
        <f>IF(B25=0,"",COUNTIFS('Extração'!P:P,"Sim",'Extração'!L:L,A25)/B25)</f>
        <v/>
      </c>
      <c r="D25" s="16" t="str">
        <f>IF(B25=0,"",COUNTIFS('Extração'!Q:Q,"Sim",'Extração'!L:L,A25)/B25)</f>
        <v/>
      </c>
      <c r="E25" s="16" t="str">
        <f>IF(B25=0,"",COUNTIFS('Extração'!P:P,"Parcialmente",'Extração'!L:L,A25)/B25)</f>
        <v/>
      </c>
      <c r="F25" s="16" t="str">
        <f>IF(B25=0,"",COUNTIFS('Extração'!Q:Q,"Parcialmente",'Extração'!L:L,A25)/B25)</f>
        <v/>
      </c>
      <c r="G25" s="16" t="str">
        <f>IF(B25=0,"",COUNTIFS('Extração'!P:P,"Não",'Extração'!L:L,A25)/B25)</f>
        <v/>
      </c>
      <c r="H25" s="16" t="str">
        <f>IF(B25=0,"",COUNTIFS('Extração'!Q:Q,"Não",'Extração'!L:L,A25)/B25)</f>
        <v/>
      </c>
      <c r="I25" s="16" t="str">
        <f>IF(B25=0,"",COUNTIFS('Extração'!R:R,"Igual",'Extração'!L:L,A25)/B25)</f>
        <v/>
      </c>
    </row>
    <row r="26">
      <c r="B26" s="16">
        <f>COUNTIF('Extração'!L:L,A26)</f>
        <v>0</v>
      </c>
      <c r="C26" s="16" t="str">
        <f>IF(B26=0,"",COUNTIFS('Extração'!P:P,"Sim",'Extração'!L:L,A26)/B26)</f>
        <v/>
      </c>
      <c r="D26" s="16" t="str">
        <f>IF(B26=0,"",COUNTIFS('Extração'!Q:Q,"Sim",'Extração'!L:L,A26)/B26)</f>
        <v/>
      </c>
      <c r="E26" s="16" t="str">
        <f>IF(B26=0,"",COUNTIFS('Extração'!P:P,"Parcialmente",'Extração'!L:L,A26)/B26)</f>
        <v/>
      </c>
      <c r="F26" s="16" t="str">
        <f>IF(B26=0,"",COUNTIFS('Extração'!Q:Q,"Parcialmente",'Extração'!L:L,A26)/B26)</f>
        <v/>
      </c>
      <c r="G26" s="16" t="str">
        <f>IF(B26=0,"",COUNTIFS('Extração'!P:P,"Não",'Extração'!L:L,A26)/B26)</f>
        <v/>
      </c>
      <c r="H26" s="16" t="str">
        <f>IF(B26=0,"",COUNTIFS('Extração'!Q:Q,"Não",'Extração'!L:L,A26)/B26)</f>
        <v/>
      </c>
      <c r="I26" s="16" t="str">
        <f>IF(B26=0,"",COUNTIFS('Extração'!R:R,"Igual",'Extração'!L:L,A26)/B26)</f>
        <v/>
      </c>
    </row>
    <row r="27">
      <c r="B27" s="16">
        <f>COUNTIF('Extração'!L:L,A27)</f>
        <v>0</v>
      </c>
      <c r="C27" s="16" t="str">
        <f>IF(B27=0,"",COUNTIFS('Extração'!P:P,"Sim",'Extração'!L:L,A27)/B27)</f>
        <v/>
      </c>
      <c r="D27" s="16" t="str">
        <f>IF(B27=0,"",COUNTIFS('Extração'!Q:Q,"Sim",'Extração'!L:L,A27)/B27)</f>
        <v/>
      </c>
      <c r="E27" s="16" t="str">
        <f>IF(B27=0,"",COUNTIFS('Extração'!P:P,"Parcialmente",'Extração'!L:L,A27)/B27)</f>
        <v/>
      </c>
      <c r="F27" s="16" t="str">
        <f>IF(B27=0,"",COUNTIFS('Extração'!Q:Q,"Parcialmente",'Extração'!L:L,A27)/B27)</f>
        <v/>
      </c>
      <c r="G27" s="16" t="str">
        <f>IF(B27=0,"",COUNTIFS('Extração'!P:P,"Não",'Extração'!L:L,A27)/B27)</f>
        <v/>
      </c>
      <c r="H27" s="16" t="str">
        <f>IF(B27=0,"",COUNTIFS('Extração'!Q:Q,"Não",'Extração'!L:L,A27)/B27)</f>
        <v/>
      </c>
      <c r="I27" s="16" t="str">
        <f>IF(B27=0,"",COUNTIFS('Extração'!R:R,"Igual",'Extração'!L:L,A27)/B27)</f>
        <v/>
      </c>
    </row>
    <row r="28">
      <c r="B28" s="16">
        <f>COUNTIF('Extração'!L:L,A28)</f>
        <v>0</v>
      </c>
      <c r="C28" s="16" t="str">
        <f>IF(B28=0,"",COUNTIFS('Extração'!P:P,"Sim",'Extração'!L:L,A28)/B28)</f>
        <v/>
      </c>
      <c r="D28" s="16" t="str">
        <f>IF(B28=0,"",COUNTIFS('Extração'!Q:Q,"Sim",'Extração'!L:L,A28)/B28)</f>
        <v/>
      </c>
      <c r="E28" s="16" t="str">
        <f>IF(B28=0,"",COUNTIFS('Extração'!P:P,"Parcialmente",'Extração'!L:L,A28)/B28)</f>
        <v/>
      </c>
      <c r="F28" s="16" t="str">
        <f>IF(B28=0,"",COUNTIFS('Extração'!Q:Q,"Parcialmente",'Extração'!L:L,A28)/B28)</f>
        <v/>
      </c>
      <c r="G28" s="16" t="str">
        <f>IF(B28=0,"",COUNTIFS('Extração'!P:P,"Não",'Extração'!L:L,A28)/B28)</f>
        <v/>
      </c>
      <c r="H28" s="16" t="str">
        <f>IF(B28=0,"",COUNTIFS('Extração'!Q:Q,"Não",'Extração'!L:L,A28)/B28)</f>
        <v/>
      </c>
      <c r="I28" s="16" t="str">
        <f>IF(B28=0,"",COUNTIFS('Extração'!R:R,"Igual",'Extração'!L:L,A28)/B28)</f>
        <v/>
      </c>
    </row>
    <row r="29">
      <c r="B29" s="16">
        <f>COUNTIF('Extração'!L:L,A29)</f>
        <v>0</v>
      </c>
      <c r="C29" s="16" t="str">
        <f>IF(B29=0,"",COUNTIFS('Extração'!P:P,"Sim",'Extração'!L:L,A29)/B29)</f>
        <v/>
      </c>
      <c r="D29" s="16" t="str">
        <f>IF(B29=0,"",COUNTIFS('Extração'!Q:Q,"Sim",'Extração'!L:L,A29)/B29)</f>
        <v/>
      </c>
      <c r="E29" s="16" t="str">
        <f>IF(B29=0,"",COUNTIFS('Extração'!P:P,"Parcialmente",'Extração'!L:L,A29)/B29)</f>
        <v/>
      </c>
      <c r="F29" s="16" t="str">
        <f>IF(B29=0,"",COUNTIFS('Extração'!Q:Q,"Parcialmente",'Extração'!L:L,A29)/B29)</f>
        <v/>
      </c>
      <c r="G29" s="16" t="str">
        <f>IF(B29=0,"",COUNTIFS('Extração'!P:P,"Não",'Extração'!L:L,A29)/B29)</f>
        <v/>
      </c>
      <c r="H29" s="16" t="str">
        <f>IF(B29=0,"",COUNTIFS('Extração'!Q:Q,"Não",'Extração'!L:L,A29)/B29)</f>
        <v/>
      </c>
      <c r="I29" s="16" t="str">
        <f>IF(B29=0,"",COUNTIFS('Extração'!R:R,"Igual",'Extração'!L:L,A29)/B29)</f>
        <v/>
      </c>
    </row>
    <row r="30">
      <c r="B30" s="16">
        <f>COUNTIF('Extração'!L:L,A30)</f>
        <v>0</v>
      </c>
      <c r="C30" s="16" t="str">
        <f>IF(B30=0,"",COUNTIFS('Extração'!P:P,"Sim",'Extração'!L:L,A30)/B30)</f>
        <v/>
      </c>
      <c r="D30" s="16" t="str">
        <f>IF(B30=0,"",COUNTIFS('Extração'!Q:Q,"Sim",'Extração'!L:L,A30)/B30)</f>
        <v/>
      </c>
      <c r="E30" s="16" t="str">
        <f>IF(B30=0,"",COUNTIFS('Extração'!P:P,"Parcialmente",'Extração'!L:L,A30)/B30)</f>
        <v/>
      </c>
      <c r="F30" s="16" t="str">
        <f>IF(B30=0,"",COUNTIFS('Extração'!Q:Q,"Parcialmente",'Extração'!L:L,A30)/B30)</f>
        <v/>
      </c>
      <c r="G30" s="16" t="str">
        <f>IF(B30=0,"",COUNTIFS('Extração'!P:P,"Não",'Extração'!L:L,A30)/B30)</f>
        <v/>
      </c>
      <c r="H30" s="16" t="str">
        <f>IF(B30=0,"",COUNTIFS('Extração'!Q:Q,"Não",'Extração'!L:L,A30)/B30)</f>
        <v/>
      </c>
      <c r="I30" s="16" t="str">
        <f>IF(B30=0,"",COUNTIFS('Extração'!R:R,"Igual",'Extração'!L:L,A30)/B30)</f>
        <v/>
      </c>
    </row>
    <row r="31">
      <c r="B31" s="16">
        <f>COUNTIF('Extração'!L:L,A31)</f>
        <v>0</v>
      </c>
      <c r="C31" s="16" t="str">
        <f>IF(B31=0,"",COUNTIFS('Extração'!P:P,"Sim",'Extração'!L:L,A31)/B31)</f>
        <v/>
      </c>
      <c r="D31" s="16" t="str">
        <f>IF(B31=0,"",COUNTIFS('Extração'!Q:Q,"Sim",'Extração'!L:L,A31)/B31)</f>
        <v/>
      </c>
      <c r="E31" s="16" t="str">
        <f>IF(B31=0,"",COUNTIFS('Extração'!P:P,"Parcialmente",'Extração'!L:L,A31)/B31)</f>
        <v/>
      </c>
      <c r="F31" s="16" t="str">
        <f>IF(B31=0,"",COUNTIFS('Extração'!Q:Q,"Parcialmente",'Extração'!L:L,A31)/B31)</f>
        <v/>
      </c>
      <c r="G31" s="16" t="str">
        <f>IF(B31=0,"",COUNTIFS('Extração'!P:P,"Não",'Extração'!L:L,A31)/B31)</f>
        <v/>
      </c>
      <c r="H31" s="16" t="str">
        <f>IF(B31=0,"",COUNTIFS('Extração'!Q:Q,"Não",'Extração'!L:L,A31)/B31)</f>
        <v/>
      </c>
      <c r="I31" s="16" t="str">
        <f>IF(B31=0,"",COUNTIFS('Extração'!R:R,"Igual",'Extração'!L:L,A31)/B31)</f>
        <v/>
      </c>
    </row>
    <row r="32">
      <c r="B32" s="16">
        <f>COUNTIF('Extração'!L:L,A32)</f>
        <v>0</v>
      </c>
      <c r="C32" s="16" t="str">
        <f>IF(B32=0,"",COUNTIFS('Extração'!P:P,"Sim",'Extração'!L:L,A32)/B32)</f>
        <v/>
      </c>
      <c r="D32" s="16" t="str">
        <f>IF(B32=0,"",COUNTIFS('Extração'!Q:Q,"Sim",'Extração'!L:L,A32)/B32)</f>
        <v/>
      </c>
      <c r="E32" s="16" t="str">
        <f>IF(B32=0,"",COUNTIFS('Extração'!P:P,"Parcialmente",'Extração'!L:L,A32)/B32)</f>
        <v/>
      </c>
      <c r="F32" s="16" t="str">
        <f>IF(B32=0,"",COUNTIFS('Extração'!Q:Q,"Parcialmente",'Extração'!L:L,A32)/B32)</f>
        <v/>
      </c>
      <c r="G32" s="16" t="str">
        <f>IF(B32=0,"",COUNTIFS('Extração'!P:P,"Não",'Extração'!L:L,A32)/B32)</f>
        <v/>
      </c>
      <c r="H32" s="16" t="str">
        <f>IF(B32=0,"",COUNTIFS('Extração'!Q:Q,"Não",'Extração'!L:L,A32)/B32)</f>
        <v/>
      </c>
      <c r="I32" s="16" t="str">
        <f>IF(B32=0,"",COUNTIFS('Extração'!R:R,"Igual",'Extração'!L:L,A32)/B32)</f>
        <v/>
      </c>
    </row>
    <row r="33">
      <c r="B33" s="16">
        <f>COUNTIF('Extração'!L:L,A33)</f>
        <v>0</v>
      </c>
      <c r="C33" s="16" t="str">
        <f>IF(B33=0,"",COUNTIFS('Extração'!P:P,"Sim",'Extração'!L:L,A33)/B33)</f>
        <v/>
      </c>
      <c r="D33" s="16" t="str">
        <f>IF(B33=0,"",COUNTIFS('Extração'!Q:Q,"Sim",'Extração'!L:L,A33)/B33)</f>
        <v/>
      </c>
      <c r="E33" s="16" t="str">
        <f>IF(B33=0,"",COUNTIFS('Extração'!P:P,"Parcialmente",'Extração'!L:L,A33)/B33)</f>
        <v/>
      </c>
      <c r="F33" s="16" t="str">
        <f>IF(B33=0,"",COUNTIFS('Extração'!Q:Q,"Parcialmente",'Extração'!L:L,A33)/B33)</f>
        <v/>
      </c>
      <c r="G33" s="16" t="str">
        <f>IF(B33=0,"",COUNTIFS('Extração'!P:P,"Não",'Extração'!L:L,A33)/B33)</f>
        <v/>
      </c>
      <c r="H33" s="16" t="str">
        <f>IF(B33=0,"",COUNTIFS('Extração'!Q:Q,"Não",'Extração'!L:L,A33)/B33)</f>
        <v/>
      </c>
      <c r="I33" s="16" t="str">
        <f>IF(B33=0,"",COUNTIFS('Extração'!R:R,"Igual",'Extração'!L:L,A33)/B33)</f>
        <v/>
      </c>
    </row>
    <row r="34">
      <c r="B34" s="16">
        <f>COUNTIF('Extração'!L:L,A34)</f>
        <v>0</v>
      </c>
      <c r="C34" s="16" t="str">
        <f>IF(B34=0,"",COUNTIFS('Extração'!P:P,"Sim",'Extração'!L:L,A34)/B34)</f>
        <v/>
      </c>
      <c r="D34" s="16" t="str">
        <f>IF(B34=0,"",COUNTIFS('Extração'!Q:Q,"Sim",'Extração'!L:L,A34)/B34)</f>
        <v/>
      </c>
      <c r="E34" s="16" t="str">
        <f>IF(B34=0,"",COUNTIFS('Extração'!P:P,"Parcialmente",'Extração'!L:L,A34)/B34)</f>
        <v/>
      </c>
      <c r="F34" s="16" t="str">
        <f>IF(B34=0,"",COUNTIFS('Extração'!Q:Q,"Parcialmente",'Extração'!L:L,A34)/B34)</f>
        <v/>
      </c>
      <c r="G34" s="16" t="str">
        <f>IF(B34=0,"",COUNTIFS('Extração'!P:P,"Não",'Extração'!L:L,A34)/B34)</f>
        <v/>
      </c>
      <c r="H34" s="16" t="str">
        <f>IF(B34=0,"",COUNTIFS('Extração'!Q:Q,"Não",'Extração'!L:L,A34)/B34)</f>
        <v/>
      </c>
      <c r="I34" s="16" t="str">
        <f>IF(B34=0,"",COUNTIFS('Extração'!R:R,"Igual",'Extração'!L:L,A34)/B34)</f>
        <v/>
      </c>
    </row>
    <row r="35">
      <c r="B35" s="16">
        <f>COUNTIF('Extração'!L:L,A35)</f>
        <v>0</v>
      </c>
      <c r="C35" s="16" t="str">
        <f>IF(B35=0,"",COUNTIFS('Extração'!P:P,"Sim",'Extração'!L:L,A35)/B35)</f>
        <v/>
      </c>
      <c r="D35" s="16" t="str">
        <f>IF(B35=0,"",COUNTIFS('Extração'!Q:Q,"Sim",'Extração'!L:L,A35)/B35)</f>
        <v/>
      </c>
      <c r="E35" s="16" t="str">
        <f>IF(B35=0,"",COUNTIFS('Extração'!P:P,"Parcialmente",'Extração'!L:L,A35)/B35)</f>
        <v/>
      </c>
      <c r="F35" s="16" t="str">
        <f>IF(B35=0,"",COUNTIFS('Extração'!Q:Q,"Parcialmente",'Extração'!L:L,A35)/B35)</f>
        <v/>
      </c>
      <c r="G35" s="16" t="str">
        <f>IF(B35=0,"",COUNTIFS('Extração'!P:P,"Não",'Extração'!L:L,A35)/B35)</f>
        <v/>
      </c>
      <c r="H35" s="16" t="str">
        <f>IF(B35=0,"",COUNTIFS('Extração'!Q:Q,"Não",'Extração'!L:L,A35)/B35)</f>
        <v/>
      </c>
      <c r="I35" s="16" t="str">
        <f>IF(B35=0,"",COUNTIFS('Extração'!R:R,"Igual",'Extração'!L:L,A35)/B35)</f>
        <v/>
      </c>
    </row>
    <row r="36">
      <c r="B36" s="16">
        <f>COUNTIF('Extração'!L:L,A36)</f>
        <v>0</v>
      </c>
      <c r="C36" s="16" t="str">
        <f>IF(B36=0,"",COUNTIFS('Extração'!P:P,"Sim",'Extração'!L:L,A36)/B36)</f>
        <v/>
      </c>
      <c r="D36" s="16" t="str">
        <f>IF(B36=0,"",COUNTIFS('Extração'!Q:Q,"Sim",'Extração'!L:L,A36)/B36)</f>
        <v/>
      </c>
      <c r="E36" s="16" t="str">
        <f>IF(B36=0,"",COUNTIFS('Extração'!P:P,"Parcialmente",'Extração'!L:L,A36)/B36)</f>
        <v/>
      </c>
      <c r="F36" s="16" t="str">
        <f>IF(B36=0,"",COUNTIFS('Extração'!Q:Q,"Parcialmente",'Extração'!L:L,A36)/B36)</f>
        <v/>
      </c>
      <c r="G36" s="16" t="str">
        <f>IF(B36=0,"",COUNTIFS('Extração'!P:P,"Não",'Extração'!L:L,A36)/B36)</f>
        <v/>
      </c>
      <c r="H36" s="16" t="str">
        <f>IF(B36=0,"",COUNTIFS('Extração'!Q:Q,"Não",'Extração'!L:L,A36)/B36)</f>
        <v/>
      </c>
      <c r="I36" s="16" t="str">
        <f>IF(B36=0,"",COUNTIFS('Extração'!R:R,"Igual",'Extração'!L:L,A36)/B36)</f>
        <v/>
      </c>
    </row>
    <row r="37">
      <c r="B37" s="16">
        <f>COUNTIF('Extração'!L:L,A37)</f>
        <v>0</v>
      </c>
      <c r="C37" s="16" t="str">
        <f>IF(B37=0,"",COUNTIFS('Extração'!P:P,"Sim",'Extração'!L:L,A37)/B37)</f>
        <v/>
      </c>
      <c r="D37" s="16" t="str">
        <f>IF(B37=0,"",COUNTIFS('Extração'!Q:Q,"Sim",'Extração'!L:L,A37)/B37)</f>
        <v/>
      </c>
      <c r="E37" s="16" t="str">
        <f>IF(B37=0,"",COUNTIFS('Extração'!P:P,"Parcialmente",'Extração'!L:L,A37)/B37)</f>
        <v/>
      </c>
      <c r="F37" s="16" t="str">
        <f>IF(B37=0,"",COUNTIFS('Extração'!Q:Q,"Parcialmente",'Extração'!L:L,A37)/B37)</f>
        <v/>
      </c>
      <c r="G37" s="16" t="str">
        <f>IF(B37=0,"",COUNTIFS('Extração'!P:P,"Não",'Extração'!L:L,A37)/B37)</f>
        <v/>
      </c>
      <c r="H37" s="16" t="str">
        <f>IF(B37=0,"",COUNTIFS('Extração'!Q:Q,"Não",'Extração'!L:L,A37)/B37)</f>
        <v/>
      </c>
      <c r="I37" s="16" t="str">
        <f>IF(B37=0,"",COUNTIFS('Extração'!R:R,"Igual",'Extração'!L:L,A37)/B37)</f>
        <v/>
      </c>
    </row>
    <row r="38">
      <c r="B38" s="16">
        <f>COUNTIF('Extração'!L:L,A38)</f>
        <v>0</v>
      </c>
      <c r="C38" s="16" t="str">
        <f>IF(B38=0,"",COUNTIFS('Extração'!P:P,"Sim",'Extração'!L:L,A38)/B38)</f>
        <v/>
      </c>
      <c r="D38" s="16" t="str">
        <f>IF(B38=0,"",COUNTIFS('Extração'!Q:Q,"Sim",'Extração'!L:L,A38)/B38)</f>
        <v/>
      </c>
      <c r="E38" s="16" t="str">
        <f>IF(B38=0,"",COUNTIFS('Extração'!P:P,"Parcialmente",'Extração'!L:L,A38)/B38)</f>
        <v/>
      </c>
      <c r="F38" s="16" t="str">
        <f>IF(B38=0,"",COUNTIFS('Extração'!Q:Q,"Parcialmente",'Extração'!L:L,A38)/B38)</f>
        <v/>
      </c>
      <c r="G38" s="16" t="str">
        <f>IF(B38=0,"",COUNTIFS('Extração'!P:P,"Não",'Extração'!L:L,A38)/B38)</f>
        <v/>
      </c>
      <c r="H38" s="16" t="str">
        <f>IF(B38=0,"",COUNTIFS('Extração'!Q:Q,"Não",'Extração'!L:L,A38)/B38)</f>
        <v/>
      </c>
      <c r="I38" s="16" t="str">
        <f>IF(B38=0,"",COUNTIFS('Extração'!R:R,"Igual",'Extração'!L:L,A38)/B38)</f>
        <v/>
      </c>
    </row>
    <row r="39">
      <c r="B39" s="16">
        <f>COUNTIF('Extração'!L:L,A39)</f>
        <v>0</v>
      </c>
      <c r="C39" s="16" t="str">
        <f>IF(B39=0,"",COUNTIFS('Extração'!P:P,"Sim",'Extração'!L:L,A39)/B39)</f>
        <v/>
      </c>
      <c r="D39" s="16" t="str">
        <f>IF(B39=0,"",COUNTIFS('Extração'!Q:Q,"Sim",'Extração'!L:L,A39)/B39)</f>
        <v/>
      </c>
      <c r="E39" s="16" t="str">
        <f>IF(B39=0,"",COUNTIFS('Extração'!P:P,"Parcialmente",'Extração'!L:L,A39)/B39)</f>
        <v/>
      </c>
      <c r="F39" s="16" t="str">
        <f>IF(B39=0,"",COUNTIFS('Extração'!Q:Q,"Parcialmente",'Extração'!L:L,A39)/B39)</f>
        <v/>
      </c>
      <c r="G39" s="16" t="str">
        <f>IF(B39=0,"",COUNTIFS('Extração'!P:P,"Não",'Extração'!L:L,A39)/B39)</f>
        <v/>
      </c>
      <c r="H39" s="16" t="str">
        <f>IF(B39=0,"",COUNTIFS('Extração'!Q:Q,"Não",'Extração'!L:L,A39)/B39)</f>
        <v/>
      </c>
      <c r="I39" s="16" t="str">
        <f>IF(B39=0,"",COUNTIFS('Extração'!R:R,"Igual",'Extração'!L:L,A39)/B39)</f>
        <v/>
      </c>
    </row>
    <row r="40">
      <c r="B40" s="16">
        <f>COUNTIF('Extração'!L:L,A40)</f>
        <v>0</v>
      </c>
      <c r="C40" s="16" t="str">
        <f>IF(B40=0,"",COUNTIFS('Extração'!P:P,"Sim",'Extração'!L:L,A40)/B40)</f>
        <v/>
      </c>
      <c r="D40" s="16" t="str">
        <f>IF(B40=0,"",COUNTIFS('Extração'!Q:Q,"Sim",'Extração'!L:L,A40)/B40)</f>
        <v/>
      </c>
      <c r="E40" s="16" t="str">
        <f>IF(B40=0,"",COUNTIFS('Extração'!P:P,"Parcialmente",'Extração'!L:L,A40)/B40)</f>
        <v/>
      </c>
      <c r="F40" s="16" t="str">
        <f>IF(B40=0,"",COUNTIFS('Extração'!Q:Q,"Parcialmente",'Extração'!L:L,A40)/B40)</f>
        <v/>
      </c>
      <c r="G40" s="16" t="str">
        <f>IF(B40=0,"",COUNTIFS('Extração'!P:P,"Não",'Extração'!L:L,A40)/B40)</f>
        <v/>
      </c>
      <c r="H40" s="16" t="str">
        <f>IF(B40=0,"",COUNTIFS('Extração'!Q:Q,"Não",'Extração'!L:L,A40)/B40)</f>
        <v/>
      </c>
      <c r="I40" s="16" t="str">
        <f>IF(B40=0,"",COUNTIFS('Extração'!R:R,"Igual",'Extração'!L:L,A40)/B40)</f>
        <v/>
      </c>
    </row>
    <row r="41">
      <c r="B41" s="16">
        <f>COUNTIF('Extração'!L:L,A41)</f>
        <v>0</v>
      </c>
      <c r="C41" s="16" t="str">
        <f>IF(B41=0,"",COUNTIFS('Extração'!P:P,"Sim",'Extração'!L:L,A41)/B41)</f>
        <v/>
      </c>
      <c r="D41" s="16" t="str">
        <f>IF(B41=0,"",COUNTIFS('Extração'!Q:Q,"Sim",'Extração'!L:L,A41)/B41)</f>
        <v/>
      </c>
      <c r="E41" s="16" t="str">
        <f>IF(B41=0,"",COUNTIFS('Extração'!P:P,"Parcialmente",'Extração'!L:L,A41)/B41)</f>
        <v/>
      </c>
      <c r="F41" s="16" t="str">
        <f>IF(B41=0,"",COUNTIFS('Extração'!Q:Q,"Parcialmente",'Extração'!L:L,A41)/B41)</f>
        <v/>
      </c>
      <c r="G41" s="16" t="str">
        <f>IF(B41=0,"",COUNTIFS('Extração'!P:P,"Não",'Extração'!L:L,A41)/B41)</f>
        <v/>
      </c>
      <c r="H41" s="16" t="str">
        <f>IF(B41=0,"",COUNTIFS('Extração'!Q:Q,"Não",'Extração'!L:L,A41)/B41)</f>
        <v/>
      </c>
      <c r="I41" s="16" t="str">
        <f>IF(B41=0,"",COUNTIFS('Extração'!R:R,"Igual",'Extração'!L:L,A41)/B41)</f>
        <v/>
      </c>
    </row>
    <row r="42">
      <c r="B42" s="16">
        <f>COUNTIF('Extração'!L:L,A42)</f>
        <v>0</v>
      </c>
      <c r="C42" s="16" t="str">
        <f>IF(B42=0,"",COUNTIFS('Extração'!P:P,"Sim",'Extração'!L:L,A42)/B42)</f>
        <v/>
      </c>
      <c r="D42" s="16" t="str">
        <f>IF(B42=0,"",COUNTIFS('Extração'!Q:Q,"Sim",'Extração'!L:L,A42)/B42)</f>
        <v/>
      </c>
      <c r="E42" s="16" t="str">
        <f>IF(B42=0,"",COUNTIFS('Extração'!P:P,"Parcialmente",'Extração'!L:L,A42)/B42)</f>
        <v/>
      </c>
      <c r="F42" s="16" t="str">
        <f>IF(B42=0,"",COUNTIFS('Extração'!Q:Q,"Parcialmente",'Extração'!L:L,A42)/B42)</f>
        <v/>
      </c>
      <c r="G42" s="16" t="str">
        <f>IF(B42=0,"",COUNTIFS('Extração'!P:P,"Não",'Extração'!L:L,A42)/B42)</f>
        <v/>
      </c>
      <c r="H42" s="16" t="str">
        <f>IF(B42=0,"",COUNTIFS('Extração'!Q:Q,"Não",'Extração'!L:L,A42)/B42)</f>
        <v/>
      </c>
      <c r="I42" s="16" t="str">
        <f>IF(B42=0,"",COUNTIFS('Extração'!R:R,"Igual",'Extração'!L:L,A42)/B42)</f>
        <v/>
      </c>
    </row>
    <row r="43">
      <c r="B43" s="16">
        <f>COUNTIF('Extração'!L:L,A43)</f>
        <v>0</v>
      </c>
      <c r="C43" s="16" t="str">
        <f>IF(B43=0,"",COUNTIFS('Extração'!P:P,"Sim",'Extração'!L:L,A43)/B43)</f>
        <v/>
      </c>
      <c r="D43" s="16" t="str">
        <f>IF(B43=0,"",COUNTIFS('Extração'!Q:Q,"Sim",'Extração'!L:L,A43)/B43)</f>
        <v/>
      </c>
      <c r="E43" s="16" t="str">
        <f>IF(B43=0,"",COUNTIFS('Extração'!P:P,"Parcialmente",'Extração'!L:L,A43)/B43)</f>
        <v/>
      </c>
      <c r="F43" s="16" t="str">
        <f>IF(B43=0,"",COUNTIFS('Extração'!Q:Q,"Parcialmente",'Extração'!L:L,A43)/B43)</f>
        <v/>
      </c>
      <c r="G43" s="16" t="str">
        <f>IF(B43=0,"",COUNTIFS('Extração'!P:P,"Não",'Extração'!L:L,A43)/B43)</f>
        <v/>
      </c>
      <c r="H43" s="16" t="str">
        <f>IF(B43=0,"",COUNTIFS('Extração'!Q:Q,"Não",'Extração'!L:L,A43)/B43)</f>
        <v/>
      </c>
      <c r="I43" s="16" t="str">
        <f>IF(B43=0,"",COUNTIFS('Extração'!R:R,"Igual",'Extração'!L:L,A43)/B43)</f>
        <v/>
      </c>
    </row>
    <row r="44">
      <c r="B44" s="16">
        <f>COUNTIF('Extração'!L:L,A44)</f>
        <v>0</v>
      </c>
      <c r="C44" s="16" t="str">
        <f>IF(B44=0,"",COUNTIFS('Extração'!P:P,"Sim",'Extração'!L:L,A44)/B44)</f>
        <v/>
      </c>
      <c r="D44" s="16" t="str">
        <f>IF(B44=0,"",COUNTIFS('Extração'!Q:Q,"Sim",'Extração'!L:L,A44)/B44)</f>
        <v/>
      </c>
      <c r="E44" s="16" t="str">
        <f>IF(B44=0,"",COUNTIFS('Extração'!P:P,"Parcialmente",'Extração'!L:L,A44)/B44)</f>
        <v/>
      </c>
      <c r="F44" s="16" t="str">
        <f>IF(B44=0,"",COUNTIFS('Extração'!Q:Q,"Parcialmente",'Extração'!L:L,A44)/B44)</f>
        <v/>
      </c>
      <c r="G44" s="16" t="str">
        <f>IF(B44=0,"",COUNTIFS('Extração'!P:P,"Não",'Extração'!L:L,A44)/B44)</f>
        <v/>
      </c>
      <c r="H44" s="16" t="str">
        <f>IF(B44=0,"",COUNTIFS('Extração'!Q:Q,"Não",'Extração'!L:L,A44)/B44)</f>
        <v/>
      </c>
      <c r="I44" s="16" t="str">
        <f>IF(B44=0,"",COUNTIFS('Extração'!R:R,"Igual",'Extração'!L:L,A44)/B44)</f>
        <v/>
      </c>
    </row>
    <row r="45">
      <c r="B45" s="16">
        <f>COUNTIF('Extração'!L:L,A45)</f>
        <v>0</v>
      </c>
      <c r="C45" s="16" t="str">
        <f>IF(B45=0,"",COUNTIFS('Extração'!P:P,"Sim",'Extração'!L:L,A45)/B45)</f>
        <v/>
      </c>
      <c r="D45" s="16" t="str">
        <f>IF(B45=0,"",COUNTIFS('Extração'!Q:Q,"Sim",'Extração'!L:L,A45)/B45)</f>
        <v/>
      </c>
      <c r="E45" s="16" t="str">
        <f>IF(B45=0,"",COUNTIFS('Extração'!P:P,"Parcialmente",'Extração'!L:L,A45)/B45)</f>
        <v/>
      </c>
      <c r="F45" s="16" t="str">
        <f>IF(B45=0,"",COUNTIFS('Extração'!Q:Q,"Parcialmente",'Extração'!L:L,A45)/B45)</f>
        <v/>
      </c>
      <c r="G45" s="16" t="str">
        <f>IF(B45=0,"",COUNTIFS('Extração'!P:P,"Não",'Extração'!L:L,A45)/B45)</f>
        <v/>
      </c>
      <c r="H45" s="16" t="str">
        <f>IF(B45=0,"",COUNTIFS('Extração'!Q:Q,"Não",'Extração'!L:L,A45)/B45)</f>
        <v/>
      </c>
      <c r="I45" s="16" t="str">
        <f>IF(B45=0,"",COUNTIFS('Extração'!R:R,"Igual",'Extração'!L:L,A45)/B45)</f>
        <v/>
      </c>
    </row>
    <row r="46">
      <c r="B46" s="16">
        <f>COUNTIF('Extração'!L:L,A46)</f>
        <v>0</v>
      </c>
      <c r="C46" s="16" t="str">
        <f>IF(B46=0,"",COUNTIFS('Extração'!P:P,"Sim",'Extração'!L:L,A46)/B46)</f>
        <v/>
      </c>
      <c r="D46" s="16" t="str">
        <f>IF(B46=0,"",COUNTIFS('Extração'!Q:Q,"Sim",'Extração'!L:L,A46)/B46)</f>
        <v/>
      </c>
      <c r="E46" s="16" t="str">
        <f>IF(B46=0,"",COUNTIFS('Extração'!P:P,"Parcialmente",'Extração'!L:L,A46)/B46)</f>
        <v/>
      </c>
      <c r="F46" s="16" t="str">
        <f>IF(B46=0,"",COUNTIFS('Extração'!Q:Q,"Parcialmente",'Extração'!L:L,A46)/B46)</f>
        <v/>
      </c>
      <c r="G46" s="16" t="str">
        <f>IF(B46=0,"",COUNTIFS('Extração'!P:P,"Não",'Extração'!L:L,A46)/B46)</f>
        <v/>
      </c>
      <c r="H46" s="16" t="str">
        <f>IF(B46=0,"",COUNTIFS('Extração'!Q:Q,"Não",'Extração'!L:L,A46)/B46)</f>
        <v/>
      </c>
      <c r="I46" s="16" t="str">
        <f>IF(B46=0,"",COUNTIFS('Extração'!R:R,"Igual",'Extração'!L:L,A46)/B46)</f>
        <v/>
      </c>
    </row>
    <row r="47">
      <c r="B47" s="16">
        <f>COUNTIF('Extração'!L:L,A47)</f>
        <v>0</v>
      </c>
      <c r="C47" s="16" t="str">
        <f>IF(B47=0,"",COUNTIFS('Extração'!P:P,"Sim",'Extração'!L:L,A47)/B47)</f>
        <v/>
      </c>
      <c r="D47" s="16" t="str">
        <f>IF(B47=0,"",COUNTIFS('Extração'!Q:Q,"Sim",'Extração'!L:L,A47)/B47)</f>
        <v/>
      </c>
      <c r="E47" s="16" t="str">
        <f>IF(B47=0,"",COUNTIFS('Extração'!P:P,"Parcialmente",'Extração'!L:L,A47)/B47)</f>
        <v/>
      </c>
      <c r="F47" s="16" t="str">
        <f>IF(B47=0,"",COUNTIFS('Extração'!Q:Q,"Parcialmente",'Extração'!L:L,A47)/B47)</f>
        <v/>
      </c>
      <c r="G47" s="16" t="str">
        <f>IF(B47=0,"",COUNTIFS('Extração'!P:P,"Não",'Extração'!L:L,A47)/B47)</f>
        <v/>
      </c>
      <c r="H47" s="16" t="str">
        <f>IF(B47=0,"",COUNTIFS('Extração'!Q:Q,"Não",'Extração'!L:L,A47)/B47)</f>
        <v/>
      </c>
      <c r="I47" s="16" t="str">
        <f>IF(B47=0,"",COUNTIFS('Extração'!R:R,"Igual",'Extração'!L:L,A47)/B47)</f>
        <v/>
      </c>
    </row>
    <row r="48">
      <c r="B48" s="16">
        <f>COUNTIF('Extração'!L:L,A48)</f>
        <v>0</v>
      </c>
      <c r="C48" s="16" t="str">
        <f>IF(B48=0,"",COUNTIFS('Extração'!P:P,"Sim",'Extração'!L:L,A48)/B48)</f>
        <v/>
      </c>
      <c r="D48" s="16" t="str">
        <f>IF(B48=0,"",COUNTIFS('Extração'!Q:Q,"Sim",'Extração'!L:L,A48)/B48)</f>
        <v/>
      </c>
      <c r="E48" s="16" t="str">
        <f>IF(B48=0,"",COUNTIFS('Extração'!P:P,"Parcialmente",'Extração'!L:L,A48)/B48)</f>
        <v/>
      </c>
      <c r="F48" s="16" t="str">
        <f>IF(B48=0,"",COUNTIFS('Extração'!Q:Q,"Parcialmente",'Extração'!L:L,A48)/B48)</f>
        <v/>
      </c>
      <c r="G48" s="16" t="str">
        <f>IF(B48=0,"",COUNTIFS('Extração'!P:P,"Não",'Extração'!L:L,A48)/B48)</f>
        <v/>
      </c>
      <c r="H48" s="16" t="str">
        <f>IF(B48=0,"",COUNTIFS('Extração'!Q:Q,"Não",'Extração'!L:L,A48)/B48)</f>
        <v/>
      </c>
      <c r="I48" s="16" t="str">
        <f>IF(B48=0,"",COUNTIFS('Extração'!R:R,"Igual",'Extração'!L:L,A48)/B48)</f>
        <v/>
      </c>
    </row>
    <row r="49">
      <c r="B49" s="16">
        <f>COUNTIF('Extração'!L:L,A49)</f>
        <v>0</v>
      </c>
      <c r="C49" s="16" t="str">
        <f>IF(B49=0,"",COUNTIFS('Extração'!P:P,"Sim",'Extração'!L:L,A49)/B49)</f>
        <v/>
      </c>
      <c r="D49" s="16" t="str">
        <f>IF(B49=0,"",COUNTIFS('Extração'!Q:Q,"Sim",'Extração'!L:L,A49)/B49)</f>
        <v/>
      </c>
      <c r="E49" s="16" t="str">
        <f>IF(B49=0,"",COUNTIFS('Extração'!P:P,"Parcialmente",'Extração'!L:L,A49)/B49)</f>
        <v/>
      </c>
      <c r="F49" s="16" t="str">
        <f>IF(B49=0,"",COUNTIFS('Extração'!Q:Q,"Parcialmente",'Extração'!L:L,A49)/B49)</f>
        <v/>
      </c>
      <c r="G49" s="16" t="str">
        <f>IF(B49=0,"",COUNTIFS('Extração'!P:P,"Não",'Extração'!L:L,A49)/B49)</f>
        <v/>
      </c>
      <c r="H49" s="16" t="str">
        <f>IF(B49=0,"",COUNTIFS('Extração'!Q:Q,"Não",'Extração'!L:L,A49)/B49)</f>
        <v/>
      </c>
      <c r="I49" s="16" t="str">
        <f>IF(B49=0,"",COUNTIFS('Extração'!R:R,"Igual",'Extração'!L:L,A49)/B49)</f>
        <v/>
      </c>
    </row>
    <row r="50">
      <c r="B50" s="16">
        <f>COUNTIF('Extração'!L:L,A50)</f>
        <v>0</v>
      </c>
      <c r="C50" s="16" t="str">
        <f>IF(B50=0,"",COUNTIFS('Extração'!P:P,"Sim",'Extração'!L:L,A50)/B50)</f>
        <v/>
      </c>
      <c r="D50" s="16" t="str">
        <f>IF(B50=0,"",COUNTIFS('Extração'!Q:Q,"Sim",'Extração'!L:L,A50)/B50)</f>
        <v/>
      </c>
      <c r="E50" s="16" t="str">
        <f>IF(B50=0,"",COUNTIFS('Extração'!P:P,"Parcialmente",'Extração'!L:L,A50)/B50)</f>
        <v/>
      </c>
      <c r="F50" s="16" t="str">
        <f>IF(B50=0,"",COUNTIFS('Extração'!Q:Q,"Parcialmente",'Extração'!L:L,A50)/B50)</f>
        <v/>
      </c>
      <c r="G50" s="16" t="str">
        <f>IF(B50=0,"",COUNTIFS('Extração'!P:P,"Não",'Extração'!L:L,A50)/B50)</f>
        <v/>
      </c>
      <c r="H50" s="16" t="str">
        <f>IF(B50=0,"",COUNTIFS('Extração'!Q:Q,"Não",'Extração'!L:L,A50)/B50)</f>
        <v/>
      </c>
      <c r="I50" s="16" t="str">
        <f>IF(B50=0,"",COUNTIFS('Extração'!R:R,"Igual",'Extração'!L:L,A50)/B50)</f>
        <v/>
      </c>
    </row>
    <row r="51">
      <c r="B51" s="16">
        <f>COUNTIF('Extração'!L:L,A51)</f>
        <v>0</v>
      </c>
      <c r="C51" s="16" t="str">
        <f>IF(B51=0,"",COUNTIFS('Extração'!P:P,"Sim",'Extração'!L:L,A51)/B51)</f>
        <v/>
      </c>
      <c r="D51" s="16" t="str">
        <f>IF(B51=0,"",COUNTIFS('Extração'!Q:Q,"Sim",'Extração'!L:L,A51)/B51)</f>
        <v/>
      </c>
      <c r="E51" s="16" t="str">
        <f>IF(B51=0,"",COUNTIFS('Extração'!P:P,"Parcialmente",'Extração'!L:L,A51)/B51)</f>
        <v/>
      </c>
      <c r="F51" s="16" t="str">
        <f>IF(B51=0,"",COUNTIFS('Extração'!Q:Q,"Parcialmente",'Extração'!L:L,A51)/B51)</f>
        <v/>
      </c>
      <c r="G51" s="16" t="str">
        <f>IF(B51=0,"",COUNTIFS('Extração'!P:P,"Não",'Extração'!L:L,A51)/B51)</f>
        <v/>
      </c>
      <c r="H51" s="16" t="str">
        <f>IF(B51=0,"",COUNTIFS('Extração'!Q:Q,"Não",'Extração'!L:L,A51)/B51)</f>
        <v/>
      </c>
      <c r="I51" s="16" t="str">
        <f>IF(B51=0,"",COUNTIFS('Extração'!R:R,"Igual",'Extração'!L:L,A51)/B51)</f>
        <v/>
      </c>
    </row>
    <row r="52">
      <c r="B52" s="16">
        <f>COUNTIF('Extração'!L:L,A52)</f>
        <v>0</v>
      </c>
      <c r="C52" s="16" t="str">
        <f>IF(B52=0,"",COUNTIFS('Extração'!P:P,"Sim",'Extração'!L:L,A52)/B52)</f>
        <v/>
      </c>
      <c r="D52" s="16" t="str">
        <f>IF(B52=0,"",COUNTIFS('Extração'!Q:Q,"Sim",'Extração'!L:L,A52)/B52)</f>
        <v/>
      </c>
      <c r="E52" s="16" t="str">
        <f>IF(B52=0,"",COUNTIFS('Extração'!P:P,"Parcialmente",'Extração'!L:L,A52)/B52)</f>
        <v/>
      </c>
      <c r="F52" s="16" t="str">
        <f>IF(B52=0,"",COUNTIFS('Extração'!Q:Q,"Parcialmente",'Extração'!L:L,A52)/B52)</f>
        <v/>
      </c>
      <c r="G52" s="16" t="str">
        <f>IF(B52=0,"",COUNTIFS('Extração'!P:P,"Não",'Extração'!L:L,A52)/B52)</f>
        <v/>
      </c>
      <c r="H52" s="16" t="str">
        <f>IF(B52=0,"",COUNTIFS('Extração'!Q:Q,"Não",'Extração'!L:L,A52)/B52)</f>
        <v/>
      </c>
      <c r="I52" s="16" t="str">
        <f>IF(B52=0,"",COUNTIFS('Extração'!R:R,"Igual",'Extração'!L:L,A52)/B52)</f>
        <v/>
      </c>
    </row>
    <row r="53">
      <c r="B53" s="16">
        <f>COUNTIF('Extração'!L:L,A53)</f>
        <v>0</v>
      </c>
      <c r="C53" s="16" t="str">
        <f>IF(B53=0,"",COUNTIFS('Extração'!P:P,"Sim",'Extração'!L:L,A53)/B53)</f>
        <v/>
      </c>
      <c r="D53" s="16" t="str">
        <f>IF(B53=0,"",COUNTIFS('Extração'!Q:Q,"Sim",'Extração'!L:L,A53)/B53)</f>
        <v/>
      </c>
      <c r="E53" s="16" t="str">
        <f>IF(B53=0,"",COUNTIFS('Extração'!P:P,"Parcialmente",'Extração'!L:L,A53)/B53)</f>
        <v/>
      </c>
      <c r="F53" s="16" t="str">
        <f>IF(B53=0,"",COUNTIFS('Extração'!Q:Q,"Parcialmente",'Extração'!L:L,A53)/B53)</f>
        <v/>
      </c>
      <c r="G53" s="16" t="str">
        <f>IF(B53=0,"",COUNTIFS('Extração'!P:P,"Não",'Extração'!L:L,A53)/B53)</f>
        <v/>
      </c>
      <c r="H53" s="16" t="str">
        <f>IF(B53=0,"",COUNTIFS('Extração'!Q:Q,"Não",'Extração'!L:L,A53)/B53)</f>
        <v/>
      </c>
      <c r="I53" s="16" t="str">
        <f>IF(B53=0,"",COUNTIFS('Extração'!R:R,"Igual",'Extração'!L:L,A53)/B53)</f>
        <v/>
      </c>
    </row>
    <row r="54">
      <c r="B54" s="16">
        <f>COUNTIF('Extração'!L:L,A54)</f>
        <v>0</v>
      </c>
      <c r="C54" s="16" t="str">
        <f>IF(B54=0,"",COUNTIFS('Extração'!P:P,"Sim",'Extração'!L:L,A54)/B54)</f>
        <v/>
      </c>
      <c r="D54" s="16" t="str">
        <f>IF(B54=0,"",COUNTIFS('Extração'!Q:Q,"Sim",'Extração'!L:L,A54)/B54)</f>
        <v/>
      </c>
      <c r="E54" s="16" t="str">
        <f>IF(B54=0,"",COUNTIFS('Extração'!P:P,"Parcialmente",'Extração'!L:L,A54)/B54)</f>
        <v/>
      </c>
      <c r="F54" s="16" t="str">
        <f>IF(B54=0,"",COUNTIFS('Extração'!Q:Q,"Parcialmente",'Extração'!L:L,A54)/B54)</f>
        <v/>
      </c>
      <c r="G54" s="16" t="str">
        <f>IF(B54=0,"",COUNTIFS('Extração'!P:P,"Não",'Extração'!L:L,A54)/B54)</f>
        <v/>
      </c>
      <c r="H54" s="16" t="str">
        <f>IF(B54=0,"",COUNTIFS('Extração'!Q:Q,"Não",'Extração'!L:L,A54)/B54)</f>
        <v/>
      </c>
      <c r="I54" s="16" t="str">
        <f>IF(B54=0,"",COUNTIFS('Extração'!R:R,"Igual",'Extração'!L:L,A54)/B54)</f>
        <v/>
      </c>
    </row>
    <row r="55">
      <c r="B55" s="16">
        <f>COUNTIF('Extração'!L:L,A55)</f>
        <v>0</v>
      </c>
      <c r="C55" s="16" t="str">
        <f>IF(B55=0,"",COUNTIFS('Extração'!P:P,"Sim",'Extração'!L:L,A55)/B55)</f>
        <v/>
      </c>
      <c r="D55" s="16" t="str">
        <f>IF(B55=0,"",COUNTIFS('Extração'!Q:Q,"Sim",'Extração'!L:L,A55)/B55)</f>
        <v/>
      </c>
      <c r="E55" s="16" t="str">
        <f>IF(B55=0,"",COUNTIFS('Extração'!P:P,"Parcialmente",'Extração'!L:L,A55)/B55)</f>
        <v/>
      </c>
      <c r="F55" s="16" t="str">
        <f>IF(B55=0,"",COUNTIFS('Extração'!Q:Q,"Parcialmente",'Extração'!L:L,A55)/B55)</f>
        <v/>
      </c>
      <c r="G55" s="16" t="str">
        <f>IF(B55=0,"",COUNTIFS('Extração'!P:P,"Não",'Extração'!L:L,A55)/B55)</f>
        <v/>
      </c>
      <c r="H55" s="16" t="str">
        <f>IF(B55=0,"",COUNTIFS('Extração'!Q:Q,"Não",'Extração'!L:L,A55)/B55)</f>
        <v/>
      </c>
      <c r="I55" s="16" t="str">
        <f>IF(B55=0,"",COUNTIFS('Extração'!R:R,"Igual",'Extração'!L:L,A55)/B55)</f>
        <v/>
      </c>
    </row>
    <row r="56">
      <c r="B56" s="16">
        <f>COUNTIF('Extração'!L:L,A56)</f>
        <v>0</v>
      </c>
      <c r="C56" s="16" t="str">
        <f>IF(B56=0,"",COUNTIFS('Extração'!P:P,"Sim",'Extração'!L:L,A56)/B56)</f>
        <v/>
      </c>
      <c r="D56" s="16" t="str">
        <f>IF(B56=0,"",COUNTIFS('Extração'!Q:Q,"Sim",'Extração'!L:L,A56)/B56)</f>
        <v/>
      </c>
      <c r="E56" s="16" t="str">
        <f>IF(B56=0,"",COUNTIFS('Extração'!P:P,"Parcialmente",'Extração'!L:L,A56)/B56)</f>
        <v/>
      </c>
      <c r="F56" s="16" t="str">
        <f>IF(B56=0,"",COUNTIFS('Extração'!Q:Q,"Parcialmente",'Extração'!L:L,A56)/B56)</f>
        <v/>
      </c>
      <c r="G56" s="16" t="str">
        <f>IF(B56=0,"",COUNTIFS('Extração'!P:P,"Não",'Extração'!L:L,A56)/B56)</f>
        <v/>
      </c>
      <c r="H56" s="16" t="str">
        <f>IF(B56=0,"",COUNTIFS('Extração'!Q:Q,"Não",'Extração'!L:L,A56)/B56)</f>
        <v/>
      </c>
      <c r="I56" s="16" t="str">
        <f>IF(B56=0,"",COUNTIFS('Extração'!R:R,"Igual",'Extração'!L:L,A56)/B56)</f>
        <v/>
      </c>
    </row>
    <row r="57">
      <c r="B57" s="16">
        <f>COUNTIF('Extração'!L:L,A57)</f>
        <v>0</v>
      </c>
      <c r="C57" s="16" t="str">
        <f>IF(B57=0,"",COUNTIFS('Extração'!P:P,"Sim",'Extração'!L:L,A57)/B57)</f>
        <v/>
      </c>
      <c r="D57" s="16" t="str">
        <f>IF(B57=0,"",COUNTIFS('Extração'!Q:Q,"Sim",'Extração'!L:L,A57)/B57)</f>
        <v/>
      </c>
      <c r="E57" s="16" t="str">
        <f>IF(B57=0,"",COUNTIFS('Extração'!P:P,"Parcialmente",'Extração'!L:L,A57)/B57)</f>
        <v/>
      </c>
      <c r="F57" s="16" t="str">
        <f>IF(B57=0,"",COUNTIFS('Extração'!Q:Q,"Parcialmente",'Extração'!L:L,A57)/B57)</f>
        <v/>
      </c>
      <c r="G57" s="16" t="str">
        <f>IF(B57=0,"",COUNTIFS('Extração'!P:P,"Não",'Extração'!L:L,A57)/B57)</f>
        <v/>
      </c>
      <c r="H57" s="16" t="str">
        <f>IF(B57=0,"",COUNTIFS('Extração'!Q:Q,"Não",'Extração'!L:L,A57)/B57)</f>
        <v/>
      </c>
      <c r="I57" s="16" t="str">
        <f>IF(B57=0,"",COUNTIFS('Extração'!R:R,"Igual",'Extração'!L:L,A57)/B57)</f>
        <v/>
      </c>
    </row>
    <row r="58">
      <c r="B58" s="16">
        <f>COUNTIF('Extração'!L:L,A58)</f>
        <v>0</v>
      </c>
      <c r="C58" s="16" t="str">
        <f>IF(B58=0,"",COUNTIFS('Extração'!P:P,"Sim",'Extração'!L:L,A58)/B58)</f>
        <v/>
      </c>
      <c r="D58" s="16" t="str">
        <f>IF(B58=0,"",COUNTIFS('Extração'!Q:Q,"Sim",'Extração'!L:L,A58)/B58)</f>
        <v/>
      </c>
      <c r="E58" s="16" t="str">
        <f>IF(B58=0,"",COUNTIFS('Extração'!P:P,"Parcialmente",'Extração'!L:L,A58)/B58)</f>
        <v/>
      </c>
      <c r="F58" s="16" t="str">
        <f>IF(B58=0,"",COUNTIFS('Extração'!Q:Q,"Parcialmente",'Extração'!L:L,A58)/B58)</f>
        <v/>
      </c>
      <c r="G58" s="16" t="str">
        <f>IF(B58=0,"",COUNTIFS('Extração'!P:P,"Não",'Extração'!L:L,A58)/B58)</f>
        <v/>
      </c>
      <c r="H58" s="16" t="str">
        <f>IF(B58=0,"",COUNTIFS('Extração'!Q:Q,"Não",'Extração'!L:L,A58)/B58)</f>
        <v/>
      </c>
      <c r="I58" s="16" t="str">
        <f>IF(B58=0,"",COUNTIFS('Extração'!R:R,"Igual",'Extração'!L:L,A58)/B58)</f>
        <v/>
      </c>
    </row>
    <row r="59">
      <c r="B59" s="16">
        <f>COUNTIF('Extração'!L:L,A59)</f>
        <v>0</v>
      </c>
      <c r="C59" s="16" t="str">
        <f>IF(B59=0,"",COUNTIFS('Extração'!P:P,"Sim",'Extração'!L:L,A59)/B59)</f>
        <v/>
      </c>
      <c r="D59" s="16" t="str">
        <f>IF(B59=0,"",COUNTIFS('Extração'!Q:Q,"Sim",'Extração'!L:L,A59)/B59)</f>
        <v/>
      </c>
      <c r="E59" s="16" t="str">
        <f>IF(B59=0,"",COUNTIFS('Extração'!P:P,"Parcialmente",'Extração'!L:L,A59)/B59)</f>
        <v/>
      </c>
      <c r="F59" s="16" t="str">
        <f>IF(B59=0,"",COUNTIFS('Extração'!Q:Q,"Parcialmente",'Extração'!L:L,A59)/B59)</f>
        <v/>
      </c>
      <c r="G59" s="16" t="str">
        <f>IF(B59=0,"",COUNTIFS('Extração'!P:P,"Não",'Extração'!L:L,A59)/B59)</f>
        <v/>
      </c>
      <c r="H59" s="16" t="str">
        <f>IF(B59=0,"",COUNTIFS('Extração'!Q:Q,"Não",'Extração'!L:L,A59)/B59)</f>
        <v/>
      </c>
      <c r="I59" s="16" t="str">
        <f>IF(B59=0,"",COUNTIFS('Extração'!R:R,"Igual",'Extração'!L:L,A59)/B59)</f>
        <v/>
      </c>
    </row>
    <row r="60">
      <c r="B60" s="16">
        <f>COUNTIF('Extração'!L:L,A60)</f>
        <v>0</v>
      </c>
      <c r="C60" s="16" t="str">
        <f>IF(B60=0,"",COUNTIFS('Extração'!P:P,"Sim",'Extração'!L:L,A60)/B60)</f>
        <v/>
      </c>
      <c r="D60" s="16" t="str">
        <f>IF(B60=0,"",COUNTIFS('Extração'!Q:Q,"Sim",'Extração'!L:L,A60)/B60)</f>
        <v/>
      </c>
      <c r="E60" s="16" t="str">
        <f>IF(B60=0,"",COUNTIFS('Extração'!P:P,"Parcialmente",'Extração'!L:L,A60)/B60)</f>
        <v/>
      </c>
      <c r="F60" s="16" t="str">
        <f>IF(B60=0,"",COUNTIFS('Extração'!Q:Q,"Parcialmente",'Extração'!L:L,A60)/B60)</f>
        <v/>
      </c>
      <c r="G60" s="16" t="str">
        <f>IF(B60=0,"",COUNTIFS('Extração'!P:P,"Não",'Extração'!L:L,A60)/B60)</f>
        <v/>
      </c>
      <c r="H60" s="16" t="str">
        <f>IF(B60=0,"",COUNTIFS('Extração'!Q:Q,"Não",'Extração'!L:L,A60)/B60)</f>
        <v/>
      </c>
      <c r="I60" s="16" t="str">
        <f>IF(B60=0,"",COUNTIFS('Extração'!R:R,"Igual",'Extração'!L:L,A60)/B60)</f>
        <v/>
      </c>
    </row>
    <row r="61">
      <c r="B61" s="16">
        <f>COUNTIF('Extração'!L:L,A61)</f>
        <v>0</v>
      </c>
      <c r="C61" s="16" t="str">
        <f>IF(B61=0,"",COUNTIFS('Extração'!P:P,"Sim",'Extração'!L:L,A61)/B61)</f>
        <v/>
      </c>
      <c r="D61" s="16" t="str">
        <f>IF(B61=0,"",COUNTIFS('Extração'!Q:Q,"Sim",'Extração'!L:L,A61)/B61)</f>
        <v/>
      </c>
      <c r="E61" s="16" t="str">
        <f>IF(B61=0,"",COUNTIFS('Extração'!P:P,"Parcialmente",'Extração'!L:L,A61)/B61)</f>
        <v/>
      </c>
      <c r="F61" s="16" t="str">
        <f>IF(B61=0,"",COUNTIFS('Extração'!Q:Q,"Parcialmente",'Extração'!L:L,A61)/B61)</f>
        <v/>
      </c>
      <c r="G61" s="16" t="str">
        <f>IF(B61=0,"",COUNTIFS('Extração'!P:P,"Não",'Extração'!L:L,A61)/B61)</f>
        <v/>
      </c>
      <c r="H61" s="16" t="str">
        <f>IF(B61=0,"",COUNTIFS('Extração'!Q:Q,"Não",'Extração'!L:L,A61)/B61)</f>
        <v/>
      </c>
      <c r="I61" s="16" t="str">
        <f>IF(B61=0,"",COUNTIFS('Extração'!R:R,"Igual",'Extração'!L:L,A61)/B61)</f>
        <v/>
      </c>
    </row>
    <row r="62">
      <c r="B62" s="16">
        <f>COUNTIF('Extração'!L:L,A62)</f>
        <v>0</v>
      </c>
      <c r="C62" s="16" t="str">
        <f>IF(B62=0,"",COUNTIFS('Extração'!P:P,"Sim",'Extração'!L:L,A62)/B62)</f>
        <v/>
      </c>
      <c r="D62" s="16" t="str">
        <f>IF(B62=0,"",COUNTIFS('Extração'!Q:Q,"Sim",'Extração'!L:L,A62)/B62)</f>
        <v/>
      </c>
      <c r="E62" s="16" t="str">
        <f>IF(B62=0,"",COUNTIFS('Extração'!P:P,"Parcialmente",'Extração'!L:L,A62)/B62)</f>
        <v/>
      </c>
      <c r="F62" s="16" t="str">
        <f>IF(B62=0,"",COUNTIFS('Extração'!Q:Q,"Parcialmente",'Extração'!L:L,A62)/B62)</f>
        <v/>
      </c>
      <c r="G62" s="16" t="str">
        <f>IF(B62=0,"",COUNTIFS('Extração'!P:P,"Não",'Extração'!L:L,A62)/B62)</f>
        <v/>
      </c>
      <c r="H62" s="16" t="str">
        <f>IF(B62=0,"",COUNTIFS('Extração'!Q:Q,"Não",'Extração'!L:L,A62)/B62)</f>
        <v/>
      </c>
      <c r="I62" s="16" t="str">
        <f>IF(B62=0,"",COUNTIFS('Extração'!R:R,"Igual",'Extração'!L:L,A62)/B62)</f>
        <v/>
      </c>
    </row>
    <row r="63">
      <c r="B63" s="16">
        <f>COUNTIF('Extração'!L:L,A63)</f>
        <v>0</v>
      </c>
      <c r="C63" s="16" t="str">
        <f>IF(B63=0,"",COUNTIFS('Extração'!P:P,"Sim",'Extração'!L:L,A63)/B63)</f>
        <v/>
      </c>
      <c r="D63" s="16" t="str">
        <f>IF(B63=0,"",COUNTIFS('Extração'!Q:Q,"Sim",'Extração'!L:L,A63)/B63)</f>
        <v/>
      </c>
      <c r="E63" s="16" t="str">
        <f>IF(B63=0,"",COUNTIFS('Extração'!P:P,"Parcialmente",'Extração'!L:L,A63)/B63)</f>
        <v/>
      </c>
      <c r="F63" s="16" t="str">
        <f>IF(B63=0,"",COUNTIFS('Extração'!Q:Q,"Parcialmente",'Extração'!L:L,A63)/B63)</f>
        <v/>
      </c>
      <c r="G63" s="16" t="str">
        <f>IF(B63=0,"",COUNTIFS('Extração'!P:P,"Não",'Extração'!L:L,A63)/B63)</f>
        <v/>
      </c>
      <c r="H63" s="16" t="str">
        <f>IF(B63=0,"",COUNTIFS('Extração'!Q:Q,"Não",'Extração'!L:L,A63)/B63)</f>
        <v/>
      </c>
      <c r="I63" s="16" t="str">
        <f>IF(B63=0,"",COUNTIFS('Extração'!R:R,"Igual",'Extração'!L:L,A63)/B63)</f>
        <v/>
      </c>
    </row>
    <row r="64">
      <c r="B64" s="16">
        <f>COUNTIF('Extração'!L:L,A64)</f>
        <v>0</v>
      </c>
      <c r="C64" s="16" t="str">
        <f>IF(B64=0,"",COUNTIFS('Extração'!P:P,"Sim",'Extração'!L:L,A64)/B64)</f>
        <v/>
      </c>
      <c r="D64" s="16" t="str">
        <f>IF(B64=0,"",COUNTIFS('Extração'!Q:Q,"Sim",'Extração'!L:L,A64)/B64)</f>
        <v/>
      </c>
      <c r="E64" s="16" t="str">
        <f>IF(B64=0,"",COUNTIFS('Extração'!P:P,"Parcialmente",'Extração'!L:L,A64)/B64)</f>
        <v/>
      </c>
      <c r="F64" s="16" t="str">
        <f>IF(B64=0,"",COUNTIFS('Extração'!Q:Q,"Parcialmente",'Extração'!L:L,A64)/B64)</f>
        <v/>
      </c>
      <c r="G64" s="16" t="str">
        <f>IF(B64=0,"",COUNTIFS('Extração'!P:P,"Não",'Extração'!L:L,A64)/B64)</f>
        <v/>
      </c>
      <c r="H64" s="16" t="str">
        <f>IF(B64=0,"",COUNTIFS('Extração'!Q:Q,"Não",'Extração'!L:L,A64)/B64)</f>
        <v/>
      </c>
      <c r="I64" s="16" t="str">
        <f>IF(B64=0,"",COUNTIFS('Extração'!R:R,"Igual",'Extração'!L:L,A64)/B64)</f>
        <v/>
      </c>
    </row>
    <row r="65">
      <c r="B65" s="16">
        <f>COUNTIF('Extração'!L:L,A65)</f>
        <v>0</v>
      </c>
      <c r="C65" s="16" t="str">
        <f>IF(B65=0,"",COUNTIFS('Extração'!P:P,"Sim",'Extração'!L:L,A65)/B65)</f>
        <v/>
      </c>
      <c r="D65" s="16" t="str">
        <f>IF(B65=0,"",COUNTIFS('Extração'!Q:Q,"Sim",'Extração'!L:L,A65)/B65)</f>
        <v/>
      </c>
      <c r="E65" s="16" t="str">
        <f>IF(B65=0,"",COUNTIFS('Extração'!P:P,"Parcialmente",'Extração'!L:L,A65)/B65)</f>
        <v/>
      </c>
      <c r="F65" s="16" t="str">
        <f>IF(B65=0,"",COUNTIFS('Extração'!Q:Q,"Parcialmente",'Extração'!L:L,A65)/B65)</f>
        <v/>
      </c>
      <c r="G65" s="16" t="str">
        <f>IF(B65=0,"",COUNTIFS('Extração'!P:P,"Não",'Extração'!L:L,A65)/B65)</f>
        <v/>
      </c>
      <c r="H65" s="16" t="str">
        <f>IF(B65=0,"",COUNTIFS('Extração'!Q:Q,"Não",'Extração'!L:L,A65)/B65)</f>
        <v/>
      </c>
      <c r="I65" s="16" t="str">
        <f>IF(B65=0,"",COUNTIFS('Extração'!R:R,"Igual",'Extração'!L:L,A65)/B65)</f>
        <v/>
      </c>
    </row>
    <row r="66">
      <c r="B66" s="16">
        <f>COUNTIF('Extração'!L:L,A66)</f>
        <v>0</v>
      </c>
      <c r="C66" s="16" t="str">
        <f>IF(B66=0,"",COUNTIFS('Extração'!P:P,"Sim",'Extração'!L:L,A66)/B66)</f>
        <v/>
      </c>
      <c r="D66" s="16" t="str">
        <f>IF(B66=0,"",COUNTIFS('Extração'!Q:Q,"Sim",'Extração'!L:L,A66)/B66)</f>
        <v/>
      </c>
      <c r="E66" s="16" t="str">
        <f>IF(B66=0,"",COUNTIFS('Extração'!P:P,"Parcialmente",'Extração'!L:L,A66)/B66)</f>
        <v/>
      </c>
      <c r="F66" s="16" t="str">
        <f>IF(B66=0,"",COUNTIFS('Extração'!Q:Q,"Parcialmente",'Extração'!L:L,A66)/B66)</f>
        <v/>
      </c>
      <c r="G66" s="16" t="str">
        <f>IF(B66=0,"",COUNTIFS('Extração'!P:P,"Não",'Extração'!L:L,A66)/B66)</f>
        <v/>
      </c>
      <c r="H66" s="16" t="str">
        <f>IF(B66=0,"",COUNTIFS('Extração'!Q:Q,"Não",'Extração'!L:L,A66)/B66)</f>
        <v/>
      </c>
      <c r="I66" s="16" t="str">
        <f>IF(B66=0,"",COUNTIFS('Extração'!R:R,"Igual",'Extração'!L:L,A66)/B66)</f>
        <v/>
      </c>
    </row>
    <row r="67">
      <c r="B67" s="16">
        <f>COUNTIF('Extração'!L:L,A67)</f>
        <v>0</v>
      </c>
      <c r="C67" s="16" t="str">
        <f>IF(B67=0,"",COUNTIFS('Extração'!P:P,"Sim",'Extração'!L:L,A67)/B67)</f>
        <v/>
      </c>
      <c r="D67" s="16" t="str">
        <f>IF(B67=0,"",COUNTIFS('Extração'!Q:Q,"Sim",'Extração'!L:L,A67)/B67)</f>
        <v/>
      </c>
      <c r="E67" s="16" t="str">
        <f>IF(B67=0,"",COUNTIFS('Extração'!P:P,"Parcialmente",'Extração'!L:L,A67)/B67)</f>
        <v/>
      </c>
      <c r="F67" s="16" t="str">
        <f>IF(B67=0,"",COUNTIFS('Extração'!Q:Q,"Parcialmente",'Extração'!L:L,A67)/B67)</f>
        <v/>
      </c>
      <c r="G67" s="16" t="str">
        <f>IF(B67=0,"",COUNTIFS('Extração'!P:P,"Não",'Extração'!L:L,A67)/B67)</f>
        <v/>
      </c>
      <c r="H67" s="16" t="str">
        <f>IF(B67=0,"",COUNTIFS('Extração'!Q:Q,"Não",'Extração'!L:L,A67)/B67)</f>
        <v/>
      </c>
      <c r="I67" s="16" t="str">
        <f>IF(B67=0,"",COUNTIFS('Extração'!R:R,"Igual",'Extração'!L:L,A67)/B67)</f>
        <v/>
      </c>
    </row>
    <row r="68">
      <c r="B68" s="16">
        <f>COUNTIF('Extração'!L:L,A68)</f>
        <v>0</v>
      </c>
      <c r="C68" s="16" t="str">
        <f>IF(B68=0,"",COUNTIFS('Extração'!P:P,"Sim",'Extração'!L:L,A68)/B68)</f>
        <v/>
      </c>
      <c r="D68" s="16" t="str">
        <f>IF(B68=0,"",COUNTIFS('Extração'!Q:Q,"Sim",'Extração'!L:L,A68)/B68)</f>
        <v/>
      </c>
      <c r="E68" s="16" t="str">
        <f>IF(B68=0,"",COUNTIFS('Extração'!P:P,"Parcialmente",'Extração'!L:L,A68)/B68)</f>
        <v/>
      </c>
      <c r="F68" s="16" t="str">
        <f>IF(B68=0,"",COUNTIFS('Extração'!Q:Q,"Parcialmente",'Extração'!L:L,A68)/B68)</f>
        <v/>
      </c>
      <c r="G68" s="16" t="str">
        <f>IF(B68=0,"",COUNTIFS('Extração'!P:P,"Não",'Extração'!L:L,A68)/B68)</f>
        <v/>
      </c>
      <c r="H68" s="16" t="str">
        <f>IF(B68=0,"",COUNTIFS('Extração'!Q:Q,"Não",'Extração'!L:L,A68)/B68)</f>
        <v/>
      </c>
      <c r="I68" s="16" t="str">
        <f>IF(B68=0,"",COUNTIFS('Extração'!R:R,"Igual",'Extração'!L:L,A68)/B68)</f>
        <v/>
      </c>
    </row>
    <row r="69">
      <c r="B69" s="16">
        <f>COUNTIF('Extração'!L:L,A69)</f>
        <v>0</v>
      </c>
      <c r="C69" s="16" t="str">
        <f>IF(B69=0,"",COUNTIFS('Extração'!P:P,"Sim",'Extração'!L:L,A69)/B69)</f>
        <v/>
      </c>
      <c r="D69" s="16" t="str">
        <f>IF(B69=0,"",COUNTIFS('Extração'!Q:Q,"Sim",'Extração'!L:L,A69)/B69)</f>
        <v/>
      </c>
      <c r="E69" s="16" t="str">
        <f>IF(B69=0,"",COUNTIFS('Extração'!P:P,"Parcialmente",'Extração'!L:L,A69)/B69)</f>
        <v/>
      </c>
      <c r="F69" s="16" t="str">
        <f>IF(B69=0,"",COUNTIFS('Extração'!Q:Q,"Parcialmente",'Extração'!L:L,A69)/B69)</f>
        <v/>
      </c>
      <c r="G69" s="16" t="str">
        <f>IF(B69=0,"",COUNTIFS('Extração'!P:P,"Não",'Extração'!L:L,A69)/B69)</f>
        <v/>
      </c>
      <c r="H69" s="16" t="str">
        <f>IF(B69=0,"",COUNTIFS('Extração'!Q:Q,"Não",'Extração'!L:L,A69)/B69)</f>
        <v/>
      </c>
      <c r="I69" s="16" t="str">
        <f>IF(B69=0,"",COUNTIFS('Extração'!R:R,"Igual",'Extração'!L:L,A69)/B69)</f>
        <v/>
      </c>
    </row>
    <row r="70">
      <c r="B70" s="16">
        <f>COUNTIF('Extração'!L:L,A70)</f>
        <v>0</v>
      </c>
      <c r="C70" s="16" t="str">
        <f>IF(B70=0,"",COUNTIFS('Extração'!P:P,"Sim",'Extração'!L:L,A70)/B70)</f>
        <v/>
      </c>
      <c r="D70" s="16" t="str">
        <f>IF(B70=0,"",COUNTIFS('Extração'!Q:Q,"Sim",'Extração'!L:L,A70)/B70)</f>
        <v/>
      </c>
      <c r="E70" s="16" t="str">
        <f>IF(B70=0,"",COUNTIFS('Extração'!P:P,"Parcialmente",'Extração'!L:L,A70)/B70)</f>
        <v/>
      </c>
      <c r="F70" s="16" t="str">
        <f>IF(B70=0,"",COUNTIFS('Extração'!Q:Q,"Parcialmente",'Extração'!L:L,A70)/B70)</f>
        <v/>
      </c>
      <c r="G70" s="16" t="str">
        <f>IF(B70=0,"",COUNTIFS('Extração'!P:P,"Não",'Extração'!L:L,A70)/B70)</f>
        <v/>
      </c>
      <c r="H70" s="16" t="str">
        <f>IF(B70=0,"",COUNTIFS('Extração'!Q:Q,"Não",'Extração'!L:L,A70)/B70)</f>
        <v/>
      </c>
      <c r="I70" s="16" t="str">
        <f>IF(B70=0,"",COUNTIFS('Extração'!R:R,"Igual",'Extração'!L:L,A70)/B70)</f>
        <v/>
      </c>
    </row>
    <row r="71">
      <c r="B71" s="16">
        <f>COUNTIF('Extração'!L:L,A71)</f>
        <v>0</v>
      </c>
      <c r="C71" s="16" t="str">
        <f>IF(B71=0,"",COUNTIFS('Extração'!P:P,"Sim",'Extração'!L:L,A71)/B71)</f>
        <v/>
      </c>
      <c r="D71" s="16" t="str">
        <f>IF(B71=0,"",COUNTIFS('Extração'!Q:Q,"Sim",'Extração'!L:L,A71)/B71)</f>
        <v/>
      </c>
      <c r="E71" s="16" t="str">
        <f>IF(B71=0,"",COUNTIFS('Extração'!P:P,"Parcialmente",'Extração'!L:L,A71)/B71)</f>
        <v/>
      </c>
      <c r="F71" s="16" t="str">
        <f>IF(B71=0,"",COUNTIFS('Extração'!Q:Q,"Parcialmente",'Extração'!L:L,A71)/B71)</f>
        <v/>
      </c>
      <c r="G71" s="16" t="str">
        <f>IF(B71=0,"",COUNTIFS('Extração'!P:P,"Não",'Extração'!L:L,A71)/B71)</f>
        <v/>
      </c>
      <c r="H71" s="16" t="str">
        <f>IF(B71=0,"",COUNTIFS('Extração'!Q:Q,"Não",'Extração'!L:L,A71)/B71)</f>
        <v/>
      </c>
      <c r="I71" s="16" t="str">
        <f>IF(B71=0,"",COUNTIFS('Extração'!R:R,"Igual",'Extração'!L:L,A71)/B71)</f>
        <v/>
      </c>
    </row>
    <row r="72">
      <c r="B72" s="16">
        <f>COUNTIF('Extração'!L:L,A72)</f>
        <v>0</v>
      </c>
      <c r="C72" s="16" t="str">
        <f>IF(B72=0,"",COUNTIFS('Extração'!P:P,"Sim",'Extração'!L:L,A72)/B72)</f>
        <v/>
      </c>
      <c r="D72" s="16" t="str">
        <f>IF(B72=0,"",COUNTIFS('Extração'!Q:Q,"Sim",'Extração'!L:L,A72)/B72)</f>
        <v/>
      </c>
      <c r="E72" s="16" t="str">
        <f>IF(B72=0,"",COUNTIFS('Extração'!P:P,"Parcialmente",'Extração'!L:L,A72)/B72)</f>
        <v/>
      </c>
      <c r="F72" s="16" t="str">
        <f>IF(B72=0,"",COUNTIFS('Extração'!Q:Q,"Parcialmente",'Extração'!L:L,A72)/B72)</f>
        <v/>
      </c>
      <c r="G72" s="16" t="str">
        <f>IF(B72=0,"",COUNTIFS('Extração'!P:P,"Não",'Extração'!L:L,A72)/B72)</f>
        <v/>
      </c>
      <c r="H72" s="16" t="str">
        <f>IF(B72=0,"",COUNTIFS('Extração'!Q:Q,"Não",'Extração'!L:L,A72)/B72)</f>
        <v/>
      </c>
      <c r="I72" s="16" t="str">
        <f>IF(B72=0,"",COUNTIFS('Extração'!R:R,"Igual",'Extração'!L:L,A72)/B72)</f>
        <v/>
      </c>
    </row>
    <row r="73">
      <c r="B73" s="16">
        <f>COUNTIF('Extração'!L:L,A73)</f>
        <v>0</v>
      </c>
      <c r="C73" s="16" t="str">
        <f>IF(B73=0,"",COUNTIFS('Extração'!P:P,"Sim",'Extração'!L:L,A73)/B73)</f>
        <v/>
      </c>
      <c r="D73" s="16" t="str">
        <f>IF(B73=0,"",COUNTIFS('Extração'!Q:Q,"Sim",'Extração'!L:L,A73)/B73)</f>
        <v/>
      </c>
      <c r="E73" s="16" t="str">
        <f>IF(B73=0,"",COUNTIFS('Extração'!P:P,"Parcialmente",'Extração'!L:L,A73)/B73)</f>
        <v/>
      </c>
      <c r="F73" s="16" t="str">
        <f>IF(B73=0,"",COUNTIFS('Extração'!Q:Q,"Parcialmente",'Extração'!L:L,A73)/B73)</f>
        <v/>
      </c>
      <c r="G73" s="16" t="str">
        <f>IF(B73=0,"",COUNTIFS('Extração'!P:P,"Não",'Extração'!L:L,A73)/B73)</f>
        <v/>
      </c>
      <c r="H73" s="16" t="str">
        <f>IF(B73=0,"",COUNTIFS('Extração'!Q:Q,"Não",'Extração'!L:L,A73)/B73)</f>
        <v/>
      </c>
      <c r="I73" s="16" t="str">
        <f>IF(B73=0,"",COUNTIFS('Extração'!R:R,"Igual",'Extração'!L:L,A73)/B73)</f>
        <v/>
      </c>
    </row>
    <row r="74">
      <c r="B74" s="16">
        <f>COUNTIF('Extração'!L:L,A74)</f>
        <v>0</v>
      </c>
      <c r="C74" s="16" t="str">
        <f>IF(B74=0,"",COUNTIFS('Extração'!P:P,"Sim",'Extração'!L:L,A74)/B74)</f>
        <v/>
      </c>
      <c r="D74" s="16" t="str">
        <f>IF(B74=0,"",COUNTIFS('Extração'!Q:Q,"Sim",'Extração'!L:L,A74)/B74)</f>
        <v/>
      </c>
      <c r="E74" s="16" t="str">
        <f>IF(B74=0,"",COUNTIFS('Extração'!P:P,"Parcialmente",'Extração'!L:L,A74)/B74)</f>
        <v/>
      </c>
      <c r="F74" s="16" t="str">
        <f>IF(B74=0,"",COUNTIFS('Extração'!Q:Q,"Parcialmente",'Extração'!L:L,A74)/B74)</f>
        <v/>
      </c>
      <c r="G74" s="16" t="str">
        <f>IF(B74=0,"",COUNTIFS('Extração'!P:P,"Não",'Extração'!L:L,A74)/B74)</f>
        <v/>
      </c>
      <c r="H74" s="16" t="str">
        <f>IF(B74=0,"",COUNTIFS('Extração'!Q:Q,"Não",'Extração'!L:L,A74)/B74)</f>
        <v/>
      </c>
      <c r="I74" s="16" t="str">
        <f>IF(B74=0,"",COUNTIFS('Extração'!R:R,"Igual",'Extração'!L:L,A74)/B74)</f>
        <v/>
      </c>
    </row>
    <row r="75">
      <c r="B75" s="16">
        <f>COUNTIF('Extração'!L:L,A75)</f>
        <v>0</v>
      </c>
      <c r="C75" s="16" t="str">
        <f>IF(B75=0,"",COUNTIFS('Extração'!P:P,"Sim",'Extração'!L:L,A75)/B75)</f>
        <v/>
      </c>
      <c r="D75" s="16" t="str">
        <f>IF(B75=0,"",COUNTIFS('Extração'!Q:Q,"Sim",'Extração'!L:L,A75)/B75)</f>
        <v/>
      </c>
      <c r="E75" s="16" t="str">
        <f>IF(B75=0,"",COUNTIFS('Extração'!P:P,"Parcialmente",'Extração'!L:L,A75)/B75)</f>
        <v/>
      </c>
      <c r="F75" s="16" t="str">
        <f>IF(B75=0,"",COUNTIFS('Extração'!Q:Q,"Parcialmente",'Extração'!L:L,A75)/B75)</f>
        <v/>
      </c>
      <c r="G75" s="16" t="str">
        <f>IF(B75=0,"",COUNTIFS('Extração'!P:P,"Não",'Extração'!L:L,A75)/B75)</f>
        <v/>
      </c>
      <c r="H75" s="16" t="str">
        <f>IF(B75=0,"",COUNTIFS('Extração'!Q:Q,"Não",'Extração'!L:L,A75)/B75)</f>
        <v/>
      </c>
      <c r="I75" s="16" t="str">
        <f>IF(B75=0,"",COUNTIFS('Extração'!R:R,"Igual",'Extração'!L:L,A75)/B75)</f>
        <v/>
      </c>
    </row>
    <row r="76">
      <c r="B76" s="16">
        <f>COUNTIF('Extração'!L:L,A76)</f>
        <v>0</v>
      </c>
      <c r="C76" s="16" t="str">
        <f>IF(B76=0,"",COUNTIFS('Extração'!P:P,"Sim",'Extração'!L:L,A76)/B76)</f>
        <v/>
      </c>
      <c r="D76" s="16" t="str">
        <f>IF(B76=0,"",COUNTIFS('Extração'!Q:Q,"Sim",'Extração'!L:L,A76)/B76)</f>
        <v/>
      </c>
      <c r="E76" s="16" t="str">
        <f>IF(B76=0,"",COUNTIFS('Extração'!P:P,"Parcialmente",'Extração'!L:L,A76)/B76)</f>
        <v/>
      </c>
      <c r="F76" s="16" t="str">
        <f>IF(B76=0,"",COUNTIFS('Extração'!Q:Q,"Parcialmente",'Extração'!L:L,A76)/B76)</f>
        <v/>
      </c>
      <c r="G76" s="16" t="str">
        <f>IF(B76=0,"",COUNTIFS('Extração'!P:P,"Não",'Extração'!L:L,A76)/B76)</f>
        <v/>
      </c>
      <c r="H76" s="16" t="str">
        <f>IF(B76=0,"",COUNTIFS('Extração'!Q:Q,"Não",'Extração'!L:L,A76)/B76)</f>
        <v/>
      </c>
      <c r="I76" s="16" t="str">
        <f>IF(B76=0,"",COUNTIFS('Extração'!R:R,"Igual",'Extração'!L:L,A76)/B76)</f>
        <v/>
      </c>
    </row>
    <row r="77">
      <c r="B77" s="16">
        <f>COUNTIF('Extração'!L:L,A77)</f>
        <v>0</v>
      </c>
      <c r="C77" s="16" t="str">
        <f>IF(B77=0,"",COUNTIFS('Extração'!P:P,"Sim",'Extração'!L:L,A77)/B77)</f>
        <v/>
      </c>
      <c r="D77" s="16" t="str">
        <f>IF(B77=0,"",COUNTIFS('Extração'!Q:Q,"Sim",'Extração'!L:L,A77)/B77)</f>
        <v/>
      </c>
      <c r="E77" s="16" t="str">
        <f>IF(B77=0,"",COUNTIFS('Extração'!P:P,"Parcialmente",'Extração'!L:L,A77)/B77)</f>
        <v/>
      </c>
      <c r="F77" s="16" t="str">
        <f>IF(B77=0,"",COUNTIFS('Extração'!Q:Q,"Parcialmente",'Extração'!L:L,A77)/B77)</f>
        <v/>
      </c>
      <c r="G77" s="16" t="str">
        <f>IF(B77=0,"",COUNTIFS('Extração'!P:P,"Não",'Extração'!L:L,A77)/B77)</f>
        <v/>
      </c>
      <c r="H77" s="16" t="str">
        <f>IF(B77=0,"",COUNTIFS('Extração'!Q:Q,"Não",'Extração'!L:L,A77)/B77)</f>
        <v/>
      </c>
      <c r="I77" s="16" t="str">
        <f>IF(B77=0,"",COUNTIFS('Extração'!R:R,"Igual",'Extração'!L:L,A77)/B77)</f>
        <v/>
      </c>
    </row>
    <row r="78">
      <c r="B78" s="16">
        <f>COUNTIF('Extração'!L:L,A78)</f>
        <v>0</v>
      </c>
      <c r="C78" s="16" t="str">
        <f>IF(B78=0,"",COUNTIFS('Extração'!P:P,"Sim",'Extração'!L:L,A78)/B78)</f>
        <v/>
      </c>
      <c r="D78" s="16" t="str">
        <f>IF(B78=0,"",COUNTIFS('Extração'!Q:Q,"Sim",'Extração'!L:L,A78)/B78)</f>
        <v/>
      </c>
      <c r="E78" s="16" t="str">
        <f>IF(B78=0,"",COUNTIFS('Extração'!P:P,"Parcialmente",'Extração'!L:L,A78)/B78)</f>
        <v/>
      </c>
      <c r="F78" s="16" t="str">
        <f>IF(B78=0,"",COUNTIFS('Extração'!Q:Q,"Parcialmente",'Extração'!L:L,A78)/B78)</f>
        <v/>
      </c>
      <c r="G78" s="16" t="str">
        <f>IF(B78=0,"",COUNTIFS('Extração'!P:P,"Não",'Extração'!L:L,A78)/B78)</f>
        <v/>
      </c>
      <c r="H78" s="16" t="str">
        <f>IF(B78=0,"",COUNTIFS('Extração'!Q:Q,"Não",'Extração'!L:L,A78)/B78)</f>
        <v/>
      </c>
      <c r="I78" s="16" t="str">
        <f>IF(B78=0,"",COUNTIFS('Extração'!R:R,"Igual",'Extração'!L:L,A78)/B78)</f>
        <v/>
      </c>
    </row>
    <row r="79">
      <c r="B79" s="16">
        <f>COUNTIF('Extração'!L:L,A79)</f>
        <v>0</v>
      </c>
      <c r="C79" s="16" t="str">
        <f>IF(B79=0,"",COUNTIFS('Extração'!P:P,"Sim",'Extração'!L:L,A79)/B79)</f>
        <v/>
      </c>
      <c r="D79" s="16" t="str">
        <f>IF(B79=0,"",COUNTIFS('Extração'!Q:Q,"Sim",'Extração'!L:L,A79)/B79)</f>
        <v/>
      </c>
      <c r="E79" s="16" t="str">
        <f>IF(B79=0,"",COUNTIFS('Extração'!P:P,"Parcialmente",'Extração'!L:L,A79)/B79)</f>
        <v/>
      </c>
      <c r="F79" s="16" t="str">
        <f>IF(B79=0,"",COUNTIFS('Extração'!Q:Q,"Parcialmente",'Extração'!L:L,A79)/B79)</f>
        <v/>
      </c>
      <c r="G79" s="16" t="str">
        <f>IF(B79=0,"",COUNTIFS('Extração'!P:P,"Não",'Extração'!L:L,A79)/B79)</f>
        <v/>
      </c>
      <c r="H79" s="16" t="str">
        <f>IF(B79=0,"",COUNTIFS('Extração'!Q:Q,"Não",'Extração'!L:L,A79)/B79)</f>
        <v/>
      </c>
      <c r="I79" s="16" t="str">
        <f>IF(B79=0,"",COUNTIFS('Extração'!R:R,"Igual",'Extração'!L:L,A79)/B79)</f>
        <v/>
      </c>
    </row>
    <row r="80">
      <c r="B80" s="16">
        <f>COUNTIF('Extração'!L:L,A80)</f>
        <v>0</v>
      </c>
      <c r="C80" s="16" t="str">
        <f>IF(B80=0,"",COUNTIFS('Extração'!P:P,"Sim",'Extração'!L:L,A80)/B80)</f>
        <v/>
      </c>
      <c r="D80" s="16" t="str">
        <f>IF(B80=0,"",COUNTIFS('Extração'!Q:Q,"Sim",'Extração'!L:L,A80)/B80)</f>
        <v/>
      </c>
      <c r="E80" s="16" t="str">
        <f>IF(B80=0,"",COUNTIFS('Extração'!P:P,"Parcialmente",'Extração'!L:L,A80)/B80)</f>
        <v/>
      </c>
      <c r="F80" s="16" t="str">
        <f>IF(B80=0,"",COUNTIFS('Extração'!Q:Q,"Parcialmente",'Extração'!L:L,A80)/B80)</f>
        <v/>
      </c>
      <c r="G80" s="16" t="str">
        <f>IF(B80=0,"",COUNTIFS('Extração'!P:P,"Não",'Extração'!L:L,A80)/B80)</f>
        <v/>
      </c>
      <c r="H80" s="16" t="str">
        <f>IF(B80=0,"",COUNTIFS('Extração'!Q:Q,"Não",'Extração'!L:L,A80)/B80)</f>
        <v/>
      </c>
      <c r="I80" s="16" t="str">
        <f>IF(B80=0,"",COUNTIFS('Extração'!R:R,"Igual",'Extração'!L:L,A80)/B80)</f>
        <v/>
      </c>
    </row>
    <row r="81">
      <c r="B81" s="16">
        <f>COUNTIF('Extração'!L:L,A81)</f>
        <v>0</v>
      </c>
      <c r="C81" s="16" t="str">
        <f>IF(B81=0,"",COUNTIFS('Extração'!P:P,"Sim",'Extração'!L:L,A81)/B81)</f>
        <v/>
      </c>
      <c r="D81" s="16" t="str">
        <f>IF(B81=0,"",COUNTIFS('Extração'!Q:Q,"Sim",'Extração'!L:L,A81)/B81)</f>
        <v/>
      </c>
      <c r="E81" s="16" t="str">
        <f>IF(B81=0,"",COUNTIFS('Extração'!P:P,"Parcialmente",'Extração'!L:L,A81)/B81)</f>
        <v/>
      </c>
      <c r="F81" s="16" t="str">
        <f>IF(B81=0,"",COUNTIFS('Extração'!Q:Q,"Parcialmente",'Extração'!L:L,A81)/B81)</f>
        <v/>
      </c>
      <c r="G81" s="16" t="str">
        <f>IF(B81=0,"",COUNTIFS('Extração'!P:P,"Não",'Extração'!L:L,A81)/B81)</f>
        <v/>
      </c>
      <c r="H81" s="16" t="str">
        <f>IF(B81=0,"",COUNTIFS('Extração'!Q:Q,"Não",'Extração'!L:L,A81)/B81)</f>
        <v/>
      </c>
      <c r="I81" s="16" t="str">
        <f>IF(B81=0,"",COUNTIFS('Extração'!R:R,"Igual",'Extração'!L:L,A81)/B81)</f>
        <v/>
      </c>
    </row>
    <row r="82">
      <c r="B82" s="16">
        <f>COUNTIF('Extração'!L:L,A82)</f>
        <v>0</v>
      </c>
      <c r="C82" s="16" t="str">
        <f>IF(B82=0,"",COUNTIFS('Extração'!P:P,"Sim",'Extração'!L:L,A82)/B82)</f>
        <v/>
      </c>
      <c r="D82" s="16" t="str">
        <f>IF(B82=0,"",COUNTIFS('Extração'!Q:Q,"Sim",'Extração'!L:L,A82)/B82)</f>
        <v/>
      </c>
      <c r="E82" s="16" t="str">
        <f>IF(B82=0,"",COUNTIFS('Extração'!P:P,"Parcialmente",'Extração'!L:L,A82)/B82)</f>
        <v/>
      </c>
      <c r="F82" s="16" t="str">
        <f>IF(B82=0,"",COUNTIFS('Extração'!Q:Q,"Parcialmente",'Extração'!L:L,A82)/B82)</f>
        <v/>
      </c>
      <c r="G82" s="16" t="str">
        <f>IF(B82=0,"",COUNTIFS('Extração'!P:P,"Não",'Extração'!L:L,A82)/B82)</f>
        <v/>
      </c>
      <c r="H82" s="16" t="str">
        <f>IF(B82=0,"",COUNTIFS('Extração'!Q:Q,"Não",'Extração'!L:L,A82)/B82)</f>
        <v/>
      </c>
      <c r="I82" s="16" t="str">
        <f>IF(B82=0,"",COUNTIFS('Extração'!R:R,"Igual",'Extração'!L:L,A82)/B82)</f>
        <v/>
      </c>
    </row>
    <row r="83">
      <c r="B83" s="16">
        <f>COUNTIF('Extração'!L:L,A83)</f>
        <v>0</v>
      </c>
      <c r="C83" s="16" t="str">
        <f>IF(B83=0,"",COUNTIFS('Extração'!P:P,"Sim",'Extração'!L:L,A83)/B83)</f>
        <v/>
      </c>
      <c r="D83" s="16" t="str">
        <f>IF(B83=0,"",COUNTIFS('Extração'!Q:Q,"Sim",'Extração'!L:L,A83)/B83)</f>
        <v/>
      </c>
      <c r="E83" s="16" t="str">
        <f>IF(B83=0,"",COUNTIFS('Extração'!P:P,"Parcialmente",'Extração'!L:L,A83)/B83)</f>
        <v/>
      </c>
      <c r="F83" s="16" t="str">
        <f>IF(B83=0,"",COUNTIFS('Extração'!Q:Q,"Parcialmente",'Extração'!L:L,A83)/B83)</f>
        <v/>
      </c>
      <c r="G83" s="16" t="str">
        <f>IF(B83=0,"",COUNTIFS('Extração'!P:P,"Não",'Extração'!L:L,A83)/B83)</f>
        <v/>
      </c>
      <c r="H83" s="16" t="str">
        <f>IF(B83=0,"",COUNTIFS('Extração'!Q:Q,"Não",'Extração'!L:L,A83)/B83)</f>
        <v/>
      </c>
      <c r="I83" s="16" t="str">
        <f>IF(B83=0,"",COUNTIFS('Extração'!R:R,"Igual",'Extração'!L:L,A83)/B83)</f>
        <v/>
      </c>
    </row>
    <row r="84">
      <c r="B84" s="16">
        <f>COUNTIF('Extração'!L:L,A84)</f>
        <v>0</v>
      </c>
      <c r="C84" s="16" t="str">
        <f>IF(B84=0,"",COUNTIFS('Extração'!P:P,"Sim",'Extração'!L:L,A84)/B84)</f>
        <v/>
      </c>
      <c r="D84" s="16" t="str">
        <f>IF(B84=0,"",COUNTIFS('Extração'!Q:Q,"Sim",'Extração'!L:L,A84)/B84)</f>
        <v/>
      </c>
      <c r="E84" s="16" t="str">
        <f>IF(B84=0,"",COUNTIFS('Extração'!P:P,"Parcialmente",'Extração'!L:L,A84)/B84)</f>
        <v/>
      </c>
      <c r="F84" s="16" t="str">
        <f>IF(B84=0,"",COUNTIFS('Extração'!Q:Q,"Parcialmente",'Extração'!L:L,A84)/B84)</f>
        <v/>
      </c>
      <c r="G84" s="16" t="str">
        <f>IF(B84=0,"",COUNTIFS('Extração'!P:P,"Não",'Extração'!L:L,A84)/B84)</f>
        <v/>
      </c>
      <c r="H84" s="16" t="str">
        <f>IF(B84=0,"",COUNTIFS('Extração'!Q:Q,"Não",'Extração'!L:L,A84)/B84)</f>
        <v/>
      </c>
      <c r="I84" s="16" t="str">
        <f>IF(B84=0,"",COUNTIFS('Extração'!R:R,"Igual",'Extração'!L:L,A84)/B84)</f>
        <v/>
      </c>
    </row>
    <row r="85">
      <c r="B85" s="16">
        <f>COUNTIF('Extração'!L:L,A85)</f>
        <v>0</v>
      </c>
      <c r="C85" s="16" t="str">
        <f>IF(B85=0,"",COUNTIFS('Extração'!P:P,"Sim",'Extração'!L:L,A85)/B85)</f>
        <v/>
      </c>
      <c r="D85" s="16" t="str">
        <f>IF(B85=0,"",COUNTIFS('Extração'!Q:Q,"Sim",'Extração'!L:L,A85)/B85)</f>
        <v/>
      </c>
      <c r="E85" s="16" t="str">
        <f>IF(B85=0,"",COUNTIFS('Extração'!P:P,"Parcialmente",'Extração'!L:L,A85)/B85)</f>
        <v/>
      </c>
      <c r="F85" s="16" t="str">
        <f>IF(B85=0,"",COUNTIFS('Extração'!Q:Q,"Parcialmente",'Extração'!L:L,A85)/B85)</f>
        <v/>
      </c>
      <c r="G85" s="16" t="str">
        <f>IF(B85=0,"",COUNTIFS('Extração'!P:P,"Não",'Extração'!L:L,A85)/B85)</f>
        <v/>
      </c>
      <c r="H85" s="16" t="str">
        <f>IF(B85=0,"",COUNTIFS('Extração'!Q:Q,"Não",'Extração'!L:L,A85)/B85)</f>
        <v/>
      </c>
      <c r="I85" s="16" t="str">
        <f>IF(B85=0,"",COUNTIFS('Extração'!R:R,"Igual",'Extração'!L:L,A85)/B85)</f>
        <v/>
      </c>
    </row>
    <row r="86">
      <c r="B86" s="16">
        <f>COUNTIF('Extração'!L:L,A86)</f>
        <v>0</v>
      </c>
      <c r="C86" s="16" t="str">
        <f>IF(B86=0,"",COUNTIFS('Extração'!P:P,"Sim",'Extração'!L:L,A86)/B86)</f>
        <v/>
      </c>
      <c r="D86" s="16" t="str">
        <f>IF(B86=0,"",COUNTIFS('Extração'!Q:Q,"Sim",'Extração'!L:L,A86)/B86)</f>
        <v/>
      </c>
      <c r="E86" s="16" t="str">
        <f>IF(B86=0,"",COUNTIFS('Extração'!P:P,"Parcialmente",'Extração'!L:L,A86)/B86)</f>
        <v/>
      </c>
      <c r="F86" s="16" t="str">
        <f>IF(B86=0,"",COUNTIFS('Extração'!Q:Q,"Parcialmente",'Extração'!L:L,A86)/B86)</f>
        <v/>
      </c>
      <c r="G86" s="16" t="str">
        <f>IF(B86=0,"",COUNTIFS('Extração'!P:P,"Não",'Extração'!L:L,A86)/B86)</f>
        <v/>
      </c>
      <c r="H86" s="16" t="str">
        <f>IF(B86=0,"",COUNTIFS('Extração'!Q:Q,"Não",'Extração'!L:L,A86)/B86)</f>
        <v/>
      </c>
      <c r="I86" s="16" t="str">
        <f>IF(B86=0,"",COUNTIFS('Extração'!R:R,"Igual",'Extração'!L:L,A86)/B86)</f>
        <v/>
      </c>
    </row>
    <row r="87">
      <c r="B87" s="16">
        <f>COUNTIF('Extração'!L:L,A87)</f>
        <v>0</v>
      </c>
      <c r="C87" s="16" t="str">
        <f>IF(B87=0,"",COUNTIFS('Extração'!P:P,"Sim",'Extração'!L:L,A87)/B87)</f>
        <v/>
      </c>
      <c r="D87" s="16" t="str">
        <f>IF(B87=0,"",COUNTIFS('Extração'!Q:Q,"Sim",'Extração'!L:L,A87)/B87)</f>
        <v/>
      </c>
      <c r="E87" s="16" t="str">
        <f>IF(B87=0,"",COUNTIFS('Extração'!P:P,"Parcialmente",'Extração'!L:L,A87)/B87)</f>
        <v/>
      </c>
      <c r="F87" s="16" t="str">
        <f>IF(B87=0,"",COUNTIFS('Extração'!Q:Q,"Parcialmente",'Extração'!L:L,A87)/B87)</f>
        <v/>
      </c>
      <c r="G87" s="16" t="str">
        <f>IF(B87=0,"",COUNTIFS('Extração'!P:P,"Não",'Extração'!L:L,A87)/B87)</f>
        <v/>
      </c>
      <c r="H87" s="16" t="str">
        <f>IF(B87=0,"",COUNTIFS('Extração'!Q:Q,"Não",'Extração'!L:L,A87)/B87)</f>
        <v/>
      </c>
      <c r="I87" s="16" t="str">
        <f>IF(B87=0,"",COUNTIFS('Extração'!R:R,"Igual",'Extração'!L:L,A87)/B87)</f>
        <v/>
      </c>
    </row>
    <row r="88">
      <c r="B88" s="16">
        <f>COUNTIF('Extração'!L:L,A88)</f>
        <v>0</v>
      </c>
      <c r="C88" s="16" t="str">
        <f>IF(B88=0,"",COUNTIFS('Extração'!P:P,"Sim",'Extração'!L:L,A88)/B88)</f>
        <v/>
      </c>
      <c r="D88" s="16" t="str">
        <f>IF(B88=0,"",COUNTIFS('Extração'!Q:Q,"Sim",'Extração'!L:L,A88)/B88)</f>
        <v/>
      </c>
      <c r="E88" s="16" t="str">
        <f>IF(B88=0,"",COUNTIFS('Extração'!P:P,"Parcialmente",'Extração'!L:L,A88)/B88)</f>
        <v/>
      </c>
      <c r="F88" s="16" t="str">
        <f>IF(B88=0,"",COUNTIFS('Extração'!Q:Q,"Parcialmente",'Extração'!L:L,A88)/B88)</f>
        <v/>
      </c>
      <c r="G88" s="16" t="str">
        <f>IF(B88=0,"",COUNTIFS('Extração'!P:P,"Não",'Extração'!L:L,A88)/B88)</f>
        <v/>
      </c>
      <c r="H88" s="16" t="str">
        <f>IF(B88=0,"",COUNTIFS('Extração'!Q:Q,"Não",'Extração'!L:L,A88)/B88)</f>
        <v/>
      </c>
      <c r="I88" s="16" t="str">
        <f>IF(B88=0,"",COUNTIFS('Extração'!R:R,"Igual",'Extração'!L:L,A88)/B88)</f>
        <v/>
      </c>
    </row>
    <row r="89">
      <c r="B89" s="16">
        <f>COUNTIF('Extração'!L:L,A89)</f>
        <v>0</v>
      </c>
      <c r="C89" s="16" t="str">
        <f>IF(B89=0,"",COUNTIFS('Extração'!P:P,"Sim",'Extração'!L:L,A89)/B89)</f>
        <v/>
      </c>
      <c r="D89" s="16" t="str">
        <f>IF(B89=0,"",COUNTIFS('Extração'!Q:Q,"Sim",'Extração'!L:L,A89)/B89)</f>
        <v/>
      </c>
      <c r="E89" s="16" t="str">
        <f>IF(B89=0,"",COUNTIFS('Extração'!P:P,"Parcialmente",'Extração'!L:L,A89)/B89)</f>
        <v/>
      </c>
      <c r="F89" s="16" t="str">
        <f>IF(B89=0,"",COUNTIFS('Extração'!Q:Q,"Parcialmente",'Extração'!L:L,A89)/B89)</f>
        <v/>
      </c>
      <c r="G89" s="16" t="str">
        <f>IF(B89=0,"",COUNTIFS('Extração'!P:P,"Não",'Extração'!L:L,A89)/B89)</f>
        <v/>
      </c>
      <c r="H89" s="16" t="str">
        <f>IF(B89=0,"",COUNTIFS('Extração'!Q:Q,"Não",'Extração'!L:L,A89)/B89)</f>
        <v/>
      </c>
      <c r="I89" s="16" t="str">
        <f>IF(B89=0,"",COUNTIFS('Extração'!R:R,"Igual",'Extração'!L:L,A89)/B89)</f>
        <v/>
      </c>
    </row>
    <row r="90">
      <c r="B90" s="16">
        <f>COUNTIF('Extração'!L:L,A90)</f>
        <v>0</v>
      </c>
      <c r="C90" s="16" t="str">
        <f>IF(B90=0,"",COUNTIFS('Extração'!P:P,"Sim",'Extração'!L:L,A90)/B90)</f>
        <v/>
      </c>
      <c r="D90" s="16" t="str">
        <f>IF(B90=0,"",COUNTIFS('Extração'!Q:Q,"Sim",'Extração'!L:L,A90)/B90)</f>
        <v/>
      </c>
      <c r="E90" s="16" t="str">
        <f>IF(B90=0,"",COUNTIFS('Extração'!P:P,"Parcialmente",'Extração'!L:L,A90)/B90)</f>
        <v/>
      </c>
      <c r="F90" s="16" t="str">
        <f>IF(B90=0,"",COUNTIFS('Extração'!Q:Q,"Parcialmente",'Extração'!L:L,A90)/B90)</f>
        <v/>
      </c>
      <c r="G90" s="16" t="str">
        <f>IF(B90=0,"",COUNTIFS('Extração'!P:P,"Não",'Extração'!L:L,A90)/B90)</f>
        <v/>
      </c>
      <c r="H90" s="16" t="str">
        <f>IF(B90=0,"",COUNTIFS('Extração'!Q:Q,"Não",'Extração'!L:L,A90)/B90)</f>
        <v/>
      </c>
      <c r="I90" s="16" t="str">
        <f>IF(B90=0,"",COUNTIFS('Extração'!R:R,"Igual",'Extração'!L:L,A90)/B90)</f>
        <v/>
      </c>
    </row>
    <row r="91">
      <c r="B91" s="16">
        <f>COUNTIF('Extração'!L:L,A91)</f>
        <v>0</v>
      </c>
      <c r="C91" s="16" t="str">
        <f>IF(B91=0,"",COUNTIFS('Extração'!P:P,"Sim",'Extração'!L:L,A91)/B91)</f>
        <v/>
      </c>
      <c r="D91" s="16" t="str">
        <f>IF(B91=0,"",COUNTIFS('Extração'!Q:Q,"Sim",'Extração'!L:L,A91)/B91)</f>
        <v/>
      </c>
      <c r="E91" s="16" t="str">
        <f>IF(B91=0,"",COUNTIFS('Extração'!P:P,"Parcialmente",'Extração'!L:L,A91)/B91)</f>
        <v/>
      </c>
      <c r="F91" s="16" t="str">
        <f>IF(B91=0,"",COUNTIFS('Extração'!Q:Q,"Parcialmente",'Extração'!L:L,A91)/B91)</f>
        <v/>
      </c>
      <c r="G91" s="16" t="str">
        <f>IF(B91=0,"",COUNTIFS('Extração'!P:P,"Não",'Extração'!L:L,A91)/B91)</f>
        <v/>
      </c>
      <c r="H91" s="16" t="str">
        <f>IF(B91=0,"",COUNTIFS('Extração'!Q:Q,"Não",'Extração'!L:L,A91)/B91)</f>
        <v/>
      </c>
      <c r="I91" s="16" t="str">
        <f>IF(B91=0,"",COUNTIFS('Extração'!R:R,"Igual",'Extração'!L:L,A91)/B91)</f>
        <v/>
      </c>
    </row>
    <row r="92">
      <c r="B92" s="16">
        <f>COUNTIF('Extração'!L:L,A92)</f>
        <v>0</v>
      </c>
      <c r="C92" s="16" t="str">
        <f>IF(B92=0,"",COUNTIFS('Extração'!P:P,"Sim",'Extração'!L:L,A92)/B92)</f>
        <v/>
      </c>
      <c r="D92" s="16" t="str">
        <f>IF(B92=0,"",COUNTIFS('Extração'!Q:Q,"Sim",'Extração'!L:L,A92)/B92)</f>
        <v/>
      </c>
      <c r="E92" s="16" t="str">
        <f>IF(B92=0,"",COUNTIFS('Extração'!P:P,"Parcialmente",'Extração'!L:L,A92)/B92)</f>
        <v/>
      </c>
      <c r="F92" s="16" t="str">
        <f>IF(B92=0,"",COUNTIFS('Extração'!Q:Q,"Parcialmente",'Extração'!L:L,A92)/B92)</f>
        <v/>
      </c>
      <c r="G92" s="16" t="str">
        <f>IF(B92=0,"",COUNTIFS('Extração'!P:P,"Não",'Extração'!L:L,A92)/B92)</f>
        <v/>
      </c>
      <c r="H92" s="16" t="str">
        <f>IF(B92=0,"",COUNTIFS('Extração'!Q:Q,"Não",'Extração'!L:L,A92)/B92)</f>
        <v/>
      </c>
      <c r="I92" s="16" t="str">
        <f>IF(B92=0,"",COUNTIFS('Extração'!R:R,"Igual",'Extração'!L:L,A92)/B92)</f>
        <v/>
      </c>
    </row>
    <row r="93">
      <c r="B93" s="16">
        <f>COUNTIF('Extração'!L:L,A93)</f>
        <v>0</v>
      </c>
      <c r="C93" s="16" t="str">
        <f>IF(B93=0,"",COUNTIFS('Extração'!P:P,"Sim",'Extração'!L:L,A93)/B93)</f>
        <v/>
      </c>
      <c r="D93" s="16" t="str">
        <f>IF(B93=0,"",COUNTIFS('Extração'!Q:Q,"Sim",'Extração'!L:L,A93)/B93)</f>
        <v/>
      </c>
      <c r="E93" s="16" t="str">
        <f>IF(B93=0,"",COUNTIFS('Extração'!P:P,"Parcialmente",'Extração'!L:L,A93)/B93)</f>
        <v/>
      </c>
      <c r="F93" s="16" t="str">
        <f>IF(B93=0,"",COUNTIFS('Extração'!Q:Q,"Parcialmente",'Extração'!L:L,A93)/B93)</f>
        <v/>
      </c>
      <c r="G93" s="16" t="str">
        <f>IF(B93=0,"",COUNTIFS('Extração'!P:P,"Não",'Extração'!L:L,A93)/B93)</f>
        <v/>
      </c>
      <c r="H93" s="16" t="str">
        <f>IF(B93=0,"",COUNTIFS('Extração'!Q:Q,"Não",'Extração'!L:L,A93)/B93)</f>
        <v/>
      </c>
      <c r="I93" s="16" t="str">
        <f>IF(B93=0,"",COUNTIFS('Extração'!R:R,"Igual",'Extração'!L:L,A93)/B93)</f>
        <v/>
      </c>
    </row>
    <row r="94">
      <c r="B94" s="16">
        <f>COUNTIF('Extração'!L:L,A94)</f>
        <v>0</v>
      </c>
      <c r="C94" s="16" t="str">
        <f>IF(B94=0,"",COUNTIFS('Extração'!P:P,"Sim",'Extração'!L:L,A94)/B94)</f>
        <v/>
      </c>
      <c r="D94" s="16" t="str">
        <f>IF(B94=0,"",COUNTIFS('Extração'!Q:Q,"Sim",'Extração'!L:L,A94)/B94)</f>
        <v/>
      </c>
      <c r="E94" s="16" t="str">
        <f>IF(B94=0,"",COUNTIFS('Extração'!P:P,"Parcialmente",'Extração'!L:L,A94)/B94)</f>
        <v/>
      </c>
      <c r="F94" s="16" t="str">
        <f>IF(B94=0,"",COUNTIFS('Extração'!Q:Q,"Parcialmente",'Extração'!L:L,A94)/B94)</f>
        <v/>
      </c>
      <c r="G94" s="16" t="str">
        <f>IF(B94=0,"",COUNTIFS('Extração'!P:P,"Não",'Extração'!L:L,A94)/B94)</f>
        <v/>
      </c>
      <c r="H94" s="16" t="str">
        <f>IF(B94=0,"",COUNTIFS('Extração'!Q:Q,"Não",'Extração'!L:L,A94)/B94)</f>
        <v/>
      </c>
      <c r="I94" s="16" t="str">
        <f>IF(B94=0,"",COUNTIFS('Extração'!R:R,"Igual",'Extração'!L:L,A94)/B94)</f>
        <v/>
      </c>
    </row>
    <row r="95">
      <c r="B95" s="16">
        <f>COUNTIF('Extração'!L:L,A95)</f>
        <v>0</v>
      </c>
      <c r="C95" s="16" t="str">
        <f>IF(B95=0,"",COUNTIFS('Extração'!P:P,"Sim",'Extração'!L:L,A95)/B95)</f>
        <v/>
      </c>
      <c r="D95" s="16" t="str">
        <f>IF(B95=0,"",COUNTIFS('Extração'!Q:Q,"Sim",'Extração'!L:L,A95)/B95)</f>
        <v/>
      </c>
      <c r="E95" s="16" t="str">
        <f>IF(B95=0,"",COUNTIFS('Extração'!P:P,"Parcialmente",'Extração'!L:L,A95)/B95)</f>
        <v/>
      </c>
      <c r="F95" s="16" t="str">
        <f>IF(B95=0,"",COUNTIFS('Extração'!Q:Q,"Parcialmente",'Extração'!L:L,A95)/B95)</f>
        <v/>
      </c>
      <c r="G95" s="16" t="str">
        <f>IF(B95=0,"",COUNTIFS('Extração'!P:P,"Não",'Extração'!L:L,A95)/B95)</f>
        <v/>
      </c>
      <c r="H95" s="16" t="str">
        <f>IF(B95=0,"",COUNTIFS('Extração'!Q:Q,"Não",'Extração'!L:L,A95)/B95)</f>
        <v/>
      </c>
      <c r="I95" s="16" t="str">
        <f>IF(B95=0,"",COUNTIFS('Extração'!R:R,"Igual",'Extração'!L:L,A95)/B95)</f>
        <v/>
      </c>
    </row>
    <row r="96">
      <c r="B96" s="16">
        <f>COUNTIF('Extração'!L:L,A96)</f>
        <v>0</v>
      </c>
      <c r="C96" s="16" t="str">
        <f>IF(B96=0,"",COUNTIFS('Extração'!P:P,"Sim",'Extração'!L:L,A96)/B96)</f>
        <v/>
      </c>
      <c r="D96" s="16" t="str">
        <f>IF(B96=0,"",COUNTIFS('Extração'!Q:Q,"Sim",'Extração'!L:L,A96)/B96)</f>
        <v/>
      </c>
      <c r="E96" s="16" t="str">
        <f>IF(B96=0,"",COUNTIFS('Extração'!P:P,"Parcialmente",'Extração'!L:L,A96)/B96)</f>
        <v/>
      </c>
      <c r="F96" s="16" t="str">
        <f>IF(B96=0,"",COUNTIFS('Extração'!Q:Q,"Parcialmente",'Extração'!L:L,A96)/B96)</f>
        <v/>
      </c>
      <c r="G96" s="16" t="str">
        <f>IF(B96=0,"",COUNTIFS('Extração'!P:P,"Não",'Extração'!L:L,A96)/B96)</f>
        <v/>
      </c>
      <c r="H96" s="16" t="str">
        <f>IF(B96=0,"",COUNTIFS('Extração'!Q:Q,"Não",'Extração'!L:L,A96)/B96)</f>
        <v/>
      </c>
      <c r="I96" s="16" t="str">
        <f>IF(B96=0,"",COUNTIFS('Extração'!R:R,"Igual",'Extração'!L:L,A96)/B96)</f>
        <v/>
      </c>
    </row>
    <row r="97">
      <c r="B97" s="16">
        <f>COUNTIF('Extração'!L:L,A97)</f>
        <v>0</v>
      </c>
      <c r="C97" s="16" t="str">
        <f>IF(B97=0,"",COUNTIFS('Extração'!P:P,"Sim",'Extração'!L:L,A97)/B97)</f>
        <v/>
      </c>
      <c r="D97" s="16" t="str">
        <f>IF(B97=0,"",COUNTIFS('Extração'!Q:Q,"Sim",'Extração'!L:L,A97)/B97)</f>
        <v/>
      </c>
      <c r="E97" s="16" t="str">
        <f>IF(B97=0,"",COUNTIFS('Extração'!P:P,"Parcialmente",'Extração'!L:L,A97)/B97)</f>
        <v/>
      </c>
      <c r="F97" s="16" t="str">
        <f>IF(B97=0,"",COUNTIFS('Extração'!Q:Q,"Parcialmente",'Extração'!L:L,A97)/B97)</f>
        <v/>
      </c>
      <c r="G97" s="16" t="str">
        <f>IF(B97=0,"",COUNTIFS('Extração'!P:P,"Não",'Extração'!L:L,A97)/B97)</f>
        <v/>
      </c>
      <c r="H97" s="16" t="str">
        <f>IF(B97=0,"",COUNTIFS('Extração'!Q:Q,"Não",'Extração'!L:L,A97)/B97)</f>
        <v/>
      </c>
      <c r="I97" s="16" t="str">
        <f>IF(B97=0,"",COUNTIFS('Extração'!R:R,"Igual",'Extração'!L:L,A97)/B97)</f>
        <v/>
      </c>
    </row>
    <row r="98">
      <c r="B98" s="16">
        <f>COUNTIF('Extração'!L:L,A98)</f>
        <v>0</v>
      </c>
      <c r="C98" s="16" t="str">
        <f>IF(B98=0,"",COUNTIFS('Extração'!P:P,"Sim",'Extração'!L:L,A98)/B98)</f>
        <v/>
      </c>
      <c r="D98" s="16" t="str">
        <f>IF(B98=0,"",COUNTIFS('Extração'!Q:Q,"Sim",'Extração'!L:L,A98)/B98)</f>
        <v/>
      </c>
      <c r="E98" s="16" t="str">
        <f>IF(B98=0,"",COUNTIFS('Extração'!P:P,"Parcialmente",'Extração'!L:L,A98)/B98)</f>
        <v/>
      </c>
      <c r="F98" s="16" t="str">
        <f>IF(B98=0,"",COUNTIFS('Extração'!Q:Q,"Parcialmente",'Extração'!L:L,A98)/B98)</f>
        <v/>
      </c>
      <c r="G98" s="16" t="str">
        <f>IF(B98=0,"",COUNTIFS('Extração'!P:P,"Não",'Extração'!L:L,A98)/B98)</f>
        <v/>
      </c>
      <c r="H98" s="16" t="str">
        <f>IF(B98=0,"",COUNTIFS('Extração'!Q:Q,"Não",'Extração'!L:L,A98)/B98)</f>
        <v/>
      </c>
      <c r="I98" s="16" t="str">
        <f>IF(B98=0,"",COUNTIFS('Extração'!R:R,"Igual",'Extração'!L:L,A98)/B98)</f>
        <v/>
      </c>
    </row>
    <row r="99">
      <c r="B99" s="16">
        <f>COUNTIF('Extração'!L:L,A99)</f>
        <v>0</v>
      </c>
      <c r="C99" s="16" t="str">
        <f>IF(B99=0,"",COUNTIFS('Extração'!P:P,"Sim",'Extração'!L:L,A99)/B99)</f>
        <v/>
      </c>
      <c r="D99" s="16" t="str">
        <f>IF(B99=0,"",COUNTIFS('Extração'!Q:Q,"Sim",'Extração'!L:L,A99)/B99)</f>
        <v/>
      </c>
      <c r="E99" s="16" t="str">
        <f>IF(B99=0,"",COUNTIFS('Extração'!P:P,"Parcialmente",'Extração'!L:L,A99)/B99)</f>
        <v/>
      </c>
      <c r="F99" s="16" t="str">
        <f>IF(B99=0,"",COUNTIFS('Extração'!Q:Q,"Parcialmente",'Extração'!L:L,A99)/B99)</f>
        <v/>
      </c>
      <c r="G99" s="16" t="str">
        <f>IF(B99=0,"",COUNTIFS('Extração'!P:P,"Não",'Extração'!L:L,A99)/B99)</f>
        <v/>
      </c>
      <c r="H99" s="16" t="str">
        <f>IF(B99=0,"",COUNTIFS('Extração'!Q:Q,"Não",'Extração'!L:L,A99)/B99)</f>
        <v/>
      </c>
      <c r="I99" s="16" t="str">
        <f>IF(B99=0,"",COUNTIFS('Extração'!R:R,"Igual",'Extração'!L:L,A99)/B99)</f>
        <v/>
      </c>
    </row>
    <row r="100">
      <c r="B100" s="16">
        <f>COUNTIF('Extração'!L:L,A100)</f>
        <v>0</v>
      </c>
      <c r="C100" s="16" t="str">
        <f>IF(B100=0,"",COUNTIFS('Extração'!P:P,"Sim",'Extração'!L:L,A100)/B100)</f>
        <v/>
      </c>
      <c r="D100" s="16" t="str">
        <f>IF(B100=0,"",COUNTIFS('Extração'!Q:Q,"Sim",'Extração'!L:L,A100)/B100)</f>
        <v/>
      </c>
      <c r="E100" s="16" t="str">
        <f>IF(B100=0,"",COUNTIFS('Extração'!P:P,"Parcialmente",'Extração'!L:L,A100)/B100)</f>
        <v/>
      </c>
      <c r="F100" s="16" t="str">
        <f>IF(B100=0,"",COUNTIFS('Extração'!Q:Q,"Parcialmente",'Extração'!L:L,A100)/B100)</f>
        <v/>
      </c>
      <c r="G100" s="16" t="str">
        <f>IF(B100=0,"",COUNTIFS('Extração'!P:P,"Não",'Extração'!L:L,A100)/B100)</f>
        <v/>
      </c>
      <c r="H100" s="16" t="str">
        <f>IF(B100=0,"",COUNTIFS('Extração'!Q:Q,"Não",'Extração'!L:L,A100)/B100)</f>
        <v/>
      </c>
      <c r="I100" s="16" t="str">
        <f>IF(B100=0,"",COUNTIFS('Extração'!R:R,"Igual",'Extração'!L:L,A100)/B100)</f>
        <v/>
      </c>
    </row>
    <row r="101">
      <c r="B101" s="16">
        <f>COUNTIF('Extração'!L:L,A101)</f>
        <v>0</v>
      </c>
      <c r="C101" s="16" t="str">
        <f>IF(B101=0,"",COUNTIFS('Extração'!P:P,"Sim",'Extração'!L:L,A101)/B101)</f>
        <v/>
      </c>
      <c r="D101" s="16" t="str">
        <f>IF(B101=0,"",COUNTIFS('Extração'!Q:Q,"Sim",'Extração'!L:L,A101)/B101)</f>
        <v/>
      </c>
      <c r="E101" s="16" t="str">
        <f>IF(B101=0,"",COUNTIFS('Extração'!P:P,"Parcialmente",'Extração'!L:L,A101)/B101)</f>
        <v/>
      </c>
      <c r="F101" s="16" t="str">
        <f>IF(B101=0,"",COUNTIFS('Extração'!Q:Q,"Parcialmente",'Extração'!L:L,A101)/B101)</f>
        <v/>
      </c>
      <c r="G101" s="16" t="str">
        <f>IF(B101=0,"",COUNTIFS('Extração'!P:P,"Não",'Extração'!L:L,A101)/B101)</f>
        <v/>
      </c>
      <c r="H101" s="16" t="str">
        <f>IF(B101=0,"",COUNTIFS('Extração'!Q:Q,"Não",'Extração'!L:L,A101)/B101)</f>
        <v/>
      </c>
      <c r="I101" s="16" t="str">
        <f>IF(B101=0,"",COUNTIFS('Extração'!R:R,"Igual",'Extração'!L:L,A101)/B101)</f>
        <v/>
      </c>
    </row>
    <row r="102">
      <c r="B102" s="16">
        <f>COUNTIF('Extração'!L:L,A102)</f>
        <v>0</v>
      </c>
      <c r="C102" s="16" t="str">
        <f>IF(B102=0,"",COUNTIFS('Extração'!P:P,"Sim",'Extração'!L:L,A102)/B102)</f>
        <v/>
      </c>
      <c r="D102" s="16" t="str">
        <f>IF(B102=0,"",COUNTIFS('Extração'!Q:Q,"Sim",'Extração'!L:L,A102)/B102)</f>
        <v/>
      </c>
      <c r="E102" s="16" t="str">
        <f>IF(B102=0,"",COUNTIFS('Extração'!P:P,"Parcialmente",'Extração'!L:L,A102)/B102)</f>
        <v/>
      </c>
      <c r="F102" s="16" t="str">
        <f>IF(B102=0,"",COUNTIFS('Extração'!Q:Q,"Parcialmente",'Extração'!L:L,A102)/B102)</f>
        <v/>
      </c>
      <c r="G102" s="16" t="str">
        <f>IF(B102=0,"",COUNTIFS('Extração'!P:P,"Não",'Extração'!L:L,A102)/B102)</f>
        <v/>
      </c>
      <c r="H102" s="16" t="str">
        <f>IF(B102=0,"",COUNTIFS('Extração'!Q:Q,"Não",'Extração'!L:L,A102)/B102)</f>
        <v/>
      </c>
      <c r="I102" s="16" t="str">
        <f>IF(B102=0,"",COUNTIFS('Extração'!R:R,"Igual",'Extração'!L:L,A102)/B102)</f>
        <v/>
      </c>
    </row>
    <row r="103">
      <c r="B103" s="16">
        <f>COUNTIF('Extração'!L:L,A103)</f>
        <v>0</v>
      </c>
      <c r="C103" s="16" t="str">
        <f>IF(B103=0,"",COUNTIFS('Extração'!P:P,"Sim",'Extração'!L:L,A103)/B103)</f>
        <v/>
      </c>
      <c r="D103" s="16" t="str">
        <f>IF(B103=0,"",COUNTIFS('Extração'!Q:Q,"Sim",'Extração'!L:L,A103)/B103)</f>
        <v/>
      </c>
      <c r="E103" s="16" t="str">
        <f>IF(B103=0,"",COUNTIFS('Extração'!P:P,"Parcialmente",'Extração'!L:L,A103)/B103)</f>
        <v/>
      </c>
      <c r="F103" s="16" t="str">
        <f>IF(B103=0,"",COUNTIFS('Extração'!Q:Q,"Parcialmente",'Extração'!L:L,A103)/B103)</f>
        <v/>
      </c>
      <c r="G103" s="16" t="str">
        <f>IF(B103=0,"",COUNTIFS('Extração'!P:P,"Não",'Extração'!L:L,A103)/B103)</f>
        <v/>
      </c>
      <c r="H103" s="16" t="str">
        <f>IF(B103=0,"",COUNTIFS('Extração'!Q:Q,"Não",'Extração'!L:L,A103)/B103)</f>
        <v/>
      </c>
      <c r="I103" s="16" t="str">
        <f>IF(B103=0,"",COUNTIFS('Extração'!R:R,"Igual",'Extração'!L:L,A103)/B103)</f>
        <v/>
      </c>
    </row>
    <row r="104">
      <c r="B104" s="16">
        <f>COUNTIF('Extração'!L:L,A104)</f>
        <v>0</v>
      </c>
      <c r="C104" s="16" t="str">
        <f>IF(B104=0,"",COUNTIFS('Extração'!P:P,"Sim",'Extração'!L:L,A104)/B104)</f>
        <v/>
      </c>
      <c r="D104" s="16" t="str">
        <f>IF(B104=0,"",COUNTIFS('Extração'!Q:Q,"Sim",'Extração'!L:L,A104)/B104)</f>
        <v/>
      </c>
      <c r="E104" s="16" t="str">
        <f>IF(B104=0,"",COUNTIFS('Extração'!P:P,"Parcialmente",'Extração'!L:L,A104)/B104)</f>
        <v/>
      </c>
      <c r="F104" s="16" t="str">
        <f>IF(B104=0,"",COUNTIFS('Extração'!Q:Q,"Parcialmente",'Extração'!L:L,A104)/B104)</f>
        <v/>
      </c>
      <c r="G104" s="16" t="str">
        <f>IF(B104=0,"",COUNTIFS('Extração'!P:P,"Não",'Extração'!L:L,A104)/B104)</f>
        <v/>
      </c>
      <c r="H104" s="16" t="str">
        <f>IF(B104=0,"",COUNTIFS('Extração'!Q:Q,"Não",'Extração'!L:L,A104)/B104)</f>
        <v/>
      </c>
      <c r="I104" s="16" t="str">
        <f>IF(B104=0,"",COUNTIFS('Extração'!R:R,"Igual",'Extração'!L:L,A104)/B104)</f>
        <v/>
      </c>
    </row>
    <row r="105">
      <c r="B105" s="16">
        <f>COUNTIF('Extração'!L:L,A105)</f>
        <v>0</v>
      </c>
      <c r="C105" s="16" t="str">
        <f>IF(B105=0,"",COUNTIFS('Extração'!P:P,"Sim",'Extração'!L:L,A105)/B105)</f>
        <v/>
      </c>
      <c r="D105" s="16" t="str">
        <f>IF(B105=0,"",COUNTIFS('Extração'!Q:Q,"Sim",'Extração'!L:L,A105)/B105)</f>
        <v/>
      </c>
      <c r="E105" s="16" t="str">
        <f>IF(B105=0,"",COUNTIFS('Extração'!P:P,"Parcialmente",'Extração'!L:L,A105)/B105)</f>
        <v/>
      </c>
      <c r="F105" s="16" t="str">
        <f>IF(B105=0,"",COUNTIFS('Extração'!Q:Q,"Parcialmente",'Extração'!L:L,A105)/B105)</f>
        <v/>
      </c>
      <c r="G105" s="16" t="str">
        <f>IF(B105=0,"",COUNTIFS('Extração'!P:P,"Não",'Extração'!L:L,A105)/B105)</f>
        <v/>
      </c>
      <c r="H105" s="16" t="str">
        <f>IF(B105=0,"",COUNTIFS('Extração'!Q:Q,"Não",'Extração'!L:L,A105)/B105)</f>
        <v/>
      </c>
      <c r="I105" s="16" t="str">
        <f>IF(B105=0,"",COUNTIFS('Extração'!R:R,"Igual",'Extração'!L:L,A105)/B105)</f>
        <v/>
      </c>
    </row>
    <row r="106">
      <c r="B106" s="16">
        <f>COUNTIF('Extração'!L:L,A106)</f>
        <v>0</v>
      </c>
      <c r="C106" s="16" t="str">
        <f>IF(B106=0,"",COUNTIFS('Extração'!P:P,"Sim",'Extração'!L:L,A106)/B106)</f>
        <v/>
      </c>
      <c r="D106" s="16" t="str">
        <f>IF(B106=0,"",COUNTIFS('Extração'!Q:Q,"Sim",'Extração'!L:L,A106)/B106)</f>
        <v/>
      </c>
      <c r="E106" s="16" t="str">
        <f>IF(B106=0,"",COUNTIFS('Extração'!P:P,"Parcialmente",'Extração'!L:L,A106)/B106)</f>
        <v/>
      </c>
      <c r="F106" s="16" t="str">
        <f>IF(B106=0,"",COUNTIFS('Extração'!Q:Q,"Parcialmente",'Extração'!L:L,A106)/B106)</f>
        <v/>
      </c>
      <c r="G106" s="16" t="str">
        <f>IF(B106=0,"",COUNTIFS('Extração'!P:P,"Não",'Extração'!L:L,A106)/B106)</f>
        <v/>
      </c>
      <c r="H106" s="16" t="str">
        <f>IF(B106=0,"",COUNTIFS('Extração'!Q:Q,"Não",'Extração'!L:L,A106)/B106)</f>
        <v/>
      </c>
      <c r="I106" s="16" t="str">
        <f>IF(B106=0,"",COUNTIFS('Extração'!R:R,"Igual",'Extração'!L:L,A106)/B106)</f>
        <v/>
      </c>
    </row>
    <row r="107">
      <c r="B107" s="16">
        <f>COUNTIF('Extração'!L:L,A107)</f>
        <v>0</v>
      </c>
      <c r="C107" s="16" t="str">
        <f>IF(B107=0,"",COUNTIFS('Extração'!P:P,"Sim",'Extração'!L:L,A107)/B107)</f>
        <v/>
      </c>
      <c r="D107" s="16" t="str">
        <f>IF(B107=0,"",COUNTIFS('Extração'!Q:Q,"Sim",'Extração'!L:L,A107)/B107)</f>
        <v/>
      </c>
      <c r="E107" s="16" t="str">
        <f>IF(B107=0,"",COUNTIFS('Extração'!P:P,"Parcialmente",'Extração'!L:L,A107)/B107)</f>
        <v/>
      </c>
      <c r="F107" s="16" t="str">
        <f>IF(B107=0,"",COUNTIFS('Extração'!Q:Q,"Parcialmente",'Extração'!L:L,A107)/B107)</f>
        <v/>
      </c>
      <c r="G107" s="16" t="str">
        <f>IF(B107=0,"",COUNTIFS('Extração'!P:P,"Não",'Extração'!L:L,A107)/B107)</f>
        <v/>
      </c>
      <c r="H107" s="16" t="str">
        <f>IF(B107=0,"",COUNTIFS('Extração'!Q:Q,"Não",'Extração'!L:L,A107)/B107)</f>
        <v/>
      </c>
      <c r="I107" s="16" t="str">
        <f>IF(B107=0,"",COUNTIFS('Extração'!R:R,"Igual",'Extração'!L:L,A107)/B107)</f>
        <v/>
      </c>
    </row>
    <row r="108">
      <c r="B108" s="16">
        <f>COUNTIF('Extração'!L:L,A108)</f>
        <v>0</v>
      </c>
      <c r="C108" s="16" t="str">
        <f>IF(B108=0,"",COUNTIFS('Extração'!P:P,"Sim",'Extração'!L:L,A108)/B108)</f>
        <v/>
      </c>
      <c r="D108" s="16" t="str">
        <f>IF(B108=0,"",COUNTIFS('Extração'!Q:Q,"Sim",'Extração'!L:L,A108)/B108)</f>
        <v/>
      </c>
      <c r="E108" s="16" t="str">
        <f>IF(B108=0,"",COUNTIFS('Extração'!P:P,"Parcialmente",'Extração'!L:L,A108)/B108)</f>
        <v/>
      </c>
      <c r="F108" s="16" t="str">
        <f>IF(B108=0,"",COUNTIFS('Extração'!Q:Q,"Parcialmente",'Extração'!L:L,A108)/B108)</f>
        <v/>
      </c>
      <c r="G108" s="16" t="str">
        <f>IF(B108=0,"",COUNTIFS('Extração'!P:P,"Não",'Extração'!L:L,A108)/B108)</f>
        <v/>
      </c>
      <c r="H108" s="16" t="str">
        <f>IF(B108=0,"",COUNTIFS('Extração'!Q:Q,"Não",'Extração'!L:L,A108)/B108)</f>
        <v/>
      </c>
      <c r="I108" s="16" t="str">
        <f>IF(B108=0,"",COUNTIFS('Extração'!R:R,"Igual",'Extração'!L:L,A108)/B108)</f>
        <v/>
      </c>
    </row>
    <row r="109">
      <c r="B109" s="16">
        <f>COUNTIF('Extração'!L:L,A109)</f>
        <v>0</v>
      </c>
      <c r="C109" s="16" t="str">
        <f>IF(B109=0,"",COUNTIFS('Extração'!P:P,"Sim",'Extração'!L:L,A109)/B109)</f>
        <v/>
      </c>
      <c r="D109" s="16" t="str">
        <f>IF(B109=0,"",COUNTIFS('Extração'!Q:Q,"Sim",'Extração'!L:L,A109)/B109)</f>
        <v/>
      </c>
      <c r="E109" s="16" t="str">
        <f>IF(B109=0,"",COUNTIFS('Extração'!P:P,"Parcialmente",'Extração'!L:L,A109)/B109)</f>
        <v/>
      </c>
      <c r="F109" s="16" t="str">
        <f>IF(B109=0,"",COUNTIFS('Extração'!Q:Q,"Parcialmente",'Extração'!L:L,A109)/B109)</f>
        <v/>
      </c>
      <c r="G109" s="16" t="str">
        <f>IF(B109=0,"",COUNTIFS('Extração'!P:P,"Não",'Extração'!L:L,A109)/B109)</f>
        <v/>
      </c>
      <c r="H109" s="16" t="str">
        <f>IF(B109=0,"",COUNTIFS('Extração'!Q:Q,"Não",'Extração'!L:L,A109)/B109)</f>
        <v/>
      </c>
      <c r="I109" s="16" t="str">
        <f>IF(B109=0,"",COUNTIFS('Extração'!R:R,"Igual",'Extração'!L:L,A109)/B109)</f>
        <v/>
      </c>
    </row>
    <row r="110">
      <c r="B110" s="16">
        <f>COUNTIF('Extração'!L:L,A110)</f>
        <v>0</v>
      </c>
      <c r="C110" s="16" t="str">
        <f>IF(B110=0,"",COUNTIFS('Extração'!P:P,"Sim",'Extração'!L:L,A110)/B110)</f>
        <v/>
      </c>
      <c r="D110" s="16" t="str">
        <f>IF(B110=0,"",COUNTIFS('Extração'!Q:Q,"Sim",'Extração'!L:L,A110)/B110)</f>
        <v/>
      </c>
      <c r="E110" s="16" t="str">
        <f>IF(B110=0,"",COUNTIFS('Extração'!P:P,"Parcialmente",'Extração'!L:L,A110)/B110)</f>
        <v/>
      </c>
      <c r="F110" s="16" t="str">
        <f>IF(B110=0,"",COUNTIFS('Extração'!Q:Q,"Parcialmente",'Extração'!L:L,A110)/B110)</f>
        <v/>
      </c>
      <c r="G110" s="16" t="str">
        <f>IF(B110=0,"",COUNTIFS('Extração'!P:P,"Não",'Extração'!L:L,A110)/B110)</f>
        <v/>
      </c>
      <c r="H110" s="16" t="str">
        <f>IF(B110=0,"",COUNTIFS('Extração'!Q:Q,"Não",'Extração'!L:L,A110)/B110)</f>
        <v/>
      </c>
      <c r="I110" s="16" t="str">
        <f>IF(B110=0,"",COUNTIFS('Extração'!R:R,"Igual",'Extração'!L:L,A110)/B110)</f>
        <v/>
      </c>
    </row>
    <row r="111">
      <c r="B111" s="16">
        <f>COUNTIF('Extração'!L:L,A111)</f>
        <v>0</v>
      </c>
      <c r="C111" s="16" t="str">
        <f>IF(B111=0,"",COUNTIFS('Extração'!P:P,"Sim",'Extração'!L:L,A111)/B111)</f>
        <v/>
      </c>
      <c r="D111" s="16" t="str">
        <f>IF(B111=0,"",COUNTIFS('Extração'!Q:Q,"Sim",'Extração'!L:L,A111)/B111)</f>
        <v/>
      </c>
      <c r="E111" s="16" t="str">
        <f>IF(B111=0,"",COUNTIFS('Extração'!P:P,"Parcialmente",'Extração'!L:L,A111)/B111)</f>
        <v/>
      </c>
      <c r="F111" s="16" t="str">
        <f>IF(B111=0,"",COUNTIFS('Extração'!Q:Q,"Parcialmente",'Extração'!L:L,A111)/B111)</f>
        <v/>
      </c>
      <c r="G111" s="16" t="str">
        <f>IF(B111=0,"",COUNTIFS('Extração'!P:P,"Não",'Extração'!L:L,A111)/B111)</f>
        <v/>
      </c>
      <c r="H111" s="16" t="str">
        <f>IF(B111=0,"",COUNTIFS('Extração'!Q:Q,"Não",'Extração'!L:L,A111)/B111)</f>
        <v/>
      </c>
      <c r="I111" s="16" t="str">
        <f>IF(B111=0,"",COUNTIFS('Extração'!R:R,"Igual",'Extração'!L:L,A111)/B111)</f>
        <v/>
      </c>
    </row>
    <row r="112">
      <c r="B112" s="16">
        <f>COUNTIF('Extração'!L:L,A112)</f>
        <v>0</v>
      </c>
      <c r="C112" s="16" t="str">
        <f>IF(B112=0,"",COUNTIFS('Extração'!P:P,"Sim",'Extração'!L:L,A112)/B112)</f>
        <v/>
      </c>
      <c r="D112" s="16" t="str">
        <f>IF(B112=0,"",COUNTIFS('Extração'!Q:Q,"Sim",'Extração'!L:L,A112)/B112)</f>
        <v/>
      </c>
      <c r="E112" s="16" t="str">
        <f>IF(B112=0,"",COUNTIFS('Extração'!P:P,"Parcialmente",'Extração'!L:L,A112)/B112)</f>
        <v/>
      </c>
      <c r="F112" s="16" t="str">
        <f>IF(B112=0,"",COUNTIFS('Extração'!Q:Q,"Parcialmente",'Extração'!L:L,A112)/B112)</f>
        <v/>
      </c>
      <c r="G112" s="16" t="str">
        <f>IF(B112=0,"",COUNTIFS('Extração'!P:P,"Não",'Extração'!L:L,A112)/B112)</f>
        <v/>
      </c>
      <c r="H112" s="16" t="str">
        <f>IF(B112=0,"",COUNTIFS('Extração'!Q:Q,"Não",'Extração'!L:L,A112)/B112)</f>
        <v/>
      </c>
      <c r="I112" s="16" t="str">
        <f>IF(B112=0,"",COUNTIFS('Extração'!R:R,"Igual",'Extração'!L:L,A112)/B112)</f>
        <v/>
      </c>
    </row>
    <row r="113">
      <c r="B113" s="16">
        <f>COUNTIF('Extração'!L:L,A113)</f>
        <v>0</v>
      </c>
      <c r="C113" s="16" t="str">
        <f>IF(B113=0,"",COUNTIFS('Extração'!P:P,"Sim",'Extração'!L:L,A113)/B113)</f>
        <v/>
      </c>
      <c r="D113" s="16" t="str">
        <f>IF(B113=0,"",COUNTIFS('Extração'!Q:Q,"Sim",'Extração'!L:L,A113)/B113)</f>
        <v/>
      </c>
      <c r="E113" s="16" t="str">
        <f>IF(B113=0,"",COUNTIFS('Extração'!P:P,"Parcialmente",'Extração'!L:L,A113)/B113)</f>
        <v/>
      </c>
      <c r="F113" s="16" t="str">
        <f>IF(B113=0,"",COUNTIFS('Extração'!Q:Q,"Parcialmente",'Extração'!L:L,A113)/B113)</f>
        <v/>
      </c>
      <c r="G113" s="16" t="str">
        <f>IF(B113=0,"",COUNTIFS('Extração'!P:P,"Não",'Extração'!L:L,A113)/B113)</f>
        <v/>
      </c>
      <c r="H113" s="16" t="str">
        <f>IF(B113=0,"",COUNTIFS('Extração'!Q:Q,"Não",'Extração'!L:L,A113)/B113)</f>
        <v/>
      </c>
      <c r="I113" s="16" t="str">
        <f>IF(B113=0,"",COUNTIFS('Extração'!R:R,"Igual",'Extração'!L:L,A113)/B113)</f>
        <v/>
      </c>
    </row>
    <row r="114">
      <c r="B114" s="16">
        <f>COUNTIF('Extração'!L:L,A114)</f>
        <v>0</v>
      </c>
      <c r="C114" s="16" t="str">
        <f>IF(B114=0,"",COUNTIFS('Extração'!P:P,"Sim",'Extração'!L:L,A114)/B114)</f>
        <v/>
      </c>
      <c r="D114" s="16" t="str">
        <f>IF(B114=0,"",COUNTIFS('Extração'!Q:Q,"Sim",'Extração'!L:L,A114)/B114)</f>
        <v/>
      </c>
      <c r="E114" s="16" t="str">
        <f>IF(B114=0,"",COUNTIFS('Extração'!P:P,"Parcialmente",'Extração'!L:L,A114)/B114)</f>
        <v/>
      </c>
      <c r="F114" s="16" t="str">
        <f>IF(B114=0,"",COUNTIFS('Extração'!Q:Q,"Parcialmente",'Extração'!L:L,A114)/B114)</f>
        <v/>
      </c>
      <c r="G114" s="16" t="str">
        <f>IF(B114=0,"",COUNTIFS('Extração'!P:P,"Não",'Extração'!L:L,A114)/B114)</f>
        <v/>
      </c>
      <c r="H114" s="16" t="str">
        <f>IF(B114=0,"",COUNTIFS('Extração'!Q:Q,"Não",'Extração'!L:L,A114)/B114)</f>
        <v/>
      </c>
      <c r="I114" s="16" t="str">
        <f>IF(B114=0,"",COUNTIFS('Extração'!R:R,"Igual",'Extração'!L:L,A114)/B114)</f>
        <v/>
      </c>
    </row>
    <row r="115">
      <c r="B115" s="16">
        <f>COUNTIF('Extração'!L:L,A115)</f>
        <v>0</v>
      </c>
      <c r="C115" s="16" t="str">
        <f>IF(B115=0,"",COUNTIFS('Extração'!P:P,"Sim",'Extração'!L:L,A115)/B115)</f>
        <v/>
      </c>
      <c r="D115" s="16" t="str">
        <f>IF(B115=0,"",COUNTIFS('Extração'!Q:Q,"Sim",'Extração'!L:L,A115)/B115)</f>
        <v/>
      </c>
      <c r="E115" s="16" t="str">
        <f>IF(B115=0,"",COUNTIFS('Extração'!P:P,"Parcialmente",'Extração'!L:L,A115)/B115)</f>
        <v/>
      </c>
      <c r="F115" s="16" t="str">
        <f>IF(B115=0,"",COUNTIFS('Extração'!Q:Q,"Parcialmente",'Extração'!L:L,A115)/B115)</f>
        <v/>
      </c>
      <c r="G115" s="16" t="str">
        <f>IF(B115=0,"",COUNTIFS('Extração'!P:P,"Não",'Extração'!L:L,A115)/B115)</f>
        <v/>
      </c>
      <c r="H115" s="16" t="str">
        <f>IF(B115=0,"",COUNTIFS('Extração'!Q:Q,"Não",'Extração'!L:L,A115)/B115)</f>
        <v/>
      </c>
      <c r="I115" s="16" t="str">
        <f>IF(B115=0,"",COUNTIFS('Extração'!R:R,"Igual",'Extração'!L:L,A115)/B115)</f>
        <v/>
      </c>
    </row>
    <row r="116">
      <c r="B116" s="16">
        <f>COUNTIF('Extração'!L:L,A116)</f>
        <v>0</v>
      </c>
      <c r="C116" s="16" t="str">
        <f>IF(B116=0,"",COUNTIFS('Extração'!P:P,"Sim",'Extração'!L:L,A116)/B116)</f>
        <v/>
      </c>
      <c r="D116" s="16" t="str">
        <f>IF(B116=0,"",COUNTIFS('Extração'!Q:Q,"Sim",'Extração'!L:L,A116)/B116)</f>
        <v/>
      </c>
      <c r="E116" s="16" t="str">
        <f>IF(B116=0,"",COUNTIFS('Extração'!P:P,"Parcialmente",'Extração'!L:L,A116)/B116)</f>
        <v/>
      </c>
      <c r="F116" s="16" t="str">
        <f>IF(B116=0,"",COUNTIFS('Extração'!Q:Q,"Parcialmente",'Extração'!L:L,A116)/B116)</f>
        <v/>
      </c>
      <c r="G116" s="16" t="str">
        <f>IF(B116=0,"",COUNTIFS('Extração'!P:P,"Não",'Extração'!L:L,A116)/B116)</f>
        <v/>
      </c>
      <c r="H116" s="16" t="str">
        <f>IF(B116=0,"",COUNTIFS('Extração'!Q:Q,"Não",'Extração'!L:L,A116)/B116)</f>
        <v/>
      </c>
      <c r="I116" s="16" t="str">
        <f>IF(B116=0,"",COUNTIFS('Extração'!R:R,"Igual",'Extração'!L:L,A116)/B116)</f>
        <v/>
      </c>
    </row>
    <row r="117">
      <c r="B117" s="16">
        <f>COUNTIF('Extração'!L:L,A117)</f>
        <v>0</v>
      </c>
      <c r="C117" s="16" t="str">
        <f>IF(B117=0,"",COUNTIFS('Extração'!P:P,"Sim",'Extração'!L:L,A117)/B117)</f>
        <v/>
      </c>
      <c r="D117" s="16" t="str">
        <f>IF(B117=0,"",COUNTIFS('Extração'!Q:Q,"Sim",'Extração'!L:L,A117)/B117)</f>
        <v/>
      </c>
      <c r="E117" s="16" t="str">
        <f>IF(B117=0,"",COUNTIFS('Extração'!P:P,"Parcialmente",'Extração'!L:L,A117)/B117)</f>
        <v/>
      </c>
      <c r="F117" s="16" t="str">
        <f>IF(B117=0,"",COUNTIFS('Extração'!Q:Q,"Parcialmente",'Extração'!L:L,A117)/B117)</f>
        <v/>
      </c>
      <c r="G117" s="16" t="str">
        <f>IF(B117=0,"",COUNTIFS('Extração'!P:P,"Não",'Extração'!L:L,A117)/B117)</f>
        <v/>
      </c>
      <c r="H117" s="16" t="str">
        <f>IF(B117=0,"",COUNTIFS('Extração'!Q:Q,"Não",'Extração'!L:L,A117)/B117)</f>
        <v/>
      </c>
      <c r="I117" s="16" t="str">
        <f>IF(B117=0,"",COUNTIFS('Extração'!R:R,"Igual",'Extração'!L:L,A117)/B117)</f>
        <v/>
      </c>
    </row>
    <row r="118">
      <c r="B118" s="16">
        <f>COUNTIF('Extração'!L:L,A118)</f>
        <v>0</v>
      </c>
      <c r="C118" s="16" t="str">
        <f>IF(B118=0,"",COUNTIFS('Extração'!P:P,"Sim",'Extração'!L:L,A118)/B118)</f>
        <v/>
      </c>
      <c r="D118" s="16" t="str">
        <f>IF(B118=0,"",COUNTIFS('Extração'!Q:Q,"Sim",'Extração'!L:L,A118)/B118)</f>
        <v/>
      </c>
      <c r="E118" s="16" t="str">
        <f>IF(B118=0,"",COUNTIFS('Extração'!P:P,"Parcialmente",'Extração'!L:L,A118)/B118)</f>
        <v/>
      </c>
      <c r="F118" s="16" t="str">
        <f>IF(B118=0,"",COUNTIFS('Extração'!Q:Q,"Parcialmente",'Extração'!L:L,A118)/B118)</f>
        <v/>
      </c>
      <c r="G118" s="16" t="str">
        <f>IF(B118=0,"",COUNTIFS('Extração'!P:P,"Não",'Extração'!L:L,A118)/B118)</f>
        <v/>
      </c>
      <c r="H118" s="16" t="str">
        <f>IF(B118=0,"",COUNTIFS('Extração'!Q:Q,"Não",'Extração'!L:L,A118)/B118)</f>
        <v/>
      </c>
      <c r="I118" s="16" t="str">
        <f>IF(B118=0,"",COUNTIFS('Extração'!R:R,"Igual",'Extração'!L:L,A118)/B118)</f>
        <v/>
      </c>
    </row>
    <row r="119">
      <c r="B119" s="16">
        <f>COUNTIF('Extração'!L:L,A119)</f>
        <v>0</v>
      </c>
      <c r="C119" s="16" t="str">
        <f>IF(B119=0,"",COUNTIFS('Extração'!P:P,"Sim",'Extração'!L:L,A119)/B119)</f>
        <v/>
      </c>
      <c r="D119" s="16" t="str">
        <f>IF(B119=0,"",COUNTIFS('Extração'!Q:Q,"Sim",'Extração'!L:L,A119)/B119)</f>
        <v/>
      </c>
      <c r="E119" s="16" t="str">
        <f>IF(B119=0,"",COUNTIFS('Extração'!P:P,"Parcialmente",'Extração'!L:L,A119)/B119)</f>
        <v/>
      </c>
      <c r="F119" s="16" t="str">
        <f>IF(B119=0,"",COUNTIFS('Extração'!Q:Q,"Parcialmente",'Extração'!L:L,A119)/B119)</f>
        <v/>
      </c>
      <c r="G119" s="16" t="str">
        <f>IF(B119=0,"",COUNTIFS('Extração'!P:P,"Não",'Extração'!L:L,A119)/B119)</f>
        <v/>
      </c>
      <c r="H119" s="16" t="str">
        <f>IF(B119=0,"",COUNTIFS('Extração'!Q:Q,"Não",'Extração'!L:L,A119)/B119)</f>
        <v/>
      </c>
      <c r="I119" s="16" t="str">
        <f>IF(B119=0,"",COUNTIFS('Extração'!R:R,"Igual",'Extração'!L:L,A119)/B119)</f>
        <v/>
      </c>
    </row>
    <row r="120">
      <c r="B120" s="16">
        <f>COUNTIF('Extração'!L:L,A120)</f>
        <v>0</v>
      </c>
      <c r="C120" s="16" t="str">
        <f>IF(B120=0,"",COUNTIFS('Extração'!P:P,"Sim",'Extração'!L:L,A120)/B120)</f>
        <v/>
      </c>
      <c r="D120" s="16" t="str">
        <f>IF(B120=0,"",COUNTIFS('Extração'!Q:Q,"Sim",'Extração'!L:L,A120)/B120)</f>
        <v/>
      </c>
      <c r="E120" s="16" t="str">
        <f>IF(B120=0,"",COUNTIFS('Extração'!P:P,"Parcialmente",'Extração'!L:L,A120)/B120)</f>
        <v/>
      </c>
      <c r="F120" s="16" t="str">
        <f>IF(B120=0,"",COUNTIFS('Extração'!Q:Q,"Parcialmente",'Extração'!L:L,A120)/B120)</f>
        <v/>
      </c>
      <c r="G120" s="16" t="str">
        <f>IF(B120=0,"",COUNTIFS('Extração'!P:P,"Não",'Extração'!L:L,A120)/B120)</f>
        <v/>
      </c>
      <c r="H120" s="16" t="str">
        <f>IF(B120=0,"",COUNTIFS('Extração'!Q:Q,"Não",'Extração'!L:L,A120)/B120)</f>
        <v/>
      </c>
      <c r="I120" s="16" t="str">
        <f>IF(B120=0,"",COUNTIFS('Extração'!R:R,"Igual",'Extração'!L:L,A120)/B120)</f>
        <v/>
      </c>
    </row>
    <row r="121">
      <c r="B121" s="16">
        <f>COUNTIF('Extração'!L:L,A121)</f>
        <v>0</v>
      </c>
      <c r="C121" s="16" t="str">
        <f>IF(B121=0,"",COUNTIFS('Extração'!P:P,"Sim",'Extração'!L:L,A121)/B121)</f>
        <v/>
      </c>
      <c r="D121" s="16" t="str">
        <f>IF(B121=0,"",COUNTIFS('Extração'!Q:Q,"Sim",'Extração'!L:L,A121)/B121)</f>
        <v/>
      </c>
      <c r="E121" s="16" t="str">
        <f>IF(B121=0,"",COUNTIFS('Extração'!P:P,"Parcialmente",'Extração'!L:L,A121)/B121)</f>
        <v/>
      </c>
      <c r="F121" s="16" t="str">
        <f>IF(B121=0,"",COUNTIFS('Extração'!Q:Q,"Parcialmente",'Extração'!L:L,A121)/B121)</f>
        <v/>
      </c>
      <c r="G121" s="16" t="str">
        <f>IF(B121=0,"",COUNTIFS('Extração'!P:P,"Não",'Extração'!L:L,A121)/B121)</f>
        <v/>
      </c>
      <c r="H121" s="16" t="str">
        <f>IF(B121=0,"",COUNTIFS('Extração'!Q:Q,"Não",'Extração'!L:L,A121)/B121)</f>
        <v/>
      </c>
      <c r="I121" s="16" t="str">
        <f>IF(B121=0,"",COUNTIFS('Extração'!R:R,"Igual",'Extração'!L:L,A121)/B121)</f>
        <v/>
      </c>
    </row>
    <row r="122">
      <c r="B122" s="16">
        <f>COUNTIF('Extração'!L:L,A122)</f>
        <v>0</v>
      </c>
      <c r="C122" s="16" t="str">
        <f>IF(B122=0,"",COUNTIFS('Extração'!P:P,"Sim",'Extração'!L:L,A122)/B122)</f>
        <v/>
      </c>
      <c r="D122" s="16" t="str">
        <f>IF(B122=0,"",COUNTIFS('Extração'!Q:Q,"Sim",'Extração'!L:L,A122)/B122)</f>
        <v/>
      </c>
      <c r="E122" s="16" t="str">
        <f>IF(B122=0,"",COUNTIFS('Extração'!P:P,"Parcialmente",'Extração'!L:L,A122)/B122)</f>
        <v/>
      </c>
      <c r="F122" s="16" t="str">
        <f>IF(B122=0,"",COUNTIFS('Extração'!Q:Q,"Parcialmente",'Extração'!L:L,A122)/B122)</f>
        <v/>
      </c>
      <c r="G122" s="16" t="str">
        <f>IF(B122=0,"",COUNTIFS('Extração'!P:P,"Não",'Extração'!L:L,A122)/B122)</f>
        <v/>
      </c>
      <c r="H122" s="16" t="str">
        <f>IF(B122=0,"",COUNTIFS('Extração'!Q:Q,"Não",'Extração'!L:L,A122)/B122)</f>
        <v/>
      </c>
      <c r="I122" s="16" t="str">
        <f>IF(B122=0,"",COUNTIFS('Extração'!R:R,"Igual",'Extração'!L:L,A122)/B122)</f>
        <v/>
      </c>
    </row>
    <row r="123">
      <c r="B123" s="16">
        <f>COUNTIF('Extração'!L:L,A123)</f>
        <v>0</v>
      </c>
      <c r="C123" s="16" t="str">
        <f>IF(B123=0,"",COUNTIFS('Extração'!P:P,"Sim",'Extração'!L:L,A123)/B123)</f>
        <v/>
      </c>
      <c r="D123" s="16" t="str">
        <f>IF(B123=0,"",COUNTIFS('Extração'!Q:Q,"Sim",'Extração'!L:L,A123)/B123)</f>
        <v/>
      </c>
      <c r="E123" s="16" t="str">
        <f>IF(B123=0,"",COUNTIFS('Extração'!P:P,"Parcialmente",'Extração'!L:L,A123)/B123)</f>
        <v/>
      </c>
      <c r="F123" s="16" t="str">
        <f>IF(B123=0,"",COUNTIFS('Extração'!Q:Q,"Parcialmente",'Extração'!L:L,A123)/B123)</f>
        <v/>
      </c>
      <c r="G123" s="16" t="str">
        <f>IF(B123=0,"",COUNTIFS('Extração'!P:P,"Não",'Extração'!L:L,A123)/B123)</f>
        <v/>
      </c>
      <c r="H123" s="16" t="str">
        <f>IF(B123=0,"",COUNTIFS('Extração'!Q:Q,"Não",'Extração'!L:L,A123)/B123)</f>
        <v/>
      </c>
      <c r="I123" s="16" t="str">
        <f>IF(B123=0,"",COUNTIFS('Extração'!R:R,"Igual",'Extração'!L:L,A123)/B123)</f>
        <v/>
      </c>
    </row>
    <row r="124">
      <c r="B124" s="16">
        <f>COUNTIF('Extração'!L:L,A124)</f>
        <v>0</v>
      </c>
      <c r="C124" s="16" t="str">
        <f>IF(B124=0,"",COUNTIFS('Extração'!P:P,"Sim",'Extração'!L:L,A124)/B124)</f>
        <v/>
      </c>
      <c r="D124" s="16" t="str">
        <f>IF(B124=0,"",COUNTIFS('Extração'!Q:Q,"Sim",'Extração'!L:L,A124)/B124)</f>
        <v/>
      </c>
      <c r="E124" s="16" t="str">
        <f>IF(B124=0,"",COUNTIFS('Extração'!P:P,"Parcialmente",'Extração'!L:L,A124)/B124)</f>
        <v/>
      </c>
      <c r="F124" s="16" t="str">
        <f>IF(B124=0,"",COUNTIFS('Extração'!Q:Q,"Parcialmente",'Extração'!L:L,A124)/B124)</f>
        <v/>
      </c>
      <c r="G124" s="16" t="str">
        <f>IF(B124=0,"",COUNTIFS('Extração'!P:P,"Não",'Extração'!L:L,A124)/B124)</f>
        <v/>
      </c>
      <c r="H124" s="16" t="str">
        <f>IF(B124=0,"",COUNTIFS('Extração'!Q:Q,"Não",'Extração'!L:L,A124)/B124)</f>
        <v/>
      </c>
      <c r="I124" s="16" t="str">
        <f>IF(B124=0,"",COUNTIFS('Extração'!R:R,"Igual",'Extração'!L:L,A124)/B124)</f>
        <v/>
      </c>
    </row>
    <row r="125">
      <c r="B125" s="16">
        <f>COUNTIF('Extração'!L:L,A125)</f>
        <v>0</v>
      </c>
      <c r="C125" s="16" t="str">
        <f>IF(B125=0,"",COUNTIFS('Extração'!P:P,"Sim",'Extração'!L:L,A125)/B125)</f>
        <v/>
      </c>
      <c r="D125" s="16" t="str">
        <f>IF(B125=0,"",COUNTIFS('Extração'!Q:Q,"Sim",'Extração'!L:L,A125)/B125)</f>
        <v/>
      </c>
      <c r="E125" s="16" t="str">
        <f>IF(B125=0,"",COUNTIFS('Extração'!P:P,"Parcialmente",'Extração'!L:L,A125)/B125)</f>
        <v/>
      </c>
      <c r="F125" s="16" t="str">
        <f>IF(B125=0,"",COUNTIFS('Extração'!Q:Q,"Parcialmente",'Extração'!L:L,A125)/B125)</f>
        <v/>
      </c>
      <c r="G125" s="16" t="str">
        <f>IF(B125=0,"",COUNTIFS('Extração'!P:P,"Não",'Extração'!L:L,A125)/B125)</f>
        <v/>
      </c>
      <c r="H125" s="16" t="str">
        <f>IF(B125=0,"",COUNTIFS('Extração'!Q:Q,"Não",'Extração'!L:L,A125)/B125)</f>
        <v/>
      </c>
      <c r="I125" s="16" t="str">
        <f>IF(B125=0,"",COUNTIFS('Extração'!R:R,"Igual",'Extração'!L:L,A125)/B125)</f>
        <v/>
      </c>
    </row>
    <row r="126">
      <c r="B126" s="16">
        <f>COUNTIF('Extração'!L:L,A126)</f>
        <v>0</v>
      </c>
      <c r="C126" s="16" t="str">
        <f>IF(B126=0,"",COUNTIFS('Extração'!P:P,"Sim",'Extração'!L:L,A126)/B126)</f>
        <v/>
      </c>
      <c r="D126" s="16" t="str">
        <f>IF(B126=0,"",COUNTIFS('Extração'!Q:Q,"Sim",'Extração'!L:L,A126)/B126)</f>
        <v/>
      </c>
      <c r="E126" s="16" t="str">
        <f>IF(B126=0,"",COUNTIFS('Extração'!P:P,"Parcialmente",'Extração'!L:L,A126)/B126)</f>
        <v/>
      </c>
      <c r="F126" s="16" t="str">
        <f>IF(B126=0,"",COUNTIFS('Extração'!Q:Q,"Parcialmente",'Extração'!L:L,A126)/B126)</f>
        <v/>
      </c>
      <c r="G126" s="16" t="str">
        <f>IF(B126=0,"",COUNTIFS('Extração'!P:P,"Não",'Extração'!L:L,A126)/B126)</f>
        <v/>
      </c>
      <c r="H126" s="16" t="str">
        <f>IF(B126=0,"",COUNTIFS('Extração'!Q:Q,"Não",'Extração'!L:L,A126)/B126)</f>
        <v/>
      </c>
      <c r="I126" s="16" t="str">
        <f>IF(B126=0,"",COUNTIFS('Extração'!R:R,"Igual",'Extração'!L:L,A126)/B126)</f>
        <v/>
      </c>
    </row>
    <row r="127">
      <c r="B127" s="16">
        <f>COUNTIF('Extração'!L:L,A127)</f>
        <v>0</v>
      </c>
      <c r="C127" s="16" t="str">
        <f>IF(B127=0,"",COUNTIFS('Extração'!P:P,"Sim",'Extração'!L:L,A127)/B127)</f>
        <v/>
      </c>
      <c r="D127" s="16" t="str">
        <f>IF(B127=0,"",COUNTIFS('Extração'!Q:Q,"Sim",'Extração'!L:L,A127)/B127)</f>
        <v/>
      </c>
      <c r="E127" s="16" t="str">
        <f>IF(B127=0,"",COUNTIFS('Extração'!P:P,"Parcialmente",'Extração'!L:L,A127)/B127)</f>
        <v/>
      </c>
      <c r="F127" s="16" t="str">
        <f>IF(B127=0,"",COUNTIFS('Extração'!Q:Q,"Parcialmente",'Extração'!L:L,A127)/B127)</f>
        <v/>
      </c>
      <c r="G127" s="16" t="str">
        <f>IF(B127=0,"",COUNTIFS('Extração'!P:P,"Não",'Extração'!L:L,A127)/B127)</f>
        <v/>
      </c>
      <c r="H127" s="16" t="str">
        <f>IF(B127=0,"",COUNTIFS('Extração'!Q:Q,"Não",'Extração'!L:L,A127)/B127)</f>
        <v/>
      </c>
      <c r="I127" s="16" t="str">
        <f>IF(B127=0,"",COUNTIFS('Extração'!R:R,"Igual",'Extração'!L:L,A127)/B127)</f>
        <v/>
      </c>
    </row>
    <row r="128">
      <c r="B128" s="16">
        <f>COUNTIF('Extração'!L:L,A128)</f>
        <v>0</v>
      </c>
      <c r="C128" s="16" t="str">
        <f>IF(B128=0,"",COUNTIFS('Extração'!P:P,"Sim",'Extração'!L:L,A128)/B128)</f>
        <v/>
      </c>
      <c r="D128" s="16" t="str">
        <f>IF(B128=0,"",COUNTIFS('Extração'!Q:Q,"Sim",'Extração'!L:L,A128)/B128)</f>
        <v/>
      </c>
      <c r="E128" s="16" t="str">
        <f>IF(B128=0,"",COUNTIFS('Extração'!P:P,"Parcialmente",'Extração'!L:L,A128)/B128)</f>
        <v/>
      </c>
      <c r="F128" s="16" t="str">
        <f>IF(B128=0,"",COUNTIFS('Extração'!Q:Q,"Parcialmente",'Extração'!L:L,A128)/B128)</f>
        <v/>
      </c>
      <c r="G128" s="16" t="str">
        <f>IF(B128=0,"",COUNTIFS('Extração'!P:P,"Não",'Extração'!L:L,A128)/B128)</f>
        <v/>
      </c>
      <c r="H128" s="16" t="str">
        <f>IF(B128=0,"",COUNTIFS('Extração'!Q:Q,"Não",'Extração'!L:L,A128)/B128)</f>
        <v/>
      </c>
      <c r="I128" s="16" t="str">
        <f>IF(B128=0,"",COUNTIFS('Extração'!R:R,"Igual",'Extração'!L:L,A128)/B128)</f>
        <v/>
      </c>
    </row>
    <row r="129">
      <c r="B129" s="16">
        <f>COUNTIF('Extração'!L:L,A129)</f>
        <v>0</v>
      </c>
      <c r="C129" s="16" t="str">
        <f>IF(B129=0,"",COUNTIFS('Extração'!P:P,"Sim",'Extração'!L:L,A129)/B129)</f>
        <v/>
      </c>
      <c r="D129" s="16" t="str">
        <f>IF(B129=0,"",COUNTIFS('Extração'!Q:Q,"Sim",'Extração'!L:L,A129)/B129)</f>
        <v/>
      </c>
      <c r="E129" s="16" t="str">
        <f>IF(B129=0,"",COUNTIFS('Extração'!P:P,"Parcialmente",'Extração'!L:L,A129)/B129)</f>
        <v/>
      </c>
      <c r="F129" s="16" t="str">
        <f>IF(B129=0,"",COUNTIFS('Extração'!Q:Q,"Parcialmente",'Extração'!L:L,A129)/B129)</f>
        <v/>
      </c>
      <c r="G129" s="16" t="str">
        <f>IF(B129=0,"",COUNTIFS('Extração'!P:P,"Não",'Extração'!L:L,A129)/B129)</f>
        <v/>
      </c>
      <c r="H129" s="16" t="str">
        <f>IF(B129=0,"",COUNTIFS('Extração'!Q:Q,"Não",'Extração'!L:L,A129)/B129)</f>
        <v/>
      </c>
      <c r="I129" s="16" t="str">
        <f>IF(B129=0,"",COUNTIFS('Extração'!R:R,"Igual",'Extração'!L:L,A129)/B129)</f>
        <v/>
      </c>
    </row>
    <row r="130">
      <c r="B130" s="16">
        <f>COUNTIF('Extração'!L:L,A130)</f>
        <v>0</v>
      </c>
      <c r="C130" s="16" t="str">
        <f>IF(B130=0,"",COUNTIFS('Extração'!P:P,"Sim",'Extração'!L:L,A130)/B130)</f>
        <v/>
      </c>
      <c r="D130" s="16" t="str">
        <f>IF(B130=0,"",COUNTIFS('Extração'!Q:Q,"Sim",'Extração'!L:L,A130)/B130)</f>
        <v/>
      </c>
      <c r="E130" s="16" t="str">
        <f>IF(B130=0,"",COUNTIFS('Extração'!P:P,"Parcialmente",'Extração'!L:L,A130)/B130)</f>
        <v/>
      </c>
      <c r="F130" s="16" t="str">
        <f>IF(B130=0,"",COUNTIFS('Extração'!Q:Q,"Parcialmente",'Extração'!L:L,A130)/B130)</f>
        <v/>
      </c>
      <c r="G130" s="16" t="str">
        <f>IF(B130=0,"",COUNTIFS('Extração'!P:P,"Não",'Extração'!L:L,A130)/B130)</f>
        <v/>
      </c>
      <c r="H130" s="16" t="str">
        <f>IF(B130=0,"",COUNTIFS('Extração'!Q:Q,"Não",'Extração'!L:L,A130)/B130)</f>
        <v/>
      </c>
      <c r="I130" s="16" t="str">
        <f>IF(B130=0,"",COUNTIFS('Extração'!R:R,"Igual",'Extração'!L:L,A130)/B130)</f>
        <v/>
      </c>
    </row>
    <row r="131">
      <c r="B131" s="16">
        <f>COUNTIF('Extração'!L:L,A131)</f>
        <v>0</v>
      </c>
      <c r="C131" s="16" t="str">
        <f>IF(B131=0,"",COUNTIFS('Extração'!P:P,"Sim",'Extração'!L:L,A131)/B131)</f>
        <v/>
      </c>
      <c r="D131" s="16" t="str">
        <f>IF(B131=0,"",COUNTIFS('Extração'!Q:Q,"Sim",'Extração'!L:L,A131)/B131)</f>
        <v/>
      </c>
      <c r="E131" s="16" t="str">
        <f>IF(B131=0,"",COUNTIFS('Extração'!P:P,"Parcialmente",'Extração'!L:L,A131)/B131)</f>
        <v/>
      </c>
      <c r="F131" s="16" t="str">
        <f>IF(B131=0,"",COUNTIFS('Extração'!Q:Q,"Parcialmente",'Extração'!L:L,A131)/B131)</f>
        <v/>
      </c>
      <c r="G131" s="16" t="str">
        <f>IF(B131=0,"",COUNTIFS('Extração'!P:P,"Não",'Extração'!L:L,A131)/B131)</f>
        <v/>
      </c>
      <c r="H131" s="16" t="str">
        <f>IF(B131=0,"",COUNTIFS('Extração'!Q:Q,"Não",'Extração'!L:L,A131)/B131)</f>
        <v/>
      </c>
      <c r="I131" s="16" t="str">
        <f>IF(B131=0,"",COUNTIFS('Extração'!R:R,"Igual",'Extração'!L:L,A131)/B131)</f>
        <v/>
      </c>
    </row>
    <row r="132">
      <c r="B132" s="16">
        <f>COUNTIF('Extração'!L:L,A132)</f>
        <v>0</v>
      </c>
      <c r="C132" s="16" t="str">
        <f>IF(B132=0,"",COUNTIFS('Extração'!P:P,"Sim",'Extração'!L:L,A132)/B132)</f>
        <v/>
      </c>
      <c r="D132" s="16" t="str">
        <f>IF(B132=0,"",COUNTIFS('Extração'!Q:Q,"Sim",'Extração'!L:L,A132)/B132)</f>
        <v/>
      </c>
      <c r="E132" s="16" t="str">
        <f>IF(B132=0,"",COUNTIFS('Extração'!P:P,"Parcialmente",'Extração'!L:L,A132)/B132)</f>
        <v/>
      </c>
      <c r="F132" s="16" t="str">
        <f>IF(B132=0,"",COUNTIFS('Extração'!Q:Q,"Parcialmente",'Extração'!L:L,A132)/B132)</f>
        <v/>
      </c>
      <c r="G132" s="16" t="str">
        <f>IF(B132=0,"",COUNTIFS('Extração'!P:P,"Não",'Extração'!L:L,A132)/B132)</f>
        <v/>
      </c>
      <c r="H132" s="16" t="str">
        <f>IF(B132=0,"",COUNTIFS('Extração'!Q:Q,"Não",'Extração'!L:L,A132)/B132)</f>
        <v/>
      </c>
      <c r="I132" s="16" t="str">
        <f>IF(B132=0,"",COUNTIFS('Extração'!R:R,"Igual",'Extração'!L:L,A132)/B132)</f>
        <v/>
      </c>
    </row>
    <row r="133">
      <c r="B133" s="16">
        <f>COUNTIF('Extração'!L:L,A133)</f>
        <v>0</v>
      </c>
      <c r="C133" s="16" t="str">
        <f>IF(B133=0,"",COUNTIFS('Extração'!P:P,"Sim",'Extração'!L:L,A133)/B133)</f>
        <v/>
      </c>
      <c r="D133" s="16" t="str">
        <f>IF(B133=0,"",COUNTIFS('Extração'!Q:Q,"Sim",'Extração'!L:L,A133)/B133)</f>
        <v/>
      </c>
      <c r="E133" s="16" t="str">
        <f>IF(B133=0,"",COUNTIFS('Extração'!P:P,"Parcialmente",'Extração'!L:L,A133)/B133)</f>
        <v/>
      </c>
      <c r="F133" s="16" t="str">
        <f>IF(B133=0,"",COUNTIFS('Extração'!Q:Q,"Parcialmente",'Extração'!L:L,A133)/B133)</f>
        <v/>
      </c>
      <c r="G133" s="16" t="str">
        <f>IF(B133=0,"",COUNTIFS('Extração'!P:P,"Não",'Extração'!L:L,A133)/B133)</f>
        <v/>
      </c>
      <c r="H133" s="16" t="str">
        <f>IF(B133=0,"",COUNTIFS('Extração'!Q:Q,"Não",'Extração'!L:L,A133)/B133)</f>
        <v/>
      </c>
      <c r="I133" s="16" t="str">
        <f>IF(B133=0,"",COUNTIFS('Extração'!R:R,"Igual",'Extração'!L:L,A133)/B133)</f>
        <v/>
      </c>
    </row>
    <row r="134">
      <c r="B134" s="16">
        <f>COUNTIF('Extração'!L:L,A134)</f>
        <v>0</v>
      </c>
      <c r="C134" s="16" t="str">
        <f>IF(B134=0,"",COUNTIFS('Extração'!P:P,"Sim",'Extração'!L:L,A134)/B134)</f>
        <v/>
      </c>
      <c r="D134" s="16" t="str">
        <f>IF(B134=0,"",COUNTIFS('Extração'!Q:Q,"Sim",'Extração'!L:L,A134)/B134)</f>
        <v/>
      </c>
      <c r="E134" s="16" t="str">
        <f>IF(B134=0,"",COUNTIFS('Extração'!P:P,"Parcialmente",'Extração'!L:L,A134)/B134)</f>
        <v/>
      </c>
      <c r="F134" s="16" t="str">
        <f>IF(B134=0,"",COUNTIFS('Extração'!Q:Q,"Parcialmente",'Extração'!L:L,A134)/B134)</f>
        <v/>
      </c>
      <c r="G134" s="16" t="str">
        <f>IF(B134=0,"",COUNTIFS('Extração'!P:P,"Não",'Extração'!L:L,A134)/B134)</f>
        <v/>
      </c>
      <c r="H134" s="16" t="str">
        <f>IF(B134=0,"",COUNTIFS('Extração'!Q:Q,"Não",'Extração'!L:L,A134)/B134)</f>
        <v/>
      </c>
      <c r="I134" s="16" t="str">
        <f>IF(B134=0,"",COUNTIFS('Extração'!R:R,"Igual",'Extração'!L:L,A134)/B134)</f>
        <v/>
      </c>
    </row>
    <row r="135">
      <c r="B135" s="16">
        <f>COUNTIF('Extração'!L:L,A135)</f>
        <v>0</v>
      </c>
      <c r="C135" s="16" t="str">
        <f>IF(B135=0,"",COUNTIFS('Extração'!P:P,"Sim",'Extração'!L:L,A135)/B135)</f>
        <v/>
      </c>
      <c r="D135" s="16" t="str">
        <f>IF(B135=0,"",COUNTIFS('Extração'!Q:Q,"Sim",'Extração'!L:L,A135)/B135)</f>
        <v/>
      </c>
      <c r="E135" s="16" t="str">
        <f>IF(B135=0,"",COUNTIFS('Extração'!P:P,"Parcialmente",'Extração'!L:L,A135)/B135)</f>
        <v/>
      </c>
      <c r="F135" s="16" t="str">
        <f>IF(B135=0,"",COUNTIFS('Extração'!Q:Q,"Parcialmente",'Extração'!L:L,A135)/B135)</f>
        <v/>
      </c>
      <c r="G135" s="16" t="str">
        <f>IF(B135=0,"",COUNTIFS('Extração'!P:P,"Não",'Extração'!L:L,A135)/B135)</f>
        <v/>
      </c>
      <c r="H135" s="16" t="str">
        <f>IF(B135=0,"",COUNTIFS('Extração'!Q:Q,"Não",'Extração'!L:L,A135)/B135)</f>
        <v/>
      </c>
      <c r="I135" s="16" t="str">
        <f>IF(B135=0,"",COUNTIFS('Extração'!R:R,"Igual",'Extração'!L:L,A135)/B135)</f>
        <v/>
      </c>
    </row>
    <row r="136">
      <c r="B136" s="16">
        <f>COUNTIF('Extração'!L:L,A136)</f>
        <v>0</v>
      </c>
      <c r="C136" s="16" t="str">
        <f>IF(B136=0,"",COUNTIFS('Extração'!P:P,"Sim",'Extração'!L:L,A136)/B136)</f>
        <v/>
      </c>
      <c r="D136" s="16" t="str">
        <f>IF(B136=0,"",COUNTIFS('Extração'!Q:Q,"Sim",'Extração'!L:L,A136)/B136)</f>
        <v/>
      </c>
      <c r="E136" s="16" t="str">
        <f>IF(B136=0,"",COUNTIFS('Extração'!P:P,"Parcialmente",'Extração'!L:L,A136)/B136)</f>
        <v/>
      </c>
      <c r="F136" s="16" t="str">
        <f>IF(B136=0,"",COUNTIFS('Extração'!Q:Q,"Parcialmente",'Extração'!L:L,A136)/B136)</f>
        <v/>
      </c>
      <c r="G136" s="16" t="str">
        <f>IF(B136=0,"",COUNTIFS('Extração'!P:P,"Não",'Extração'!L:L,A136)/B136)</f>
        <v/>
      </c>
      <c r="H136" s="16" t="str">
        <f>IF(B136=0,"",COUNTIFS('Extração'!Q:Q,"Não",'Extração'!L:L,A136)/B136)</f>
        <v/>
      </c>
      <c r="I136" s="16" t="str">
        <f>IF(B136=0,"",COUNTIFS('Extração'!R:R,"Igual",'Extração'!L:L,A136)/B136)</f>
        <v/>
      </c>
    </row>
    <row r="137">
      <c r="B137" s="16">
        <f>COUNTIF('Extração'!L:L,A137)</f>
        <v>0</v>
      </c>
      <c r="C137" s="16" t="str">
        <f>IF(B137=0,"",COUNTIFS('Extração'!P:P,"Sim",'Extração'!L:L,A137)/B137)</f>
        <v/>
      </c>
      <c r="D137" s="16" t="str">
        <f>IF(B137=0,"",COUNTIFS('Extração'!Q:Q,"Sim",'Extração'!L:L,A137)/B137)</f>
        <v/>
      </c>
      <c r="E137" s="16" t="str">
        <f>IF(B137=0,"",COUNTIFS('Extração'!P:P,"Parcialmente",'Extração'!L:L,A137)/B137)</f>
        <v/>
      </c>
      <c r="F137" s="16" t="str">
        <f>IF(B137=0,"",COUNTIFS('Extração'!Q:Q,"Parcialmente",'Extração'!L:L,A137)/B137)</f>
        <v/>
      </c>
      <c r="G137" s="16" t="str">
        <f>IF(B137=0,"",COUNTIFS('Extração'!P:P,"Não",'Extração'!L:L,A137)/B137)</f>
        <v/>
      </c>
      <c r="H137" s="16" t="str">
        <f>IF(B137=0,"",COUNTIFS('Extração'!Q:Q,"Não",'Extração'!L:L,A137)/B137)</f>
        <v/>
      </c>
      <c r="I137" s="16" t="str">
        <f>IF(B137=0,"",COUNTIFS('Extração'!R:R,"Igual",'Extração'!L:L,A137)/B137)</f>
        <v/>
      </c>
    </row>
    <row r="138">
      <c r="B138" s="16">
        <f>COUNTIF('Extração'!L:L,A138)</f>
        <v>0</v>
      </c>
      <c r="C138" s="16" t="str">
        <f>IF(B138=0,"",COUNTIFS('Extração'!P:P,"Sim",'Extração'!L:L,A138)/B138)</f>
        <v/>
      </c>
      <c r="D138" s="16" t="str">
        <f>IF(B138=0,"",COUNTIFS('Extração'!Q:Q,"Sim",'Extração'!L:L,A138)/B138)</f>
        <v/>
      </c>
      <c r="E138" s="16" t="str">
        <f>IF(B138=0,"",COUNTIFS('Extração'!P:P,"Parcialmente",'Extração'!L:L,A138)/B138)</f>
        <v/>
      </c>
      <c r="F138" s="16" t="str">
        <f>IF(B138=0,"",COUNTIFS('Extração'!Q:Q,"Parcialmente",'Extração'!L:L,A138)/B138)</f>
        <v/>
      </c>
      <c r="G138" s="16" t="str">
        <f>IF(B138=0,"",COUNTIFS('Extração'!P:P,"Não",'Extração'!L:L,A138)/B138)</f>
        <v/>
      </c>
      <c r="H138" s="16" t="str">
        <f>IF(B138=0,"",COUNTIFS('Extração'!Q:Q,"Não",'Extração'!L:L,A138)/B138)</f>
        <v/>
      </c>
      <c r="I138" s="16" t="str">
        <f>IF(B138=0,"",COUNTIFS('Extração'!R:R,"Igual",'Extração'!L:L,A138)/B138)</f>
        <v/>
      </c>
    </row>
    <row r="139">
      <c r="B139" s="16">
        <f>COUNTIF('Extração'!L:L,A139)</f>
        <v>0</v>
      </c>
      <c r="C139" s="16" t="str">
        <f>IF(B139=0,"",COUNTIFS('Extração'!P:P,"Sim",'Extração'!L:L,A139)/B139)</f>
        <v/>
      </c>
      <c r="D139" s="16" t="str">
        <f>IF(B139=0,"",COUNTIFS('Extração'!Q:Q,"Sim",'Extração'!L:L,A139)/B139)</f>
        <v/>
      </c>
      <c r="E139" s="16" t="str">
        <f>IF(B139=0,"",COUNTIFS('Extração'!P:P,"Parcialmente",'Extração'!L:L,A139)/B139)</f>
        <v/>
      </c>
      <c r="F139" s="16" t="str">
        <f>IF(B139=0,"",COUNTIFS('Extração'!Q:Q,"Parcialmente",'Extração'!L:L,A139)/B139)</f>
        <v/>
      </c>
      <c r="G139" s="16" t="str">
        <f>IF(B139=0,"",COUNTIFS('Extração'!P:P,"Não",'Extração'!L:L,A139)/B139)</f>
        <v/>
      </c>
      <c r="H139" s="16" t="str">
        <f>IF(B139=0,"",COUNTIFS('Extração'!Q:Q,"Não",'Extração'!L:L,A139)/B139)</f>
        <v/>
      </c>
      <c r="I139" s="16" t="str">
        <f>IF(B139=0,"",COUNTIFS('Extração'!R:R,"Igual",'Extração'!L:L,A139)/B139)</f>
        <v/>
      </c>
    </row>
    <row r="140">
      <c r="B140" s="16">
        <f>COUNTIF('Extração'!L:L,A140)</f>
        <v>0</v>
      </c>
      <c r="C140" s="16" t="str">
        <f>IF(B140=0,"",COUNTIFS('Extração'!P:P,"Sim",'Extração'!L:L,A140)/B140)</f>
        <v/>
      </c>
      <c r="D140" s="16" t="str">
        <f>IF(B140=0,"",COUNTIFS('Extração'!Q:Q,"Sim",'Extração'!L:L,A140)/B140)</f>
        <v/>
      </c>
      <c r="E140" s="16" t="str">
        <f>IF(B140=0,"",COUNTIFS('Extração'!P:P,"Parcialmente",'Extração'!L:L,A140)/B140)</f>
        <v/>
      </c>
      <c r="F140" s="16" t="str">
        <f>IF(B140=0,"",COUNTIFS('Extração'!Q:Q,"Parcialmente",'Extração'!L:L,A140)/B140)</f>
        <v/>
      </c>
      <c r="G140" s="16" t="str">
        <f>IF(B140=0,"",COUNTIFS('Extração'!P:P,"Não",'Extração'!L:L,A140)/B140)</f>
        <v/>
      </c>
      <c r="H140" s="16" t="str">
        <f>IF(B140=0,"",COUNTIFS('Extração'!Q:Q,"Não",'Extração'!L:L,A140)/B140)</f>
        <v/>
      </c>
      <c r="I140" s="16" t="str">
        <f>IF(B140=0,"",COUNTIFS('Extração'!R:R,"Igual",'Extração'!L:L,A140)/B140)</f>
        <v/>
      </c>
    </row>
    <row r="141">
      <c r="B141" s="16">
        <f>COUNTIF('Extração'!L:L,A141)</f>
        <v>0</v>
      </c>
      <c r="C141" s="16" t="str">
        <f>IF(B141=0,"",COUNTIFS('Extração'!P:P,"Sim",'Extração'!L:L,A141)/B141)</f>
        <v/>
      </c>
      <c r="D141" s="16" t="str">
        <f>IF(B141=0,"",COUNTIFS('Extração'!Q:Q,"Sim",'Extração'!L:L,A141)/B141)</f>
        <v/>
      </c>
      <c r="E141" s="16" t="str">
        <f>IF(B141=0,"",COUNTIFS('Extração'!P:P,"Parcialmente",'Extração'!L:L,A141)/B141)</f>
        <v/>
      </c>
      <c r="F141" s="16" t="str">
        <f>IF(B141=0,"",COUNTIFS('Extração'!Q:Q,"Parcialmente",'Extração'!L:L,A141)/B141)</f>
        <v/>
      </c>
      <c r="G141" s="16" t="str">
        <f>IF(B141=0,"",COUNTIFS('Extração'!P:P,"Não",'Extração'!L:L,A141)/B141)</f>
        <v/>
      </c>
      <c r="H141" s="16" t="str">
        <f>IF(B141=0,"",COUNTIFS('Extração'!Q:Q,"Não",'Extração'!L:L,A141)/B141)</f>
        <v/>
      </c>
      <c r="I141" s="16" t="str">
        <f>IF(B141=0,"",COUNTIFS('Extração'!R:R,"Igual",'Extração'!L:L,A141)/B141)</f>
        <v/>
      </c>
    </row>
    <row r="142">
      <c r="B142" s="16">
        <f>COUNTIF('Extração'!L:L,A142)</f>
        <v>0</v>
      </c>
      <c r="C142" s="16" t="str">
        <f>IF(B142=0,"",COUNTIFS('Extração'!P:P,"Sim",'Extração'!L:L,A142)/B142)</f>
        <v/>
      </c>
      <c r="D142" s="16" t="str">
        <f>IF(B142=0,"",COUNTIFS('Extração'!Q:Q,"Sim",'Extração'!L:L,A142)/B142)</f>
        <v/>
      </c>
      <c r="E142" s="16" t="str">
        <f>IF(B142=0,"",COUNTIFS('Extração'!P:P,"Parcialmente",'Extração'!L:L,A142)/B142)</f>
        <v/>
      </c>
      <c r="F142" s="16" t="str">
        <f>IF(B142=0,"",COUNTIFS('Extração'!Q:Q,"Parcialmente",'Extração'!L:L,A142)/B142)</f>
        <v/>
      </c>
      <c r="G142" s="16" t="str">
        <f>IF(B142=0,"",COUNTIFS('Extração'!P:P,"Não",'Extração'!L:L,A142)/B142)</f>
        <v/>
      </c>
      <c r="H142" s="16" t="str">
        <f>IF(B142=0,"",COUNTIFS('Extração'!Q:Q,"Não",'Extração'!L:L,A142)/B142)</f>
        <v/>
      </c>
      <c r="I142" s="16" t="str">
        <f>IF(B142=0,"",COUNTIFS('Extração'!R:R,"Igual",'Extração'!L:L,A142)/B142)</f>
        <v/>
      </c>
    </row>
    <row r="143">
      <c r="B143" s="16">
        <f>COUNTIF('Extração'!L:L,A143)</f>
        <v>0</v>
      </c>
      <c r="C143" s="16" t="str">
        <f>IF(B143=0,"",COUNTIFS('Extração'!P:P,"Sim",'Extração'!L:L,A143)/B143)</f>
        <v/>
      </c>
      <c r="D143" s="16" t="str">
        <f>IF(B143=0,"",COUNTIFS('Extração'!Q:Q,"Sim",'Extração'!L:L,A143)/B143)</f>
        <v/>
      </c>
      <c r="E143" s="16" t="str">
        <f>IF(B143=0,"",COUNTIFS('Extração'!P:P,"Parcialmente",'Extração'!L:L,A143)/B143)</f>
        <v/>
      </c>
      <c r="F143" s="16" t="str">
        <f>IF(B143=0,"",COUNTIFS('Extração'!Q:Q,"Parcialmente",'Extração'!L:L,A143)/B143)</f>
        <v/>
      </c>
      <c r="G143" s="16" t="str">
        <f>IF(B143=0,"",COUNTIFS('Extração'!P:P,"Não",'Extração'!L:L,A143)/B143)</f>
        <v/>
      </c>
      <c r="H143" s="16" t="str">
        <f>IF(B143=0,"",COUNTIFS('Extração'!Q:Q,"Não",'Extração'!L:L,A143)/B143)</f>
        <v/>
      </c>
      <c r="I143" s="16" t="str">
        <f>IF(B143=0,"",COUNTIFS('Extração'!R:R,"Igual",'Extração'!L:L,A143)/B143)</f>
        <v/>
      </c>
    </row>
    <row r="144">
      <c r="B144" s="16">
        <f>COUNTIF('Extração'!L:L,A144)</f>
        <v>0</v>
      </c>
      <c r="C144" s="16" t="str">
        <f>IF(B144=0,"",COUNTIFS('Extração'!P:P,"Sim",'Extração'!L:L,A144)/B144)</f>
        <v/>
      </c>
      <c r="D144" s="16" t="str">
        <f>IF(B144=0,"",COUNTIFS('Extração'!Q:Q,"Sim",'Extração'!L:L,A144)/B144)</f>
        <v/>
      </c>
      <c r="E144" s="16" t="str">
        <f>IF(B144=0,"",COUNTIFS('Extração'!P:P,"Parcialmente",'Extração'!L:L,A144)/B144)</f>
        <v/>
      </c>
      <c r="F144" s="16" t="str">
        <f>IF(B144=0,"",COUNTIFS('Extração'!Q:Q,"Parcialmente",'Extração'!L:L,A144)/B144)</f>
        <v/>
      </c>
      <c r="G144" s="16" t="str">
        <f>IF(B144=0,"",COUNTIFS('Extração'!P:P,"Não",'Extração'!L:L,A144)/B144)</f>
        <v/>
      </c>
      <c r="H144" s="16" t="str">
        <f>IF(B144=0,"",COUNTIFS('Extração'!Q:Q,"Não",'Extração'!L:L,A144)/B144)</f>
        <v/>
      </c>
      <c r="I144" s="16" t="str">
        <f>IF(B144=0,"",COUNTIFS('Extração'!R:R,"Igual",'Extração'!L:L,A144)/B144)</f>
        <v/>
      </c>
    </row>
    <row r="145">
      <c r="B145" s="16">
        <f>COUNTIF('Extração'!L:L,A145)</f>
        <v>0</v>
      </c>
      <c r="C145" s="16" t="str">
        <f>IF(B145=0,"",COUNTIFS('Extração'!P:P,"Sim",'Extração'!L:L,A145)/B145)</f>
        <v/>
      </c>
      <c r="D145" s="16" t="str">
        <f>IF(B145=0,"",COUNTIFS('Extração'!Q:Q,"Sim",'Extração'!L:L,A145)/B145)</f>
        <v/>
      </c>
      <c r="E145" s="16" t="str">
        <f>IF(B145=0,"",COUNTIFS('Extração'!P:P,"Parcialmente",'Extração'!L:L,A145)/B145)</f>
        <v/>
      </c>
      <c r="F145" s="16" t="str">
        <f>IF(B145=0,"",COUNTIFS('Extração'!Q:Q,"Parcialmente",'Extração'!L:L,A145)/B145)</f>
        <v/>
      </c>
      <c r="G145" s="16" t="str">
        <f>IF(B145=0,"",COUNTIFS('Extração'!P:P,"Não",'Extração'!L:L,A145)/B145)</f>
        <v/>
      </c>
      <c r="H145" s="16" t="str">
        <f>IF(B145=0,"",COUNTIFS('Extração'!Q:Q,"Não",'Extração'!L:L,A145)/B145)</f>
        <v/>
      </c>
      <c r="I145" s="16" t="str">
        <f>IF(B145=0,"",COUNTIFS('Extração'!R:R,"Igual",'Extração'!L:L,A145)/B145)</f>
        <v/>
      </c>
    </row>
    <row r="146">
      <c r="B146" s="16">
        <f>COUNTIF('Extração'!L:L,A146)</f>
        <v>0</v>
      </c>
      <c r="C146" s="16" t="str">
        <f>IF(B146=0,"",COUNTIFS('Extração'!P:P,"Sim",'Extração'!L:L,A146)/B146)</f>
        <v/>
      </c>
      <c r="D146" s="16" t="str">
        <f>IF(B146=0,"",COUNTIFS('Extração'!Q:Q,"Sim",'Extração'!L:L,A146)/B146)</f>
        <v/>
      </c>
      <c r="E146" s="16" t="str">
        <f>IF(B146=0,"",COUNTIFS('Extração'!P:P,"Parcialmente",'Extração'!L:L,A146)/B146)</f>
        <v/>
      </c>
      <c r="F146" s="16" t="str">
        <f>IF(B146=0,"",COUNTIFS('Extração'!Q:Q,"Parcialmente",'Extração'!L:L,A146)/B146)</f>
        <v/>
      </c>
      <c r="G146" s="16" t="str">
        <f>IF(B146=0,"",COUNTIFS('Extração'!P:P,"Não",'Extração'!L:L,A146)/B146)</f>
        <v/>
      </c>
      <c r="H146" s="16" t="str">
        <f>IF(B146=0,"",COUNTIFS('Extração'!Q:Q,"Não",'Extração'!L:L,A146)/B146)</f>
        <v/>
      </c>
      <c r="I146" s="16" t="str">
        <f>IF(B146=0,"",COUNTIFS('Extração'!R:R,"Igual",'Extração'!L:L,A146)/B146)</f>
        <v/>
      </c>
    </row>
    <row r="147">
      <c r="B147" s="16">
        <f>COUNTIF('Extração'!L:L,A147)</f>
        <v>0</v>
      </c>
      <c r="C147" s="16" t="str">
        <f>IF(B147=0,"",COUNTIFS('Extração'!P:P,"Sim",'Extração'!L:L,A147)/B147)</f>
        <v/>
      </c>
      <c r="D147" s="16" t="str">
        <f>IF(B147=0,"",COUNTIFS('Extração'!Q:Q,"Sim",'Extração'!L:L,A147)/B147)</f>
        <v/>
      </c>
      <c r="E147" s="16" t="str">
        <f>IF(B147=0,"",COUNTIFS('Extração'!P:P,"Parcialmente",'Extração'!L:L,A147)/B147)</f>
        <v/>
      </c>
      <c r="F147" s="16" t="str">
        <f>IF(B147=0,"",COUNTIFS('Extração'!Q:Q,"Parcialmente",'Extração'!L:L,A147)/B147)</f>
        <v/>
      </c>
      <c r="G147" s="16" t="str">
        <f>IF(B147=0,"",COUNTIFS('Extração'!P:P,"Não",'Extração'!L:L,A147)/B147)</f>
        <v/>
      </c>
      <c r="H147" s="16" t="str">
        <f>IF(B147=0,"",COUNTIFS('Extração'!Q:Q,"Não",'Extração'!L:L,A147)/B147)</f>
        <v/>
      </c>
      <c r="I147" s="16" t="str">
        <f>IF(B147=0,"",COUNTIFS('Extração'!R:R,"Igual",'Extração'!L:L,A147)/B147)</f>
        <v/>
      </c>
    </row>
    <row r="148">
      <c r="B148" s="16">
        <f>COUNTIF('Extração'!L:L,A148)</f>
        <v>0</v>
      </c>
      <c r="C148" s="16" t="str">
        <f>IF(B148=0,"",COUNTIFS('Extração'!P:P,"Sim",'Extração'!L:L,A148)/B148)</f>
        <v/>
      </c>
      <c r="D148" s="16" t="str">
        <f>IF(B148=0,"",COUNTIFS('Extração'!Q:Q,"Sim",'Extração'!L:L,A148)/B148)</f>
        <v/>
      </c>
      <c r="E148" s="16" t="str">
        <f>IF(B148=0,"",COUNTIFS('Extração'!P:P,"Parcialmente",'Extração'!L:L,A148)/B148)</f>
        <v/>
      </c>
      <c r="F148" s="16" t="str">
        <f>IF(B148=0,"",COUNTIFS('Extração'!Q:Q,"Parcialmente",'Extração'!L:L,A148)/B148)</f>
        <v/>
      </c>
      <c r="G148" s="16" t="str">
        <f>IF(B148=0,"",COUNTIFS('Extração'!P:P,"Não",'Extração'!L:L,A148)/B148)</f>
        <v/>
      </c>
      <c r="H148" s="16" t="str">
        <f>IF(B148=0,"",COUNTIFS('Extração'!Q:Q,"Não",'Extração'!L:L,A148)/B148)</f>
        <v/>
      </c>
      <c r="I148" s="16" t="str">
        <f>IF(B148=0,"",COUNTIFS('Extração'!R:R,"Igual",'Extração'!L:L,A148)/B148)</f>
        <v/>
      </c>
    </row>
    <row r="149">
      <c r="B149" s="16">
        <f>COUNTIF('Extração'!L:L,A149)</f>
        <v>0</v>
      </c>
      <c r="C149" s="16" t="str">
        <f>IF(B149=0,"",COUNTIFS('Extração'!P:P,"Sim",'Extração'!L:L,A149)/B149)</f>
        <v/>
      </c>
      <c r="D149" s="16" t="str">
        <f>IF(B149=0,"",COUNTIFS('Extração'!Q:Q,"Sim",'Extração'!L:L,A149)/B149)</f>
        <v/>
      </c>
      <c r="E149" s="16" t="str">
        <f>IF(B149=0,"",COUNTIFS('Extração'!P:P,"Parcialmente",'Extração'!L:L,A149)/B149)</f>
        <v/>
      </c>
      <c r="F149" s="16" t="str">
        <f>IF(B149=0,"",COUNTIFS('Extração'!Q:Q,"Parcialmente",'Extração'!L:L,A149)/B149)</f>
        <v/>
      </c>
      <c r="G149" s="16" t="str">
        <f>IF(B149=0,"",COUNTIFS('Extração'!P:P,"Não",'Extração'!L:L,A149)/B149)</f>
        <v/>
      </c>
      <c r="H149" s="16" t="str">
        <f>IF(B149=0,"",COUNTIFS('Extração'!Q:Q,"Não",'Extração'!L:L,A149)/B149)</f>
        <v/>
      </c>
      <c r="I149" s="16" t="str">
        <f>IF(B149=0,"",COUNTIFS('Extração'!R:R,"Igual",'Extração'!L:L,A149)/B149)</f>
        <v/>
      </c>
    </row>
    <row r="150">
      <c r="B150" s="16">
        <f>COUNTIF('Extração'!L:L,A150)</f>
        <v>0</v>
      </c>
      <c r="C150" s="16" t="str">
        <f>IF(B150=0,"",COUNTIFS('Extração'!P:P,"Sim",'Extração'!L:L,A150)/B150)</f>
        <v/>
      </c>
      <c r="D150" s="16" t="str">
        <f>IF(B150=0,"",COUNTIFS('Extração'!Q:Q,"Sim",'Extração'!L:L,A150)/B150)</f>
        <v/>
      </c>
      <c r="E150" s="16" t="str">
        <f>IF(B150=0,"",COUNTIFS('Extração'!P:P,"Parcialmente",'Extração'!L:L,A150)/B150)</f>
        <v/>
      </c>
      <c r="F150" s="16" t="str">
        <f>IF(B150=0,"",COUNTIFS('Extração'!Q:Q,"Parcialmente",'Extração'!L:L,A150)/B150)</f>
        <v/>
      </c>
      <c r="G150" s="16" t="str">
        <f>IF(B150=0,"",COUNTIFS('Extração'!P:P,"Não",'Extração'!L:L,A150)/B150)</f>
        <v/>
      </c>
      <c r="H150" s="16" t="str">
        <f>IF(B150=0,"",COUNTIFS('Extração'!Q:Q,"Não",'Extração'!L:L,A150)/B150)</f>
        <v/>
      </c>
      <c r="I150" s="16" t="str">
        <f>IF(B150=0,"",COUNTIFS('Extração'!R:R,"Igual",'Extração'!L:L,A150)/B150)</f>
        <v/>
      </c>
    </row>
    <row r="151">
      <c r="B151" s="16">
        <f>COUNTIF('Extração'!L:L,A151)</f>
        <v>0</v>
      </c>
      <c r="C151" s="16" t="str">
        <f>IF(B151=0,"",COUNTIFS('Extração'!P:P,"Sim",'Extração'!L:L,A151)/B151)</f>
        <v/>
      </c>
      <c r="D151" s="16" t="str">
        <f>IF(B151=0,"",COUNTIFS('Extração'!Q:Q,"Sim",'Extração'!L:L,A151)/B151)</f>
        <v/>
      </c>
      <c r="E151" s="16" t="str">
        <f>IF(B151=0,"",COUNTIFS('Extração'!P:P,"Parcialmente",'Extração'!L:L,A151)/B151)</f>
        <v/>
      </c>
      <c r="F151" s="16" t="str">
        <f>IF(B151=0,"",COUNTIFS('Extração'!Q:Q,"Parcialmente",'Extração'!L:L,A151)/B151)</f>
        <v/>
      </c>
      <c r="G151" s="16" t="str">
        <f>IF(B151=0,"",COUNTIFS('Extração'!P:P,"Não",'Extração'!L:L,A151)/B151)</f>
        <v/>
      </c>
      <c r="H151" s="16" t="str">
        <f>IF(B151=0,"",COUNTIFS('Extração'!Q:Q,"Não",'Extração'!L:L,A151)/B151)</f>
        <v/>
      </c>
      <c r="I151" s="16" t="str">
        <f>IF(B151=0,"",COUNTIFS('Extração'!R:R,"Igual",'Extração'!L:L,A151)/B151)</f>
        <v/>
      </c>
    </row>
    <row r="152">
      <c r="B152" s="16">
        <f>COUNTIF('Extração'!L:L,A152)</f>
        <v>0</v>
      </c>
      <c r="C152" s="16" t="str">
        <f>IF(B152=0,"",COUNTIFS('Extração'!P:P,"Sim",'Extração'!L:L,A152)/B152)</f>
        <v/>
      </c>
      <c r="D152" s="16" t="str">
        <f>IF(B152=0,"",COUNTIFS('Extração'!Q:Q,"Sim",'Extração'!L:L,A152)/B152)</f>
        <v/>
      </c>
      <c r="E152" s="16" t="str">
        <f>IF(B152=0,"",COUNTIFS('Extração'!P:P,"Parcialmente",'Extração'!L:L,A152)/B152)</f>
        <v/>
      </c>
      <c r="F152" s="16" t="str">
        <f>IF(B152=0,"",COUNTIFS('Extração'!Q:Q,"Parcialmente",'Extração'!L:L,A152)/B152)</f>
        <v/>
      </c>
      <c r="G152" s="16" t="str">
        <f>IF(B152=0,"",COUNTIFS('Extração'!P:P,"Não",'Extração'!L:L,A152)/B152)</f>
        <v/>
      </c>
      <c r="H152" s="16" t="str">
        <f>IF(B152=0,"",COUNTIFS('Extração'!Q:Q,"Não",'Extração'!L:L,A152)/B152)</f>
        <v/>
      </c>
      <c r="I152" s="16" t="str">
        <f>IF(B152=0,"",COUNTIFS('Extração'!R:R,"Igual",'Extração'!L:L,A152)/B152)</f>
        <v/>
      </c>
    </row>
    <row r="153">
      <c r="B153" s="16">
        <f>COUNTIF('Extração'!L:L,A153)</f>
        <v>0</v>
      </c>
      <c r="C153" s="16" t="str">
        <f>IF(B153=0,"",COUNTIFS('Extração'!P:P,"Sim",'Extração'!L:L,A153)/B153)</f>
        <v/>
      </c>
      <c r="D153" s="16" t="str">
        <f>IF(B153=0,"",COUNTIFS('Extração'!Q:Q,"Sim",'Extração'!L:L,A153)/B153)</f>
        <v/>
      </c>
      <c r="E153" s="16" t="str">
        <f>IF(B153=0,"",COUNTIFS('Extração'!P:P,"Parcialmente",'Extração'!L:L,A153)/B153)</f>
        <v/>
      </c>
      <c r="F153" s="16" t="str">
        <f>IF(B153=0,"",COUNTIFS('Extração'!Q:Q,"Parcialmente",'Extração'!L:L,A153)/B153)</f>
        <v/>
      </c>
      <c r="G153" s="16" t="str">
        <f>IF(B153=0,"",COUNTIFS('Extração'!P:P,"Não",'Extração'!L:L,A153)/B153)</f>
        <v/>
      </c>
      <c r="H153" s="16" t="str">
        <f>IF(B153=0,"",COUNTIFS('Extração'!Q:Q,"Não",'Extração'!L:L,A153)/B153)</f>
        <v/>
      </c>
      <c r="I153" s="16" t="str">
        <f>IF(B153=0,"",COUNTIFS('Extração'!R:R,"Igual",'Extração'!L:L,A153)/B153)</f>
        <v/>
      </c>
    </row>
    <row r="154">
      <c r="B154" s="16">
        <f>COUNTIF('Extração'!L:L,A154)</f>
        <v>0</v>
      </c>
      <c r="C154" s="16" t="str">
        <f>IF(B154=0,"",COUNTIFS('Extração'!P:P,"Sim",'Extração'!L:L,A154)/B154)</f>
        <v/>
      </c>
      <c r="D154" s="16" t="str">
        <f>IF(B154=0,"",COUNTIFS('Extração'!Q:Q,"Sim",'Extração'!L:L,A154)/B154)</f>
        <v/>
      </c>
      <c r="E154" s="16" t="str">
        <f>IF(B154=0,"",COUNTIFS('Extração'!P:P,"Parcialmente",'Extração'!L:L,A154)/B154)</f>
        <v/>
      </c>
      <c r="F154" s="16" t="str">
        <f>IF(B154=0,"",COUNTIFS('Extração'!Q:Q,"Parcialmente",'Extração'!L:L,A154)/B154)</f>
        <v/>
      </c>
      <c r="G154" s="16" t="str">
        <f>IF(B154=0,"",COUNTIFS('Extração'!P:P,"Não",'Extração'!L:L,A154)/B154)</f>
        <v/>
      </c>
      <c r="H154" s="16" t="str">
        <f>IF(B154=0,"",COUNTIFS('Extração'!Q:Q,"Não",'Extração'!L:L,A154)/B154)</f>
        <v/>
      </c>
      <c r="I154" s="16" t="str">
        <f>IF(B154=0,"",COUNTIFS('Extração'!R:R,"Igual",'Extração'!L:L,A154)/B154)</f>
        <v/>
      </c>
    </row>
    <row r="155">
      <c r="B155" s="16">
        <f>COUNTIF('Extração'!L:L,A155)</f>
        <v>0</v>
      </c>
      <c r="C155" s="16" t="str">
        <f>IF(B155=0,"",COUNTIFS('Extração'!P:P,"Sim",'Extração'!L:L,A155)/B155)</f>
        <v/>
      </c>
      <c r="D155" s="16" t="str">
        <f>IF(B155=0,"",COUNTIFS('Extração'!Q:Q,"Sim",'Extração'!L:L,A155)/B155)</f>
        <v/>
      </c>
      <c r="E155" s="16" t="str">
        <f>IF(B155=0,"",COUNTIFS('Extração'!P:P,"Parcialmente",'Extração'!L:L,A155)/B155)</f>
        <v/>
      </c>
      <c r="F155" s="16" t="str">
        <f>IF(B155=0,"",COUNTIFS('Extração'!Q:Q,"Parcialmente",'Extração'!L:L,A155)/B155)</f>
        <v/>
      </c>
      <c r="G155" s="16" t="str">
        <f>IF(B155=0,"",COUNTIFS('Extração'!P:P,"Não",'Extração'!L:L,A155)/B155)</f>
        <v/>
      </c>
      <c r="H155" s="16" t="str">
        <f>IF(B155=0,"",COUNTIFS('Extração'!Q:Q,"Não",'Extração'!L:L,A155)/B155)</f>
        <v/>
      </c>
      <c r="I155" s="16" t="str">
        <f>IF(B155=0,"",COUNTIFS('Extração'!R:R,"Igual",'Extração'!L:L,A155)/B155)</f>
        <v/>
      </c>
    </row>
    <row r="156">
      <c r="B156" s="16">
        <f>COUNTIF('Extração'!L:L,A156)</f>
        <v>0</v>
      </c>
      <c r="C156" s="16" t="str">
        <f>IF(B156=0,"",COUNTIFS('Extração'!P:P,"Sim",'Extração'!L:L,A156)/B156)</f>
        <v/>
      </c>
      <c r="D156" s="16" t="str">
        <f>IF(B156=0,"",COUNTIFS('Extração'!Q:Q,"Sim",'Extração'!L:L,A156)/B156)</f>
        <v/>
      </c>
      <c r="E156" s="16" t="str">
        <f>IF(B156=0,"",COUNTIFS('Extração'!P:P,"Parcialmente",'Extração'!L:L,A156)/B156)</f>
        <v/>
      </c>
      <c r="F156" s="16" t="str">
        <f>IF(B156=0,"",COUNTIFS('Extração'!Q:Q,"Parcialmente",'Extração'!L:L,A156)/B156)</f>
        <v/>
      </c>
      <c r="G156" s="16" t="str">
        <f>IF(B156=0,"",COUNTIFS('Extração'!P:P,"Não",'Extração'!L:L,A156)/B156)</f>
        <v/>
      </c>
      <c r="H156" s="16" t="str">
        <f>IF(B156=0,"",COUNTIFS('Extração'!Q:Q,"Não",'Extração'!L:L,A156)/B156)</f>
        <v/>
      </c>
      <c r="I156" s="16" t="str">
        <f>IF(B156=0,"",COUNTIFS('Extração'!R:R,"Igual",'Extração'!L:L,A156)/B156)</f>
        <v/>
      </c>
    </row>
    <row r="157">
      <c r="B157" s="16">
        <f>COUNTIF('Extração'!L:L,A157)</f>
        <v>0</v>
      </c>
      <c r="C157" s="16" t="str">
        <f>IF(B157=0,"",COUNTIFS('Extração'!P:P,"Sim",'Extração'!L:L,A157)/B157)</f>
        <v/>
      </c>
      <c r="D157" s="16" t="str">
        <f>IF(B157=0,"",COUNTIFS('Extração'!Q:Q,"Sim",'Extração'!L:L,A157)/B157)</f>
        <v/>
      </c>
      <c r="E157" s="16" t="str">
        <f>IF(B157=0,"",COUNTIFS('Extração'!P:P,"Parcialmente",'Extração'!L:L,A157)/B157)</f>
        <v/>
      </c>
      <c r="F157" s="16" t="str">
        <f>IF(B157=0,"",COUNTIFS('Extração'!Q:Q,"Parcialmente",'Extração'!L:L,A157)/B157)</f>
        <v/>
      </c>
      <c r="G157" s="16" t="str">
        <f>IF(B157=0,"",COUNTIFS('Extração'!P:P,"Não",'Extração'!L:L,A157)/B157)</f>
        <v/>
      </c>
      <c r="H157" s="16" t="str">
        <f>IF(B157=0,"",COUNTIFS('Extração'!Q:Q,"Não",'Extração'!L:L,A157)/B157)</f>
        <v/>
      </c>
      <c r="I157" s="16" t="str">
        <f>IF(B157=0,"",COUNTIFS('Extração'!R:R,"Igual",'Extração'!L:L,A157)/B157)</f>
        <v/>
      </c>
    </row>
    <row r="158">
      <c r="B158" s="16">
        <f>COUNTIF('Extração'!L:L,A158)</f>
        <v>0</v>
      </c>
      <c r="C158" s="16" t="str">
        <f>IF(B158=0,"",COUNTIFS('Extração'!P:P,"Sim",'Extração'!L:L,A158)/B158)</f>
        <v/>
      </c>
      <c r="D158" s="16" t="str">
        <f>IF(B158=0,"",COUNTIFS('Extração'!Q:Q,"Sim",'Extração'!L:L,A158)/B158)</f>
        <v/>
      </c>
      <c r="E158" s="16" t="str">
        <f>IF(B158=0,"",COUNTIFS('Extração'!P:P,"Parcialmente",'Extração'!L:L,A158)/B158)</f>
        <v/>
      </c>
      <c r="F158" s="16" t="str">
        <f>IF(B158=0,"",COUNTIFS('Extração'!Q:Q,"Parcialmente",'Extração'!L:L,A158)/B158)</f>
        <v/>
      </c>
      <c r="G158" s="16" t="str">
        <f>IF(B158=0,"",COUNTIFS('Extração'!P:P,"Não",'Extração'!L:L,A158)/B158)</f>
        <v/>
      </c>
      <c r="H158" s="16" t="str">
        <f>IF(B158=0,"",COUNTIFS('Extração'!Q:Q,"Não",'Extração'!L:L,A158)/B158)</f>
        <v/>
      </c>
      <c r="I158" s="16" t="str">
        <f>IF(B158=0,"",COUNTIFS('Extração'!R:R,"Igual",'Extração'!L:L,A158)/B158)</f>
        <v/>
      </c>
    </row>
    <row r="159">
      <c r="B159" s="16">
        <f>COUNTIF('Extração'!L:L,A159)</f>
        <v>0</v>
      </c>
      <c r="C159" s="16" t="str">
        <f>IF(B159=0,"",COUNTIFS('Extração'!P:P,"Sim",'Extração'!L:L,A159)/B159)</f>
        <v/>
      </c>
      <c r="D159" s="16" t="str">
        <f>IF(B159=0,"",COUNTIFS('Extração'!Q:Q,"Sim",'Extração'!L:L,A159)/B159)</f>
        <v/>
      </c>
      <c r="E159" s="16" t="str">
        <f>IF(B159=0,"",COUNTIFS('Extração'!P:P,"Parcialmente",'Extração'!L:L,A159)/B159)</f>
        <v/>
      </c>
      <c r="F159" s="16" t="str">
        <f>IF(B159=0,"",COUNTIFS('Extração'!Q:Q,"Parcialmente",'Extração'!L:L,A159)/B159)</f>
        <v/>
      </c>
      <c r="G159" s="16" t="str">
        <f>IF(B159=0,"",COUNTIFS('Extração'!P:P,"Não",'Extração'!L:L,A159)/B159)</f>
        <v/>
      </c>
      <c r="H159" s="16" t="str">
        <f>IF(B159=0,"",COUNTIFS('Extração'!Q:Q,"Não",'Extração'!L:L,A159)/B159)</f>
        <v/>
      </c>
      <c r="I159" s="16" t="str">
        <f>IF(B159=0,"",COUNTIFS('Extração'!R:R,"Igual",'Extração'!L:L,A159)/B159)</f>
        <v/>
      </c>
    </row>
    <row r="160">
      <c r="B160" s="16">
        <f>COUNTIF('Extração'!L:L,A160)</f>
        <v>0</v>
      </c>
      <c r="C160" s="16" t="str">
        <f>IF(B160=0,"",COUNTIFS('Extração'!P:P,"Sim",'Extração'!L:L,A160)/B160)</f>
        <v/>
      </c>
      <c r="D160" s="16" t="str">
        <f>IF(B160=0,"",COUNTIFS('Extração'!Q:Q,"Sim",'Extração'!L:L,A160)/B160)</f>
        <v/>
      </c>
      <c r="E160" s="16" t="str">
        <f>IF(B160=0,"",COUNTIFS('Extração'!P:P,"Parcialmente",'Extração'!L:L,A160)/B160)</f>
        <v/>
      </c>
      <c r="F160" s="16" t="str">
        <f>IF(B160=0,"",COUNTIFS('Extração'!Q:Q,"Parcialmente",'Extração'!L:L,A160)/B160)</f>
        <v/>
      </c>
      <c r="G160" s="16" t="str">
        <f>IF(B160=0,"",COUNTIFS('Extração'!P:P,"Não",'Extração'!L:L,A160)/B160)</f>
        <v/>
      </c>
      <c r="H160" s="16" t="str">
        <f>IF(B160=0,"",COUNTIFS('Extração'!Q:Q,"Não",'Extração'!L:L,A160)/B160)</f>
        <v/>
      </c>
      <c r="I160" s="16" t="str">
        <f>IF(B160=0,"",COUNTIFS('Extração'!R:R,"Igual",'Extração'!L:L,A160)/B160)</f>
        <v/>
      </c>
    </row>
    <row r="161">
      <c r="B161" s="16">
        <f>COUNTIF('Extração'!L:L,A161)</f>
        <v>0</v>
      </c>
      <c r="C161" s="16" t="str">
        <f>IF(B161=0,"",COUNTIFS('Extração'!P:P,"Sim",'Extração'!L:L,A161)/B161)</f>
        <v/>
      </c>
      <c r="D161" s="16" t="str">
        <f>IF(B161=0,"",COUNTIFS('Extração'!Q:Q,"Sim",'Extração'!L:L,A161)/B161)</f>
        <v/>
      </c>
      <c r="E161" s="16" t="str">
        <f>IF(B161=0,"",COUNTIFS('Extração'!P:P,"Parcialmente",'Extração'!L:L,A161)/B161)</f>
        <v/>
      </c>
      <c r="F161" s="16" t="str">
        <f>IF(B161=0,"",COUNTIFS('Extração'!Q:Q,"Parcialmente",'Extração'!L:L,A161)/B161)</f>
        <v/>
      </c>
      <c r="G161" s="16" t="str">
        <f>IF(B161=0,"",COUNTIFS('Extração'!P:P,"Não",'Extração'!L:L,A161)/B161)</f>
        <v/>
      </c>
      <c r="H161" s="16" t="str">
        <f>IF(B161=0,"",COUNTIFS('Extração'!Q:Q,"Não",'Extração'!L:L,A161)/B161)</f>
        <v/>
      </c>
      <c r="I161" s="16" t="str">
        <f>IF(B161=0,"",COUNTIFS('Extração'!R:R,"Igual",'Extração'!L:L,A161)/B161)</f>
        <v/>
      </c>
    </row>
    <row r="162">
      <c r="B162" s="16">
        <f>COUNTIF('Extração'!L:L,A162)</f>
        <v>0</v>
      </c>
      <c r="C162" s="16" t="str">
        <f>IF(B162=0,"",COUNTIFS('Extração'!P:P,"Sim",'Extração'!L:L,A162)/B162)</f>
        <v/>
      </c>
      <c r="D162" s="16" t="str">
        <f>IF(B162=0,"",COUNTIFS('Extração'!Q:Q,"Sim",'Extração'!L:L,A162)/B162)</f>
        <v/>
      </c>
      <c r="E162" s="16" t="str">
        <f>IF(B162=0,"",COUNTIFS('Extração'!P:P,"Parcialmente",'Extração'!L:L,A162)/B162)</f>
        <v/>
      </c>
      <c r="F162" s="16" t="str">
        <f>IF(B162=0,"",COUNTIFS('Extração'!Q:Q,"Parcialmente",'Extração'!L:L,A162)/B162)</f>
        <v/>
      </c>
      <c r="G162" s="16" t="str">
        <f>IF(B162=0,"",COUNTIFS('Extração'!P:P,"Não",'Extração'!L:L,A162)/B162)</f>
        <v/>
      </c>
      <c r="H162" s="16" t="str">
        <f>IF(B162=0,"",COUNTIFS('Extração'!Q:Q,"Não",'Extração'!L:L,A162)/B162)</f>
        <v/>
      </c>
      <c r="I162" s="16" t="str">
        <f>IF(B162=0,"",COUNTIFS('Extração'!R:R,"Igual",'Extração'!L:L,A162)/B162)</f>
        <v/>
      </c>
    </row>
    <row r="163">
      <c r="B163" s="16">
        <f>COUNTIF('Extração'!L:L,A163)</f>
        <v>0</v>
      </c>
      <c r="C163" s="16" t="str">
        <f>IF(B163=0,"",COUNTIFS('Extração'!P:P,"Sim",'Extração'!L:L,A163)/B163)</f>
        <v/>
      </c>
      <c r="D163" s="16" t="str">
        <f>IF(B163=0,"",COUNTIFS('Extração'!Q:Q,"Sim",'Extração'!L:L,A163)/B163)</f>
        <v/>
      </c>
      <c r="E163" s="16" t="str">
        <f>IF(B163=0,"",COUNTIFS('Extração'!P:P,"Parcialmente",'Extração'!L:L,A163)/B163)</f>
        <v/>
      </c>
      <c r="F163" s="16" t="str">
        <f>IF(B163=0,"",COUNTIFS('Extração'!Q:Q,"Parcialmente",'Extração'!L:L,A163)/B163)</f>
        <v/>
      </c>
      <c r="G163" s="16" t="str">
        <f>IF(B163=0,"",COUNTIFS('Extração'!P:P,"Não",'Extração'!L:L,A163)/B163)</f>
        <v/>
      </c>
      <c r="H163" s="16" t="str">
        <f>IF(B163=0,"",COUNTIFS('Extração'!Q:Q,"Não",'Extração'!L:L,A163)/B163)</f>
        <v/>
      </c>
      <c r="I163" s="16" t="str">
        <f>IF(B163=0,"",COUNTIFS('Extração'!R:R,"Igual",'Extração'!L:L,A163)/B163)</f>
        <v/>
      </c>
    </row>
    <row r="164">
      <c r="B164" s="16">
        <f>COUNTIF('Extração'!L:L,A164)</f>
        <v>0</v>
      </c>
      <c r="C164" s="16" t="str">
        <f>IF(B164=0,"",COUNTIFS('Extração'!P:P,"Sim",'Extração'!L:L,A164)/B164)</f>
        <v/>
      </c>
      <c r="D164" s="16" t="str">
        <f>IF(B164=0,"",COUNTIFS('Extração'!Q:Q,"Sim",'Extração'!L:L,A164)/B164)</f>
        <v/>
      </c>
      <c r="E164" s="16" t="str">
        <f>IF(B164=0,"",COUNTIFS('Extração'!P:P,"Parcialmente",'Extração'!L:L,A164)/B164)</f>
        <v/>
      </c>
      <c r="F164" s="16" t="str">
        <f>IF(B164=0,"",COUNTIFS('Extração'!Q:Q,"Parcialmente",'Extração'!L:L,A164)/B164)</f>
        <v/>
      </c>
      <c r="G164" s="16" t="str">
        <f>IF(B164=0,"",COUNTIFS('Extração'!P:P,"Não",'Extração'!L:L,A164)/B164)</f>
        <v/>
      </c>
      <c r="H164" s="16" t="str">
        <f>IF(B164=0,"",COUNTIFS('Extração'!Q:Q,"Não",'Extração'!L:L,A164)/B164)</f>
        <v/>
      </c>
      <c r="I164" s="16" t="str">
        <f>IF(B164=0,"",COUNTIFS('Extração'!R:R,"Igual",'Extração'!L:L,A164)/B164)</f>
        <v/>
      </c>
    </row>
    <row r="165">
      <c r="B165" s="16">
        <f>COUNTIF('Extração'!L:L,A165)</f>
        <v>0</v>
      </c>
      <c r="C165" s="16" t="str">
        <f>IF(B165=0,"",COUNTIFS('Extração'!P:P,"Sim",'Extração'!L:L,A165)/B165)</f>
        <v/>
      </c>
      <c r="D165" s="16" t="str">
        <f>IF(B165=0,"",COUNTIFS('Extração'!Q:Q,"Sim",'Extração'!L:L,A165)/B165)</f>
        <v/>
      </c>
      <c r="E165" s="16" t="str">
        <f>IF(B165=0,"",COUNTIFS('Extração'!P:P,"Parcialmente",'Extração'!L:L,A165)/B165)</f>
        <v/>
      </c>
      <c r="F165" s="16" t="str">
        <f>IF(B165=0,"",COUNTIFS('Extração'!Q:Q,"Parcialmente",'Extração'!L:L,A165)/B165)</f>
        <v/>
      </c>
      <c r="G165" s="16" t="str">
        <f>IF(B165=0,"",COUNTIFS('Extração'!P:P,"Não",'Extração'!L:L,A165)/B165)</f>
        <v/>
      </c>
      <c r="H165" s="16" t="str">
        <f>IF(B165=0,"",COUNTIFS('Extração'!Q:Q,"Não",'Extração'!L:L,A165)/B165)</f>
        <v/>
      </c>
      <c r="I165" s="16" t="str">
        <f>IF(B165=0,"",COUNTIFS('Extração'!R:R,"Igual",'Extração'!L:L,A165)/B165)</f>
        <v/>
      </c>
    </row>
    <row r="166">
      <c r="B166" s="16">
        <f>COUNTIF('Extração'!L:L,A166)</f>
        <v>0</v>
      </c>
      <c r="C166" s="16" t="str">
        <f>IF(B166=0,"",COUNTIFS('Extração'!P:P,"Sim",'Extração'!L:L,A166)/B166)</f>
        <v/>
      </c>
      <c r="D166" s="16" t="str">
        <f>IF(B166=0,"",COUNTIFS('Extração'!Q:Q,"Sim",'Extração'!L:L,A166)/B166)</f>
        <v/>
      </c>
      <c r="E166" s="16" t="str">
        <f>IF(B166=0,"",COUNTIFS('Extração'!P:P,"Parcialmente",'Extração'!L:L,A166)/B166)</f>
        <v/>
      </c>
      <c r="F166" s="16" t="str">
        <f>IF(B166=0,"",COUNTIFS('Extração'!Q:Q,"Parcialmente",'Extração'!L:L,A166)/B166)</f>
        <v/>
      </c>
      <c r="G166" s="16" t="str">
        <f>IF(B166=0,"",COUNTIFS('Extração'!P:P,"Não",'Extração'!L:L,A166)/B166)</f>
        <v/>
      </c>
      <c r="H166" s="16" t="str">
        <f>IF(B166=0,"",COUNTIFS('Extração'!Q:Q,"Não",'Extração'!L:L,A166)/B166)</f>
        <v/>
      </c>
      <c r="I166" s="16" t="str">
        <f>IF(B166=0,"",COUNTIFS('Extração'!R:R,"Igual",'Extração'!L:L,A166)/B166)</f>
        <v/>
      </c>
    </row>
    <row r="167">
      <c r="B167" s="16">
        <f>COUNTIF('Extração'!L:L,A167)</f>
        <v>0</v>
      </c>
      <c r="C167" s="16" t="str">
        <f>IF(B167=0,"",COUNTIFS('Extração'!P:P,"Sim",'Extração'!L:L,A167)/B167)</f>
        <v/>
      </c>
      <c r="D167" s="16" t="str">
        <f>IF(B167=0,"",COUNTIFS('Extração'!Q:Q,"Sim",'Extração'!L:L,A167)/B167)</f>
        <v/>
      </c>
      <c r="E167" s="16" t="str">
        <f>IF(B167=0,"",COUNTIFS('Extração'!P:P,"Parcialmente",'Extração'!L:L,A167)/B167)</f>
        <v/>
      </c>
      <c r="F167" s="16" t="str">
        <f>IF(B167=0,"",COUNTIFS('Extração'!Q:Q,"Parcialmente",'Extração'!L:L,A167)/B167)</f>
        <v/>
      </c>
      <c r="G167" s="16" t="str">
        <f>IF(B167=0,"",COUNTIFS('Extração'!P:P,"Não",'Extração'!L:L,A167)/B167)</f>
        <v/>
      </c>
      <c r="H167" s="16" t="str">
        <f>IF(B167=0,"",COUNTIFS('Extração'!Q:Q,"Não",'Extração'!L:L,A167)/B167)</f>
        <v/>
      </c>
      <c r="I167" s="16" t="str">
        <f>IF(B167=0,"",COUNTIFS('Extração'!R:R,"Igual",'Extração'!L:L,A167)/B167)</f>
        <v/>
      </c>
    </row>
    <row r="168">
      <c r="B168" s="16">
        <f>COUNTIF('Extração'!L:L,A168)</f>
        <v>0</v>
      </c>
      <c r="C168" s="16" t="str">
        <f>IF(B168=0,"",COUNTIFS('Extração'!P:P,"Sim",'Extração'!L:L,A168)/B168)</f>
        <v/>
      </c>
      <c r="D168" s="16" t="str">
        <f>IF(B168=0,"",COUNTIFS('Extração'!Q:Q,"Sim",'Extração'!L:L,A168)/B168)</f>
        <v/>
      </c>
      <c r="E168" s="16" t="str">
        <f>IF(B168=0,"",COUNTIFS('Extração'!P:P,"Parcialmente",'Extração'!L:L,A168)/B168)</f>
        <v/>
      </c>
      <c r="F168" s="16" t="str">
        <f>IF(B168=0,"",COUNTIFS('Extração'!Q:Q,"Parcialmente",'Extração'!L:L,A168)/B168)</f>
        <v/>
      </c>
      <c r="G168" s="16" t="str">
        <f>IF(B168=0,"",COUNTIFS('Extração'!P:P,"Não",'Extração'!L:L,A168)/B168)</f>
        <v/>
      </c>
      <c r="H168" s="16" t="str">
        <f>IF(B168=0,"",COUNTIFS('Extração'!Q:Q,"Não",'Extração'!L:L,A168)/B168)</f>
        <v/>
      </c>
      <c r="I168" s="16" t="str">
        <f>IF(B168=0,"",COUNTIFS('Extração'!R:R,"Igual",'Extração'!L:L,A168)/B168)</f>
        <v/>
      </c>
    </row>
    <row r="169">
      <c r="B169" s="16">
        <f>COUNTIF('Extração'!L:L,A169)</f>
        <v>0</v>
      </c>
      <c r="C169" s="16" t="str">
        <f>IF(B169=0,"",COUNTIFS('Extração'!P:P,"Sim",'Extração'!L:L,A169)/B169)</f>
        <v/>
      </c>
      <c r="D169" s="16" t="str">
        <f>IF(B169=0,"",COUNTIFS('Extração'!Q:Q,"Sim",'Extração'!L:L,A169)/B169)</f>
        <v/>
      </c>
      <c r="E169" s="16" t="str">
        <f>IF(B169=0,"",COUNTIFS('Extração'!P:P,"Parcialmente",'Extração'!L:L,A169)/B169)</f>
        <v/>
      </c>
      <c r="F169" s="16" t="str">
        <f>IF(B169=0,"",COUNTIFS('Extração'!Q:Q,"Parcialmente",'Extração'!L:L,A169)/B169)</f>
        <v/>
      </c>
      <c r="G169" s="16" t="str">
        <f>IF(B169=0,"",COUNTIFS('Extração'!P:P,"Não",'Extração'!L:L,A169)/B169)</f>
        <v/>
      </c>
      <c r="H169" s="16" t="str">
        <f>IF(B169=0,"",COUNTIFS('Extração'!Q:Q,"Não",'Extração'!L:L,A169)/B169)</f>
        <v/>
      </c>
      <c r="I169" s="16" t="str">
        <f>IF(B169=0,"",COUNTIFS('Extração'!R:R,"Igual",'Extração'!L:L,A169)/B169)</f>
        <v/>
      </c>
    </row>
    <row r="170">
      <c r="B170" s="16">
        <f>COUNTIF('Extração'!L:L,A170)</f>
        <v>0</v>
      </c>
      <c r="C170" s="16" t="str">
        <f>IF(B170=0,"",COUNTIFS('Extração'!P:P,"Sim",'Extração'!L:L,A170)/B170)</f>
        <v/>
      </c>
      <c r="D170" s="16" t="str">
        <f>IF(B170=0,"",COUNTIFS('Extração'!Q:Q,"Sim",'Extração'!L:L,A170)/B170)</f>
        <v/>
      </c>
      <c r="E170" s="16" t="str">
        <f>IF(B170=0,"",COUNTIFS('Extração'!P:P,"Parcialmente",'Extração'!L:L,A170)/B170)</f>
        <v/>
      </c>
      <c r="F170" s="16" t="str">
        <f>IF(B170=0,"",COUNTIFS('Extração'!Q:Q,"Parcialmente",'Extração'!L:L,A170)/B170)</f>
        <v/>
      </c>
      <c r="G170" s="16" t="str">
        <f>IF(B170=0,"",COUNTIFS('Extração'!P:P,"Não",'Extração'!L:L,A170)/B170)</f>
        <v/>
      </c>
      <c r="H170" s="16" t="str">
        <f>IF(B170=0,"",COUNTIFS('Extração'!Q:Q,"Não",'Extração'!L:L,A170)/B170)</f>
        <v/>
      </c>
      <c r="I170" s="16" t="str">
        <f>IF(B170=0,"",COUNTIFS('Extração'!R:R,"Igual",'Extração'!L:L,A170)/B170)</f>
        <v/>
      </c>
    </row>
    <row r="171">
      <c r="B171" s="16">
        <f>COUNTIF('Extração'!L:L,A171)</f>
        <v>0</v>
      </c>
      <c r="C171" s="16" t="str">
        <f>IF(B171=0,"",COUNTIFS('Extração'!P:P,"Sim",'Extração'!L:L,A171)/B171)</f>
        <v/>
      </c>
      <c r="D171" s="16" t="str">
        <f>IF(B171=0,"",COUNTIFS('Extração'!Q:Q,"Sim",'Extração'!L:L,A171)/B171)</f>
        <v/>
      </c>
      <c r="E171" s="16" t="str">
        <f>IF(B171=0,"",COUNTIFS('Extração'!P:P,"Parcialmente",'Extração'!L:L,A171)/B171)</f>
        <v/>
      </c>
      <c r="F171" s="16" t="str">
        <f>IF(B171=0,"",COUNTIFS('Extração'!Q:Q,"Parcialmente",'Extração'!L:L,A171)/B171)</f>
        <v/>
      </c>
      <c r="G171" s="16" t="str">
        <f>IF(B171=0,"",COUNTIFS('Extração'!P:P,"Não",'Extração'!L:L,A171)/B171)</f>
        <v/>
      </c>
      <c r="H171" s="16" t="str">
        <f>IF(B171=0,"",COUNTIFS('Extração'!Q:Q,"Não",'Extração'!L:L,A171)/B171)</f>
        <v/>
      </c>
      <c r="I171" s="16" t="str">
        <f>IF(B171=0,"",COUNTIFS('Extração'!R:R,"Igual",'Extração'!L:L,A171)/B171)</f>
        <v/>
      </c>
    </row>
    <row r="172">
      <c r="B172" s="16">
        <f>COUNTIF('Extração'!L:L,A172)</f>
        <v>0</v>
      </c>
      <c r="C172" s="16" t="str">
        <f>IF(B172=0,"",COUNTIFS('Extração'!P:P,"Sim",'Extração'!L:L,A172)/B172)</f>
        <v/>
      </c>
      <c r="D172" s="16" t="str">
        <f>IF(B172=0,"",COUNTIFS('Extração'!Q:Q,"Sim",'Extração'!L:L,A172)/B172)</f>
        <v/>
      </c>
      <c r="E172" s="16" t="str">
        <f>IF(B172=0,"",COUNTIFS('Extração'!P:P,"Parcialmente",'Extração'!L:L,A172)/B172)</f>
        <v/>
      </c>
      <c r="F172" s="16" t="str">
        <f>IF(B172=0,"",COUNTIFS('Extração'!Q:Q,"Parcialmente",'Extração'!L:L,A172)/B172)</f>
        <v/>
      </c>
      <c r="G172" s="16" t="str">
        <f>IF(B172=0,"",COUNTIFS('Extração'!P:P,"Não",'Extração'!L:L,A172)/B172)</f>
        <v/>
      </c>
      <c r="H172" s="16" t="str">
        <f>IF(B172=0,"",COUNTIFS('Extração'!Q:Q,"Não",'Extração'!L:L,A172)/B172)</f>
        <v/>
      </c>
      <c r="I172" s="16" t="str">
        <f>IF(B172=0,"",COUNTIFS('Extração'!R:R,"Igual",'Extração'!L:L,A172)/B172)</f>
        <v/>
      </c>
    </row>
    <row r="173">
      <c r="B173" s="16">
        <f>COUNTIF('Extração'!L:L,A173)</f>
        <v>0</v>
      </c>
      <c r="C173" s="16" t="str">
        <f>IF(B173=0,"",COUNTIFS('Extração'!P:P,"Sim",'Extração'!L:L,A173)/B173)</f>
        <v/>
      </c>
      <c r="D173" s="16" t="str">
        <f>IF(B173=0,"",COUNTIFS('Extração'!Q:Q,"Sim",'Extração'!L:L,A173)/B173)</f>
        <v/>
      </c>
      <c r="E173" s="16" t="str">
        <f>IF(B173=0,"",COUNTIFS('Extração'!P:P,"Parcialmente",'Extração'!L:L,A173)/B173)</f>
        <v/>
      </c>
      <c r="F173" s="16" t="str">
        <f>IF(B173=0,"",COUNTIFS('Extração'!Q:Q,"Parcialmente",'Extração'!L:L,A173)/B173)</f>
        <v/>
      </c>
      <c r="G173" s="16" t="str">
        <f>IF(B173=0,"",COUNTIFS('Extração'!P:P,"Não",'Extração'!L:L,A173)/B173)</f>
        <v/>
      </c>
      <c r="H173" s="16" t="str">
        <f>IF(B173=0,"",COUNTIFS('Extração'!Q:Q,"Não",'Extração'!L:L,A173)/B173)</f>
        <v/>
      </c>
      <c r="I173" s="16" t="str">
        <f>IF(B173=0,"",COUNTIFS('Extração'!R:R,"Igual",'Extração'!L:L,A173)/B173)</f>
        <v/>
      </c>
    </row>
    <row r="174">
      <c r="B174" s="16">
        <f>COUNTIF('Extração'!L:L,A174)</f>
        <v>0</v>
      </c>
      <c r="C174" s="16" t="str">
        <f>IF(B174=0,"",COUNTIFS('Extração'!P:P,"Sim",'Extração'!L:L,A174)/B174)</f>
        <v/>
      </c>
      <c r="D174" s="16" t="str">
        <f>IF(B174=0,"",COUNTIFS('Extração'!Q:Q,"Sim",'Extração'!L:L,A174)/B174)</f>
        <v/>
      </c>
      <c r="E174" s="16" t="str">
        <f>IF(B174=0,"",COUNTIFS('Extração'!P:P,"Parcialmente",'Extração'!L:L,A174)/B174)</f>
        <v/>
      </c>
      <c r="F174" s="16" t="str">
        <f>IF(B174=0,"",COUNTIFS('Extração'!Q:Q,"Parcialmente",'Extração'!L:L,A174)/B174)</f>
        <v/>
      </c>
      <c r="G174" s="16" t="str">
        <f>IF(B174=0,"",COUNTIFS('Extração'!P:P,"Não",'Extração'!L:L,A174)/B174)</f>
        <v/>
      </c>
      <c r="H174" s="16" t="str">
        <f>IF(B174=0,"",COUNTIFS('Extração'!Q:Q,"Não",'Extração'!L:L,A174)/B174)</f>
        <v/>
      </c>
      <c r="I174" s="16" t="str">
        <f>IF(B174=0,"",COUNTIFS('Extração'!R:R,"Igual",'Extração'!L:L,A174)/B174)</f>
        <v/>
      </c>
    </row>
    <row r="175">
      <c r="B175" s="16">
        <f>COUNTIF('Extração'!L:L,A175)</f>
        <v>0</v>
      </c>
      <c r="C175" s="16" t="str">
        <f>IF(B175=0,"",COUNTIFS('Extração'!P:P,"Sim",'Extração'!L:L,A175)/B175)</f>
        <v/>
      </c>
      <c r="D175" s="16" t="str">
        <f>IF(B175=0,"",COUNTIFS('Extração'!Q:Q,"Sim",'Extração'!L:L,A175)/B175)</f>
        <v/>
      </c>
      <c r="E175" s="16" t="str">
        <f>IF(B175=0,"",COUNTIFS('Extração'!P:P,"Parcialmente",'Extração'!L:L,A175)/B175)</f>
        <v/>
      </c>
      <c r="F175" s="16" t="str">
        <f>IF(B175=0,"",COUNTIFS('Extração'!Q:Q,"Parcialmente",'Extração'!L:L,A175)/B175)</f>
        <v/>
      </c>
      <c r="G175" s="16" t="str">
        <f>IF(B175=0,"",COUNTIFS('Extração'!P:P,"Não",'Extração'!L:L,A175)/B175)</f>
        <v/>
      </c>
      <c r="H175" s="16" t="str">
        <f>IF(B175=0,"",COUNTIFS('Extração'!Q:Q,"Não",'Extração'!L:L,A175)/B175)</f>
        <v/>
      </c>
      <c r="I175" s="16" t="str">
        <f>IF(B175=0,"",COUNTIFS('Extração'!R:R,"Igual",'Extração'!L:L,A175)/B175)</f>
        <v/>
      </c>
    </row>
    <row r="176">
      <c r="B176" s="16">
        <f>COUNTIF('Extração'!L:L,A176)</f>
        <v>0</v>
      </c>
      <c r="C176" s="16" t="str">
        <f>IF(B176=0,"",COUNTIFS('Extração'!P:P,"Sim",'Extração'!L:L,A176)/B176)</f>
        <v/>
      </c>
      <c r="D176" s="16" t="str">
        <f>IF(B176=0,"",COUNTIFS('Extração'!Q:Q,"Sim",'Extração'!L:L,A176)/B176)</f>
        <v/>
      </c>
      <c r="E176" s="16" t="str">
        <f>IF(B176=0,"",COUNTIFS('Extração'!P:P,"Parcialmente",'Extração'!L:L,A176)/B176)</f>
        <v/>
      </c>
      <c r="F176" s="16" t="str">
        <f>IF(B176=0,"",COUNTIFS('Extração'!Q:Q,"Parcialmente",'Extração'!L:L,A176)/B176)</f>
        <v/>
      </c>
      <c r="G176" s="16" t="str">
        <f>IF(B176=0,"",COUNTIFS('Extração'!P:P,"Não",'Extração'!L:L,A176)/B176)</f>
        <v/>
      </c>
      <c r="H176" s="16" t="str">
        <f>IF(B176=0,"",COUNTIFS('Extração'!Q:Q,"Não",'Extração'!L:L,A176)/B176)</f>
        <v/>
      </c>
      <c r="I176" s="16" t="str">
        <f>IF(B176=0,"",COUNTIFS('Extração'!R:R,"Igual",'Extração'!L:L,A176)/B176)</f>
        <v/>
      </c>
    </row>
    <row r="177">
      <c r="B177" s="16">
        <f>COUNTIF('Extração'!L:L,A177)</f>
        <v>0</v>
      </c>
      <c r="C177" s="16" t="str">
        <f>IF(B177=0,"",COUNTIFS('Extração'!P:P,"Sim",'Extração'!L:L,A177)/B177)</f>
        <v/>
      </c>
      <c r="D177" s="16" t="str">
        <f>IF(B177=0,"",COUNTIFS('Extração'!Q:Q,"Sim",'Extração'!L:L,A177)/B177)</f>
        <v/>
      </c>
      <c r="E177" s="16" t="str">
        <f>IF(B177=0,"",COUNTIFS('Extração'!P:P,"Parcialmente",'Extração'!L:L,A177)/B177)</f>
        <v/>
      </c>
      <c r="F177" s="16" t="str">
        <f>IF(B177=0,"",COUNTIFS('Extração'!Q:Q,"Parcialmente",'Extração'!L:L,A177)/B177)</f>
        <v/>
      </c>
      <c r="G177" s="16" t="str">
        <f>IF(B177=0,"",COUNTIFS('Extração'!P:P,"Não",'Extração'!L:L,A177)/B177)</f>
        <v/>
      </c>
      <c r="H177" s="16" t="str">
        <f>IF(B177=0,"",COUNTIFS('Extração'!Q:Q,"Não",'Extração'!L:L,A177)/B177)</f>
        <v/>
      </c>
      <c r="I177" s="16" t="str">
        <f>IF(B177=0,"",COUNTIFS('Extração'!R:R,"Igual",'Extração'!L:L,A177)/B177)</f>
        <v/>
      </c>
    </row>
    <row r="178">
      <c r="B178" s="16">
        <f>COUNTIF('Extração'!L:L,A178)</f>
        <v>0</v>
      </c>
      <c r="C178" s="16" t="str">
        <f>IF(B178=0,"",COUNTIFS('Extração'!P:P,"Sim",'Extração'!L:L,A178)/B178)</f>
        <v/>
      </c>
      <c r="D178" s="16" t="str">
        <f>IF(B178=0,"",COUNTIFS('Extração'!Q:Q,"Sim",'Extração'!L:L,A178)/B178)</f>
        <v/>
      </c>
      <c r="E178" s="16" t="str">
        <f>IF(B178=0,"",COUNTIFS('Extração'!P:P,"Parcialmente",'Extração'!L:L,A178)/B178)</f>
        <v/>
      </c>
      <c r="F178" s="16" t="str">
        <f>IF(B178=0,"",COUNTIFS('Extração'!Q:Q,"Parcialmente",'Extração'!L:L,A178)/B178)</f>
        <v/>
      </c>
      <c r="G178" s="16" t="str">
        <f>IF(B178=0,"",COUNTIFS('Extração'!P:P,"Não",'Extração'!L:L,A178)/B178)</f>
        <v/>
      </c>
      <c r="H178" s="16" t="str">
        <f>IF(B178=0,"",COUNTIFS('Extração'!Q:Q,"Não",'Extração'!L:L,A178)/B178)</f>
        <v/>
      </c>
      <c r="I178" s="16" t="str">
        <f>IF(B178=0,"",COUNTIFS('Extração'!R:R,"Igual",'Extração'!L:L,A178)/B178)</f>
        <v/>
      </c>
    </row>
    <row r="179">
      <c r="B179" s="16">
        <f>COUNTIF('Extração'!L:L,A179)</f>
        <v>0</v>
      </c>
      <c r="C179" s="16" t="str">
        <f>IF(B179=0,"",COUNTIFS('Extração'!P:P,"Sim",'Extração'!L:L,A179)/B179)</f>
        <v/>
      </c>
      <c r="D179" s="16" t="str">
        <f>IF(B179=0,"",COUNTIFS('Extração'!Q:Q,"Sim",'Extração'!L:L,A179)/B179)</f>
        <v/>
      </c>
      <c r="E179" s="16" t="str">
        <f>IF(B179=0,"",COUNTIFS('Extração'!P:P,"Parcialmente",'Extração'!L:L,A179)/B179)</f>
        <v/>
      </c>
      <c r="F179" s="16" t="str">
        <f>IF(B179=0,"",COUNTIFS('Extração'!Q:Q,"Parcialmente",'Extração'!L:L,A179)/B179)</f>
        <v/>
      </c>
      <c r="G179" s="16" t="str">
        <f>IF(B179=0,"",COUNTIFS('Extração'!P:P,"Não",'Extração'!L:L,A179)/B179)</f>
        <v/>
      </c>
      <c r="H179" s="16" t="str">
        <f>IF(B179=0,"",COUNTIFS('Extração'!Q:Q,"Não",'Extração'!L:L,A179)/B179)</f>
        <v/>
      </c>
      <c r="I179" s="16" t="str">
        <f>IF(B179=0,"",COUNTIFS('Extração'!R:R,"Igual",'Extração'!L:L,A179)/B179)</f>
        <v/>
      </c>
    </row>
    <row r="180">
      <c r="B180" s="16">
        <f>COUNTIF('Extração'!L:L,A180)</f>
        <v>0</v>
      </c>
      <c r="C180" s="16" t="str">
        <f>IF(B180=0,"",COUNTIFS('Extração'!P:P,"Sim",'Extração'!L:L,A180)/B180)</f>
        <v/>
      </c>
      <c r="D180" s="16" t="str">
        <f>IF(B180=0,"",COUNTIFS('Extração'!Q:Q,"Sim",'Extração'!L:L,A180)/B180)</f>
        <v/>
      </c>
      <c r="E180" s="16" t="str">
        <f>IF(B180=0,"",COUNTIFS('Extração'!P:P,"Parcialmente",'Extração'!L:L,A180)/B180)</f>
        <v/>
      </c>
      <c r="F180" s="16" t="str">
        <f>IF(B180=0,"",COUNTIFS('Extração'!Q:Q,"Parcialmente",'Extração'!L:L,A180)/B180)</f>
        <v/>
      </c>
      <c r="G180" s="16" t="str">
        <f>IF(B180=0,"",COUNTIFS('Extração'!P:P,"Não",'Extração'!L:L,A180)/B180)</f>
        <v/>
      </c>
      <c r="H180" s="16" t="str">
        <f>IF(B180=0,"",COUNTIFS('Extração'!Q:Q,"Não",'Extração'!L:L,A180)/B180)</f>
        <v/>
      </c>
      <c r="I180" s="16" t="str">
        <f>IF(B180=0,"",COUNTIFS('Extração'!R:R,"Igual",'Extração'!L:L,A180)/B180)</f>
        <v/>
      </c>
    </row>
    <row r="181">
      <c r="B181" s="16">
        <f>COUNTIF('Extração'!L:L,A181)</f>
        <v>0</v>
      </c>
      <c r="C181" s="16" t="str">
        <f>IF(B181=0,"",COUNTIFS('Extração'!P:P,"Sim",'Extração'!L:L,A181)/B181)</f>
        <v/>
      </c>
      <c r="D181" s="16" t="str">
        <f>IF(B181=0,"",COUNTIFS('Extração'!Q:Q,"Sim",'Extração'!L:L,A181)/B181)</f>
        <v/>
      </c>
      <c r="E181" s="16" t="str">
        <f>IF(B181=0,"",COUNTIFS('Extração'!P:P,"Parcialmente",'Extração'!L:L,A181)/B181)</f>
        <v/>
      </c>
      <c r="F181" s="16" t="str">
        <f>IF(B181=0,"",COUNTIFS('Extração'!Q:Q,"Parcialmente",'Extração'!L:L,A181)/B181)</f>
        <v/>
      </c>
      <c r="G181" s="16" t="str">
        <f>IF(B181=0,"",COUNTIFS('Extração'!P:P,"Não",'Extração'!L:L,A181)/B181)</f>
        <v/>
      </c>
      <c r="H181" s="16" t="str">
        <f>IF(B181=0,"",COUNTIFS('Extração'!Q:Q,"Não",'Extração'!L:L,A181)/B181)</f>
        <v/>
      </c>
      <c r="I181" s="16" t="str">
        <f>IF(B181=0,"",COUNTIFS('Extração'!R:R,"Igual",'Extração'!L:L,A181)/B181)</f>
        <v/>
      </c>
    </row>
    <row r="182">
      <c r="B182" s="16">
        <f>COUNTIF('Extração'!L:L,A182)</f>
        <v>0</v>
      </c>
      <c r="C182" s="16" t="str">
        <f>IF(B182=0,"",COUNTIFS('Extração'!P:P,"Sim",'Extração'!L:L,A182)/B182)</f>
        <v/>
      </c>
      <c r="D182" s="16" t="str">
        <f>IF(B182=0,"",COUNTIFS('Extração'!Q:Q,"Sim",'Extração'!L:L,A182)/B182)</f>
        <v/>
      </c>
      <c r="E182" s="16" t="str">
        <f>IF(B182=0,"",COUNTIFS('Extração'!P:P,"Parcialmente",'Extração'!L:L,A182)/B182)</f>
        <v/>
      </c>
      <c r="F182" s="16" t="str">
        <f>IF(B182=0,"",COUNTIFS('Extração'!Q:Q,"Parcialmente",'Extração'!L:L,A182)/B182)</f>
        <v/>
      </c>
      <c r="G182" s="16" t="str">
        <f>IF(B182=0,"",COUNTIFS('Extração'!P:P,"Não",'Extração'!L:L,A182)/B182)</f>
        <v/>
      </c>
      <c r="H182" s="16" t="str">
        <f>IF(B182=0,"",COUNTIFS('Extração'!Q:Q,"Não",'Extração'!L:L,A182)/B182)</f>
        <v/>
      </c>
      <c r="I182" s="16" t="str">
        <f>IF(B182=0,"",COUNTIFS('Extração'!R:R,"Igual",'Extração'!L:L,A182)/B182)</f>
        <v/>
      </c>
    </row>
    <row r="183">
      <c r="B183" s="16">
        <f>COUNTIF('Extração'!L:L,A183)</f>
        <v>0</v>
      </c>
      <c r="C183" s="16" t="str">
        <f>IF(B183=0,"",COUNTIFS('Extração'!P:P,"Sim",'Extração'!L:L,A183)/B183)</f>
        <v/>
      </c>
      <c r="D183" s="16" t="str">
        <f>IF(B183=0,"",COUNTIFS('Extração'!Q:Q,"Sim",'Extração'!L:L,A183)/B183)</f>
        <v/>
      </c>
      <c r="E183" s="16" t="str">
        <f>IF(B183=0,"",COUNTIFS('Extração'!P:P,"Parcialmente",'Extração'!L:L,A183)/B183)</f>
        <v/>
      </c>
      <c r="F183" s="16" t="str">
        <f>IF(B183=0,"",COUNTIFS('Extração'!Q:Q,"Parcialmente",'Extração'!L:L,A183)/B183)</f>
        <v/>
      </c>
      <c r="G183" s="16" t="str">
        <f>IF(B183=0,"",COUNTIFS('Extração'!P:P,"Não",'Extração'!L:L,A183)/B183)</f>
        <v/>
      </c>
      <c r="H183" s="16" t="str">
        <f>IF(B183=0,"",COUNTIFS('Extração'!Q:Q,"Não",'Extração'!L:L,A183)/B183)</f>
        <v/>
      </c>
      <c r="I183" s="16" t="str">
        <f>IF(B183=0,"",COUNTIFS('Extração'!R:R,"Igual",'Extração'!L:L,A183)/B183)</f>
        <v/>
      </c>
    </row>
    <row r="184">
      <c r="B184" s="16">
        <f>COUNTIF('Extração'!L:L,A184)</f>
        <v>0</v>
      </c>
      <c r="C184" s="16" t="str">
        <f>IF(B184=0,"",COUNTIFS('Extração'!P:P,"Sim",'Extração'!L:L,A184)/B184)</f>
        <v/>
      </c>
      <c r="D184" s="16" t="str">
        <f>IF(B184=0,"",COUNTIFS('Extração'!Q:Q,"Sim",'Extração'!L:L,A184)/B184)</f>
        <v/>
      </c>
      <c r="E184" s="16" t="str">
        <f>IF(B184=0,"",COUNTIFS('Extração'!P:P,"Parcialmente",'Extração'!L:L,A184)/B184)</f>
        <v/>
      </c>
      <c r="F184" s="16" t="str">
        <f>IF(B184=0,"",COUNTIFS('Extração'!Q:Q,"Parcialmente",'Extração'!L:L,A184)/B184)</f>
        <v/>
      </c>
      <c r="G184" s="16" t="str">
        <f>IF(B184=0,"",COUNTIFS('Extração'!P:P,"Não",'Extração'!L:L,A184)/B184)</f>
        <v/>
      </c>
      <c r="H184" s="16" t="str">
        <f>IF(B184=0,"",COUNTIFS('Extração'!Q:Q,"Não",'Extração'!L:L,A184)/B184)</f>
        <v/>
      </c>
      <c r="I184" s="16" t="str">
        <f>IF(B184=0,"",COUNTIFS('Extração'!R:R,"Igual",'Extração'!L:L,A184)/B184)</f>
        <v/>
      </c>
    </row>
    <row r="185">
      <c r="B185" s="16">
        <f>COUNTIF('Extração'!L:L,A185)</f>
        <v>0</v>
      </c>
      <c r="C185" s="16" t="str">
        <f>IF(B185=0,"",COUNTIFS('Extração'!P:P,"Sim",'Extração'!L:L,A185)/B185)</f>
        <v/>
      </c>
      <c r="D185" s="16" t="str">
        <f>IF(B185=0,"",COUNTIFS('Extração'!Q:Q,"Sim",'Extração'!L:L,A185)/B185)</f>
        <v/>
      </c>
      <c r="E185" s="16" t="str">
        <f>IF(B185=0,"",COUNTIFS('Extração'!P:P,"Parcialmente",'Extração'!L:L,A185)/B185)</f>
        <v/>
      </c>
      <c r="F185" s="16" t="str">
        <f>IF(B185=0,"",COUNTIFS('Extração'!Q:Q,"Parcialmente",'Extração'!L:L,A185)/B185)</f>
        <v/>
      </c>
      <c r="G185" s="16" t="str">
        <f>IF(B185=0,"",COUNTIFS('Extração'!P:P,"Não",'Extração'!L:L,A185)/B185)</f>
        <v/>
      </c>
      <c r="H185" s="16" t="str">
        <f>IF(B185=0,"",COUNTIFS('Extração'!Q:Q,"Não",'Extração'!L:L,A185)/B185)</f>
        <v/>
      </c>
      <c r="I185" s="16" t="str">
        <f>IF(B185=0,"",COUNTIFS('Extração'!R:R,"Igual",'Extração'!L:L,A185)/B185)</f>
        <v/>
      </c>
    </row>
    <row r="186">
      <c r="B186" s="16">
        <f>COUNTIF('Extração'!L:L,A186)</f>
        <v>0</v>
      </c>
      <c r="C186" s="16" t="str">
        <f>IF(B186=0,"",COUNTIFS('Extração'!P:P,"Sim",'Extração'!L:L,A186)/B186)</f>
        <v/>
      </c>
      <c r="D186" s="16" t="str">
        <f>IF(B186=0,"",COUNTIFS('Extração'!Q:Q,"Sim",'Extração'!L:L,A186)/B186)</f>
        <v/>
      </c>
      <c r="E186" s="16" t="str">
        <f>IF(B186=0,"",COUNTIFS('Extração'!P:P,"Parcialmente",'Extração'!L:L,A186)/B186)</f>
        <v/>
      </c>
      <c r="F186" s="16" t="str">
        <f>IF(B186=0,"",COUNTIFS('Extração'!Q:Q,"Parcialmente",'Extração'!L:L,A186)/B186)</f>
        <v/>
      </c>
      <c r="G186" s="16" t="str">
        <f>IF(B186=0,"",COUNTIFS('Extração'!P:P,"Não",'Extração'!L:L,A186)/B186)</f>
        <v/>
      </c>
      <c r="H186" s="16" t="str">
        <f>IF(B186=0,"",COUNTIFS('Extração'!Q:Q,"Não",'Extração'!L:L,A186)/B186)</f>
        <v/>
      </c>
      <c r="I186" s="16" t="str">
        <f>IF(B186=0,"",COUNTIFS('Extração'!R:R,"Igual",'Extração'!L:L,A186)/B186)</f>
        <v/>
      </c>
    </row>
    <row r="187">
      <c r="B187" s="16">
        <f>COUNTIF('Extração'!L:L,A187)</f>
        <v>0</v>
      </c>
      <c r="C187" s="16" t="str">
        <f>IF(B187=0,"",COUNTIFS('Extração'!P:P,"Sim",'Extração'!L:L,A187)/B187)</f>
        <v/>
      </c>
      <c r="D187" s="16" t="str">
        <f>IF(B187=0,"",COUNTIFS('Extração'!Q:Q,"Sim",'Extração'!L:L,A187)/B187)</f>
        <v/>
      </c>
      <c r="E187" s="16" t="str">
        <f>IF(B187=0,"",COUNTIFS('Extração'!P:P,"Parcialmente",'Extração'!L:L,A187)/B187)</f>
        <v/>
      </c>
      <c r="F187" s="16" t="str">
        <f>IF(B187=0,"",COUNTIFS('Extração'!Q:Q,"Parcialmente",'Extração'!L:L,A187)/B187)</f>
        <v/>
      </c>
      <c r="G187" s="16" t="str">
        <f>IF(B187=0,"",COUNTIFS('Extração'!P:P,"Não",'Extração'!L:L,A187)/B187)</f>
        <v/>
      </c>
      <c r="H187" s="16" t="str">
        <f>IF(B187=0,"",COUNTIFS('Extração'!Q:Q,"Não",'Extração'!L:L,A187)/B187)</f>
        <v/>
      </c>
      <c r="I187" s="16" t="str">
        <f>IF(B187=0,"",COUNTIFS('Extração'!R:R,"Igual",'Extração'!L:L,A187)/B187)</f>
        <v/>
      </c>
    </row>
    <row r="188">
      <c r="B188" s="16">
        <f>COUNTIF('Extração'!L:L,A188)</f>
        <v>0</v>
      </c>
      <c r="C188" s="16" t="str">
        <f>IF(B188=0,"",COUNTIFS('Extração'!P:P,"Sim",'Extração'!L:L,A188)/B188)</f>
        <v/>
      </c>
      <c r="D188" s="16" t="str">
        <f>IF(B188=0,"",COUNTIFS('Extração'!Q:Q,"Sim",'Extração'!L:L,A188)/B188)</f>
        <v/>
      </c>
      <c r="E188" s="16" t="str">
        <f>IF(B188=0,"",COUNTIFS('Extração'!P:P,"Parcialmente",'Extração'!L:L,A188)/B188)</f>
        <v/>
      </c>
      <c r="F188" s="16" t="str">
        <f>IF(B188=0,"",COUNTIFS('Extração'!Q:Q,"Parcialmente",'Extração'!L:L,A188)/B188)</f>
        <v/>
      </c>
      <c r="G188" s="16" t="str">
        <f>IF(B188=0,"",COUNTIFS('Extração'!P:P,"Não",'Extração'!L:L,A188)/B188)</f>
        <v/>
      </c>
      <c r="H188" s="16" t="str">
        <f>IF(B188=0,"",COUNTIFS('Extração'!Q:Q,"Não",'Extração'!L:L,A188)/B188)</f>
        <v/>
      </c>
      <c r="I188" s="16" t="str">
        <f>IF(B188=0,"",COUNTIFS('Extração'!R:R,"Igual",'Extração'!L:L,A188)/B188)</f>
        <v/>
      </c>
    </row>
    <row r="189">
      <c r="B189" s="16">
        <f>COUNTIF('Extração'!L:L,A189)</f>
        <v>0</v>
      </c>
      <c r="C189" s="16" t="str">
        <f>IF(B189=0,"",COUNTIFS('Extração'!P:P,"Sim",'Extração'!L:L,A189)/B189)</f>
        <v/>
      </c>
      <c r="D189" s="16" t="str">
        <f>IF(B189=0,"",COUNTIFS('Extração'!Q:Q,"Sim",'Extração'!L:L,A189)/B189)</f>
        <v/>
      </c>
      <c r="E189" s="16" t="str">
        <f>IF(B189=0,"",COUNTIFS('Extração'!P:P,"Parcialmente",'Extração'!L:L,A189)/B189)</f>
        <v/>
      </c>
      <c r="F189" s="16" t="str">
        <f>IF(B189=0,"",COUNTIFS('Extração'!Q:Q,"Parcialmente",'Extração'!L:L,A189)/B189)</f>
        <v/>
      </c>
      <c r="G189" s="16" t="str">
        <f>IF(B189=0,"",COUNTIFS('Extração'!P:P,"Não",'Extração'!L:L,A189)/B189)</f>
        <v/>
      </c>
      <c r="H189" s="16" t="str">
        <f>IF(B189=0,"",COUNTIFS('Extração'!Q:Q,"Não",'Extração'!L:L,A189)/B189)</f>
        <v/>
      </c>
      <c r="I189" s="16" t="str">
        <f>IF(B189=0,"",COUNTIFS('Extração'!R:R,"Igual",'Extração'!L:L,A189)/B189)</f>
        <v/>
      </c>
    </row>
    <row r="190">
      <c r="B190" s="16">
        <f>COUNTIF('Extração'!L:L,A190)</f>
        <v>0</v>
      </c>
      <c r="C190" s="16" t="str">
        <f>IF(B190=0,"",COUNTIFS('Extração'!P:P,"Sim",'Extração'!L:L,A190)/B190)</f>
        <v/>
      </c>
      <c r="D190" s="16" t="str">
        <f>IF(B190=0,"",COUNTIFS('Extração'!Q:Q,"Sim",'Extração'!L:L,A190)/B190)</f>
        <v/>
      </c>
      <c r="E190" s="16" t="str">
        <f>IF(B190=0,"",COUNTIFS('Extração'!P:P,"Parcialmente",'Extração'!L:L,A190)/B190)</f>
        <v/>
      </c>
      <c r="F190" s="16" t="str">
        <f>IF(B190=0,"",COUNTIFS('Extração'!Q:Q,"Parcialmente",'Extração'!L:L,A190)/B190)</f>
        <v/>
      </c>
      <c r="G190" s="16" t="str">
        <f>IF(B190=0,"",COUNTIFS('Extração'!P:P,"Não",'Extração'!L:L,A190)/B190)</f>
        <v/>
      </c>
      <c r="H190" s="16" t="str">
        <f>IF(B190=0,"",COUNTIFS('Extração'!Q:Q,"Não",'Extração'!L:L,A190)/B190)</f>
        <v/>
      </c>
      <c r="I190" s="16" t="str">
        <f>IF(B190=0,"",COUNTIFS('Extração'!R:R,"Igual",'Extração'!L:L,A190)/B190)</f>
        <v/>
      </c>
    </row>
    <row r="191">
      <c r="B191" s="16">
        <f>COUNTIF('Extração'!L:L,A191)</f>
        <v>0</v>
      </c>
      <c r="C191" s="16" t="str">
        <f>IF(B191=0,"",COUNTIFS('Extração'!P:P,"Sim",'Extração'!L:L,A191)/B191)</f>
        <v/>
      </c>
      <c r="D191" s="16" t="str">
        <f>IF(B191=0,"",COUNTIFS('Extração'!Q:Q,"Sim",'Extração'!L:L,A191)/B191)</f>
        <v/>
      </c>
      <c r="E191" s="16" t="str">
        <f>IF(B191=0,"",COUNTIFS('Extração'!P:P,"Parcialmente",'Extração'!L:L,A191)/B191)</f>
        <v/>
      </c>
      <c r="F191" s="16" t="str">
        <f>IF(B191=0,"",COUNTIFS('Extração'!Q:Q,"Parcialmente",'Extração'!L:L,A191)/B191)</f>
        <v/>
      </c>
      <c r="G191" s="16" t="str">
        <f>IF(B191=0,"",COUNTIFS('Extração'!P:P,"Não",'Extração'!L:L,A191)/B191)</f>
        <v/>
      </c>
      <c r="H191" s="16" t="str">
        <f>IF(B191=0,"",COUNTIFS('Extração'!Q:Q,"Não",'Extração'!L:L,A191)/B191)</f>
        <v/>
      </c>
      <c r="I191" s="16" t="str">
        <f>IF(B191=0,"",COUNTIFS('Extração'!R:R,"Igual",'Extração'!L:L,A191)/B191)</f>
        <v/>
      </c>
    </row>
    <row r="192">
      <c r="B192" s="16">
        <f>COUNTIF('Extração'!L:L,A192)</f>
        <v>0</v>
      </c>
      <c r="C192" s="16" t="str">
        <f>IF(B192=0,"",COUNTIFS('Extração'!P:P,"Sim",'Extração'!L:L,A192)/B192)</f>
        <v/>
      </c>
      <c r="D192" s="16" t="str">
        <f>IF(B192=0,"",COUNTIFS('Extração'!Q:Q,"Sim",'Extração'!L:L,A192)/B192)</f>
        <v/>
      </c>
      <c r="E192" s="16" t="str">
        <f>IF(B192=0,"",COUNTIFS('Extração'!P:P,"Parcialmente",'Extração'!L:L,A192)/B192)</f>
        <v/>
      </c>
      <c r="F192" s="16" t="str">
        <f>IF(B192=0,"",COUNTIFS('Extração'!Q:Q,"Parcialmente",'Extração'!L:L,A192)/B192)</f>
        <v/>
      </c>
      <c r="G192" s="16" t="str">
        <f>IF(B192=0,"",COUNTIFS('Extração'!P:P,"Não",'Extração'!L:L,A192)/B192)</f>
        <v/>
      </c>
      <c r="H192" s="16" t="str">
        <f>IF(B192=0,"",COUNTIFS('Extração'!Q:Q,"Não",'Extração'!L:L,A192)/B192)</f>
        <v/>
      </c>
      <c r="I192" s="16" t="str">
        <f>IF(B192=0,"",COUNTIFS('Extração'!R:R,"Igual",'Extração'!L:L,A192)/B192)</f>
        <v/>
      </c>
    </row>
    <row r="193">
      <c r="B193" s="16">
        <f>COUNTIF('Extração'!L:L,A193)</f>
        <v>0</v>
      </c>
      <c r="C193" s="16" t="str">
        <f>IF(B193=0,"",COUNTIFS('Extração'!P:P,"Sim",'Extração'!L:L,A193)/B193)</f>
        <v/>
      </c>
      <c r="D193" s="16" t="str">
        <f>IF(B193=0,"",COUNTIFS('Extração'!Q:Q,"Sim",'Extração'!L:L,A193)/B193)</f>
        <v/>
      </c>
      <c r="E193" s="16" t="str">
        <f>IF(B193=0,"",COUNTIFS('Extração'!P:P,"Parcialmente",'Extração'!L:L,A193)/B193)</f>
        <v/>
      </c>
      <c r="F193" s="16" t="str">
        <f>IF(B193=0,"",COUNTIFS('Extração'!Q:Q,"Parcialmente",'Extração'!L:L,A193)/B193)</f>
        <v/>
      </c>
      <c r="G193" s="16" t="str">
        <f>IF(B193=0,"",COUNTIFS('Extração'!P:P,"Não",'Extração'!L:L,A193)/B193)</f>
        <v/>
      </c>
      <c r="H193" s="16" t="str">
        <f>IF(B193=0,"",COUNTIFS('Extração'!Q:Q,"Não",'Extração'!L:L,A193)/B193)</f>
        <v/>
      </c>
      <c r="I193" s="16" t="str">
        <f>IF(B193=0,"",COUNTIFS('Extração'!R:R,"Igual",'Extração'!L:L,A193)/B193)</f>
        <v/>
      </c>
    </row>
    <row r="194">
      <c r="B194" s="16">
        <f>COUNTIF('Extração'!L:L,A194)</f>
        <v>0</v>
      </c>
      <c r="C194" s="16" t="str">
        <f>IF(B194=0,"",COUNTIFS('Extração'!P:P,"Sim",'Extração'!L:L,A194)/B194)</f>
        <v/>
      </c>
      <c r="D194" s="16" t="str">
        <f>IF(B194=0,"",COUNTIFS('Extração'!Q:Q,"Sim",'Extração'!L:L,A194)/B194)</f>
        <v/>
      </c>
      <c r="E194" s="16" t="str">
        <f>IF(B194=0,"",COUNTIFS('Extração'!P:P,"Parcialmente",'Extração'!L:L,A194)/B194)</f>
        <v/>
      </c>
      <c r="F194" s="16" t="str">
        <f>IF(B194=0,"",COUNTIFS('Extração'!Q:Q,"Parcialmente",'Extração'!L:L,A194)/B194)</f>
        <v/>
      </c>
      <c r="G194" s="16" t="str">
        <f>IF(B194=0,"",COUNTIFS('Extração'!P:P,"Não",'Extração'!L:L,A194)/B194)</f>
        <v/>
      </c>
      <c r="H194" s="16" t="str">
        <f>IF(B194=0,"",COUNTIFS('Extração'!Q:Q,"Não",'Extração'!L:L,A194)/B194)</f>
        <v/>
      </c>
      <c r="I194" s="16" t="str">
        <f>IF(B194=0,"",COUNTIFS('Extração'!R:R,"Igual",'Extração'!L:L,A194)/B194)</f>
        <v/>
      </c>
    </row>
    <row r="195">
      <c r="B195" s="16">
        <f>COUNTIF('Extração'!L:L,A195)</f>
        <v>0</v>
      </c>
      <c r="C195" s="16" t="str">
        <f>IF(B195=0,"",COUNTIFS('Extração'!P:P,"Sim",'Extração'!L:L,A195)/B195)</f>
        <v/>
      </c>
      <c r="D195" s="16" t="str">
        <f>IF(B195=0,"",COUNTIFS('Extração'!Q:Q,"Sim",'Extração'!L:L,A195)/B195)</f>
        <v/>
      </c>
      <c r="E195" s="16" t="str">
        <f>IF(B195=0,"",COUNTIFS('Extração'!P:P,"Parcialmente",'Extração'!L:L,A195)/B195)</f>
        <v/>
      </c>
      <c r="F195" s="16" t="str">
        <f>IF(B195=0,"",COUNTIFS('Extração'!Q:Q,"Parcialmente",'Extração'!L:L,A195)/B195)</f>
        <v/>
      </c>
      <c r="G195" s="16" t="str">
        <f>IF(B195=0,"",COUNTIFS('Extração'!P:P,"Não",'Extração'!L:L,A195)/B195)</f>
        <v/>
      </c>
      <c r="H195" s="16" t="str">
        <f>IF(B195=0,"",COUNTIFS('Extração'!Q:Q,"Não",'Extração'!L:L,A195)/B195)</f>
        <v/>
      </c>
      <c r="I195" s="16" t="str">
        <f>IF(B195=0,"",COUNTIFS('Extração'!R:R,"Igual",'Extração'!L:L,A195)/B195)</f>
        <v/>
      </c>
    </row>
    <row r="196">
      <c r="B196" s="16">
        <f>COUNTIF('Extração'!L:L,A196)</f>
        <v>0</v>
      </c>
      <c r="C196" s="16" t="str">
        <f>IF(B196=0,"",COUNTIFS('Extração'!P:P,"Sim",'Extração'!L:L,A196)/B196)</f>
        <v/>
      </c>
      <c r="D196" s="16" t="str">
        <f>IF(B196=0,"",COUNTIFS('Extração'!Q:Q,"Sim",'Extração'!L:L,A196)/B196)</f>
        <v/>
      </c>
      <c r="E196" s="16" t="str">
        <f>IF(B196=0,"",COUNTIFS('Extração'!P:P,"Parcialmente",'Extração'!L:L,A196)/B196)</f>
        <v/>
      </c>
      <c r="F196" s="16" t="str">
        <f>IF(B196=0,"",COUNTIFS('Extração'!Q:Q,"Parcialmente",'Extração'!L:L,A196)/B196)</f>
        <v/>
      </c>
      <c r="G196" s="16" t="str">
        <f>IF(B196=0,"",COUNTIFS('Extração'!P:P,"Não",'Extração'!L:L,A196)/B196)</f>
        <v/>
      </c>
      <c r="H196" s="16" t="str">
        <f>IF(B196=0,"",COUNTIFS('Extração'!Q:Q,"Não",'Extração'!L:L,A196)/B196)</f>
        <v/>
      </c>
      <c r="I196" s="16" t="str">
        <f>IF(B196=0,"",COUNTIFS('Extração'!R:R,"Igual",'Extração'!L:L,A196)/B196)</f>
        <v/>
      </c>
    </row>
    <row r="197">
      <c r="B197" s="16">
        <f>COUNTIF('Extração'!L:L,A197)</f>
        <v>0</v>
      </c>
      <c r="C197" s="16" t="str">
        <f>IF(B197=0,"",COUNTIFS('Extração'!P:P,"Sim",'Extração'!L:L,A197)/B197)</f>
        <v/>
      </c>
      <c r="D197" s="16" t="str">
        <f>IF(B197=0,"",COUNTIFS('Extração'!Q:Q,"Sim",'Extração'!L:L,A197)/B197)</f>
        <v/>
      </c>
      <c r="E197" s="16" t="str">
        <f>IF(B197=0,"",COUNTIFS('Extração'!P:P,"Parcialmente",'Extração'!L:L,A197)/B197)</f>
        <v/>
      </c>
      <c r="F197" s="16" t="str">
        <f>IF(B197=0,"",COUNTIFS('Extração'!Q:Q,"Parcialmente",'Extração'!L:L,A197)/B197)</f>
        <v/>
      </c>
      <c r="G197" s="16" t="str">
        <f>IF(B197=0,"",COUNTIFS('Extração'!P:P,"Não",'Extração'!L:L,A197)/B197)</f>
        <v/>
      </c>
      <c r="H197" s="16" t="str">
        <f>IF(B197=0,"",COUNTIFS('Extração'!Q:Q,"Não",'Extração'!L:L,A197)/B197)</f>
        <v/>
      </c>
      <c r="I197" s="16" t="str">
        <f>IF(B197=0,"",COUNTIFS('Extração'!R:R,"Igual",'Extração'!L:L,A197)/B197)</f>
        <v/>
      </c>
    </row>
    <row r="198">
      <c r="B198" s="16">
        <f>COUNTIF('Extração'!L:L,A198)</f>
        <v>0</v>
      </c>
      <c r="C198" s="16" t="str">
        <f>IF(B198=0,"",COUNTIFS('Extração'!P:P,"Sim",'Extração'!L:L,A198)/B198)</f>
        <v/>
      </c>
      <c r="D198" s="16" t="str">
        <f>IF(B198=0,"",COUNTIFS('Extração'!Q:Q,"Sim",'Extração'!L:L,A198)/B198)</f>
        <v/>
      </c>
      <c r="E198" s="16" t="str">
        <f>IF(B198=0,"",COUNTIFS('Extração'!P:P,"Parcialmente",'Extração'!L:L,A198)/B198)</f>
        <v/>
      </c>
      <c r="F198" s="16" t="str">
        <f>IF(B198=0,"",COUNTIFS('Extração'!Q:Q,"Parcialmente",'Extração'!L:L,A198)/B198)</f>
        <v/>
      </c>
      <c r="G198" s="16" t="str">
        <f>IF(B198=0,"",COUNTIFS('Extração'!P:P,"Não",'Extração'!L:L,A198)/B198)</f>
        <v/>
      </c>
      <c r="H198" s="16" t="str">
        <f>IF(B198=0,"",COUNTIFS('Extração'!Q:Q,"Não",'Extração'!L:L,A198)/B198)</f>
        <v/>
      </c>
      <c r="I198" s="16" t="str">
        <f>IF(B198=0,"",COUNTIFS('Extração'!R:R,"Igual",'Extração'!L:L,A198)/B198)</f>
        <v/>
      </c>
    </row>
    <row r="199">
      <c r="B199" s="16">
        <f>COUNTIF('Extração'!L:L,A199)</f>
        <v>0</v>
      </c>
      <c r="C199" s="16" t="str">
        <f>IF(B199=0,"",COUNTIFS('Extração'!P:P,"Sim",'Extração'!L:L,A199)/B199)</f>
        <v/>
      </c>
      <c r="D199" s="16" t="str">
        <f>IF(B199=0,"",COUNTIFS('Extração'!Q:Q,"Sim",'Extração'!L:L,A199)/B199)</f>
        <v/>
      </c>
      <c r="E199" s="16" t="str">
        <f>IF(B199=0,"",COUNTIFS('Extração'!P:P,"Parcialmente",'Extração'!L:L,A199)/B199)</f>
        <v/>
      </c>
      <c r="F199" s="16" t="str">
        <f>IF(B199=0,"",COUNTIFS('Extração'!Q:Q,"Parcialmente",'Extração'!L:L,A199)/B199)</f>
        <v/>
      </c>
      <c r="G199" s="16" t="str">
        <f>IF(B199=0,"",COUNTIFS('Extração'!P:P,"Não",'Extração'!L:L,A199)/B199)</f>
        <v/>
      </c>
      <c r="H199" s="16" t="str">
        <f>IF(B199=0,"",COUNTIFS('Extração'!Q:Q,"Não",'Extração'!L:L,A199)/B199)</f>
        <v/>
      </c>
      <c r="I199" s="16" t="str">
        <f>IF(B199=0,"",COUNTIFS('Extração'!R:R,"Igual",'Extração'!L:L,A199)/B199)</f>
        <v/>
      </c>
    </row>
    <row r="200">
      <c r="B200" s="16">
        <f>COUNTIF('Extração'!L:L,A200)</f>
        <v>0</v>
      </c>
      <c r="C200" s="16" t="str">
        <f>IF(B200=0,"",COUNTIFS('Extração'!P:P,"Sim",'Extração'!L:L,A200)/B200)</f>
        <v/>
      </c>
      <c r="D200" s="16" t="str">
        <f>IF(B200=0,"",COUNTIFS('Extração'!Q:Q,"Sim",'Extração'!L:L,A200)/B200)</f>
        <v/>
      </c>
      <c r="E200" s="16" t="str">
        <f>IF(B200=0,"",COUNTIFS('Extração'!P:P,"Parcialmente",'Extração'!L:L,A200)/B200)</f>
        <v/>
      </c>
      <c r="F200" s="16" t="str">
        <f>IF(B200=0,"",COUNTIFS('Extração'!Q:Q,"Parcialmente",'Extração'!L:L,A200)/B200)</f>
        <v/>
      </c>
      <c r="G200" s="16" t="str">
        <f>IF(B200=0,"",COUNTIFS('Extração'!P:P,"Não",'Extração'!L:L,A200)/B200)</f>
        <v/>
      </c>
      <c r="H200" s="16" t="str">
        <f>IF(B200=0,"",COUNTIFS('Extração'!Q:Q,"Não",'Extração'!L:L,A200)/B200)</f>
        <v/>
      </c>
      <c r="I200" s="16" t="str">
        <f>IF(B200=0,"",COUNTIFS('Extração'!R:R,"Igual",'Extração'!L:L,A200)/B200)</f>
        <v/>
      </c>
    </row>
    <row r="201">
      <c r="B201" s="16">
        <f>COUNTIF('Extração'!L:L,A201)</f>
        <v>0</v>
      </c>
      <c r="C201" s="16" t="str">
        <f>IF(B201=0,"",COUNTIFS('Extração'!P:P,"Sim",'Extração'!L:L,A201)/B201)</f>
        <v/>
      </c>
      <c r="D201" s="16" t="str">
        <f>IF(B201=0,"",COUNTIFS('Extração'!Q:Q,"Sim",'Extração'!L:L,A201)/B201)</f>
        <v/>
      </c>
      <c r="E201" s="16" t="str">
        <f>IF(B201=0,"",COUNTIFS('Extração'!P:P,"Parcialmente",'Extração'!L:L,A201)/B201)</f>
        <v/>
      </c>
      <c r="F201" s="16" t="str">
        <f>IF(B201=0,"",COUNTIFS('Extração'!Q:Q,"Parcialmente",'Extração'!L:L,A201)/B201)</f>
        <v/>
      </c>
      <c r="G201" s="16" t="str">
        <f>IF(B201=0,"",COUNTIFS('Extração'!P:P,"Não",'Extração'!L:L,A201)/B201)</f>
        <v/>
      </c>
      <c r="H201" s="16" t="str">
        <f>IF(B201=0,"",COUNTIFS('Extração'!Q:Q,"Não",'Extração'!L:L,A201)/B201)</f>
        <v/>
      </c>
      <c r="I201" s="16" t="str">
        <f>IF(B201=0,"",COUNTIFS('Extração'!R:R,"Igual",'Extração'!L:L,A201)/B201)</f>
        <v/>
      </c>
    </row>
    <row r="202">
      <c r="B202" s="16">
        <f>COUNTIF('Extração'!L:L,A202)</f>
        <v>0</v>
      </c>
      <c r="C202" s="16" t="str">
        <f>IF(B202=0,"",COUNTIFS('Extração'!P:P,"Sim",'Extração'!L:L,A202)/B202)</f>
        <v/>
      </c>
      <c r="D202" s="16" t="str">
        <f>IF(B202=0,"",COUNTIFS('Extração'!Q:Q,"Sim",'Extração'!L:L,A202)/B202)</f>
        <v/>
      </c>
      <c r="E202" s="16" t="str">
        <f>IF(B202=0,"",COUNTIFS('Extração'!P:P,"Parcialmente",'Extração'!L:L,A202)/B202)</f>
        <v/>
      </c>
      <c r="F202" s="16" t="str">
        <f>IF(B202=0,"",COUNTIFS('Extração'!Q:Q,"Parcialmente",'Extração'!L:L,A202)/B202)</f>
        <v/>
      </c>
      <c r="G202" s="16" t="str">
        <f>IF(B202=0,"",COUNTIFS('Extração'!P:P,"Não",'Extração'!L:L,A202)/B202)</f>
        <v/>
      </c>
      <c r="H202" s="16" t="str">
        <f>IF(B202=0,"",COUNTIFS('Extração'!Q:Q,"Não",'Extração'!L:L,A202)/B202)</f>
        <v/>
      </c>
      <c r="I202" s="16" t="str">
        <f>IF(B202=0,"",COUNTIFS('Extração'!R:R,"Igual",'Extração'!L:L,A202)/B202)</f>
        <v/>
      </c>
    </row>
    <row r="203">
      <c r="B203" s="16">
        <f>COUNTIF('Extração'!L:L,A203)</f>
        <v>0</v>
      </c>
      <c r="C203" s="16" t="str">
        <f>IF(B203=0,"",COUNTIFS('Extração'!P:P,"Sim",'Extração'!L:L,A203)/B203)</f>
        <v/>
      </c>
      <c r="D203" s="16" t="str">
        <f>IF(B203=0,"",COUNTIFS('Extração'!Q:Q,"Sim",'Extração'!L:L,A203)/B203)</f>
        <v/>
      </c>
      <c r="E203" s="16" t="str">
        <f>IF(B203=0,"",COUNTIFS('Extração'!P:P,"Parcialmente",'Extração'!L:L,A203)/B203)</f>
        <v/>
      </c>
      <c r="F203" s="16" t="str">
        <f>IF(B203=0,"",COUNTIFS('Extração'!Q:Q,"Parcialmente",'Extração'!L:L,A203)/B203)</f>
        <v/>
      </c>
      <c r="G203" s="16" t="str">
        <f>IF(B203=0,"",COUNTIFS('Extração'!P:P,"Não",'Extração'!L:L,A203)/B203)</f>
        <v/>
      </c>
      <c r="H203" s="16" t="str">
        <f>IF(B203=0,"",COUNTIFS('Extração'!Q:Q,"Não",'Extração'!L:L,A203)/B203)</f>
        <v/>
      </c>
      <c r="I203" s="16" t="str">
        <f>IF(B203=0,"",COUNTIFS('Extração'!R:R,"Igual",'Extração'!L:L,A203)/B203)</f>
        <v/>
      </c>
    </row>
    <row r="204">
      <c r="B204" s="16">
        <f>COUNTIF('Extração'!L:L,A204)</f>
        <v>0</v>
      </c>
      <c r="C204" s="16" t="str">
        <f>IF(B204=0,"",COUNTIFS('Extração'!P:P,"Sim",'Extração'!L:L,A204)/B204)</f>
        <v/>
      </c>
      <c r="D204" s="16" t="str">
        <f>IF(B204=0,"",COUNTIFS('Extração'!Q:Q,"Sim",'Extração'!L:L,A204)/B204)</f>
        <v/>
      </c>
      <c r="E204" s="16" t="str">
        <f>IF(B204=0,"",COUNTIFS('Extração'!P:P,"Parcialmente",'Extração'!L:L,A204)/B204)</f>
        <v/>
      </c>
      <c r="F204" s="16" t="str">
        <f>IF(B204=0,"",COUNTIFS('Extração'!Q:Q,"Parcialmente",'Extração'!L:L,A204)/B204)</f>
        <v/>
      </c>
      <c r="G204" s="16" t="str">
        <f>IF(B204=0,"",COUNTIFS('Extração'!P:P,"Não",'Extração'!L:L,A204)/B204)</f>
        <v/>
      </c>
      <c r="H204" s="16" t="str">
        <f>IF(B204=0,"",COUNTIFS('Extração'!Q:Q,"Não",'Extração'!L:L,A204)/B204)</f>
        <v/>
      </c>
      <c r="I204" s="16" t="str">
        <f>IF(B204=0,"",COUNTIFS('Extração'!R:R,"Igual",'Extração'!L:L,A204)/B204)</f>
        <v/>
      </c>
    </row>
    <row r="205">
      <c r="B205" s="16">
        <f>COUNTIF('Extração'!L:L,A205)</f>
        <v>0</v>
      </c>
      <c r="C205" s="16" t="str">
        <f>IF(B205=0,"",COUNTIFS('Extração'!P:P,"Sim",'Extração'!L:L,A205)/B205)</f>
        <v/>
      </c>
      <c r="D205" s="16" t="str">
        <f>IF(B205=0,"",COUNTIFS('Extração'!Q:Q,"Sim",'Extração'!L:L,A205)/B205)</f>
        <v/>
      </c>
      <c r="E205" s="16" t="str">
        <f>IF(B205=0,"",COUNTIFS('Extração'!P:P,"Parcialmente",'Extração'!L:L,A205)/B205)</f>
        <v/>
      </c>
      <c r="F205" s="16" t="str">
        <f>IF(B205=0,"",COUNTIFS('Extração'!Q:Q,"Parcialmente",'Extração'!L:L,A205)/B205)</f>
        <v/>
      </c>
      <c r="G205" s="16" t="str">
        <f>IF(B205=0,"",COUNTIFS('Extração'!P:P,"Não",'Extração'!L:L,A205)/B205)</f>
        <v/>
      </c>
      <c r="H205" s="16" t="str">
        <f>IF(B205=0,"",COUNTIFS('Extração'!Q:Q,"Não",'Extração'!L:L,A205)/B205)</f>
        <v/>
      </c>
      <c r="I205" s="16" t="str">
        <f>IF(B205=0,"",COUNTIFS('Extração'!R:R,"Igual",'Extração'!L:L,A205)/B205)</f>
        <v/>
      </c>
    </row>
    <row r="206">
      <c r="B206" s="16">
        <f>COUNTIF('Extração'!L:L,A206)</f>
        <v>0</v>
      </c>
      <c r="C206" s="16" t="str">
        <f>IF(B206=0,"",COUNTIFS('Extração'!P:P,"Sim",'Extração'!L:L,A206)/B206)</f>
        <v/>
      </c>
      <c r="D206" s="16" t="str">
        <f>IF(B206=0,"",COUNTIFS('Extração'!Q:Q,"Sim",'Extração'!L:L,A206)/B206)</f>
        <v/>
      </c>
      <c r="E206" s="16" t="str">
        <f>IF(B206=0,"",COUNTIFS('Extração'!P:P,"Parcialmente",'Extração'!L:L,A206)/B206)</f>
        <v/>
      </c>
      <c r="F206" s="16" t="str">
        <f>IF(B206=0,"",COUNTIFS('Extração'!Q:Q,"Parcialmente",'Extração'!L:L,A206)/B206)</f>
        <v/>
      </c>
      <c r="G206" s="16" t="str">
        <f>IF(B206=0,"",COUNTIFS('Extração'!P:P,"Não",'Extração'!L:L,A206)/B206)</f>
        <v/>
      </c>
      <c r="H206" s="16" t="str">
        <f>IF(B206=0,"",COUNTIFS('Extração'!Q:Q,"Não",'Extração'!L:L,A206)/B206)</f>
        <v/>
      </c>
      <c r="I206" s="16" t="str">
        <f>IF(B206=0,"",COUNTIFS('Extração'!R:R,"Igual",'Extração'!L:L,A206)/B206)</f>
        <v/>
      </c>
    </row>
    <row r="207">
      <c r="B207" s="16">
        <f>COUNTIF('Extração'!L:L,A207)</f>
        <v>0</v>
      </c>
      <c r="C207" s="16" t="str">
        <f>IF(B207=0,"",COUNTIFS('Extração'!P:P,"Sim",'Extração'!L:L,A207)/B207)</f>
        <v/>
      </c>
      <c r="D207" s="16" t="str">
        <f>IF(B207=0,"",COUNTIFS('Extração'!Q:Q,"Sim",'Extração'!L:L,A207)/B207)</f>
        <v/>
      </c>
      <c r="E207" s="16" t="str">
        <f>IF(B207=0,"",COUNTIFS('Extração'!P:P,"Parcialmente",'Extração'!L:L,A207)/B207)</f>
        <v/>
      </c>
      <c r="F207" s="16" t="str">
        <f>IF(B207=0,"",COUNTIFS('Extração'!Q:Q,"Parcialmente",'Extração'!L:L,A207)/B207)</f>
        <v/>
      </c>
      <c r="G207" s="16" t="str">
        <f>IF(B207=0,"",COUNTIFS('Extração'!P:P,"Não",'Extração'!L:L,A207)/B207)</f>
        <v/>
      </c>
      <c r="H207" s="16" t="str">
        <f>IF(B207=0,"",COUNTIFS('Extração'!Q:Q,"Não",'Extração'!L:L,A207)/B207)</f>
        <v/>
      </c>
      <c r="I207" s="16" t="str">
        <f>IF(B207=0,"",COUNTIFS('Extração'!R:R,"Igual",'Extração'!L:L,A207)/B207)</f>
        <v/>
      </c>
    </row>
    <row r="208">
      <c r="B208" s="16">
        <f>COUNTIF('Extração'!L:L,A208)</f>
        <v>0</v>
      </c>
      <c r="C208" s="16" t="str">
        <f>IF(B208=0,"",COUNTIFS('Extração'!P:P,"Sim",'Extração'!L:L,A208)/B208)</f>
        <v/>
      </c>
      <c r="D208" s="16" t="str">
        <f>IF(B208=0,"",COUNTIFS('Extração'!Q:Q,"Sim",'Extração'!L:L,A208)/B208)</f>
        <v/>
      </c>
      <c r="E208" s="16" t="str">
        <f>IF(B208=0,"",COUNTIFS('Extração'!P:P,"Parcialmente",'Extração'!L:L,A208)/B208)</f>
        <v/>
      </c>
      <c r="F208" s="16" t="str">
        <f>IF(B208=0,"",COUNTIFS('Extração'!Q:Q,"Parcialmente",'Extração'!L:L,A208)/B208)</f>
        <v/>
      </c>
      <c r="G208" s="16" t="str">
        <f>IF(B208=0,"",COUNTIFS('Extração'!P:P,"Não",'Extração'!L:L,A208)/B208)</f>
        <v/>
      </c>
      <c r="H208" s="16" t="str">
        <f>IF(B208=0,"",COUNTIFS('Extração'!Q:Q,"Não",'Extração'!L:L,A208)/B208)</f>
        <v/>
      </c>
      <c r="I208" s="16" t="str">
        <f>IF(B208=0,"",COUNTIFS('Extração'!R:R,"Igual",'Extração'!L:L,A208)/B208)</f>
        <v/>
      </c>
    </row>
    <row r="209">
      <c r="B209" s="16">
        <f>COUNTIF('Extração'!L:L,A209)</f>
        <v>0</v>
      </c>
      <c r="C209" s="16" t="str">
        <f>IF(B209=0,"",COUNTIFS('Extração'!P:P,"Sim",'Extração'!L:L,A209)/B209)</f>
        <v/>
      </c>
      <c r="D209" s="16" t="str">
        <f>IF(B209=0,"",COUNTIFS('Extração'!Q:Q,"Sim",'Extração'!L:L,A209)/B209)</f>
        <v/>
      </c>
      <c r="E209" s="16" t="str">
        <f>IF(B209=0,"",COUNTIFS('Extração'!P:P,"Parcialmente",'Extração'!L:L,A209)/B209)</f>
        <v/>
      </c>
      <c r="F209" s="16" t="str">
        <f>IF(B209=0,"",COUNTIFS('Extração'!Q:Q,"Parcialmente",'Extração'!L:L,A209)/B209)</f>
        <v/>
      </c>
      <c r="G209" s="16" t="str">
        <f>IF(B209=0,"",COUNTIFS('Extração'!P:P,"Não",'Extração'!L:L,A209)/B209)</f>
        <v/>
      </c>
      <c r="H209" s="16" t="str">
        <f>IF(B209=0,"",COUNTIFS('Extração'!Q:Q,"Não",'Extração'!L:L,A209)/B209)</f>
        <v/>
      </c>
      <c r="I209" s="16" t="str">
        <f>IF(B209=0,"",COUNTIFS('Extração'!R:R,"Igual",'Extração'!L:L,A209)/B209)</f>
        <v/>
      </c>
    </row>
    <row r="210">
      <c r="B210" s="16">
        <f>COUNTIF('Extração'!L:L,A210)</f>
        <v>0</v>
      </c>
      <c r="C210" s="16" t="str">
        <f>IF(B210=0,"",COUNTIFS('Extração'!P:P,"Sim",'Extração'!L:L,A210)/B210)</f>
        <v/>
      </c>
      <c r="D210" s="16" t="str">
        <f>IF(B210=0,"",COUNTIFS('Extração'!Q:Q,"Sim",'Extração'!L:L,A210)/B210)</f>
        <v/>
      </c>
      <c r="E210" s="16" t="str">
        <f>IF(B210=0,"",COUNTIFS('Extração'!P:P,"Parcialmente",'Extração'!L:L,A210)/B210)</f>
        <v/>
      </c>
      <c r="F210" s="16" t="str">
        <f>IF(B210=0,"",COUNTIFS('Extração'!Q:Q,"Parcialmente",'Extração'!L:L,A210)/B210)</f>
        <v/>
      </c>
      <c r="G210" s="16" t="str">
        <f>IF(B210=0,"",COUNTIFS('Extração'!P:P,"Não",'Extração'!L:L,A210)/B210)</f>
        <v/>
      </c>
      <c r="H210" s="16" t="str">
        <f>IF(B210=0,"",COUNTIFS('Extração'!Q:Q,"Não",'Extração'!L:L,A210)/B210)</f>
        <v/>
      </c>
      <c r="I210" s="16" t="str">
        <f>IF(B210=0,"",COUNTIFS('Extração'!R:R,"Igual",'Extração'!L:L,A210)/B210)</f>
        <v/>
      </c>
    </row>
    <row r="211">
      <c r="B211" s="16">
        <f>COUNTIF('Extração'!L:L,A211)</f>
        <v>0</v>
      </c>
      <c r="C211" s="16" t="str">
        <f>IF(B211=0,"",COUNTIFS('Extração'!P:P,"Sim",'Extração'!L:L,A211)/B211)</f>
        <v/>
      </c>
      <c r="D211" s="16" t="str">
        <f>IF(B211=0,"",COUNTIFS('Extração'!Q:Q,"Sim",'Extração'!L:L,A211)/B211)</f>
        <v/>
      </c>
      <c r="E211" s="16" t="str">
        <f>IF(B211=0,"",COUNTIFS('Extração'!P:P,"Parcialmente",'Extração'!L:L,A211)/B211)</f>
        <v/>
      </c>
      <c r="F211" s="16" t="str">
        <f>IF(B211=0,"",COUNTIFS('Extração'!Q:Q,"Parcialmente",'Extração'!L:L,A211)/B211)</f>
        <v/>
      </c>
      <c r="G211" s="16" t="str">
        <f>IF(B211=0,"",COUNTIFS('Extração'!P:P,"Não",'Extração'!L:L,A211)/B211)</f>
        <v/>
      </c>
      <c r="H211" s="16" t="str">
        <f>IF(B211=0,"",COUNTIFS('Extração'!Q:Q,"Não",'Extração'!L:L,A211)/B211)</f>
        <v/>
      </c>
      <c r="I211" s="16" t="str">
        <f>IF(B211=0,"",COUNTIFS('Extração'!R:R,"Igual",'Extração'!L:L,A211)/B211)</f>
        <v/>
      </c>
    </row>
    <row r="212">
      <c r="B212" s="16">
        <f>COUNTIF('Extração'!L:L,A212)</f>
        <v>0</v>
      </c>
      <c r="C212" s="16" t="str">
        <f>IF(B212=0,"",COUNTIFS('Extração'!P:P,"Sim",'Extração'!L:L,A212)/B212)</f>
        <v/>
      </c>
      <c r="D212" s="16" t="str">
        <f>IF(B212=0,"",COUNTIFS('Extração'!Q:Q,"Sim",'Extração'!L:L,A212)/B212)</f>
        <v/>
      </c>
      <c r="E212" s="16" t="str">
        <f>IF(B212=0,"",COUNTIFS('Extração'!P:P,"Parcialmente",'Extração'!L:L,A212)/B212)</f>
        <v/>
      </c>
      <c r="F212" s="16" t="str">
        <f>IF(B212=0,"",COUNTIFS('Extração'!Q:Q,"Parcialmente",'Extração'!L:L,A212)/B212)</f>
        <v/>
      </c>
      <c r="G212" s="16" t="str">
        <f>IF(B212=0,"",COUNTIFS('Extração'!P:P,"Não",'Extração'!L:L,A212)/B212)</f>
        <v/>
      </c>
      <c r="H212" s="16" t="str">
        <f>IF(B212=0,"",COUNTIFS('Extração'!Q:Q,"Não",'Extração'!L:L,A212)/B212)</f>
        <v/>
      </c>
      <c r="I212" s="16" t="str">
        <f>IF(B212=0,"",COUNTIFS('Extração'!R:R,"Igual",'Extração'!L:L,A212)/B212)</f>
        <v/>
      </c>
    </row>
    <row r="213">
      <c r="B213" s="16">
        <f>COUNTIF('Extração'!L:L,A213)</f>
        <v>0</v>
      </c>
      <c r="C213" s="16" t="str">
        <f>IF(B213=0,"",COUNTIFS('Extração'!P:P,"Sim",'Extração'!L:L,A213)/B213)</f>
        <v/>
      </c>
      <c r="D213" s="16" t="str">
        <f>IF(B213=0,"",COUNTIFS('Extração'!Q:Q,"Sim",'Extração'!L:L,A213)/B213)</f>
        <v/>
      </c>
      <c r="E213" s="16" t="str">
        <f>IF(B213=0,"",COUNTIFS('Extração'!P:P,"Parcialmente",'Extração'!L:L,A213)/B213)</f>
        <v/>
      </c>
      <c r="F213" s="16" t="str">
        <f>IF(B213=0,"",COUNTIFS('Extração'!Q:Q,"Parcialmente",'Extração'!L:L,A213)/B213)</f>
        <v/>
      </c>
      <c r="G213" s="16" t="str">
        <f>IF(B213=0,"",COUNTIFS('Extração'!P:P,"Não",'Extração'!L:L,A213)/B213)</f>
        <v/>
      </c>
      <c r="H213" s="16" t="str">
        <f>IF(B213=0,"",COUNTIFS('Extração'!Q:Q,"Não",'Extração'!L:L,A213)/B213)</f>
        <v/>
      </c>
      <c r="I213" s="16" t="str">
        <f>IF(B213=0,"",COUNTIFS('Extração'!R:R,"Igual",'Extração'!L:L,A213)/B213)</f>
        <v/>
      </c>
    </row>
    <row r="214">
      <c r="B214" s="16">
        <f>COUNTIF('Extração'!L:L,A214)</f>
        <v>0</v>
      </c>
      <c r="C214" s="16" t="str">
        <f>IF(B214=0,"",COUNTIFS('Extração'!P:P,"Sim",'Extração'!L:L,A214)/B214)</f>
        <v/>
      </c>
      <c r="D214" s="16" t="str">
        <f>IF(B214=0,"",COUNTIFS('Extração'!Q:Q,"Sim",'Extração'!L:L,A214)/B214)</f>
        <v/>
      </c>
      <c r="E214" s="16" t="str">
        <f>IF(B214=0,"",COUNTIFS('Extração'!P:P,"Parcialmente",'Extração'!L:L,A214)/B214)</f>
        <v/>
      </c>
      <c r="F214" s="16" t="str">
        <f>IF(B214=0,"",COUNTIFS('Extração'!Q:Q,"Parcialmente",'Extração'!L:L,A214)/B214)</f>
        <v/>
      </c>
      <c r="G214" s="16" t="str">
        <f>IF(B214=0,"",COUNTIFS('Extração'!P:P,"Não",'Extração'!L:L,A214)/B214)</f>
        <v/>
      </c>
      <c r="H214" s="16" t="str">
        <f>IF(B214=0,"",COUNTIFS('Extração'!Q:Q,"Não",'Extração'!L:L,A214)/B214)</f>
        <v/>
      </c>
      <c r="I214" s="16" t="str">
        <f>IF(B214=0,"",COUNTIFS('Extração'!R:R,"Igual",'Extração'!L:L,A214)/B214)</f>
        <v/>
      </c>
    </row>
    <row r="215">
      <c r="B215" s="16">
        <f>COUNTIF('Extração'!L:L,A215)</f>
        <v>0</v>
      </c>
      <c r="C215" s="16" t="str">
        <f>IF(B215=0,"",COUNTIFS('Extração'!P:P,"Sim",'Extração'!L:L,A215)/B215)</f>
        <v/>
      </c>
      <c r="D215" s="16" t="str">
        <f>IF(B215=0,"",COUNTIFS('Extração'!Q:Q,"Sim",'Extração'!L:L,A215)/B215)</f>
        <v/>
      </c>
      <c r="E215" s="16" t="str">
        <f>IF(B215=0,"",COUNTIFS('Extração'!P:P,"Parcialmente",'Extração'!L:L,A215)/B215)</f>
        <v/>
      </c>
      <c r="F215" s="16" t="str">
        <f>IF(B215=0,"",COUNTIFS('Extração'!Q:Q,"Parcialmente",'Extração'!L:L,A215)/B215)</f>
        <v/>
      </c>
      <c r="G215" s="16" t="str">
        <f>IF(B215=0,"",COUNTIFS('Extração'!P:P,"Não",'Extração'!L:L,A215)/B215)</f>
        <v/>
      </c>
      <c r="H215" s="16" t="str">
        <f>IF(B215=0,"",COUNTIFS('Extração'!Q:Q,"Não",'Extração'!L:L,A215)/B215)</f>
        <v/>
      </c>
      <c r="I215" s="16" t="str">
        <f>IF(B215=0,"",COUNTIFS('Extração'!R:R,"Igual",'Extração'!L:L,A215)/B215)</f>
        <v/>
      </c>
    </row>
    <row r="216">
      <c r="B216" s="16">
        <f>COUNTIF('Extração'!L:L,A216)</f>
        <v>0</v>
      </c>
      <c r="C216" s="16" t="str">
        <f>IF(B216=0,"",COUNTIFS('Extração'!P:P,"Sim",'Extração'!L:L,A216)/B216)</f>
        <v/>
      </c>
      <c r="D216" s="16" t="str">
        <f>IF(B216=0,"",COUNTIFS('Extração'!Q:Q,"Sim",'Extração'!L:L,A216)/B216)</f>
        <v/>
      </c>
      <c r="E216" s="16" t="str">
        <f>IF(B216=0,"",COUNTIFS('Extração'!P:P,"Parcialmente",'Extração'!L:L,A216)/B216)</f>
        <v/>
      </c>
      <c r="F216" s="16" t="str">
        <f>IF(B216=0,"",COUNTIFS('Extração'!Q:Q,"Parcialmente",'Extração'!L:L,A216)/B216)</f>
        <v/>
      </c>
      <c r="G216" s="16" t="str">
        <f>IF(B216=0,"",COUNTIFS('Extração'!P:P,"Não",'Extração'!L:L,A216)/B216)</f>
        <v/>
      </c>
      <c r="H216" s="16" t="str">
        <f>IF(B216=0,"",COUNTIFS('Extração'!Q:Q,"Não",'Extração'!L:L,A216)/B216)</f>
        <v/>
      </c>
      <c r="I216" s="16" t="str">
        <f>IF(B216=0,"",COUNTIFS('Extração'!R:R,"Igual",'Extração'!L:L,A216)/B216)</f>
        <v/>
      </c>
    </row>
    <row r="217">
      <c r="B217" s="16">
        <f>COUNTIF('Extração'!L:L,A217)</f>
        <v>0</v>
      </c>
      <c r="C217" s="16" t="str">
        <f>IF(B217=0,"",COUNTIFS('Extração'!P:P,"Sim",'Extração'!L:L,A217)/B217)</f>
        <v/>
      </c>
      <c r="D217" s="16" t="str">
        <f>IF(B217=0,"",COUNTIFS('Extração'!Q:Q,"Sim",'Extração'!L:L,A217)/B217)</f>
        <v/>
      </c>
      <c r="E217" s="16" t="str">
        <f>IF(B217=0,"",COUNTIFS('Extração'!P:P,"Parcialmente",'Extração'!L:L,A217)/B217)</f>
        <v/>
      </c>
      <c r="F217" s="16" t="str">
        <f>IF(B217=0,"",COUNTIFS('Extração'!Q:Q,"Parcialmente",'Extração'!L:L,A217)/B217)</f>
        <v/>
      </c>
      <c r="G217" s="16" t="str">
        <f>IF(B217=0,"",COUNTIFS('Extração'!P:P,"Não",'Extração'!L:L,A217)/B217)</f>
        <v/>
      </c>
      <c r="H217" s="16" t="str">
        <f>IF(B217=0,"",COUNTIFS('Extração'!Q:Q,"Não",'Extração'!L:L,A217)/B217)</f>
        <v/>
      </c>
      <c r="I217" s="16" t="str">
        <f>IF(B217=0,"",COUNTIFS('Extração'!R:R,"Igual",'Extração'!L:L,A217)/B217)</f>
        <v/>
      </c>
    </row>
    <row r="218">
      <c r="B218" s="16">
        <f>COUNTIF('Extração'!L:L,A218)</f>
        <v>0</v>
      </c>
      <c r="C218" s="16" t="str">
        <f>IF(B218=0,"",COUNTIFS('Extração'!P:P,"Sim",'Extração'!L:L,A218)/B218)</f>
        <v/>
      </c>
      <c r="D218" s="16" t="str">
        <f>IF(B218=0,"",COUNTIFS('Extração'!Q:Q,"Sim",'Extração'!L:L,A218)/B218)</f>
        <v/>
      </c>
      <c r="E218" s="16" t="str">
        <f>IF(B218=0,"",COUNTIFS('Extração'!P:P,"Parcialmente",'Extração'!L:L,A218)/B218)</f>
        <v/>
      </c>
      <c r="F218" s="16" t="str">
        <f>IF(B218=0,"",COUNTIFS('Extração'!Q:Q,"Parcialmente",'Extração'!L:L,A218)/B218)</f>
        <v/>
      </c>
      <c r="G218" s="16" t="str">
        <f>IF(B218=0,"",COUNTIFS('Extração'!P:P,"Não",'Extração'!L:L,A218)/B218)</f>
        <v/>
      </c>
      <c r="H218" s="16" t="str">
        <f>IF(B218=0,"",COUNTIFS('Extração'!Q:Q,"Não",'Extração'!L:L,A218)/B218)</f>
        <v/>
      </c>
      <c r="I218" s="16" t="str">
        <f>IF(B218=0,"",COUNTIFS('Extração'!R:R,"Igual",'Extração'!L:L,A218)/B218)</f>
        <v/>
      </c>
    </row>
    <row r="219">
      <c r="B219" s="16">
        <f>COUNTIF('Extração'!L:L,A219)</f>
        <v>0</v>
      </c>
      <c r="C219" s="16" t="str">
        <f>IF(B219=0,"",COUNTIFS('Extração'!P:P,"Sim",'Extração'!L:L,A219)/B219)</f>
        <v/>
      </c>
      <c r="D219" s="16" t="str">
        <f>IF(B219=0,"",COUNTIFS('Extração'!Q:Q,"Sim",'Extração'!L:L,A219)/B219)</f>
        <v/>
      </c>
      <c r="E219" s="16" t="str">
        <f>IF(B219=0,"",COUNTIFS('Extração'!P:P,"Parcialmente",'Extração'!L:L,A219)/B219)</f>
        <v/>
      </c>
      <c r="F219" s="16" t="str">
        <f>IF(B219=0,"",COUNTIFS('Extração'!Q:Q,"Parcialmente",'Extração'!L:L,A219)/B219)</f>
        <v/>
      </c>
      <c r="G219" s="16" t="str">
        <f>IF(B219=0,"",COUNTIFS('Extração'!P:P,"Não",'Extração'!L:L,A219)/B219)</f>
        <v/>
      </c>
      <c r="H219" s="16" t="str">
        <f>IF(B219=0,"",COUNTIFS('Extração'!Q:Q,"Não",'Extração'!L:L,A219)/B219)</f>
        <v/>
      </c>
      <c r="I219" s="16" t="str">
        <f>IF(B219=0,"",COUNTIFS('Extração'!R:R,"Igual",'Extração'!L:L,A219)/B219)</f>
        <v/>
      </c>
    </row>
    <row r="220">
      <c r="B220" s="16">
        <f>COUNTIF('Extração'!L:L,A220)</f>
        <v>0</v>
      </c>
      <c r="C220" s="16" t="str">
        <f>IF(B220=0,"",COUNTIFS('Extração'!P:P,"Sim",'Extração'!L:L,A220)/B220)</f>
        <v/>
      </c>
      <c r="D220" s="16" t="str">
        <f>IF(B220=0,"",COUNTIFS('Extração'!Q:Q,"Sim",'Extração'!L:L,A220)/B220)</f>
        <v/>
      </c>
      <c r="E220" s="16" t="str">
        <f>IF(B220=0,"",COUNTIFS('Extração'!P:P,"Parcialmente",'Extração'!L:L,A220)/B220)</f>
        <v/>
      </c>
      <c r="F220" s="16" t="str">
        <f>IF(B220=0,"",COUNTIFS('Extração'!Q:Q,"Parcialmente",'Extração'!L:L,A220)/B220)</f>
        <v/>
      </c>
      <c r="G220" s="16" t="str">
        <f>IF(B220=0,"",COUNTIFS('Extração'!P:P,"Não",'Extração'!L:L,A220)/B220)</f>
        <v/>
      </c>
      <c r="H220" s="16" t="str">
        <f>IF(B220=0,"",COUNTIFS('Extração'!Q:Q,"Não",'Extração'!L:L,A220)/B220)</f>
        <v/>
      </c>
      <c r="I220" s="16" t="str">
        <f>IF(B220=0,"",COUNTIFS('Extração'!R:R,"Igual",'Extração'!L:L,A220)/B220)</f>
        <v/>
      </c>
    </row>
    <row r="221">
      <c r="B221" s="16">
        <f>COUNTIF('Extração'!L:L,A221)</f>
        <v>0</v>
      </c>
      <c r="C221" s="16" t="str">
        <f>IF(B221=0,"",COUNTIFS('Extração'!P:P,"Sim",'Extração'!L:L,A221)/B221)</f>
        <v/>
      </c>
      <c r="D221" s="16" t="str">
        <f>IF(B221=0,"",COUNTIFS('Extração'!Q:Q,"Sim",'Extração'!L:L,A221)/B221)</f>
        <v/>
      </c>
      <c r="E221" s="16" t="str">
        <f>IF(B221=0,"",COUNTIFS('Extração'!P:P,"Parcialmente",'Extração'!L:L,A221)/B221)</f>
        <v/>
      </c>
      <c r="F221" s="16" t="str">
        <f>IF(B221=0,"",COUNTIFS('Extração'!Q:Q,"Parcialmente",'Extração'!L:L,A221)/B221)</f>
        <v/>
      </c>
      <c r="G221" s="16" t="str">
        <f>IF(B221=0,"",COUNTIFS('Extração'!P:P,"Não",'Extração'!L:L,A221)/B221)</f>
        <v/>
      </c>
      <c r="H221" s="16" t="str">
        <f>IF(B221=0,"",COUNTIFS('Extração'!Q:Q,"Não",'Extração'!L:L,A221)/B221)</f>
        <v/>
      </c>
      <c r="I221" s="16" t="str">
        <f>IF(B221=0,"",COUNTIFS('Extração'!R:R,"Igual",'Extração'!L:L,A221)/B221)</f>
        <v/>
      </c>
    </row>
    <row r="222">
      <c r="B222" s="16">
        <f>COUNTIF('Extração'!L:L,A222)</f>
        <v>0</v>
      </c>
      <c r="C222" s="16" t="str">
        <f>IF(B222=0,"",COUNTIFS('Extração'!P:P,"Sim",'Extração'!L:L,A222)/B222)</f>
        <v/>
      </c>
      <c r="D222" s="16" t="str">
        <f>IF(B222=0,"",COUNTIFS('Extração'!Q:Q,"Sim",'Extração'!L:L,A222)/B222)</f>
        <v/>
      </c>
      <c r="E222" s="16" t="str">
        <f>IF(B222=0,"",COUNTIFS('Extração'!P:P,"Parcialmente",'Extração'!L:L,A222)/B222)</f>
        <v/>
      </c>
      <c r="F222" s="16" t="str">
        <f>IF(B222=0,"",COUNTIFS('Extração'!Q:Q,"Parcialmente",'Extração'!L:L,A222)/B222)</f>
        <v/>
      </c>
      <c r="G222" s="16" t="str">
        <f>IF(B222=0,"",COUNTIFS('Extração'!P:P,"Não",'Extração'!L:L,A222)/B222)</f>
        <v/>
      </c>
      <c r="H222" s="16" t="str">
        <f>IF(B222=0,"",COUNTIFS('Extração'!Q:Q,"Não",'Extração'!L:L,A222)/B222)</f>
        <v/>
      </c>
      <c r="I222" s="16" t="str">
        <f>IF(B222=0,"",COUNTIFS('Extração'!R:R,"Igual",'Extração'!L:L,A222)/B222)</f>
        <v/>
      </c>
    </row>
    <row r="223">
      <c r="B223" s="16">
        <f>COUNTIF('Extração'!L:L,A223)</f>
        <v>0</v>
      </c>
      <c r="C223" s="16" t="str">
        <f>IF(B223=0,"",COUNTIFS('Extração'!P:P,"Sim",'Extração'!L:L,A223)/B223)</f>
        <v/>
      </c>
      <c r="D223" s="16" t="str">
        <f>IF(B223=0,"",COUNTIFS('Extração'!Q:Q,"Sim",'Extração'!L:L,A223)/B223)</f>
        <v/>
      </c>
      <c r="E223" s="16" t="str">
        <f>IF(B223=0,"",COUNTIFS('Extração'!P:P,"Parcialmente",'Extração'!L:L,A223)/B223)</f>
        <v/>
      </c>
      <c r="F223" s="16" t="str">
        <f>IF(B223=0,"",COUNTIFS('Extração'!Q:Q,"Parcialmente",'Extração'!L:L,A223)/B223)</f>
        <v/>
      </c>
      <c r="G223" s="16" t="str">
        <f>IF(B223=0,"",COUNTIFS('Extração'!P:P,"Não",'Extração'!L:L,A223)/B223)</f>
        <v/>
      </c>
      <c r="H223" s="16" t="str">
        <f>IF(B223=0,"",COUNTIFS('Extração'!Q:Q,"Não",'Extração'!L:L,A223)/B223)</f>
        <v/>
      </c>
      <c r="I223" s="16" t="str">
        <f>IF(B223=0,"",COUNTIFS('Extração'!R:R,"Igual",'Extração'!L:L,A223)/B223)</f>
        <v/>
      </c>
    </row>
    <row r="224">
      <c r="B224" s="16">
        <f>COUNTIF('Extração'!L:L,A224)</f>
        <v>0</v>
      </c>
      <c r="C224" s="16" t="str">
        <f>IF(B224=0,"",COUNTIFS('Extração'!P:P,"Sim",'Extração'!L:L,A224)/B224)</f>
        <v/>
      </c>
      <c r="D224" s="16" t="str">
        <f>IF(B224=0,"",COUNTIFS('Extração'!Q:Q,"Sim",'Extração'!L:L,A224)/B224)</f>
        <v/>
      </c>
      <c r="E224" s="16" t="str">
        <f>IF(B224=0,"",COUNTIFS('Extração'!P:P,"Parcialmente",'Extração'!L:L,A224)/B224)</f>
        <v/>
      </c>
      <c r="F224" s="16" t="str">
        <f>IF(B224=0,"",COUNTIFS('Extração'!Q:Q,"Parcialmente",'Extração'!L:L,A224)/B224)</f>
        <v/>
      </c>
      <c r="G224" s="16" t="str">
        <f>IF(B224=0,"",COUNTIFS('Extração'!P:P,"Não",'Extração'!L:L,A224)/B224)</f>
        <v/>
      </c>
      <c r="H224" s="16" t="str">
        <f>IF(B224=0,"",COUNTIFS('Extração'!Q:Q,"Não",'Extração'!L:L,A224)/B224)</f>
        <v/>
      </c>
      <c r="I224" s="16" t="str">
        <f>IF(B224=0,"",COUNTIFS('Extração'!R:R,"Igual",'Extração'!L:L,A224)/B224)</f>
        <v/>
      </c>
    </row>
    <row r="225">
      <c r="B225" s="16">
        <f>COUNTIF('Extração'!L:L,A225)</f>
        <v>0</v>
      </c>
      <c r="C225" s="16" t="str">
        <f>IF(B225=0,"",COUNTIFS('Extração'!P:P,"Sim",'Extração'!L:L,A225)/B225)</f>
        <v/>
      </c>
      <c r="D225" s="16" t="str">
        <f>IF(B225=0,"",COUNTIFS('Extração'!Q:Q,"Sim",'Extração'!L:L,A225)/B225)</f>
        <v/>
      </c>
      <c r="E225" s="16" t="str">
        <f>IF(B225=0,"",COUNTIFS('Extração'!P:P,"Parcialmente",'Extração'!L:L,A225)/B225)</f>
        <v/>
      </c>
      <c r="F225" s="16" t="str">
        <f>IF(B225=0,"",COUNTIFS('Extração'!Q:Q,"Parcialmente",'Extração'!L:L,A225)/B225)</f>
        <v/>
      </c>
      <c r="G225" s="16" t="str">
        <f>IF(B225=0,"",COUNTIFS('Extração'!P:P,"Não",'Extração'!L:L,A225)/B225)</f>
        <v/>
      </c>
      <c r="H225" s="16" t="str">
        <f>IF(B225=0,"",COUNTIFS('Extração'!Q:Q,"Não",'Extração'!L:L,A225)/B225)</f>
        <v/>
      </c>
      <c r="I225" s="16" t="str">
        <f>IF(B225=0,"",COUNTIFS('Extração'!R:R,"Igual",'Extração'!L:L,A225)/B225)</f>
        <v/>
      </c>
    </row>
    <row r="226">
      <c r="B226" s="16">
        <f>COUNTIF('Extração'!L:L,A226)</f>
        <v>0</v>
      </c>
      <c r="C226" s="16" t="str">
        <f>IF(B226=0,"",COUNTIFS('Extração'!P:P,"Sim",'Extração'!L:L,A226)/B226)</f>
        <v/>
      </c>
      <c r="D226" s="16" t="str">
        <f>IF(B226=0,"",COUNTIFS('Extração'!Q:Q,"Sim",'Extração'!L:L,A226)/B226)</f>
        <v/>
      </c>
      <c r="E226" s="16" t="str">
        <f>IF(B226=0,"",COUNTIFS('Extração'!P:P,"Parcialmente",'Extração'!L:L,A226)/B226)</f>
        <v/>
      </c>
      <c r="F226" s="16" t="str">
        <f>IF(B226=0,"",COUNTIFS('Extração'!Q:Q,"Parcialmente",'Extração'!L:L,A226)/B226)</f>
        <v/>
      </c>
      <c r="G226" s="16" t="str">
        <f>IF(B226=0,"",COUNTIFS('Extração'!P:P,"Não",'Extração'!L:L,A226)/B226)</f>
        <v/>
      </c>
      <c r="H226" s="16" t="str">
        <f>IF(B226=0,"",COUNTIFS('Extração'!Q:Q,"Não",'Extração'!L:L,A226)/B226)</f>
        <v/>
      </c>
      <c r="I226" s="16" t="str">
        <f>IF(B226=0,"",COUNTIFS('Extração'!R:R,"Igual",'Extração'!L:L,A226)/B226)</f>
        <v/>
      </c>
    </row>
    <row r="227">
      <c r="B227" s="16">
        <f>COUNTIF('Extração'!L:L,A227)</f>
        <v>0</v>
      </c>
      <c r="C227" s="16" t="str">
        <f>IF(B227=0,"",COUNTIFS('Extração'!P:P,"Sim",'Extração'!L:L,A227)/B227)</f>
        <v/>
      </c>
      <c r="D227" s="16" t="str">
        <f>IF(B227=0,"",COUNTIFS('Extração'!Q:Q,"Sim",'Extração'!L:L,A227)/B227)</f>
        <v/>
      </c>
      <c r="E227" s="16" t="str">
        <f>IF(B227=0,"",COUNTIFS('Extração'!P:P,"Parcialmente",'Extração'!L:L,A227)/B227)</f>
        <v/>
      </c>
      <c r="F227" s="16" t="str">
        <f>IF(B227=0,"",COUNTIFS('Extração'!Q:Q,"Parcialmente",'Extração'!L:L,A227)/B227)</f>
        <v/>
      </c>
      <c r="G227" s="16" t="str">
        <f>IF(B227=0,"",COUNTIFS('Extração'!P:P,"Não",'Extração'!L:L,A227)/B227)</f>
        <v/>
      </c>
      <c r="H227" s="16" t="str">
        <f>IF(B227=0,"",COUNTIFS('Extração'!Q:Q,"Não",'Extração'!L:L,A227)/B227)</f>
        <v/>
      </c>
      <c r="I227" s="16" t="str">
        <f>IF(B227=0,"",COUNTIFS('Extração'!R:R,"Igual",'Extração'!L:L,A227)/B227)</f>
        <v/>
      </c>
    </row>
    <row r="228">
      <c r="B228" s="16">
        <f>COUNTIF('Extração'!L:L,A228)</f>
        <v>0</v>
      </c>
      <c r="C228" s="16" t="str">
        <f>IF(B228=0,"",COUNTIFS('Extração'!P:P,"Sim",'Extração'!L:L,A228)/B228)</f>
        <v/>
      </c>
      <c r="D228" s="16" t="str">
        <f>IF(B228=0,"",COUNTIFS('Extração'!Q:Q,"Sim",'Extração'!L:L,A228)/B228)</f>
        <v/>
      </c>
      <c r="E228" s="16" t="str">
        <f>IF(B228=0,"",COUNTIFS('Extração'!P:P,"Parcialmente",'Extração'!L:L,A228)/B228)</f>
        <v/>
      </c>
      <c r="F228" s="16" t="str">
        <f>IF(B228=0,"",COUNTIFS('Extração'!Q:Q,"Parcialmente",'Extração'!L:L,A228)/B228)</f>
        <v/>
      </c>
      <c r="G228" s="16" t="str">
        <f>IF(B228=0,"",COUNTIFS('Extração'!P:P,"Não",'Extração'!L:L,A228)/B228)</f>
        <v/>
      </c>
      <c r="H228" s="16" t="str">
        <f>IF(B228=0,"",COUNTIFS('Extração'!Q:Q,"Não",'Extração'!L:L,A228)/B228)</f>
        <v/>
      </c>
      <c r="I228" s="16" t="str">
        <f>IF(B228=0,"",COUNTIFS('Extração'!R:R,"Igual",'Extração'!L:L,A228)/B228)</f>
        <v/>
      </c>
    </row>
    <row r="229">
      <c r="B229" s="16">
        <f>COUNTIF('Extração'!L:L,A229)</f>
        <v>0</v>
      </c>
      <c r="C229" s="16" t="str">
        <f>IF(B229=0,"",COUNTIFS('Extração'!P:P,"Sim",'Extração'!L:L,A229)/B229)</f>
        <v/>
      </c>
      <c r="D229" s="16" t="str">
        <f>IF(B229=0,"",COUNTIFS('Extração'!Q:Q,"Sim",'Extração'!L:L,A229)/B229)</f>
        <v/>
      </c>
      <c r="E229" s="16" t="str">
        <f>IF(B229=0,"",COUNTIFS('Extração'!P:P,"Parcialmente",'Extração'!L:L,A229)/B229)</f>
        <v/>
      </c>
      <c r="F229" s="16" t="str">
        <f>IF(B229=0,"",COUNTIFS('Extração'!Q:Q,"Parcialmente",'Extração'!L:L,A229)/B229)</f>
        <v/>
      </c>
      <c r="G229" s="16" t="str">
        <f>IF(B229=0,"",COUNTIFS('Extração'!P:P,"Não",'Extração'!L:L,A229)/B229)</f>
        <v/>
      </c>
      <c r="H229" s="16" t="str">
        <f>IF(B229=0,"",COUNTIFS('Extração'!Q:Q,"Não",'Extração'!L:L,A229)/B229)</f>
        <v/>
      </c>
      <c r="I229" s="16" t="str">
        <f>IF(B229=0,"",COUNTIFS('Extração'!R:R,"Igual",'Extração'!L:L,A229)/B229)</f>
        <v/>
      </c>
    </row>
    <row r="230">
      <c r="B230" s="16">
        <f>COUNTIF('Extração'!L:L,A230)</f>
        <v>0</v>
      </c>
      <c r="C230" s="16" t="str">
        <f>IF(B230=0,"",COUNTIFS('Extração'!P:P,"Sim",'Extração'!L:L,A230)/B230)</f>
        <v/>
      </c>
      <c r="D230" s="16" t="str">
        <f>IF(B230=0,"",COUNTIFS('Extração'!Q:Q,"Sim",'Extração'!L:L,A230)/B230)</f>
        <v/>
      </c>
      <c r="E230" s="16" t="str">
        <f>IF(B230=0,"",COUNTIFS('Extração'!P:P,"Parcialmente",'Extração'!L:L,A230)/B230)</f>
        <v/>
      </c>
      <c r="F230" s="16" t="str">
        <f>IF(B230=0,"",COUNTIFS('Extração'!Q:Q,"Parcialmente",'Extração'!L:L,A230)/B230)</f>
        <v/>
      </c>
      <c r="G230" s="16" t="str">
        <f>IF(B230=0,"",COUNTIFS('Extração'!P:P,"Não",'Extração'!L:L,A230)/B230)</f>
        <v/>
      </c>
      <c r="H230" s="16" t="str">
        <f>IF(B230=0,"",COUNTIFS('Extração'!Q:Q,"Não",'Extração'!L:L,A230)/B230)</f>
        <v/>
      </c>
      <c r="I230" s="16" t="str">
        <f>IF(B230=0,"",COUNTIFS('Extração'!R:R,"Igual",'Extração'!L:L,A230)/B230)</f>
        <v/>
      </c>
    </row>
    <row r="231">
      <c r="B231" s="16">
        <f>COUNTIF('Extração'!L:L,A231)</f>
        <v>0</v>
      </c>
      <c r="C231" s="16" t="str">
        <f>IF(B231=0,"",COUNTIFS('Extração'!P:P,"Sim",'Extração'!L:L,A231)/B231)</f>
        <v/>
      </c>
      <c r="D231" s="16" t="str">
        <f>IF(B231=0,"",COUNTIFS('Extração'!Q:Q,"Sim",'Extração'!L:L,A231)/B231)</f>
        <v/>
      </c>
      <c r="E231" s="16" t="str">
        <f>IF(B231=0,"",COUNTIFS('Extração'!P:P,"Parcialmente",'Extração'!L:L,A231)/B231)</f>
        <v/>
      </c>
      <c r="F231" s="16" t="str">
        <f>IF(B231=0,"",COUNTIFS('Extração'!Q:Q,"Parcialmente",'Extração'!L:L,A231)/B231)</f>
        <v/>
      </c>
      <c r="G231" s="16" t="str">
        <f>IF(B231=0,"",COUNTIFS('Extração'!P:P,"Não",'Extração'!L:L,A231)/B231)</f>
        <v/>
      </c>
      <c r="H231" s="16" t="str">
        <f>IF(B231=0,"",COUNTIFS('Extração'!Q:Q,"Não",'Extração'!L:L,A231)/B231)</f>
        <v/>
      </c>
      <c r="I231" s="16" t="str">
        <f>IF(B231=0,"",COUNTIFS('Extração'!R:R,"Igual",'Extração'!L:L,A231)/B231)</f>
        <v/>
      </c>
    </row>
    <row r="232">
      <c r="B232" s="16">
        <f>COUNTIF('Extração'!L:L,A232)</f>
        <v>0</v>
      </c>
      <c r="C232" s="16" t="str">
        <f>IF(B232=0,"",COUNTIFS('Extração'!P:P,"Sim",'Extração'!L:L,A232)/B232)</f>
        <v/>
      </c>
      <c r="D232" s="16" t="str">
        <f>IF(B232=0,"",COUNTIFS('Extração'!Q:Q,"Sim",'Extração'!L:L,A232)/B232)</f>
        <v/>
      </c>
      <c r="E232" s="16" t="str">
        <f>IF(B232=0,"",COUNTIFS('Extração'!P:P,"Parcialmente",'Extração'!L:L,A232)/B232)</f>
        <v/>
      </c>
      <c r="F232" s="16" t="str">
        <f>IF(B232=0,"",COUNTIFS('Extração'!Q:Q,"Parcialmente",'Extração'!L:L,A232)/B232)</f>
        <v/>
      </c>
      <c r="G232" s="16" t="str">
        <f>IF(B232=0,"",COUNTIFS('Extração'!P:P,"Não",'Extração'!L:L,A232)/B232)</f>
        <v/>
      </c>
      <c r="H232" s="16" t="str">
        <f>IF(B232=0,"",COUNTIFS('Extração'!Q:Q,"Não",'Extração'!L:L,A232)/B232)</f>
        <v/>
      </c>
      <c r="I232" s="16" t="str">
        <f>IF(B232=0,"",COUNTIFS('Extração'!R:R,"Igual",'Extração'!L:L,A232)/B232)</f>
        <v/>
      </c>
    </row>
    <row r="233">
      <c r="B233" s="16">
        <f>COUNTIF('Extração'!L:L,A233)</f>
        <v>0</v>
      </c>
      <c r="C233" s="16" t="str">
        <f>IF(B233=0,"",COUNTIFS('Extração'!P:P,"Sim",'Extração'!L:L,A233)/B233)</f>
        <v/>
      </c>
      <c r="D233" s="16" t="str">
        <f>IF(B233=0,"",COUNTIFS('Extração'!Q:Q,"Sim",'Extração'!L:L,A233)/B233)</f>
        <v/>
      </c>
      <c r="E233" s="16" t="str">
        <f>IF(B233=0,"",COUNTIFS('Extração'!P:P,"Parcialmente",'Extração'!L:L,A233)/B233)</f>
        <v/>
      </c>
      <c r="F233" s="16" t="str">
        <f>IF(B233=0,"",COUNTIFS('Extração'!Q:Q,"Parcialmente",'Extração'!L:L,A233)/B233)</f>
        <v/>
      </c>
      <c r="G233" s="16" t="str">
        <f>IF(B233=0,"",COUNTIFS('Extração'!P:P,"Não",'Extração'!L:L,A233)/B233)</f>
        <v/>
      </c>
      <c r="H233" s="16" t="str">
        <f>IF(B233=0,"",COUNTIFS('Extração'!Q:Q,"Não",'Extração'!L:L,A233)/B233)</f>
        <v/>
      </c>
      <c r="I233" s="16" t="str">
        <f>IF(B233=0,"",COUNTIFS('Extração'!R:R,"Igual",'Extração'!L:L,A233)/B233)</f>
        <v/>
      </c>
    </row>
    <row r="234">
      <c r="B234" s="16">
        <f>COUNTIF('Extração'!L:L,A234)</f>
        <v>0</v>
      </c>
      <c r="C234" s="16" t="str">
        <f>IF(B234=0,"",COUNTIFS('Extração'!P:P,"Sim",'Extração'!L:L,A234)/B234)</f>
        <v/>
      </c>
      <c r="D234" s="16" t="str">
        <f>IF(B234=0,"",COUNTIFS('Extração'!Q:Q,"Sim",'Extração'!L:L,A234)/B234)</f>
        <v/>
      </c>
      <c r="E234" s="16" t="str">
        <f>IF(B234=0,"",COUNTIFS('Extração'!P:P,"Parcialmente",'Extração'!L:L,A234)/B234)</f>
        <v/>
      </c>
      <c r="F234" s="16" t="str">
        <f>IF(B234=0,"",COUNTIFS('Extração'!Q:Q,"Parcialmente",'Extração'!L:L,A234)/B234)</f>
        <v/>
      </c>
      <c r="G234" s="16" t="str">
        <f>IF(B234=0,"",COUNTIFS('Extração'!P:P,"Não",'Extração'!L:L,A234)/B234)</f>
        <v/>
      </c>
      <c r="H234" s="16" t="str">
        <f>IF(B234=0,"",COUNTIFS('Extração'!Q:Q,"Não",'Extração'!L:L,A234)/B234)</f>
        <v/>
      </c>
      <c r="I234" s="16" t="str">
        <f>IF(B234=0,"",COUNTIFS('Extração'!R:R,"Igual",'Extração'!L:L,A234)/B234)</f>
        <v/>
      </c>
    </row>
    <row r="235">
      <c r="B235" s="16">
        <f>COUNTIF('Extração'!L:L,A235)</f>
        <v>0</v>
      </c>
      <c r="C235" s="16" t="str">
        <f>IF(B235=0,"",COUNTIFS('Extração'!P:P,"Sim",'Extração'!L:L,A235)/B235)</f>
        <v/>
      </c>
      <c r="D235" s="16" t="str">
        <f>IF(B235=0,"",COUNTIFS('Extração'!Q:Q,"Sim",'Extração'!L:L,A235)/B235)</f>
        <v/>
      </c>
      <c r="E235" s="16" t="str">
        <f>IF(B235=0,"",COUNTIFS('Extração'!P:P,"Parcialmente",'Extração'!L:L,A235)/B235)</f>
        <v/>
      </c>
      <c r="F235" s="16" t="str">
        <f>IF(B235=0,"",COUNTIFS('Extração'!Q:Q,"Parcialmente",'Extração'!L:L,A235)/B235)</f>
        <v/>
      </c>
      <c r="G235" s="16" t="str">
        <f>IF(B235=0,"",COUNTIFS('Extração'!P:P,"Não",'Extração'!L:L,A235)/B235)</f>
        <v/>
      </c>
      <c r="H235" s="16" t="str">
        <f>IF(B235=0,"",COUNTIFS('Extração'!Q:Q,"Não",'Extração'!L:L,A235)/B235)</f>
        <v/>
      </c>
      <c r="I235" s="16" t="str">
        <f>IF(B235=0,"",COUNTIFS('Extração'!R:R,"Igual",'Extração'!L:L,A235)/B235)</f>
        <v/>
      </c>
    </row>
    <row r="236">
      <c r="B236" s="16">
        <f>COUNTIF('Extração'!L:L,A236)</f>
        <v>0</v>
      </c>
      <c r="C236" s="16" t="str">
        <f>IF(B236=0,"",COUNTIFS('Extração'!P:P,"Sim",'Extração'!L:L,A236)/B236)</f>
        <v/>
      </c>
      <c r="D236" s="16" t="str">
        <f>IF(B236=0,"",COUNTIFS('Extração'!Q:Q,"Sim",'Extração'!L:L,A236)/B236)</f>
        <v/>
      </c>
      <c r="E236" s="16" t="str">
        <f>IF(B236=0,"",COUNTIFS('Extração'!P:P,"Parcialmente",'Extração'!L:L,A236)/B236)</f>
        <v/>
      </c>
      <c r="F236" s="16" t="str">
        <f>IF(B236=0,"",COUNTIFS('Extração'!Q:Q,"Parcialmente",'Extração'!L:L,A236)/B236)</f>
        <v/>
      </c>
      <c r="G236" s="16" t="str">
        <f>IF(B236=0,"",COUNTIFS('Extração'!P:P,"Não",'Extração'!L:L,A236)/B236)</f>
        <v/>
      </c>
      <c r="H236" s="16" t="str">
        <f>IF(B236=0,"",COUNTIFS('Extração'!Q:Q,"Não",'Extração'!L:L,A236)/B236)</f>
        <v/>
      </c>
      <c r="I236" s="16" t="str">
        <f>IF(B236=0,"",COUNTIFS('Extração'!R:R,"Igual",'Extração'!L:L,A236)/B236)</f>
        <v/>
      </c>
    </row>
    <row r="237">
      <c r="B237" s="16">
        <f>COUNTIF('Extração'!L:L,A237)</f>
        <v>0</v>
      </c>
      <c r="C237" s="16" t="str">
        <f>IF(B237=0,"",COUNTIFS('Extração'!P:P,"Sim",'Extração'!L:L,A237)/B237)</f>
        <v/>
      </c>
      <c r="D237" s="16" t="str">
        <f>IF(B237=0,"",COUNTIFS('Extração'!Q:Q,"Sim",'Extração'!L:L,A237)/B237)</f>
        <v/>
      </c>
      <c r="E237" s="16" t="str">
        <f>IF(B237=0,"",COUNTIFS('Extração'!P:P,"Parcialmente",'Extração'!L:L,A237)/B237)</f>
        <v/>
      </c>
      <c r="F237" s="16" t="str">
        <f>IF(B237=0,"",COUNTIFS('Extração'!Q:Q,"Parcialmente",'Extração'!L:L,A237)/B237)</f>
        <v/>
      </c>
      <c r="G237" s="16" t="str">
        <f>IF(B237=0,"",COUNTIFS('Extração'!P:P,"Não",'Extração'!L:L,A237)/B237)</f>
        <v/>
      </c>
      <c r="H237" s="16" t="str">
        <f>IF(B237=0,"",COUNTIFS('Extração'!Q:Q,"Não",'Extração'!L:L,A237)/B237)</f>
        <v/>
      </c>
      <c r="I237" s="16" t="str">
        <f>IF(B237=0,"",COUNTIFS('Extração'!R:R,"Igual",'Extração'!L:L,A237)/B237)</f>
        <v/>
      </c>
    </row>
    <row r="238">
      <c r="B238" s="16">
        <f>COUNTIF('Extração'!L:L,A238)</f>
        <v>0</v>
      </c>
      <c r="C238" s="16" t="str">
        <f>IF(B238=0,"",COUNTIFS('Extração'!P:P,"Sim",'Extração'!L:L,A238)/B238)</f>
        <v/>
      </c>
      <c r="D238" s="16" t="str">
        <f>IF(B238=0,"",COUNTIFS('Extração'!Q:Q,"Sim",'Extração'!L:L,A238)/B238)</f>
        <v/>
      </c>
      <c r="E238" s="16" t="str">
        <f>IF(B238=0,"",COUNTIFS('Extração'!P:P,"Parcialmente",'Extração'!L:L,A238)/B238)</f>
        <v/>
      </c>
      <c r="F238" s="16" t="str">
        <f>IF(B238=0,"",COUNTIFS('Extração'!Q:Q,"Parcialmente",'Extração'!L:L,A238)/B238)</f>
        <v/>
      </c>
      <c r="G238" s="16" t="str">
        <f>IF(B238=0,"",COUNTIFS('Extração'!P:P,"Não",'Extração'!L:L,A238)/B238)</f>
        <v/>
      </c>
      <c r="H238" s="16" t="str">
        <f>IF(B238=0,"",COUNTIFS('Extração'!Q:Q,"Não",'Extração'!L:L,A238)/B238)</f>
        <v/>
      </c>
      <c r="I238" s="16" t="str">
        <f>IF(B238=0,"",COUNTIFS('Extração'!R:R,"Igual",'Extração'!L:L,A238)/B238)</f>
        <v/>
      </c>
    </row>
    <row r="239">
      <c r="B239" s="16">
        <f>COUNTIF('Extração'!L:L,A239)</f>
        <v>0</v>
      </c>
      <c r="C239" s="16" t="str">
        <f>IF(B239=0,"",COUNTIFS('Extração'!P:P,"Sim",'Extração'!L:L,A239)/B239)</f>
        <v/>
      </c>
      <c r="D239" s="16" t="str">
        <f>IF(B239=0,"",COUNTIFS('Extração'!Q:Q,"Sim",'Extração'!L:L,A239)/B239)</f>
        <v/>
      </c>
      <c r="E239" s="16" t="str">
        <f>IF(B239=0,"",COUNTIFS('Extração'!P:P,"Parcialmente",'Extração'!L:L,A239)/B239)</f>
        <v/>
      </c>
      <c r="F239" s="16" t="str">
        <f>IF(B239=0,"",COUNTIFS('Extração'!Q:Q,"Parcialmente",'Extração'!L:L,A239)/B239)</f>
        <v/>
      </c>
      <c r="G239" s="16" t="str">
        <f>IF(B239=0,"",COUNTIFS('Extração'!P:P,"Não",'Extração'!L:L,A239)/B239)</f>
        <v/>
      </c>
      <c r="H239" s="16" t="str">
        <f>IF(B239=0,"",COUNTIFS('Extração'!Q:Q,"Não",'Extração'!L:L,A239)/B239)</f>
        <v/>
      </c>
      <c r="I239" s="16" t="str">
        <f>IF(B239=0,"",COUNTIFS('Extração'!R:R,"Igual",'Extração'!L:L,A239)/B239)</f>
        <v/>
      </c>
    </row>
    <row r="240">
      <c r="B240" s="16">
        <f>COUNTIF('Extração'!L:L,A240)</f>
        <v>0</v>
      </c>
      <c r="C240" s="16" t="str">
        <f>IF(B240=0,"",COUNTIFS('Extração'!P:P,"Sim",'Extração'!L:L,A240)/B240)</f>
        <v/>
      </c>
      <c r="D240" s="16" t="str">
        <f>IF(B240=0,"",COUNTIFS('Extração'!Q:Q,"Sim",'Extração'!L:L,A240)/B240)</f>
        <v/>
      </c>
      <c r="E240" s="16" t="str">
        <f>IF(B240=0,"",COUNTIFS('Extração'!P:P,"Parcialmente",'Extração'!L:L,A240)/B240)</f>
        <v/>
      </c>
      <c r="F240" s="16" t="str">
        <f>IF(B240=0,"",COUNTIFS('Extração'!Q:Q,"Parcialmente",'Extração'!L:L,A240)/B240)</f>
        <v/>
      </c>
      <c r="G240" s="16" t="str">
        <f>IF(B240=0,"",COUNTIFS('Extração'!P:P,"Não",'Extração'!L:L,A240)/B240)</f>
        <v/>
      </c>
      <c r="H240" s="16" t="str">
        <f>IF(B240=0,"",COUNTIFS('Extração'!Q:Q,"Não",'Extração'!L:L,A240)/B240)</f>
        <v/>
      </c>
      <c r="I240" s="16" t="str">
        <f>IF(B240=0,"",COUNTIFS('Extração'!R:R,"Igual",'Extração'!L:L,A240)/B240)</f>
        <v/>
      </c>
    </row>
    <row r="241">
      <c r="B241" s="16">
        <f>COUNTIF('Extração'!L:L,A241)</f>
        <v>0</v>
      </c>
      <c r="C241" s="16" t="str">
        <f>IF(B241=0,"",COUNTIFS('Extração'!P:P,"Sim",'Extração'!L:L,A241)/B241)</f>
        <v/>
      </c>
      <c r="D241" s="16" t="str">
        <f>IF(B241=0,"",COUNTIFS('Extração'!Q:Q,"Sim",'Extração'!L:L,A241)/B241)</f>
        <v/>
      </c>
      <c r="E241" s="16" t="str">
        <f>IF(B241=0,"",COUNTIFS('Extração'!P:P,"Parcialmente",'Extração'!L:L,A241)/B241)</f>
        <v/>
      </c>
      <c r="F241" s="16" t="str">
        <f>IF(B241=0,"",COUNTIFS('Extração'!Q:Q,"Parcialmente",'Extração'!L:L,A241)/B241)</f>
        <v/>
      </c>
      <c r="G241" s="16" t="str">
        <f>IF(B241=0,"",COUNTIFS('Extração'!P:P,"Não",'Extração'!L:L,A241)/B241)</f>
        <v/>
      </c>
      <c r="H241" s="16" t="str">
        <f>IF(B241=0,"",COUNTIFS('Extração'!Q:Q,"Não",'Extração'!L:L,A241)/B241)</f>
        <v/>
      </c>
      <c r="I241" s="16" t="str">
        <f>IF(B241=0,"",COUNTIFS('Extração'!R:R,"Igual",'Extração'!L:L,A241)/B241)</f>
        <v/>
      </c>
    </row>
    <row r="242">
      <c r="B242" s="16">
        <f>COUNTIF('Extração'!L:L,A242)</f>
        <v>0</v>
      </c>
      <c r="C242" s="16" t="str">
        <f>IF(B242=0,"",COUNTIFS('Extração'!P:P,"Sim",'Extração'!L:L,A242)/B242)</f>
        <v/>
      </c>
      <c r="D242" s="16" t="str">
        <f>IF(B242=0,"",COUNTIFS('Extração'!Q:Q,"Sim",'Extração'!L:L,A242)/B242)</f>
        <v/>
      </c>
      <c r="E242" s="16" t="str">
        <f>IF(B242=0,"",COUNTIFS('Extração'!P:P,"Parcialmente",'Extração'!L:L,A242)/B242)</f>
        <v/>
      </c>
      <c r="F242" s="16" t="str">
        <f>IF(B242=0,"",COUNTIFS('Extração'!Q:Q,"Parcialmente",'Extração'!L:L,A242)/B242)</f>
        <v/>
      </c>
      <c r="G242" s="16" t="str">
        <f>IF(B242=0,"",COUNTIFS('Extração'!P:P,"Não",'Extração'!L:L,A242)/B242)</f>
        <v/>
      </c>
      <c r="H242" s="16" t="str">
        <f>IF(B242=0,"",COUNTIFS('Extração'!Q:Q,"Não",'Extração'!L:L,A242)/B242)</f>
        <v/>
      </c>
      <c r="I242" s="16" t="str">
        <f>IF(B242=0,"",COUNTIFS('Extração'!R:R,"Igual",'Extração'!L:L,A242)/B242)</f>
        <v/>
      </c>
    </row>
    <row r="243">
      <c r="B243" s="16">
        <f>COUNTIF('Extração'!L:L,A243)</f>
        <v>0</v>
      </c>
      <c r="C243" s="16" t="str">
        <f>IF(B243=0,"",COUNTIFS('Extração'!P:P,"Sim",'Extração'!L:L,A243)/B243)</f>
        <v/>
      </c>
      <c r="D243" s="16" t="str">
        <f>IF(B243=0,"",COUNTIFS('Extração'!Q:Q,"Sim",'Extração'!L:L,A243)/B243)</f>
        <v/>
      </c>
      <c r="E243" s="16" t="str">
        <f>IF(B243=0,"",COUNTIFS('Extração'!P:P,"Parcialmente",'Extração'!L:L,A243)/B243)</f>
        <v/>
      </c>
      <c r="F243" s="16" t="str">
        <f>IF(B243=0,"",COUNTIFS('Extração'!Q:Q,"Parcialmente",'Extração'!L:L,A243)/B243)</f>
        <v/>
      </c>
      <c r="G243" s="16" t="str">
        <f>IF(B243=0,"",COUNTIFS('Extração'!P:P,"Não",'Extração'!L:L,A243)/B243)</f>
        <v/>
      </c>
      <c r="H243" s="16" t="str">
        <f>IF(B243=0,"",COUNTIFS('Extração'!Q:Q,"Não",'Extração'!L:L,A243)/B243)</f>
        <v/>
      </c>
      <c r="I243" s="16" t="str">
        <f>IF(B243=0,"",COUNTIFS('Extração'!R:R,"Igual",'Extração'!L:L,A243)/B243)</f>
        <v/>
      </c>
    </row>
    <row r="244">
      <c r="B244" s="16">
        <f>COUNTIF('Extração'!L:L,A244)</f>
        <v>0</v>
      </c>
      <c r="C244" s="16" t="str">
        <f>IF(B244=0,"",COUNTIFS('Extração'!P:P,"Sim",'Extração'!L:L,A244)/B244)</f>
        <v/>
      </c>
      <c r="D244" s="16" t="str">
        <f>IF(B244=0,"",COUNTIFS('Extração'!Q:Q,"Sim",'Extração'!L:L,A244)/B244)</f>
        <v/>
      </c>
      <c r="E244" s="16" t="str">
        <f>IF(B244=0,"",COUNTIFS('Extração'!P:P,"Parcialmente",'Extração'!L:L,A244)/B244)</f>
        <v/>
      </c>
      <c r="F244" s="16" t="str">
        <f>IF(B244=0,"",COUNTIFS('Extração'!Q:Q,"Parcialmente",'Extração'!L:L,A244)/B244)</f>
        <v/>
      </c>
      <c r="G244" s="16" t="str">
        <f>IF(B244=0,"",COUNTIFS('Extração'!P:P,"Não",'Extração'!L:L,A244)/B244)</f>
        <v/>
      </c>
      <c r="H244" s="16" t="str">
        <f>IF(B244=0,"",COUNTIFS('Extração'!Q:Q,"Não",'Extração'!L:L,A244)/B244)</f>
        <v/>
      </c>
      <c r="I244" s="16" t="str">
        <f>IF(B244=0,"",COUNTIFS('Extração'!R:R,"Igual",'Extração'!L:L,A244)/B244)</f>
        <v/>
      </c>
    </row>
    <row r="245">
      <c r="B245" s="16">
        <f>COUNTIF('Extração'!L:L,A245)</f>
        <v>0</v>
      </c>
      <c r="C245" s="16" t="str">
        <f>IF(B245=0,"",COUNTIFS('Extração'!P:P,"Sim",'Extração'!L:L,A245)/B245)</f>
        <v/>
      </c>
      <c r="D245" s="16" t="str">
        <f>IF(B245=0,"",COUNTIFS('Extração'!Q:Q,"Sim",'Extração'!L:L,A245)/B245)</f>
        <v/>
      </c>
      <c r="E245" s="16" t="str">
        <f>IF(B245=0,"",COUNTIFS('Extração'!P:P,"Parcialmente",'Extração'!L:L,A245)/B245)</f>
        <v/>
      </c>
      <c r="F245" s="16" t="str">
        <f>IF(B245=0,"",COUNTIFS('Extração'!Q:Q,"Parcialmente",'Extração'!L:L,A245)/B245)</f>
        <v/>
      </c>
      <c r="G245" s="16" t="str">
        <f>IF(B245=0,"",COUNTIFS('Extração'!P:P,"Não",'Extração'!L:L,A245)/B245)</f>
        <v/>
      </c>
      <c r="H245" s="16" t="str">
        <f>IF(B245=0,"",COUNTIFS('Extração'!Q:Q,"Não",'Extração'!L:L,A245)/B245)</f>
        <v/>
      </c>
      <c r="I245" s="16" t="str">
        <f>IF(B245=0,"",COUNTIFS('Extração'!R:R,"Igual",'Extração'!L:L,A245)/B245)</f>
        <v/>
      </c>
    </row>
    <row r="246">
      <c r="B246" s="16">
        <f>COUNTIF('Extração'!L:L,A246)</f>
        <v>0</v>
      </c>
      <c r="C246" s="16" t="str">
        <f>IF(B246=0,"",COUNTIFS('Extração'!P:P,"Sim",'Extração'!L:L,A246)/B246)</f>
        <v/>
      </c>
      <c r="D246" s="16" t="str">
        <f>IF(B246=0,"",COUNTIFS('Extração'!Q:Q,"Sim",'Extração'!L:L,A246)/B246)</f>
        <v/>
      </c>
      <c r="E246" s="16" t="str">
        <f>IF(B246=0,"",COUNTIFS('Extração'!P:P,"Parcialmente",'Extração'!L:L,A246)/B246)</f>
        <v/>
      </c>
      <c r="F246" s="16" t="str">
        <f>IF(B246=0,"",COUNTIFS('Extração'!Q:Q,"Parcialmente",'Extração'!L:L,A246)/B246)</f>
        <v/>
      </c>
      <c r="G246" s="16" t="str">
        <f>IF(B246=0,"",COUNTIFS('Extração'!P:P,"Não",'Extração'!L:L,A246)/B246)</f>
        <v/>
      </c>
      <c r="H246" s="16" t="str">
        <f>IF(B246=0,"",COUNTIFS('Extração'!Q:Q,"Não",'Extração'!L:L,A246)/B246)</f>
        <v/>
      </c>
      <c r="I246" s="16" t="str">
        <f>IF(B246=0,"",COUNTIFS('Extração'!R:R,"Igual",'Extração'!L:L,A246)/B246)</f>
        <v/>
      </c>
    </row>
    <row r="247">
      <c r="B247" s="16">
        <f>COUNTIF('Extração'!L:L,A247)</f>
        <v>0</v>
      </c>
      <c r="C247" s="16" t="str">
        <f>IF(B247=0,"",COUNTIFS('Extração'!P:P,"Sim",'Extração'!L:L,A247)/B247)</f>
        <v/>
      </c>
      <c r="D247" s="16" t="str">
        <f>IF(B247=0,"",COUNTIFS('Extração'!Q:Q,"Sim",'Extração'!L:L,A247)/B247)</f>
        <v/>
      </c>
      <c r="E247" s="16" t="str">
        <f>IF(B247=0,"",COUNTIFS('Extração'!P:P,"Parcialmente",'Extração'!L:L,A247)/B247)</f>
        <v/>
      </c>
      <c r="F247" s="16" t="str">
        <f>IF(B247=0,"",COUNTIFS('Extração'!Q:Q,"Parcialmente",'Extração'!L:L,A247)/B247)</f>
        <v/>
      </c>
      <c r="G247" s="16" t="str">
        <f>IF(B247=0,"",COUNTIFS('Extração'!P:P,"Não",'Extração'!L:L,A247)/B247)</f>
        <v/>
      </c>
      <c r="H247" s="16" t="str">
        <f>IF(B247=0,"",COUNTIFS('Extração'!Q:Q,"Não",'Extração'!L:L,A247)/B247)</f>
        <v/>
      </c>
      <c r="I247" s="16" t="str">
        <f>IF(B247=0,"",COUNTIFS('Extração'!R:R,"Igual",'Extração'!L:L,A247)/B247)</f>
        <v/>
      </c>
    </row>
    <row r="248">
      <c r="B248" s="16">
        <f>COUNTIF('Extração'!L:L,A248)</f>
        <v>0</v>
      </c>
      <c r="C248" s="16" t="str">
        <f>IF(B248=0,"",COUNTIFS('Extração'!P:P,"Sim",'Extração'!L:L,A248)/B248)</f>
        <v/>
      </c>
      <c r="D248" s="16" t="str">
        <f>IF(B248=0,"",COUNTIFS('Extração'!Q:Q,"Sim",'Extração'!L:L,A248)/B248)</f>
        <v/>
      </c>
      <c r="E248" s="16" t="str">
        <f>IF(B248=0,"",COUNTIFS('Extração'!P:P,"Parcialmente",'Extração'!L:L,A248)/B248)</f>
        <v/>
      </c>
      <c r="F248" s="16" t="str">
        <f>IF(B248=0,"",COUNTIFS('Extração'!Q:Q,"Parcialmente",'Extração'!L:L,A248)/B248)</f>
        <v/>
      </c>
      <c r="G248" s="16" t="str">
        <f>IF(B248=0,"",COUNTIFS('Extração'!P:P,"Não",'Extração'!L:L,A248)/B248)</f>
        <v/>
      </c>
      <c r="H248" s="16" t="str">
        <f>IF(B248=0,"",COUNTIFS('Extração'!Q:Q,"Não",'Extração'!L:L,A248)/B248)</f>
        <v/>
      </c>
      <c r="I248" s="16" t="str">
        <f>IF(B248=0,"",COUNTIFS('Extração'!R:R,"Igual",'Extração'!L:L,A248)/B248)</f>
        <v/>
      </c>
    </row>
    <row r="249">
      <c r="B249" s="16">
        <f>COUNTIF('Extração'!L:L,A249)</f>
        <v>0</v>
      </c>
      <c r="C249" s="16" t="str">
        <f>IF(B249=0,"",COUNTIFS('Extração'!P:P,"Sim",'Extração'!L:L,A249)/B249)</f>
        <v/>
      </c>
      <c r="D249" s="16" t="str">
        <f>IF(B249=0,"",COUNTIFS('Extração'!Q:Q,"Sim",'Extração'!L:L,A249)/B249)</f>
        <v/>
      </c>
      <c r="E249" s="16" t="str">
        <f>IF(B249=0,"",COUNTIFS('Extração'!P:P,"Parcialmente",'Extração'!L:L,A249)/B249)</f>
        <v/>
      </c>
      <c r="F249" s="16" t="str">
        <f>IF(B249=0,"",COUNTIFS('Extração'!Q:Q,"Parcialmente",'Extração'!L:L,A249)/B249)</f>
        <v/>
      </c>
      <c r="G249" s="16" t="str">
        <f>IF(B249=0,"",COUNTIFS('Extração'!P:P,"Não",'Extração'!L:L,A249)/B249)</f>
        <v/>
      </c>
      <c r="H249" s="16" t="str">
        <f>IF(B249=0,"",COUNTIFS('Extração'!Q:Q,"Não",'Extração'!L:L,A249)/B249)</f>
        <v/>
      </c>
      <c r="I249" s="16" t="str">
        <f>IF(B249=0,"",COUNTIFS('Extração'!R:R,"Igual",'Extração'!L:L,A249)/B249)</f>
        <v/>
      </c>
    </row>
    <row r="250">
      <c r="B250" s="16">
        <f>COUNTIF('Extração'!L:L,A250)</f>
        <v>0</v>
      </c>
      <c r="C250" s="16" t="str">
        <f>IF(B250=0,"",COUNTIFS('Extração'!P:P,"Sim",'Extração'!L:L,A250)/B250)</f>
        <v/>
      </c>
      <c r="D250" s="16" t="str">
        <f>IF(B250=0,"",COUNTIFS('Extração'!Q:Q,"Sim",'Extração'!L:L,A250)/B250)</f>
        <v/>
      </c>
      <c r="E250" s="16" t="str">
        <f>IF(B250=0,"",COUNTIFS('Extração'!P:P,"Parcialmente",'Extração'!L:L,A250)/B250)</f>
        <v/>
      </c>
      <c r="F250" s="16" t="str">
        <f>IF(B250=0,"",COUNTIFS('Extração'!Q:Q,"Parcialmente",'Extração'!L:L,A250)/B250)</f>
        <v/>
      </c>
      <c r="G250" s="16" t="str">
        <f>IF(B250=0,"",COUNTIFS('Extração'!P:P,"Não",'Extração'!L:L,A250)/B250)</f>
        <v/>
      </c>
      <c r="H250" s="16" t="str">
        <f>IF(B250=0,"",COUNTIFS('Extração'!Q:Q,"Não",'Extração'!L:L,A250)/B250)</f>
        <v/>
      </c>
      <c r="I250" s="16" t="str">
        <f>IF(B250=0,"",COUNTIFS('Extração'!R:R,"Igual",'Extração'!L:L,A250)/B250)</f>
        <v/>
      </c>
    </row>
    <row r="251">
      <c r="B251" s="16">
        <f>COUNTIF('Extração'!L:L,A251)</f>
        <v>0</v>
      </c>
      <c r="C251" s="16" t="str">
        <f>IF(B251=0,"",COUNTIFS('Extração'!P:P,"Sim",'Extração'!L:L,A251)/B251)</f>
        <v/>
      </c>
      <c r="D251" s="16" t="str">
        <f>IF(B251=0,"",COUNTIFS('Extração'!Q:Q,"Sim",'Extração'!L:L,A251)/B251)</f>
        <v/>
      </c>
      <c r="E251" s="16" t="str">
        <f>IF(B251=0,"",COUNTIFS('Extração'!P:P,"Parcialmente",'Extração'!L:L,A251)/B251)</f>
        <v/>
      </c>
      <c r="F251" s="16" t="str">
        <f>IF(B251=0,"",COUNTIFS('Extração'!Q:Q,"Parcialmente",'Extração'!L:L,A251)/B251)</f>
        <v/>
      </c>
      <c r="G251" s="16" t="str">
        <f>IF(B251=0,"",COUNTIFS('Extração'!P:P,"Não",'Extração'!L:L,A251)/B251)</f>
        <v/>
      </c>
      <c r="H251" s="16" t="str">
        <f>IF(B251=0,"",COUNTIFS('Extração'!Q:Q,"Não",'Extração'!L:L,A251)/B251)</f>
        <v/>
      </c>
      <c r="I251" s="16" t="str">
        <f>IF(B251=0,"",COUNTIFS('Extração'!R:R,"Igual",'Extração'!L:L,A251)/B251)</f>
        <v/>
      </c>
    </row>
    <row r="252">
      <c r="B252" s="16">
        <f>COUNTIF('Extração'!L:L,A252)</f>
        <v>0</v>
      </c>
      <c r="C252" s="16" t="str">
        <f>IF(B252=0,"",COUNTIFS('Extração'!P:P,"Sim",'Extração'!L:L,A252)/B252)</f>
        <v/>
      </c>
      <c r="D252" s="16" t="str">
        <f>IF(B252=0,"",COUNTIFS('Extração'!Q:Q,"Sim",'Extração'!L:L,A252)/B252)</f>
        <v/>
      </c>
      <c r="E252" s="16" t="str">
        <f>IF(B252=0,"",COUNTIFS('Extração'!P:P,"Parcialmente",'Extração'!L:L,A252)/B252)</f>
        <v/>
      </c>
      <c r="F252" s="16" t="str">
        <f>IF(B252=0,"",COUNTIFS('Extração'!Q:Q,"Parcialmente",'Extração'!L:L,A252)/B252)</f>
        <v/>
      </c>
      <c r="G252" s="16" t="str">
        <f>IF(B252=0,"",COUNTIFS('Extração'!P:P,"Não",'Extração'!L:L,A252)/B252)</f>
        <v/>
      </c>
      <c r="H252" s="16" t="str">
        <f>IF(B252=0,"",COUNTIFS('Extração'!Q:Q,"Não",'Extração'!L:L,A252)/B252)</f>
        <v/>
      </c>
      <c r="I252" s="16" t="str">
        <f>IF(B252=0,"",COUNTIFS('Extração'!R:R,"Igual",'Extração'!L:L,A252)/B252)</f>
        <v/>
      </c>
    </row>
    <row r="253">
      <c r="B253" s="16">
        <f>COUNTIF('Extração'!L:L,A253)</f>
        <v>0</v>
      </c>
      <c r="C253" s="16" t="str">
        <f>IF(B253=0,"",COUNTIFS('Extração'!P:P,"Sim",'Extração'!L:L,A253)/B253)</f>
        <v/>
      </c>
      <c r="D253" s="16" t="str">
        <f>IF(B253=0,"",COUNTIFS('Extração'!Q:Q,"Sim",'Extração'!L:L,A253)/B253)</f>
        <v/>
      </c>
      <c r="E253" s="16" t="str">
        <f>IF(B253=0,"",COUNTIFS('Extração'!P:P,"Parcialmente",'Extração'!L:L,A253)/B253)</f>
        <v/>
      </c>
      <c r="F253" s="16" t="str">
        <f>IF(B253=0,"",COUNTIFS('Extração'!Q:Q,"Parcialmente",'Extração'!L:L,A253)/B253)</f>
        <v/>
      </c>
      <c r="G253" s="16" t="str">
        <f>IF(B253=0,"",COUNTIFS('Extração'!P:P,"Não",'Extração'!L:L,A253)/B253)</f>
        <v/>
      </c>
      <c r="H253" s="16" t="str">
        <f>IF(B253=0,"",COUNTIFS('Extração'!Q:Q,"Não",'Extração'!L:L,A253)/B253)</f>
        <v/>
      </c>
      <c r="I253" s="16" t="str">
        <f>IF(B253=0,"",COUNTIFS('Extração'!R:R,"Igual",'Extração'!L:L,A253)/B253)</f>
        <v/>
      </c>
    </row>
    <row r="254">
      <c r="B254" s="16">
        <f>COUNTIF('Extração'!L:L,A254)</f>
        <v>0</v>
      </c>
      <c r="C254" s="16" t="str">
        <f>IF(B254=0,"",COUNTIFS('Extração'!P:P,"Sim",'Extração'!L:L,A254)/B254)</f>
        <v/>
      </c>
      <c r="D254" s="16" t="str">
        <f>IF(B254=0,"",COUNTIFS('Extração'!Q:Q,"Sim",'Extração'!L:L,A254)/B254)</f>
        <v/>
      </c>
      <c r="E254" s="16" t="str">
        <f>IF(B254=0,"",COUNTIFS('Extração'!P:P,"Parcialmente",'Extração'!L:L,A254)/B254)</f>
        <v/>
      </c>
      <c r="F254" s="16" t="str">
        <f>IF(B254=0,"",COUNTIFS('Extração'!Q:Q,"Parcialmente",'Extração'!L:L,A254)/B254)</f>
        <v/>
      </c>
      <c r="G254" s="16" t="str">
        <f>IF(B254=0,"",COUNTIFS('Extração'!P:P,"Não",'Extração'!L:L,A254)/B254)</f>
        <v/>
      </c>
      <c r="H254" s="16" t="str">
        <f>IF(B254=0,"",COUNTIFS('Extração'!Q:Q,"Não",'Extração'!L:L,A254)/B254)</f>
        <v/>
      </c>
      <c r="I254" s="16" t="str">
        <f>IF(B254=0,"",COUNTIFS('Extração'!R:R,"Igual",'Extração'!L:L,A254)/B254)</f>
        <v/>
      </c>
    </row>
    <row r="255">
      <c r="B255" s="16">
        <f>COUNTIF('Extração'!L:L,A255)</f>
        <v>0</v>
      </c>
      <c r="C255" s="16" t="str">
        <f>IF(B255=0,"",COUNTIFS('Extração'!P:P,"Sim",'Extração'!L:L,A255)/B255)</f>
        <v/>
      </c>
      <c r="D255" s="16" t="str">
        <f>IF(B255=0,"",COUNTIFS('Extração'!Q:Q,"Sim",'Extração'!L:L,A255)/B255)</f>
        <v/>
      </c>
      <c r="E255" s="16" t="str">
        <f>IF(B255=0,"",COUNTIFS('Extração'!P:P,"Parcialmente",'Extração'!L:L,A255)/B255)</f>
        <v/>
      </c>
      <c r="F255" s="16" t="str">
        <f>IF(B255=0,"",COUNTIFS('Extração'!Q:Q,"Parcialmente",'Extração'!L:L,A255)/B255)</f>
        <v/>
      </c>
      <c r="G255" s="16" t="str">
        <f>IF(B255=0,"",COUNTIFS('Extração'!P:P,"Não",'Extração'!L:L,A255)/B255)</f>
        <v/>
      </c>
      <c r="H255" s="16" t="str">
        <f>IF(B255=0,"",COUNTIFS('Extração'!Q:Q,"Não",'Extração'!L:L,A255)/B255)</f>
        <v/>
      </c>
      <c r="I255" s="16" t="str">
        <f>IF(B255=0,"",COUNTIFS('Extração'!R:R,"Igual",'Extração'!L:L,A255)/B255)</f>
        <v/>
      </c>
    </row>
    <row r="256">
      <c r="B256" s="16">
        <f>COUNTIF('Extração'!L:L,A256)</f>
        <v>0</v>
      </c>
      <c r="C256" s="16" t="str">
        <f>IF(B256=0,"",COUNTIFS('Extração'!P:P,"Sim",'Extração'!L:L,A256)/B256)</f>
        <v/>
      </c>
      <c r="D256" s="16" t="str">
        <f>IF(B256=0,"",COUNTIFS('Extração'!Q:Q,"Sim",'Extração'!L:L,A256)/B256)</f>
        <v/>
      </c>
      <c r="E256" s="16" t="str">
        <f>IF(B256=0,"",COUNTIFS('Extração'!P:P,"Parcialmente",'Extração'!L:L,A256)/B256)</f>
        <v/>
      </c>
      <c r="F256" s="16" t="str">
        <f>IF(B256=0,"",COUNTIFS('Extração'!Q:Q,"Parcialmente",'Extração'!L:L,A256)/B256)</f>
        <v/>
      </c>
      <c r="G256" s="16" t="str">
        <f>IF(B256=0,"",COUNTIFS('Extração'!P:P,"Não",'Extração'!L:L,A256)/B256)</f>
        <v/>
      </c>
      <c r="H256" s="16" t="str">
        <f>IF(B256=0,"",COUNTIFS('Extração'!Q:Q,"Não",'Extração'!L:L,A256)/B256)</f>
        <v/>
      </c>
      <c r="I256" s="16" t="str">
        <f>IF(B256=0,"",COUNTIFS('Extração'!R:R,"Igual",'Extração'!L:L,A256)/B256)</f>
        <v/>
      </c>
    </row>
    <row r="257">
      <c r="B257" s="16">
        <f>COUNTIF('Extração'!L:L,A257)</f>
        <v>0</v>
      </c>
      <c r="C257" s="16" t="str">
        <f>IF(B257=0,"",COUNTIFS('Extração'!P:P,"Sim",'Extração'!L:L,A257)/B257)</f>
        <v/>
      </c>
      <c r="D257" s="16" t="str">
        <f>IF(B257=0,"",COUNTIFS('Extração'!Q:Q,"Sim",'Extração'!L:L,A257)/B257)</f>
        <v/>
      </c>
      <c r="E257" s="16" t="str">
        <f>IF(B257=0,"",COUNTIFS('Extração'!P:P,"Parcialmente",'Extração'!L:L,A257)/B257)</f>
        <v/>
      </c>
      <c r="F257" s="16" t="str">
        <f>IF(B257=0,"",COUNTIFS('Extração'!Q:Q,"Parcialmente",'Extração'!L:L,A257)/B257)</f>
        <v/>
      </c>
      <c r="G257" s="16" t="str">
        <f>IF(B257=0,"",COUNTIFS('Extração'!P:P,"Não",'Extração'!L:L,A257)/B257)</f>
        <v/>
      </c>
      <c r="H257" s="16" t="str">
        <f>IF(B257=0,"",COUNTIFS('Extração'!Q:Q,"Não",'Extração'!L:L,A257)/B257)</f>
        <v/>
      </c>
      <c r="I257" s="16" t="str">
        <f>IF(B257=0,"",COUNTIFS('Extração'!R:R,"Igual",'Extração'!L:L,A257)/B257)</f>
        <v/>
      </c>
    </row>
    <row r="258">
      <c r="B258" s="16">
        <f>COUNTIF('Extração'!L:L,A258)</f>
        <v>0</v>
      </c>
      <c r="C258" s="16" t="str">
        <f>IF(B258=0,"",COUNTIFS('Extração'!P:P,"Sim",'Extração'!L:L,A258)/B258)</f>
        <v/>
      </c>
      <c r="D258" s="16" t="str">
        <f>IF(B258=0,"",COUNTIFS('Extração'!Q:Q,"Sim",'Extração'!L:L,A258)/B258)</f>
        <v/>
      </c>
      <c r="E258" s="16" t="str">
        <f>IF(B258=0,"",COUNTIFS('Extração'!P:P,"Parcialmente",'Extração'!L:L,A258)/B258)</f>
        <v/>
      </c>
      <c r="F258" s="16" t="str">
        <f>IF(B258=0,"",COUNTIFS('Extração'!Q:Q,"Parcialmente",'Extração'!L:L,A258)/B258)</f>
        <v/>
      </c>
      <c r="G258" s="16" t="str">
        <f>IF(B258=0,"",COUNTIFS('Extração'!P:P,"Não",'Extração'!L:L,A258)/B258)</f>
        <v/>
      </c>
      <c r="H258" s="16" t="str">
        <f>IF(B258=0,"",COUNTIFS('Extração'!Q:Q,"Não",'Extração'!L:L,A258)/B258)</f>
        <v/>
      </c>
      <c r="I258" s="16" t="str">
        <f>IF(B258=0,"",COUNTIFS('Extração'!R:R,"Igual",'Extração'!L:L,A258)/B258)</f>
        <v/>
      </c>
    </row>
    <row r="259">
      <c r="B259" s="16">
        <f>COUNTIF('Extração'!L:L,A259)</f>
        <v>0</v>
      </c>
      <c r="C259" s="16" t="str">
        <f>IF(B259=0,"",COUNTIFS('Extração'!P:P,"Sim",'Extração'!L:L,A259)/B259)</f>
        <v/>
      </c>
      <c r="D259" s="16" t="str">
        <f>IF(B259=0,"",COUNTIFS('Extração'!Q:Q,"Sim",'Extração'!L:L,A259)/B259)</f>
        <v/>
      </c>
      <c r="E259" s="16" t="str">
        <f>IF(B259=0,"",COUNTIFS('Extração'!P:P,"Parcialmente",'Extração'!L:L,A259)/B259)</f>
        <v/>
      </c>
      <c r="F259" s="16" t="str">
        <f>IF(B259=0,"",COUNTIFS('Extração'!Q:Q,"Parcialmente",'Extração'!L:L,A259)/B259)</f>
        <v/>
      </c>
      <c r="G259" s="16" t="str">
        <f>IF(B259=0,"",COUNTIFS('Extração'!P:P,"Não",'Extração'!L:L,A259)/B259)</f>
        <v/>
      </c>
      <c r="H259" s="16" t="str">
        <f>IF(B259=0,"",COUNTIFS('Extração'!Q:Q,"Não",'Extração'!L:L,A259)/B259)</f>
        <v/>
      </c>
      <c r="I259" s="16" t="str">
        <f>IF(B259=0,"",COUNTIFS('Extração'!R:R,"Igual",'Extração'!L:L,A259)/B259)</f>
        <v/>
      </c>
    </row>
    <row r="260">
      <c r="B260" s="16">
        <f>COUNTIF('Extração'!L:L,A260)</f>
        <v>0</v>
      </c>
      <c r="C260" s="16" t="str">
        <f>IF(B260=0,"",COUNTIFS('Extração'!P:P,"Sim",'Extração'!L:L,A260)/B260)</f>
        <v/>
      </c>
      <c r="D260" s="16" t="str">
        <f>IF(B260=0,"",COUNTIFS('Extração'!Q:Q,"Sim",'Extração'!L:L,A260)/B260)</f>
        <v/>
      </c>
      <c r="E260" s="16" t="str">
        <f>IF(B260=0,"",COUNTIFS('Extração'!P:P,"Parcialmente",'Extração'!L:L,A260)/B260)</f>
        <v/>
      </c>
      <c r="F260" s="16" t="str">
        <f>IF(B260=0,"",COUNTIFS('Extração'!Q:Q,"Parcialmente",'Extração'!L:L,A260)/B260)</f>
        <v/>
      </c>
      <c r="G260" s="16" t="str">
        <f>IF(B260=0,"",COUNTIFS('Extração'!P:P,"Não",'Extração'!L:L,A260)/B260)</f>
        <v/>
      </c>
      <c r="H260" s="16" t="str">
        <f>IF(B260=0,"",COUNTIFS('Extração'!Q:Q,"Não",'Extração'!L:L,A260)/B260)</f>
        <v/>
      </c>
      <c r="I260" s="16" t="str">
        <f>IF(B260=0,"",COUNTIFS('Extração'!R:R,"Igual",'Extração'!L:L,A260)/B260)</f>
        <v/>
      </c>
    </row>
    <row r="261">
      <c r="B261" s="16">
        <f>COUNTIF('Extração'!L:L,A261)</f>
        <v>0</v>
      </c>
      <c r="C261" s="16" t="str">
        <f>IF(B261=0,"",COUNTIFS('Extração'!P:P,"Sim",'Extração'!L:L,A261)/B261)</f>
        <v/>
      </c>
      <c r="D261" s="16" t="str">
        <f>IF(B261=0,"",COUNTIFS('Extração'!Q:Q,"Sim",'Extração'!L:L,A261)/B261)</f>
        <v/>
      </c>
      <c r="E261" s="16" t="str">
        <f>IF(B261=0,"",COUNTIFS('Extração'!P:P,"Parcialmente",'Extração'!L:L,A261)/B261)</f>
        <v/>
      </c>
      <c r="F261" s="16" t="str">
        <f>IF(B261=0,"",COUNTIFS('Extração'!Q:Q,"Parcialmente",'Extração'!L:L,A261)/B261)</f>
        <v/>
      </c>
      <c r="G261" s="16" t="str">
        <f>IF(B261=0,"",COUNTIFS('Extração'!P:P,"Não",'Extração'!L:L,A261)/B261)</f>
        <v/>
      </c>
      <c r="H261" s="16" t="str">
        <f>IF(B261=0,"",COUNTIFS('Extração'!Q:Q,"Não",'Extração'!L:L,A261)/B261)</f>
        <v/>
      </c>
      <c r="I261" s="16" t="str">
        <f>IF(B261=0,"",COUNTIFS('Extração'!R:R,"Igual",'Extração'!L:L,A261)/B261)</f>
        <v/>
      </c>
    </row>
    <row r="262">
      <c r="B262" s="16">
        <f>COUNTIF('Extração'!L:L,A262)</f>
        <v>0</v>
      </c>
      <c r="C262" s="16" t="str">
        <f>IF(B262=0,"",COUNTIFS('Extração'!P:P,"Sim",'Extração'!L:L,A262)/B262)</f>
        <v/>
      </c>
      <c r="D262" s="16" t="str">
        <f>IF(B262=0,"",COUNTIFS('Extração'!Q:Q,"Sim",'Extração'!L:L,A262)/B262)</f>
        <v/>
      </c>
      <c r="E262" s="16" t="str">
        <f>IF(B262=0,"",COUNTIFS('Extração'!P:P,"Parcialmente",'Extração'!L:L,A262)/B262)</f>
        <v/>
      </c>
      <c r="F262" s="16" t="str">
        <f>IF(B262=0,"",COUNTIFS('Extração'!Q:Q,"Parcialmente",'Extração'!L:L,A262)/B262)</f>
        <v/>
      </c>
      <c r="G262" s="16" t="str">
        <f>IF(B262=0,"",COUNTIFS('Extração'!P:P,"Não",'Extração'!L:L,A262)/B262)</f>
        <v/>
      </c>
      <c r="H262" s="16" t="str">
        <f>IF(B262=0,"",COUNTIFS('Extração'!Q:Q,"Não",'Extração'!L:L,A262)/B262)</f>
        <v/>
      </c>
      <c r="I262" s="16" t="str">
        <f>IF(B262=0,"",COUNTIFS('Extração'!R:R,"Igual",'Extração'!L:L,A262)/B262)</f>
        <v/>
      </c>
    </row>
    <row r="263">
      <c r="B263" s="16">
        <f>COUNTIF('Extração'!L:L,A263)</f>
        <v>0</v>
      </c>
      <c r="C263" s="16" t="str">
        <f>IF(B263=0,"",COUNTIFS('Extração'!P:P,"Sim",'Extração'!L:L,A263)/B263)</f>
        <v/>
      </c>
      <c r="D263" s="16" t="str">
        <f>IF(B263=0,"",COUNTIFS('Extração'!Q:Q,"Sim",'Extração'!L:L,A263)/B263)</f>
        <v/>
      </c>
      <c r="E263" s="16" t="str">
        <f>IF(B263=0,"",COUNTIFS('Extração'!P:P,"Parcialmente",'Extração'!L:L,A263)/B263)</f>
        <v/>
      </c>
      <c r="F263" s="16" t="str">
        <f>IF(B263=0,"",COUNTIFS('Extração'!Q:Q,"Parcialmente",'Extração'!L:L,A263)/B263)</f>
        <v/>
      </c>
      <c r="G263" s="16" t="str">
        <f>IF(B263=0,"",COUNTIFS('Extração'!P:P,"Não",'Extração'!L:L,A263)/B263)</f>
        <v/>
      </c>
      <c r="H263" s="16" t="str">
        <f>IF(B263=0,"",COUNTIFS('Extração'!Q:Q,"Não",'Extração'!L:L,A263)/B263)</f>
        <v/>
      </c>
      <c r="I263" s="16" t="str">
        <f>IF(B263=0,"",COUNTIFS('Extração'!R:R,"Igual",'Extração'!L:L,A263)/B263)</f>
        <v/>
      </c>
    </row>
    <row r="264">
      <c r="B264" s="16">
        <f>COUNTIF('Extração'!L:L,A264)</f>
        <v>0</v>
      </c>
      <c r="C264" s="16" t="str">
        <f>IF(B264=0,"",COUNTIFS('Extração'!P:P,"Sim",'Extração'!L:L,A264)/B264)</f>
        <v/>
      </c>
      <c r="D264" s="16" t="str">
        <f>IF(B264=0,"",COUNTIFS('Extração'!Q:Q,"Sim",'Extração'!L:L,A264)/B264)</f>
        <v/>
      </c>
      <c r="E264" s="16" t="str">
        <f>IF(B264=0,"",COUNTIFS('Extração'!P:P,"Parcialmente",'Extração'!L:L,A264)/B264)</f>
        <v/>
      </c>
      <c r="F264" s="16" t="str">
        <f>IF(B264=0,"",COUNTIFS('Extração'!Q:Q,"Parcialmente",'Extração'!L:L,A264)/B264)</f>
        <v/>
      </c>
      <c r="G264" s="16" t="str">
        <f>IF(B264=0,"",COUNTIFS('Extração'!P:P,"Não",'Extração'!L:L,A264)/B264)</f>
        <v/>
      </c>
      <c r="H264" s="16" t="str">
        <f>IF(B264=0,"",COUNTIFS('Extração'!Q:Q,"Não",'Extração'!L:L,A264)/B264)</f>
        <v/>
      </c>
      <c r="I264" s="16" t="str">
        <f>IF(B264=0,"",COUNTIFS('Extração'!R:R,"Igual",'Extração'!L:L,A264)/B264)</f>
        <v/>
      </c>
    </row>
    <row r="265">
      <c r="B265" s="16">
        <f>COUNTIF('Extração'!L:L,A265)</f>
        <v>0</v>
      </c>
      <c r="C265" s="16" t="str">
        <f>IF(B265=0,"",COUNTIFS('Extração'!P:P,"Sim",'Extração'!L:L,A265)/B265)</f>
        <v/>
      </c>
      <c r="D265" s="16" t="str">
        <f>IF(B265=0,"",COUNTIFS('Extração'!Q:Q,"Sim",'Extração'!L:L,A265)/B265)</f>
        <v/>
      </c>
      <c r="E265" s="16" t="str">
        <f>IF(B265=0,"",COUNTIFS('Extração'!P:P,"Parcialmente",'Extração'!L:L,A265)/B265)</f>
        <v/>
      </c>
      <c r="F265" s="16" t="str">
        <f>IF(B265=0,"",COUNTIFS('Extração'!Q:Q,"Parcialmente",'Extração'!L:L,A265)/B265)</f>
        <v/>
      </c>
      <c r="G265" s="16" t="str">
        <f>IF(B265=0,"",COUNTIFS('Extração'!P:P,"Não",'Extração'!L:L,A265)/B265)</f>
        <v/>
      </c>
      <c r="H265" s="16" t="str">
        <f>IF(B265=0,"",COUNTIFS('Extração'!Q:Q,"Não",'Extração'!L:L,A265)/B265)</f>
        <v/>
      </c>
      <c r="I265" s="16" t="str">
        <f>IF(B265=0,"",COUNTIFS('Extração'!R:R,"Igual",'Extração'!L:L,A265)/B265)</f>
        <v/>
      </c>
    </row>
    <row r="266">
      <c r="B266" s="16">
        <f>COUNTIF('Extração'!L:L,A266)</f>
        <v>0</v>
      </c>
      <c r="C266" s="16" t="str">
        <f>IF(B266=0,"",COUNTIFS('Extração'!P:P,"Sim",'Extração'!L:L,A266)/B266)</f>
        <v/>
      </c>
      <c r="D266" s="16" t="str">
        <f>IF(B266=0,"",COUNTIFS('Extração'!Q:Q,"Sim",'Extração'!L:L,A266)/B266)</f>
        <v/>
      </c>
      <c r="E266" s="16" t="str">
        <f>IF(B266=0,"",COUNTIFS('Extração'!P:P,"Parcialmente",'Extração'!L:L,A266)/B266)</f>
        <v/>
      </c>
      <c r="F266" s="16" t="str">
        <f>IF(B266=0,"",COUNTIFS('Extração'!Q:Q,"Parcialmente",'Extração'!L:L,A266)/B266)</f>
        <v/>
      </c>
      <c r="G266" s="16" t="str">
        <f>IF(B266=0,"",COUNTIFS('Extração'!P:P,"Não",'Extração'!L:L,A266)/B266)</f>
        <v/>
      </c>
      <c r="H266" s="16" t="str">
        <f>IF(B266=0,"",COUNTIFS('Extração'!Q:Q,"Não",'Extração'!L:L,A266)/B266)</f>
        <v/>
      </c>
      <c r="I266" s="16" t="str">
        <f>IF(B266=0,"",COUNTIFS('Extração'!R:R,"Igual",'Extração'!L:L,A266)/B266)</f>
        <v/>
      </c>
    </row>
    <row r="267">
      <c r="B267" s="16">
        <f>COUNTIF('Extração'!L:L,A267)</f>
        <v>0</v>
      </c>
      <c r="C267" s="16" t="str">
        <f>IF(B267=0,"",COUNTIFS('Extração'!P:P,"Sim",'Extração'!L:L,A267)/B267)</f>
        <v/>
      </c>
      <c r="D267" s="16" t="str">
        <f>IF(B267=0,"",COUNTIFS('Extração'!Q:Q,"Sim",'Extração'!L:L,A267)/B267)</f>
        <v/>
      </c>
      <c r="E267" s="16" t="str">
        <f>IF(B267=0,"",COUNTIFS('Extração'!P:P,"Parcialmente",'Extração'!L:L,A267)/B267)</f>
        <v/>
      </c>
      <c r="F267" s="16" t="str">
        <f>IF(B267=0,"",COUNTIFS('Extração'!Q:Q,"Parcialmente",'Extração'!L:L,A267)/B267)</f>
        <v/>
      </c>
      <c r="G267" s="16" t="str">
        <f>IF(B267=0,"",COUNTIFS('Extração'!P:P,"Não",'Extração'!L:L,A267)/B267)</f>
        <v/>
      </c>
      <c r="H267" s="16" t="str">
        <f>IF(B267=0,"",COUNTIFS('Extração'!Q:Q,"Não",'Extração'!L:L,A267)/B267)</f>
        <v/>
      </c>
      <c r="I267" s="16" t="str">
        <f>IF(B267=0,"",COUNTIFS('Extração'!R:R,"Igual",'Extração'!L:L,A267)/B267)</f>
        <v/>
      </c>
    </row>
    <row r="268">
      <c r="B268" s="16">
        <f>COUNTIF('Extração'!L:L,A268)</f>
        <v>0</v>
      </c>
      <c r="C268" s="16" t="str">
        <f>IF(B268=0,"",COUNTIFS('Extração'!P:P,"Sim",'Extração'!L:L,A268)/B268)</f>
        <v/>
      </c>
      <c r="D268" s="16" t="str">
        <f>IF(B268=0,"",COUNTIFS('Extração'!Q:Q,"Sim",'Extração'!L:L,A268)/B268)</f>
        <v/>
      </c>
      <c r="E268" s="16" t="str">
        <f>IF(B268=0,"",COUNTIFS('Extração'!P:P,"Parcialmente",'Extração'!L:L,A268)/B268)</f>
        <v/>
      </c>
      <c r="F268" s="16" t="str">
        <f>IF(B268=0,"",COUNTIFS('Extração'!Q:Q,"Parcialmente",'Extração'!L:L,A268)/B268)</f>
        <v/>
      </c>
      <c r="G268" s="16" t="str">
        <f>IF(B268=0,"",COUNTIFS('Extração'!P:P,"Não",'Extração'!L:L,A268)/B268)</f>
        <v/>
      </c>
      <c r="H268" s="16" t="str">
        <f>IF(B268=0,"",COUNTIFS('Extração'!Q:Q,"Não",'Extração'!L:L,A268)/B268)</f>
        <v/>
      </c>
      <c r="I268" s="16" t="str">
        <f>IF(B268=0,"",COUNTIFS('Extração'!R:R,"Igual",'Extração'!L:L,A268)/B268)</f>
        <v/>
      </c>
    </row>
    <row r="269">
      <c r="B269" s="16">
        <f>COUNTIF('Extração'!L:L,A269)</f>
        <v>0</v>
      </c>
      <c r="C269" s="16" t="str">
        <f>IF(B269=0,"",COUNTIFS('Extração'!P:P,"Sim",'Extração'!L:L,A269)/B269)</f>
        <v/>
      </c>
      <c r="D269" s="16" t="str">
        <f>IF(B269=0,"",COUNTIFS('Extração'!Q:Q,"Sim",'Extração'!L:L,A269)/B269)</f>
        <v/>
      </c>
      <c r="E269" s="16" t="str">
        <f>IF(B269=0,"",COUNTIFS('Extração'!P:P,"Parcialmente",'Extração'!L:L,A269)/B269)</f>
        <v/>
      </c>
      <c r="F269" s="16" t="str">
        <f>IF(B269=0,"",COUNTIFS('Extração'!Q:Q,"Parcialmente",'Extração'!L:L,A269)/B269)</f>
        <v/>
      </c>
      <c r="G269" s="16" t="str">
        <f>IF(B269=0,"",COUNTIFS('Extração'!P:P,"Não",'Extração'!L:L,A269)/B269)</f>
        <v/>
      </c>
      <c r="H269" s="16" t="str">
        <f>IF(B269=0,"",COUNTIFS('Extração'!Q:Q,"Não",'Extração'!L:L,A269)/B269)</f>
        <v/>
      </c>
      <c r="I269" s="16" t="str">
        <f>IF(B269=0,"",COUNTIFS('Extração'!R:R,"Igual",'Extração'!L:L,A269)/B269)</f>
        <v/>
      </c>
    </row>
    <row r="270">
      <c r="B270" s="16">
        <f>COUNTIF('Extração'!L:L,A270)</f>
        <v>0</v>
      </c>
      <c r="C270" s="16" t="str">
        <f>IF(B270=0,"",COUNTIFS('Extração'!P:P,"Sim",'Extração'!L:L,A270)/B270)</f>
        <v/>
      </c>
      <c r="D270" s="16" t="str">
        <f>IF(B270=0,"",COUNTIFS('Extração'!Q:Q,"Sim",'Extração'!L:L,A270)/B270)</f>
        <v/>
      </c>
      <c r="E270" s="16" t="str">
        <f>IF(B270=0,"",COUNTIFS('Extração'!P:P,"Parcialmente",'Extração'!L:L,A270)/B270)</f>
        <v/>
      </c>
      <c r="F270" s="16" t="str">
        <f>IF(B270=0,"",COUNTIFS('Extração'!Q:Q,"Parcialmente",'Extração'!L:L,A270)/B270)</f>
        <v/>
      </c>
      <c r="G270" s="16" t="str">
        <f>IF(B270=0,"",COUNTIFS('Extração'!P:P,"Não",'Extração'!L:L,A270)/B270)</f>
        <v/>
      </c>
      <c r="H270" s="16" t="str">
        <f>IF(B270=0,"",COUNTIFS('Extração'!Q:Q,"Não",'Extração'!L:L,A270)/B270)</f>
        <v/>
      </c>
      <c r="I270" s="16" t="str">
        <f>IF(B270=0,"",COUNTIFS('Extração'!R:R,"Igual",'Extração'!L:L,A270)/B270)</f>
        <v/>
      </c>
    </row>
    <row r="271">
      <c r="B271" s="16">
        <f>COUNTIF('Extração'!L:L,A271)</f>
        <v>0</v>
      </c>
      <c r="C271" s="16" t="str">
        <f>IF(B271=0,"",COUNTIFS('Extração'!P:P,"Sim",'Extração'!L:L,A271)/B271)</f>
        <v/>
      </c>
      <c r="D271" s="16" t="str">
        <f>IF(B271=0,"",COUNTIFS('Extração'!Q:Q,"Sim",'Extração'!L:L,A271)/B271)</f>
        <v/>
      </c>
      <c r="E271" s="16" t="str">
        <f>IF(B271=0,"",COUNTIFS('Extração'!P:P,"Parcialmente",'Extração'!L:L,A271)/B271)</f>
        <v/>
      </c>
      <c r="F271" s="16" t="str">
        <f>IF(B271=0,"",COUNTIFS('Extração'!Q:Q,"Parcialmente",'Extração'!L:L,A271)/B271)</f>
        <v/>
      </c>
      <c r="G271" s="16" t="str">
        <f>IF(B271=0,"",COUNTIFS('Extração'!P:P,"Não",'Extração'!L:L,A271)/B271)</f>
        <v/>
      </c>
      <c r="H271" s="16" t="str">
        <f>IF(B271=0,"",COUNTIFS('Extração'!Q:Q,"Não",'Extração'!L:L,A271)/B271)</f>
        <v/>
      </c>
      <c r="I271" s="16" t="str">
        <f>IF(B271=0,"",COUNTIFS('Extração'!R:R,"Igual",'Extração'!L:L,A271)/B271)</f>
        <v/>
      </c>
    </row>
    <row r="272">
      <c r="B272" s="16">
        <f>COUNTIF('Extração'!L:L,A272)</f>
        <v>0</v>
      </c>
      <c r="C272" s="16" t="str">
        <f>IF(B272=0,"",COUNTIFS('Extração'!P:P,"Sim",'Extração'!L:L,A272)/B272)</f>
        <v/>
      </c>
      <c r="D272" s="16" t="str">
        <f>IF(B272=0,"",COUNTIFS('Extração'!Q:Q,"Sim",'Extração'!L:L,A272)/B272)</f>
        <v/>
      </c>
      <c r="E272" s="16" t="str">
        <f>IF(B272=0,"",COUNTIFS('Extração'!P:P,"Parcialmente",'Extração'!L:L,A272)/B272)</f>
        <v/>
      </c>
      <c r="F272" s="16" t="str">
        <f>IF(B272=0,"",COUNTIFS('Extração'!Q:Q,"Parcialmente",'Extração'!L:L,A272)/B272)</f>
        <v/>
      </c>
      <c r="G272" s="16" t="str">
        <f>IF(B272=0,"",COUNTIFS('Extração'!P:P,"Não",'Extração'!L:L,A272)/B272)</f>
        <v/>
      </c>
      <c r="H272" s="16" t="str">
        <f>IF(B272=0,"",COUNTIFS('Extração'!Q:Q,"Não",'Extração'!L:L,A272)/B272)</f>
        <v/>
      </c>
      <c r="I272" s="16" t="str">
        <f>IF(B272=0,"",COUNTIFS('Extração'!R:R,"Igual",'Extração'!L:L,A272)/B272)</f>
        <v/>
      </c>
    </row>
    <row r="273">
      <c r="B273" s="16">
        <f>COUNTIF('Extração'!L:L,A273)</f>
        <v>0</v>
      </c>
      <c r="C273" s="16" t="str">
        <f>IF(B273=0,"",COUNTIFS('Extração'!P:P,"Sim",'Extração'!L:L,A273)/B273)</f>
        <v/>
      </c>
      <c r="D273" s="16" t="str">
        <f>IF(B273=0,"",COUNTIFS('Extração'!Q:Q,"Sim",'Extração'!L:L,A273)/B273)</f>
        <v/>
      </c>
      <c r="E273" s="16" t="str">
        <f>IF(B273=0,"",COUNTIFS('Extração'!P:P,"Parcialmente",'Extração'!L:L,A273)/B273)</f>
        <v/>
      </c>
      <c r="F273" s="16" t="str">
        <f>IF(B273=0,"",COUNTIFS('Extração'!Q:Q,"Parcialmente",'Extração'!L:L,A273)/B273)</f>
        <v/>
      </c>
      <c r="G273" s="16" t="str">
        <f>IF(B273=0,"",COUNTIFS('Extração'!P:P,"Não",'Extração'!L:L,A273)/B273)</f>
        <v/>
      </c>
      <c r="H273" s="16" t="str">
        <f>IF(B273=0,"",COUNTIFS('Extração'!Q:Q,"Não",'Extração'!L:L,A273)/B273)</f>
        <v/>
      </c>
      <c r="I273" s="16" t="str">
        <f>IF(B273=0,"",COUNTIFS('Extração'!R:R,"Igual",'Extração'!L:L,A273)/B273)</f>
        <v/>
      </c>
    </row>
    <row r="274">
      <c r="B274" s="16">
        <f>COUNTIF('Extração'!L:L,A274)</f>
        <v>0</v>
      </c>
      <c r="C274" s="16" t="str">
        <f>IF(B274=0,"",COUNTIFS('Extração'!P:P,"Sim",'Extração'!L:L,A274)/B274)</f>
        <v/>
      </c>
      <c r="D274" s="16" t="str">
        <f>IF(B274=0,"",COUNTIFS('Extração'!Q:Q,"Sim",'Extração'!L:L,A274)/B274)</f>
        <v/>
      </c>
      <c r="E274" s="16" t="str">
        <f>IF(B274=0,"",COUNTIFS('Extração'!P:P,"Parcialmente",'Extração'!L:L,A274)/B274)</f>
        <v/>
      </c>
      <c r="F274" s="16" t="str">
        <f>IF(B274=0,"",COUNTIFS('Extração'!Q:Q,"Parcialmente",'Extração'!L:L,A274)/B274)</f>
        <v/>
      </c>
      <c r="G274" s="16" t="str">
        <f>IF(B274=0,"",COUNTIFS('Extração'!P:P,"Não",'Extração'!L:L,A274)/B274)</f>
        <v/>
      </c>
      <c r="H274" s="16" t="str">
        <f>IF(B274=0,"",COUNTIFS('Extração'!Q:Q,"Não",'Extração'!L:L,A274)/B274)</f>
        <v/>
      </c>
      <c r="I274" s="16" t="str">
        <f>IF(B274=0,"",COUNTIFS('Extração'!R:R,"Igual",'Extração'!L:L,A274)/B274)</f>
        <v/>
      </c>
    </row>
    <row r="275">
      <c r="B275" s="16">
        <f>COUNTIF('Extração'!L:L,A275)</f>
        <v>0</v>
      </c>
      <c r="C275" s="16" t="str">
        <f>IF(B275=0,"",COUNTIFS('Extração'!P:P,"Sim",'Extração'!L:L,A275)/B275)</f>
        <v/>
      </c>
      <c r="D275" s="16" t="str">
        <f>IF(B275=0,"",COUNTIFS('Extração'!Q:Q,"Sim",'Extração'!L:L,A275)/B275)</f>
        <v/>
      </c>
      <c r="E275" s="16" t="str">
        <f>IF(B275=0,"",COUNTIFS('Extração'!P:P,"Parcialmente",'Extração'!L:L,A275)/B275)</f>
        <v/>
      </c>
      <c r="F275" s="16" t="str">
        <f>IF(B275=0,"",COUNTIFS('Extração'!Q:Q,"Parcialmente",'Extração'!L:L,A275)/B275)</f>
        <v/>
      </c>
      <c r="G275" s="16" t="str">
        <f>IF(B275=0,"",COUNTIFS('Extração'!P:P,"Não",'Extração'!L:L,A275)/B275)</f>
        <v/>
      </c>
      <c r="H275" s="16" t="str">
        <f>IF(B275=0,"",COUNTIFS('Extração'!Q:Q,"Não",'Extração'!L:L,A275)/B275)</f>
        <v/>
      </c>
      <c r="I275" s="16" t="str">
        <f>IF(B275=0,"",COUNTIFS('Extração'!R:R,"Igual",'Extração'!L:L,A275)/B275)</f>
        <v/>
      </c>
    </row>
    <row r="276">
      <c r="B276" s="16">
        <f>COUNTIF('Extração'!L:L,A276)</f>
        <v>0</v>
      </c>
      <c r="C276" s="16" t="str">
        <f>IF(B276=0,"",COUNTIFS('Extração'!P:P,"Sim",'Extração'!L:L,A276)/B276)</f>
        <v/>
      </c>
      <c r="D276" s="16" t="str">
        <f>IF(B276=0,"",COUNTIFS('Extração'!Q:Q,"Sim",'Extração'!L:L,A276)/B276)</f>
        <v/>
      </c>
      <c r="E276" s="16" t="str">
        <f>IF(B276=0,"",COUNTIFS('Extração'!P:P,"Parcialmente",'Extração'!L:L,A276)/B276)</f>
        <v/>
      </c>
      <c r="F276" s="16" t="str">
        <f>IF(B276=0,"",COUNTIFS('Extração'!Q:Q,"Parcialmente",'Extração'!L:L,A276)/B276)</f>
        <v/>
      </c>
      <c r="G276" s="16" t="str">
        <f>IF(B276=0,"",COUNTIFS('Extração'!P:P,"Não",'Extração'!L:L,A276)/B276)</f>
        <v/>
      </c>
      <c r="H276" s="16" t="str">
        <f>IF(B276=0,"",COUNTIFS('Extração'!Q:Q,"Não",'Extração'!L:L,A276)/B276)</f>
        <v/>
      </c>
      <c r="I276" s="16" t="str">
        <f>IF(B276=0,"",COUNTIFS('Extração'!R:R,"Igual",'Extração'!L:L,A276)/B276)</f>
        <v/>
      </c>
    </row>
    <row r="277">
      <c r="B277" s="16">
        <f>COUNTIF('Extração'!L:L,A277)</f>
        <v>0</v>
      </c>
      <c r="C277" s="16" t="str">
        <f>IF(B277=0,"",COUNTIFS('Extração'!P:P,"Sim",'Extração'!L:L,A277)/B277)</f>
        <v/>
      </c>
      <c r="D277" s="16" t="str">
        <f>IF(B277=0,"",COUNTIFS('Extração'!Q:Q,"Sim",'Extração'!L:L,A277)/B277)</f>
        <v/>
      </c>
      <c r="E277" s="16" t="str">
        <f>IF(B277=0,"",COUNTIFS('Extração'!P:P,"Parcialmente",'Extração'!L:L,A277)/B277)</f>
        <v/>
      </c>
      <c r="F277" s="16" t="str">
        <f>IF(B277=0,"",COUNTIFS('Extração'!Q:Q,"Parcialmente",'Extração'!L:L,A277)/B277)</f>
        <v/>
      </c>
      <c r="G277" s="16" t="str">
        <f>IF(B277=0,"",COUNTIFS('Extração'!P:P,"Não",'Extração'!L:L,A277)/B277)</f>
        <v/>
      </c>
      <c r="H277" s="16" t="str">
        <f>IF(B277=0,"",COUNTIFS('Extração'!Q:Q,"Não",'Extração'!L:L,A277)/B277)</f>
        <v/>
      </c>
      <c r="I277" s="16" t="str">
        <f>IF(B277=0,"",COUNTIFS('Extração'!R:R,"Igual",'Extração'!L:L,A277)/B277)</f>
        <v/>
      </c>
    </row>
    <row r="278">
      <c r="B278" s="16">
        <f>COUNTIF('Extração'!L:L,A278)</f>
        <v>0</v>
      </c>
      <c r="C278" s="16" t="str">
        <f>IF(B278=0,"",COUNTIFS('Extração'!P:P,"Sim",'Extração'!L:L,A278)/B278)</f>
        <v/>
      </c>
      <c r="D278" s="16" t="str">
        <f>IF(B278=0,"",COUNTIFS('Extração'!Q:Q,"Sim",'Extração'!L:L,A278)/B278)</f>
        <v/>
      </c>
      <c r="E278" s="16" t="str">
        <f>IF(B278=0,"",COUNTIFS('Extração'!P:P,"Parcialmente",'Extração'!L:L,A278)/B278)</f>
        <v/>
      </c>
      <c r="F278" s="16" t="str">
        <f>IF(B278=0,"",COUNTIFS('Extração'!Q:Q,"Parcialmente",'Extração'!L:L,A278)/B278)</f>
        <v/>
      </c>
      <c r="G278" s="16" t="str">
        <f>IF(B278=0,"",COUNTIFS('Extração'!P:P,"Não",'Extração'!L:L,A278)/B278)</f>
        <v/>
      </c>
      <c r="H278" s="16" t="str">
        <f>IF(B278=0,"",COUNTIFS('Extração'!Q:Q,"Não",'Extração'!L:L,A278)/B278)</f>
        <v/>
      </c>
      <c r="I278" s="16" t="str">
        <f>IF(B278=0,"",COUNTIFS('Extração'!R:R,"Igual",'Extração'!L:L,A278)/B278)</f>
        <v/>
      </c>
    </row>
    <row r="279">
      <c r="B279" s="16">
        <f>COUNTIF('Extração'!L:L,A279)</f>
        <v>0</v>
      </c>
      <c r="C279" s="16" t="str">
        <f>IF(B279=0,"",COUNTIFS('Extração'!P:P,"Sim",'Extração'!L:L,A279)/B279)</f>
        <v/>
      </c>
      <c r="D279" s="16" t="str">
        <f>IF(B279=0,"",COUNTIFS('Extração'!Q:Q,"Sim",'Extração'!L:L,A279)/B279)</f>
        <v/>
      </c>
      <c r="E279" s="16" t="str">
        <f>IF(B279=0,"",COUNTIFS('Extração'!P:P,"Parcialmente",'Extração'!L:L,A279)/B279)</f>
        <v/>
      </c>
      <c r="F279" s="16" t="str">
        <f>IF(B279=0,"",COUNTIFS('Extração'!Q:Q,"Parcialmente",'Extração'!L:L,A279)/B279)</f>
        <v/>
      </c>
      <c r="G279" s="16" t="str">
        <f>IF(B279=0,"",COUNTIFS('Extração'!P:P,"Não",'Extração'!L:L,A279)/B279)</f>
        <v/>
      </c>
      <c r="H279" s="16" t="str">
        <f>IF(B279=0,"",COUNTIFS('Extração'!Q:Q,"Não",'Extração'!L:L,A279)/B279)</f>
        <v/>
      </c>
      <c r="I279" s="16" t="str">
        <f>IF(B279=0,"",COUNTIFS('Extração'!R:R,"Igual",'Extração'!L:L,A279)/B279)</f>
        <v/>
      </c>
    </row>
    <row r="280">
      <c r="B280" s="16">
        <f>COUNTIF('Extração'!L:L,A280)</f>
        <v>0</v>
      </c>
      <c r="C280" s="16" t="str">
        <f>IF(B280=0,"",COUNTIFS('Extração'!P:P,"Sim",'Extração'!L:L,A280)/B280)</f>
        <v/>
      </c>
      <c r="D280" s="16" t="str">
        <f>IF(B280=0,"",COUNTIFS('Extração'!Q:Q,"Sim",'Extração'!L:L,A280)/B280)</f>
        <v/>
      </c>
      <c r="E280" s="16" t="str">
        <f>IF(B280=0,"",COUNTIFS('Extração'!P:P,"Parcialmente",'Extração'!L:L,A280)/B280)</f>
        <v/>
      </c>
      <c r="F280" s="16" t="str">
        <f>IF(B280=0,"",COUNTIFS('Extração'!Q:Q,"Parcialmente",'Extração'!L:L,A280)/B280)</f>
        <v/>
      </c>
      <c r="G280" s="16" t="str">
        <f>IF(B280=0,"",COUNTIFS('Extração'!P:P,"Não",'Extração'!L:L,A280)/B280)</f>
        <v/>
      </c>
      <c r="H280" s="16" t="str">
        <f>IF(B280=0,"",COUNTIFS('Extração'!Q:Q,"Não",'Extração'!L:L,A280)/B280)</f>
        <v/>
      </c>
      <c r="I280" s="16" t="str">
        <f>IF(B280=0,"",COUNTIFS('Extração'!R:R,"Igual",'Extração'!L:L,A280)/B280)</f>
        <v/>
      </c>
    </row>
    <row r="281">
      <c r="B281" s="16">
        <f>COUNTIF('Extração'!L:L,A281)</f>
        <v>0</v>
      </c>
      <c r="C281" s="16" t="str">
        <f>IF(B281=0,"",COUNTIFS('Extração'!P:P,"Sim",'Extração'!L:L,A281)/B281)</f>
        <v/>
      </c>
      <c r="D281" s="16" t="str">
        <f>IF(B281=0,"",COUNTIFS('Extração'!Q:Q,"Sim",'Extração'!L:L,A281)/B281)</f>
        <v/>
      </c>
      <c r="E281" s="16" t="str">
        <f>IF(B281=0,"",COUNTIFS('Extração'!P:P,"Parcialmente",'Extração'!L:L,A281)/B281)</f>
        <v/>
      </c>
      <c r="F281" s="16" t="str">
        <f>IF(B281=0,"",COUNTIFS('Extração'!Q:Q,"Parcialmente",'Extração'!L:L,A281)/B281)</f>
        <v/>
      </c>
      <c r="G281" s="16" t="str">
        <f>IF(B281=0,"",COUNTIFS('Extração'!P:P,"Não",'Extração'!L:L,A281)/B281)</f>
        <v/>
      </c>
      <c r="H281" s="16" t="str">
        <f>IF(B281=0,"",COUNTIFS('Extração'!Q:Q,"Não",'Extração'!L:L,A281)/B281)</f>
        <v/>
      </c>
      <c r="I281" s="16" t="str">
        <f>IF(B281=0,"",COUNTIFS('Extração'!R:R,"Igual",'Extração'!L:L,A281)/B281)</f>
        <v/>
      </c>
    </row>
    <row r="282">
      <c r="B282" s="16">
        <f>COUNTIF('Extração'!L:L,A282)</f>
        <v>0</v>
      </c>
      <c r="C282" s="16" t="str">
        <f>IF(B282=0,"",COUNTIFS('Extração'!P:P,"Sim",'Extração'!L:L,A282)/B282)</f>
        <v/>
      </c>
      <c r="D282" s="16" t="str">
        <f>IF(B282=0,"",COUNTIFS('Extração'!Q:Q,"Sim",'Extração'!L:L,A282)/B282)</f>
        <v/>
      </c>
      <c r="E282" s="16" t="str">
        <f>IF(B282=0,"",COUNTIFS('Extração'!P:P,"Parcialmente",'Extração'!L:L,A282)/B282)</f>
        <v/>
      </c>
      <c r="F282" s="16" t="str">
        <f>IF(B282=0,"",COUNTIFS('Extração'!Q:Q,"Parcialmente",'Extração'!L:L,A282)/B282)</f>
        <v/>
      </c>
      <c r="G282" s="16" t="str">
        <f>IF(B282=0,"",COUNTIFS('Extração'!P:P,"Não",'Extração'!L:L,A282)/B282)</f>
        <v/>
      </c>
      <c r="H282" s="16" t="str">
        <f>IF(B282=0,"",COUNTIFS('Extração'!Q:Q,"Não",'Extração'!L:L,A282)/B282)</f>
        <v/>
      </c>
      <c r="I282" s="16" t="str">
        <f>IF(B282=0,"",COUNTIFS('Extração'!R:R,"Igual",'Extração'!L:L,A282)/B282)</f>
        <v/>
      </c>
    </row>
    <row r="283">
      <c r="B283" s="16">
        <f>COUNTIF('Extração'!L:L,A283)</f>
        <v>0</v>
      </c>
      <c r="C283" s="16" t="str">
        <f>IF(B283=0,"",COUNTIFS('Extração'!P:P,"Sim",'Extração'!L:L,A283)/B283)</f>
        <v/>
      </c>
      <c r="D283" s="16" t="str">
        <f>IF(B283=0,"",COUNTIFS('Extração'!Q:Q,"Sim",'Extração'!L:L,A283)/B283)</f>
        <v/>
      </c>
      <c r="E283" s="16" t="str">
        <f>IF(B283=0,"",COUNTIFS('Extração'!P:P,"Parcialmente",'Extração'!L:L,A283)/B283)</f>
        <v/>
      </c>
      <c r="F283" s="16" t="str">
        <f>IF(B283=0,"",COUNTIFS('Extração'!Q:Q,"Parcialmente",'Extração'!L:L,A283)/B283)</f>
        <v/>
      </c>
      <c r="G283" s="16" t="str">
        <f>IF(B283=0,"",COUNTIFS('Extração'!P:P,"Não",'Extração'!L:L,A283)/B283)</f>
        <v/>
      </c>
      <c r="H283" s="16" t="str">
        <f>IF(B283=0,"",COUNTIFS('Extração'!Q:Q,"Não",'Extração'!L:L,A283)/B283)</f>
        <v/>
      </c>
      <c r="I283" s="16" t="str">
        <f>IF(B283=0,"",COUNTIFS('Extração'!R:R,"Igual",'Extração'!L:L,A283)/B283)</f>
        <v/>
      </c>
    </row>
    <row r="284">
      <c r="B284" s="16">
        <f>COUNTIF('Extração'!L:L,A284)</f>
        <v>0</v>
      </c>
      <c r="C284" s="16" t="str">
        <f>IF(B284=0,"",COUNTIFS('Extração'!P:P,"Sim",'Extração'!L:L,A284)/B284)</f>
        <v/>
      </c>
      <c r="D284" s="16" t="str">
        <f>IF(B284=0,"",COUNTIFS('Extração'!Q:Q,"Sim",'Extração'!L:L,A284)/B284)</f>
        <v/>
      </c>
      <c r="E284" s="16" t="str">
        <f>IF(B284=0,"",COUNTIFS('Extração'!P:P,"Parcialmente",'Extração'!L:L,A284)/B284)</f>
        <v/>
      </c>
      <c r="F284" s="16" t="str">
        <f>IF(B284=0,"",COUNTIFS('Extração'!Q:Q,"Parcialmente",'Extração'!L:L,A284)/B284)</f>
        <v/>
      </c>
      <c r="G284" s="16" t="str">
        <f>IF(B284=0,"",COUNTIFS('Extração'!P:P,"Não",'Extração'!L:L,A284)/B284)</f>
        <v/>
      </c>
      <c r="H284" s="16" t="str">
        <f>IF(B284=0,"",COUNTIFS('Extração'!Q:Q,"Não",'Extração'!L:L,A284)/B284)</f>
        <v/>
      </c>
      <c r="I284" s="16" t="str">
        <f>IF(B284=0,"",COUNTIFS('Extração'!R:R,"Igual",'Extração'!L:L,A284)/B284)</f>
        <v/>
      </c>
    </row>
    <row r="285">
      <c r="B285" s="16">
        <f>COUNTIF('Extração'!L:L,A285)</f>
        <v>0</v>
      </c>
      <c r="C285" s="16" t="str">
        <f>IF(B285=0,"",COUNTIFS('Extração'!P:P,"Sim",'Extração'!L:L,A285)/B285)</f>
        <v/>
      </c>
      <c r="D285" s="16" t="str">
        <f>IF(B285=0,"",COUNTIFS('Extração'!Q:Q,"Sim",'Extração'!L:L,A285)/B285)</f>
        <v/>
      </c>
      <c r="E285" s="16" t="str">
        <f>IF(B285=0,"",COUNTIFS('Extração'!P:P,"Parcialmente",'Extração'!L:L,A285)/B285)</f>
        <v/>
      </c>
      <c r="F285" s="16" t="str">
        <f>IF(B285=0,"",COUNTIFS('Extração'!Q:Q,"Parcialmente",'Extração'!L:L,A285)/B285)</f>
        <v/>
      </c>
      <c r="G285" s="16" t="str">
        <f>IF(B285=0,"",COUNTIFS('Extração'!P:P,"Não",'Extração'!L:L,A285)/B285)</f>
        <v/>
      </c>
      <c r="H285" s="16" t="str">
        <f>IF(B285=0,"",COUNTIFS('Extração'!Q:Q,"Não",'Extração'!L:L,A285)/B285)</f>
        <v/>
      </c>
      <c r="I285" s="16" t="str">
        <f>IF(B285=0,"",COUNTIFS('Extração'!R:R,"Igual",'Extração'!L:L,A285)/B285)</f>
        <v/>
      </c>
    </row>
    <row r="286">
      <c r="B286" s="16">
        <f>COUNTIF('Extração'!L:L,A286)</f>
        <v>0</v>
      </c>
      <c r="C286" s="16" t="str">
        <f>IF(B286=0,"",COUNTIFS('Extração'!P:P,"Sim",'Extração'!L:L,A286)/B286)</f>
        <v/>
      </c>
      <c r="D286" s="16" t="str">
        <f>IF(B286=0,"",COUNTIFS('Extração'!Q:Q,"Sim",'Extração'!L:L,A286)/B286)</f>
        <v/>
      </c>
      <c r="E286" s="16" t="str">
        <f>IF(B286=0,"",COUNTIFS('Extração'!P:P,"Parcialmente",'Extração'!L:L,A286)/B286)</f>
        <v/>
      </c>
      <c r="F286" s="16" t="str">
        <f>IF(B286=0,"",COUNTIFS('Extração'!Q:Q,"Parcialmente",'Extração'!L:L,A286)/B286)</f>
        <v/>
      </c>
      <c r="G286" s="16" t="str">
        <f>IF(B286=0,"",COUNTIFS('Extração'!P:P,"Não",'Extração'!L:L,A286)/B286)</f>
        <v/>
      </c>
      <c r="H286" s="16" t="str">
        <f>IF(B286=0,"",COUNTIFS('Extração'!Q:Q,"Não",'Extração'!L:L,A286)/B286)</f>
        <v/>
      </c>
      <c r="I286" s="16" t="str">
        <f>IF(B286=0,"",COUNTIFS('Extração'!R:R,"Igual",'Extração'!L:L,A286)/B286)</f>
        <v/>
      </c>
    </row>
    <row r="287">
      <c r="B287" s="16">
        <f>COUNTIF('Extração'!L:L,A287)</f>
        <v>0</v>
      </c>
      <c r="C287" s="16" t="str">
        <f>IF(B287=0,"",COUNTIFS('Extração'!P:P,"Sim",'Extração'!L:L,A287)/B287)</f>
        <v/>
      </c>
      <c r="D287" s="16" t="str">
        <f>IF(B287=0,"",COUNTIFS('Extração'!Q:Q,"Sim",'Extração'!L:L,A287)/B287)</f>
        <v/>
      </c>
      <c r="E287" s="16" t="str">
        <f>IF(B287=0,"",COUNTIFS('Extração'!P:P,"Parcialmente",'Extração'!L:L,A287)/B287)</f>
        <v/>
      </c>
      <c r="F287" s="16" t="str">
        <f>IF(B287=0,"",COUNTIFS('Extração'!Q:Q,"Parcialmente",'Extração'!L:L,A287)/B287)</f>
        <v/>
      </c>
      <c r="G287" s="16" t="str">
        <f>IF(B287=0,"",COUNTIFS('Extração'!P:P,"Não",'Extração'!L:L,A287)/B287)</f>
        <v/>
      </c>
      <c r="H287" s="16" t="str">
        <f>IF(B287=0,"",COUNTIFS('Extração'!Q:Q,"Não",'Extração'!L:L,A287)/B287)</f>
        <v/>
      </c>
      <c r="I287" s="16" t="str">
        <f>IF(B287=0,"",COUNTIFS('Extração'!R:R,"Igual",'Extração'!L:L,A287)/B287)</f>
        <v/>
      </c>
    </row>
    <row r="288">
      <c r="B288" s="16">
        <f>COUNTIF('Extração'!L:L,A288)</f>
        <v>0</v>
      </c>
      <c r="C288" s="16" t="str">
        <f>IF(B288=0,"",COUNTIFS('Extração'!P:P,"Sim",'Extração'!L:L,A288)/B288)</f>
        <v/>
      </c>
      <c r="D288" s="16" t="str">
        <f>IF(B288=0,"",COUNTIFS('Extração'!Q:Q,"Sim",'Extração'!L:L,A288)/B288)</f>
        <v/>
      </c>
      <c r="E288" s="16" t="str">
        <f>IF(B288=0,"",COUNTIFS('Extração'!P:P,"Parcialmente",'Extração'!L:L,A288)/B288)</f>
        <v/>
      </c>
      <c r="F288" s="16" t="str">
        <f>IF(B288=0,"",COUNTIFS('Extração'!Q:Q,"Parcialmente",'Extração'!L:L,A288)/B288)</f>
        <v/>
      </c>
      <c r="G288" s="16" t="str">
        <f>IF(B288=0,"",COUNTIFS('Extração'!P:P,"Não",'Extração'!L:L,A288)/B288)</f>
        <v/>
      </c>
      <c r="H288" s="16" t="str">
        <f>IF(B288=0,"",COUNTIFS('Extração'!Q:Q,"Não",'Extração'!L:L,A288)/B288)</f>
        <v/>
      </c>
      <c r="I288" s="16" t="str">
        <f>IF(B288=0,"",COUNTIFS('Extração'!R:R,"Igual",'Extração'!L:L,A288)/B288)</f>
        <v/>
      </c>
    </row>
    <row r="289">
      <c r="B289" s="16">
        <f>COUNTIF('Extração'!L:L,A289)</f>
        <v>0</v>
      </c>
      <c r="C289" s="16" t="str">
        <f>IF(B289=0,"",COUNTIFS('Extração'!P:P,"Sim",'Extração'!L:L,A289)/B289)</f>
        <v/>
      </c>
      <c r="D289" s="16" t="str">
        <f>IF(B289=0,"",COUNTIFS('Extração'!Q:Q,"Sim",'Extração'!L:L,A289)/B289)</f>
        <v/>
      </c>
      <c r="E289" s="16" t="str">
        <f>IF(B289=0,"",COUNTIFS('Extração'!P:P,"Parcialmente",'Extração'!L:L,A289)/B289)</f>
        <v/>
      </c>
      <c r="F289" s="16" t="str">
        <f>IF(B289=0,"",COUNTIFS('Extração'!Q:Q,"Parcialmente",'Extração'!L:L,A289)/B289)</f>
        <v/>
      </c>
      <c r="G289" s="16" t="str">
        <f>IF(B289=0,"",COUNTIFS('Extração'!P:P,"Não",'Extração'!L:L,A289)/B289)</f>
        <v/>
      </c>
      <c r="H289" s="16" t="str">
        <f>IF(B289=0,"",COUNTIFS('Extração'!Q:Q,"Não",'Extração'!L:L,A289)/B289)</f>
        <v/>
      </c>
      <c r="I289" s="16" t="str">
        <f>IF(B289=0,"",COUNTIFS('Extração'!R:R,"Igual",'Extração'!L:L,A289)/B289)</f>
        <v/>
      </c>
    </row>
    <row r="290">
      <c r="B290" s="16">
        <f>COUNTIF('Extração'!L:L,A290)</f>
        <v>0</v>
      </c>
      <c r="C290" s="16" t="str">
        <f>IF(B290=0,"",COUNTIFS('Extração'!P:P,"Sim",'Extração'!L:L,A290)/B290)</f>
        <v/>
      </c>
      <c r="D290" s="16" t="str">
        <f>IF(B290=0,"",COUNTIFS('Extração'!Q:Q,"Sim",'Extração'!L:L,A290)/B290)</f>
        <v/>
      </c>
      <c r="E290" s="16" t="str">
        <f>IF(B290=0,"",COUNTIFS('Extração'!P:P,"Parcialmente",'Extração'!L:L,A290)/B290)</f>
        <v/>
      </c>
      <c r="F290" s="16" t="str">
        <f>IF(B290=0,"",COUNTIFS('Extração'!Q:Q,"Parcialmente",'Extração'!L:L,A290)/B290)</f>
        <v/>
      </c>
      <c r="G290" s="16" t="str">
        <f>IF(B290=0,"",COUNTIFS('Extração'!P:P,"Não",'Extração'!L:L,A290)/B290)</f>
        <v/>
      </c>
      <c r="H290" s="16" t="str">
        <f>IF(B290=0,"",COUNTIFS('Extração'!Q:Q,"Não",'Extração'!L:L,A290)/B290)</f>
        <v/>
      </c>
      <c r="I290" s="16" t="str">
        <f>IF(B290=0,"",COUNTIFS('Extração'!R:R,"Igual",'Extração'!L:L,A290)/B290)</f>
        <v/>
      </c>
    </row>
    <row r="291">
      <c r="B291" s="16">
        <f>COUNTIF('Extração'!L:L,A291)</f>
        <v>0</v>
      </c>
      <c r="C291" s="16" t="str">
        <f>IF(B291=0,"",COUNTIFS('Extração'!P:P,"Sim",'Extração'!L:L,A291)/B291)</f>
        <v/>
      </c>
      <c r="D291" s="16" t="str">
        <f>IF(B291=0,"",COUNTIFS('Extração'!Q:Q,"Sim",'Extração'!L:L,A291)/B291)</f>
        <v/>
      </c>
      <c r="E291" s="16" t="str">
        <f>IF(B291=0,"",COUNTIFS('Extração'!P:P,"Parcialmente",'Extração'!L:L,A291)/B291)</f>
        <v/>
      </c>
      <c r="F291" s="16" t="str">
        <f>IF(B291=0,"",COUNTIFS('Extração'!Q:Q,"Parcialmente",'Extração'!L:L,A291)/B291)</f>
        <v/>
      </c>
      <c r="G291" s="16" t="str">
        <f>IF(B291=0,"",COUNTIFS('Extração'!P:P,"Não",'Extração'!L:L,A291)/B291)</f>
        <v/>
      </c>
      <c r="H291" s="16" t="str">
        <f>IF(B291=0,"",COUNTIFS('Extração'!Q:Q,"Não",'Extração'!L:L,A291)/B291)</f>
        <v/>
      </c>
      <c r="I291" s="16" t="str">
        <f>IF(B291=0,"",COUNTIFS('Extração'!R:R,"Igual",'Extração'!L:L,A291)/B291)</f>
        <v/>
      </c>
    </row>
    <row r="292">
      <c r="B292" s="16">
        <f>COUNTIF('Extração'!L:L,A292)</f>
        <v>0</v>
      </c>
      <c r="C292" s="16" t="str">
        <f>IF(B292=0,"",COUNTIFS('Extração'!P:P,"Sim",'Extração'!L:L,A292)/B292)</f>
        <v/>
      </c>
      <c r="D292" s="16" t="str">
        <f>IF(B292=0,"",COUNTIFS('Extração'!Q:Q,"Sim",'Extração'!L:L,A292)/B292)</f>
        <v/>
      </c>
      <c r="E292" s="16" t="str">
        <f>IF(B292=0,"",COUNTIFS('Extração'!P:P,"Parcialmente",'Extração'!L:L,A292)/B292)</f>
        <v/>
      </c>
      <c r="F292" s="16" t="str">
        <f>IF(B292=0,"",COUNTIFS('Extração'!Q:Q,"Parcialmente",'Extração'!L:L,A292)/B292)</f>
        <v/>
      </c>
      <c r="G292" s="16" t="str">
        <f>IF(B292=0,"",COUNTIFS('Extração'!P:P,"Não",'Extração'!L:L,A292)/B292)</f>
        <v/>
      </c>
      <c r="H292" s="16" t="str">
        <f>IF(B292=0,"",COUNTIFS('Extração'!Q:Q,"Não",'Extração'!L:L,A292)/B292)</f>
        <v/>
      </c>
      <c r="I292" s="16" t="str">
        <f>IF(B292=0,"",COUNTIFS('Extração'!R:R,"Igual",'Extração'!L:L,A292)/B292)</f>
        <v/>
      </c>
    </row>
    <row r="293">
      <c r="B293" s="16">
        <f>COUNTIF('Extração'!L:L,A293)</f>
        <v>0</v>
      </c>
      <c r="C293" s="16" t="str">
        <f>IF(B293=0,"",COUNTIFS('Extração'!P:P,"Sim",'Extração'!L:L,A293)/B293)</f>
        <v/>
      </c>
      <c r="D293" s="16" t="str">
        <f>IF(B293=0,"",COUNTIFS('Extração'!Q:Q,"Sim",'Extração'!L:L,A293)/B293)</f>
        <v/>
      </c>
      <c r="E293" s="16" t="str">
        <f>IF(B293=0,"",COUNTIFS('Extração'!P:P,"Parcialmente",'Extração'!L:L,A293)/B293)</f>
        <v/>
      </c>
      <c r="F293" s="16" t="str">
        <f>IF(B293=0,"",COUNTIFS('Extração'!Q:Q,"Parcialmente",'Extração'!L:L,A293)/B293)</f>
        <v/>
      </c>
      <c r="G293" s="16" t="str">
        <f>IF(B293=0,"",COUNTIFS('Extração'!P:P,"Não",'Extração'!L:L,A293)/B293)</f>
        <v/>
      </c>
      <c r="H293" s="16" t="str">
        <f>IF(B293=0,"",COUNTIFS('Extração'!Q:Q,"Não",'Extração'!L:L,A293)/B293)</f>
        <v/>
      </c>
      <c r="I293" s="16" t="str">
        <f>IF(B293=0,"",COUNTIFS('Extração'!R:R,"Igual",'Extração'!L:L,A293)/B293)</f>
        <v/>
      </c>
    </row>
    <row r="294">
      <c r="B294" s="16">
        <f>COUNTIF('Extração'!L:L,A294)</f>
        <v>0</v>
      </c>
      <c r="C294" s="16" t="str">
        <f>IF(B294=0,"",COUNTIFS('Extração'!P:P,"Sim",'Extração'!L:L,A294)/B294)</f>
        <v/>
      </c>
      <c r="D294" s="16" t="str">
        <f>IF(B294=0,"",COUNTIFS('Extração'!Q:Q,"Sim",'Extração'!L:L,A294)/B294)</f>
        <v/>
      </c>
      <c r="E294" s="16" t="str">
        <f>IF(B294=0,"",COUNTIFS('Extração'!P:P,"Parcialmente",'Extração'!L:L,A294)/B294)</f>
        <v/>
      </c>
      <c r="F294" s="16" t="str">
        <f>IF(B294=0,"",COUNTIFS('Extração'!Q:Q,"Parcialmente",'Extração'!L:L,A294)/B294)</f>
        <v/>
      </c>
      <c r="G294" s="16" t="str">
        <f>IF(B294=0,"",COUNTIFS('Extração'!P:P,"Não",'Extração'!L:L,A294)/B294)</f>
        <v/>
      </c>
      <c r="H294" s="16" t="str">
        <f>IF(B294=0,"",COUNTIFS('Extração'!Q:Q,"Não",'Extração'!L:L,A294)/B294)</f>
        <v/>
      </c>
      <c r="I294" s="16" t="str">
        <f>IF(B294=0,"",COUNTIFS('Extração'!R:R,"Igual",'Extração'!L:L,A294)/B294)</f>
        <v/>
      </c>
    </row>
    <row r="295">
      <c r="B295" s="16">
        <f>COUNTIF('Extração'!L:L,A295)</f>
        <v>0</v>
      </c>
      <c r="C295" s="16" t="str">
        <f>IF(B295=0,"",COUNTIFS('Extração'!P:P,"Sim",'Extração'!L:L,A295)/B295)</f>
        <v/>
      </c>
      <c r="D295" s="16" t="str">
        <f>IF(B295=0,"",COUNTIFS('Extração'!Q:Q,"Sim",'Extração'!L:L,A295)/B295)</f>
        <v/>
      </c>
      <c r="E295" s="16" t="str">
        <f>IF(B295=0,"",COUNTIFS('Extração'!P:P,"Parcialmente",'Extração'!L:L,A295)/B295)</f>
        <v/>
      </c>
      <c r="F295" s="16" t="str">
        <f>IF(B295=0,"",COUNTIFS('Extração'!Q:Q,"Parcialmente",'Extração'!L:L,A295)/B295)</f>
        <v/>
      </c>
      <c r="G295" s="16" t="str">
        <f>IF(B295=0,"",COUNTIFS('Extração'!P:P,"Não",'Extração'!L:L,A295)/B295)</f>
        <v/>
      </c>
      <c r="H295" s="16" t="str">
        <f>IF(B295=0,"",COUNTIFS('Extração'!Q:Q,"Não",'Extração'!L:L,A295)/B295)</f>
        <v/>
      </c>
      <c r="I295" s="16" t="str">
        <f>IF(B295=0,"",COUNTIFS('Extração'!R:R,"Igual",'Extração'!L:L,A295)/B295)</f>
        <v/>
      </c>
    </row>
    <row r="296">
      <c r="B296" s="16">
        <f>COUNTIF('Extração'!L:L,A296)</f>
        <v>0</v>
      </c>
      <c r="C296" s="16" t="str">
        <f>IF(B296=0,"",COUNTIFS('Extração'!P:P,"Sim",'Extração'!L:L,A296)/B296)</f>
        <v/>
      </c>
      <c r="D296" s="16" t="str">
        <f>IF(B296=0,"",COUNTIFS('Extração'!Q:Q,"Sim",'Extração'!L:L,A296)/B296)</f>
        <v/>
      </c>
      <c r="E296" s="16" t="str">
        <f>IF(B296=0,"",COUNTIFS('Extração'!P:P,"Parcialmente",'Extração'!L:L,A296)/B296)</f>
        <v/>
      </c>
      <c r="F296" s="16" t="str">
        <f>IF(B296=0,"",COUNTIFS('Extração'!Q:Q,"Parcialmente",'Extração'!L:L,A296)/B296)</f>
        <v/>
      </c>
      <c r="G296" s="16" t="str">
        <f>IF(B296=0,"",COUNTIFS('Extração'!P:P,"Não",'Extração'!L:L,A296)/B296)</f>
        <v/>
      </c>
      <c r="H296" s="16" t="str">
        <f>IF(B296=0,"",COUNTIFS('Extração'!Q:Q,"Não",'Extração'!L:L,A296)/B296)</f>
        <v/>
      </c>
      <c r="I296" s="16" t="str">
        <f>IF(B296=0,"",COUNTIFS('Extração'!R:R,"Igual",'Extração'!L:L,A296)/B296)</f>
        <v/>
      </c>
    </row>
    <row r="297">
      <c r="B297" s="16">
        <f>COUNTIF('Extração'!L:L,A297)</f>
        <v>0</v>
      </c>
      <c r="C297" s="16" t="str">
        <f>IF(B297=0,"",COUNTIFS('Extração'!P:P,"Sim",'Extração'!L:L,A297)/B297)</f>
        <v/>
      </c>
      <c r="D297" s="16" t="str">
        <f>IF(B297=0,"",COUNTIFS('Extração'!Q:Q,"Sim",'Extração'!L:L,A297)/B297)</f>
        <v/>
      </c>
      <c r="E297" s="16" t="str">
        <f>IF(B297=0,"",COUNTIFS('Extração'!P:P,"Parcialmente",'Extração'!L:L,A297)/B297)</f>
        <v/>
      </c>
      <c r="F297" s="16" t="str">
        <f>IF(B297=0,"",COUNTIFS('Extração'!Q:Q,"Parcialmente",'Extração'!L:L,A297)/B297)</f>
        <v/>
      </c>
      <c r="G297" s="16" t="str">
        <f>IF(B297=0,"",COUNTIFS('Extração'!P:P,"Não",'Extração'!L:L,A297)/B297)</f>
        <v/>
      </c>
      <c r="H297" s="16" t="str">
        <f>IF(B297=0,"",COUNTIFS('Extração'!Q:Q,"Não",'Extração'!L:L,A297)/B297)</f>
        <v/>
      </c>
      <c r="I297" s="16" t="str">
        <f>IF(B297=0,"",COUNTIFS('Extração'!R:R,"Igual",'Extração'!L:L,A297)/B297)</f>
        <v/>
      </c>
    </row>
    <row r="298">
      <c r="B298" s="16">
        <f>COUNTIF('Extração'!L:L,A298)</f>
        <v>0</v>
      </c>
      <c r="C298" s="16" t="str">
        <f>IF(B298=0,"",COUNTIFS('Extração'!P:P,"Sim",'Extração'!L:L,A298)/B298)</f>
        <v/>
      </c>
      <c r="D298" s="16" t="str">
        <f>IF(B298=0,"",COUNTIFS('Extração'!Q:Q,"Sim",'Extração'!L:L,A298)/B298)</f>
        <v/>
      </c>
      <c r="E298" s="16" t="str">
        <f>IF(B298=0,"",COUNTIFS('Extração'!P:P,"Parcialmente",'Extração'!L:L,A298)/B298)</f>
        <v/>
      </c>
      <c r="F298" s="16" t="str">
        <f>IF(B298=0,"",COUNTIFS('Extração'!Q:Q,"Parcialmente",'Extração'!L:L,A298)/B298)</f>
        <v/>
      </c>
      <c r="G298" s="16" t="str">
        <f>IF(B298=0,"",COUNTIFS('Extração'!P:P,"Não",'Extração'!L:L,A298)/B298)</f>
        <v/>
      </c>
      <c r="H298" s="16" t="str">
        <f>IF(B298=0,"",COUNTIFS('Extração'!Q:Q,"Não",'Extração'!L:L,A298)/B298)</f>
        <v/>
      </c>
      <c r="I298" s="16" t="str">
        <f>IF(B298=0,"",COUNTIFS('Extração'!R:R,"Igual",'Extração'!L:L,A298)/B298)</f>
        <v/>
      </c>
    </row>
    <row r="299">
      <c r="B299" s="16">
        <f>COUNTIF('Extração'!L:L,A299)</f>
        <v>0</v>
      </c>
      <c r="C299" s="16" t="str">
        <f>IF(B299=0,"",COUNTIFS('Extração'!P:P,"Sim",'Extração'!L:L,A299)/B299)</f>
        <v/>
      </c>
      <c r="D299" s="16" t="str">
        <f>IF(B299=0,"",COUNTIFS('Extração'!Q:Q,"Sim",'Extração'!L:L,A299)/B299)</f>
        <v/>
      </c>
      <c r="E299" s="16" t="str">
        <f>IF(B299=0,"",COUNTIFS('Extração'!P:P,"Parcialmente",'Extração'!L:L,A299)/B299)</f>
        <v/>
      </c>
      <c r="F299" s="16" t="str">
        <f>IF(B299=0,"",COUNTIFS('Extração'!Q:Q,"Parcialmente",'Extração'!L:L,A299)/B299)</f>
        <v/>
      </c>
      <c r="G299" s="16" t="str">
        <f>IF(B299=0,"",COUNTIFS('Extração'!P:P,"Não",'Extração'!L:L,A299)/B299)</f>
        <v/>
      </c>
      <c r="H299" s="16" t="str">
        <f>IF(B299=0,"",COUNTIFS('Extração'!Q:Q,"Não",'Extração'!L:L,A299)/B299)</f>
        <v/>
      </c>
      <c r="I299" s="16" t="str">
        <f>IF(B299=0,"",COUNTIFS('Extração'!R:R,"Igual",'Extração'!L:L,A299)/B299)</f>
        <v/>
      </c>
    </row>
    <row r="300">
      <c r="B300" s="16">
        <f>COUNTIF('Extração'!L:L,A300)</f>
        <v>0</v>
      </c>
      <c r="C300" s="16" t="str">
        <f>IF(B300=0,"",COUNTIFS('Extração'!P:P,"Sim",'Extração'!L:L,A300)/B300)</f>
        <v/>
      </c>
      <c r="D300" s="16" t="str">
        <f>IF(B300=0,"",COUNTIFS('Extração'!Q:Q,"Sim",'Extração'!L:L,A300)/B300)</f>
        <v/>
      </c>
      <c r="E300" s="16" t="str">
        <f>IF(B300=0,"",COUNTIFS('Extração'!P:P,"Parcialmente",'Extração'!L:L,A300)/B300)</f>
        <v/>
      </c>
      <c r="F300" s="16" t="str">
        <f>IF(B300=0,"",COUNTIFS('Extração'!Q:Q,"Parcialmente",'Extração'!L:L,A300)/B300)</f>
        <v/>
      </c>
      <c r="G300" s="16" t="str">
        <f>IF(B300=0,"",COUNTIFS('Extração'!P:P,"Não",'Extração'!L:L,A300)/B300)</f>
        <v/>
      </c>
      <c r="H300" s="16" t="str">
        <f>IF(B300=0,"",COUNTIFS('Extração'!Q:Q,"Não",'Extração'!L:L,A300)/B300)</f>
        <v/>
      </c>
      <c r="I300" s="16" t="str">
        <f>IF(B300=0,"",COUNTIFS('Extração'!R:R,"Igual",'Extração'!L:L,A300)/B300)</f>
        <v/>
      </c>
    </row>
    <row r="301">
      <c r="B301" s="16">
        <f>COUNTIF('Extração'!L:L,A301)</f>
        <v>0</v>
      </c>
      <c r="C301" s="16" t="str">
        <f>IF(B301=0,"",COUNTIFS('Extração'!P:P,"Sim",'Extração'!L:L,A301)/B301)</f>
        <v/>
      </c>
      <c r="D301" s="16" t="str">
        <f>IF(B301=0,"",COUNTIFS('Extração'!Q:Q,"Sim",'Extração'!L:L,A301)/B301)</f>
        <v/>
      </c>
      <c r="E301" s="16" t="str">
        <f>IF(B301=0,"",COUNTIFS('Extração'!P:P,"Parcialmente",'Extração'!L:L,A301)/B301)</f>
        <v/>
      </c>
      <c r="F301" s="16" t="str">
        <f>IF(B301=0,"",COUNTIFS('Extração'!Q:Q,"Parcialmente",'Extração'!L:L,A301)/B301)</f>
        <v/>
      </c>
      <c r="G301" s="16" t="str">
        <f>IF(B301=0,"",COUNTIFS('Extração'!P:P,"Não",'Extração'!L:L,A301)/B301)</f>
        <v/>
      </c>
      <c r="H301" s="16" t="str">
        <f>IF(B301=0,"",COUNTIFS('Extração'!Q:Q,"Não",'Extração'!L:L,A301)/B301)</f>
        <v/>
      </c>
      <c r="I301" s="16" t="str">
        <f>IF(B301=0,"",COUNTIFS('Extração'!R:R,"Igual",'Extração'!L:L,A301)/B301)</f>
        <v/>
      </c>
    </row>
    <row r="302">
      <c r="B302" s="16">
        <f>COUNTIF('Extração'!L:L,A302)</f>
        <v>0</v>
      </c>
      <c r="C302" s="16" t="str">
        <f>IF(B302=0,"",COUNTIFS('Extração'!P:P,"Sim",'Extração'!L:L,A302)/B302)</f>
        <v/>
      </c>
      <c r="D302" s="16" t="str">
        <f>IF(B302=0,"",COUNTIFS('Extração'!Q:Q,"Sim",'Extração'!L:L,A302)/B302)</f>
        <v/>
      </c>
      <c r="E302" s="16" t="str">
        <f>IF(B302=0,"",COUNTIFS('Extração'!P:P,"Parcialmente",'Extração'!L:L,A302)/B302)</f>
        <v/>
      </c>
      <c r="F302" s="16" t="str">
        <f>IF(B302=0,"",COUNTIFS('Extração'!Q:Q,"Parcialmente",'Extração'!L:L,A302)/B302)</f>
        <v/>
      </c>
      <c r="G302" s="16" t="str">
        <f>IF(B302=0,"",COUNTIFS('Extração'!P:P,"Não",'Extração'!L:L,A302)/B302)</f>
        <v/>
      </c>
      <c r="H302" s="16" t="str">
        <f>IF(B302=0,"",COUNTIFS('Extração'!Q:Q,"Não",'Extração'!L:L,A302)/B302)</f>
        <v/>
      </c>
      <c r="I302" s="16" t="str">
        <f>IF(B302=0,"",COUNTIFS('Extração'!R:R,"Igual",'Extração'!L:L,A302)/B302)</f>
        <v/>
      </c>
    </row>
    <row r="303">
      <c r="B303" s="16">
        <f>COUNTIF('Extração'!L:L,A303)</f>
        <v>0</v>
      </c>
      <c r="C303" s="16" t="str">
        <f>IF(B303=0,"",COUNTIFS('Extração'!P:P,"Sim",'Extração'!L:L,A303)/B303)</f>
        <v/>
      </c>
      <c r="D303" s="16" t="str">
        <f>IF(B303=0,"",COUNTIFS('Extração'!Q:Q,"Sim",'Extração'!L:L,A303)/B303)</f>
        <v/>
      </c>
      <c r="E303" s="16" t="str">
        <f>IF(B303=0,"",COUNTIFS('Extração'!P:P,"Parcialmente",'Extração'!L:L,A303)/B303)</f>
        <v/>
      </c>
      <c r="F303" s="16" t="str">
        <f>IF(B303=0,"",COUNTIFS('Extração'!Q:Q,"Parcialmente",'Extração'!L:L,A303)/B303)</f>
        <v/>
      </c>
      <c r="G303" s="16" t="str">
        <f>IF(B303=0,"",COUNTIFS('Extração'!P:P,"Não",'Extração'!L:L,A303)/B303)</f>
        <v/>
      </c>
      <c r="H303" s="16" t="str">
        <f>IF(B303=0,"",COUNTIFS('Extração'!Q:Q,"Não",'Extração'!L:L,A303)/B303)</f>
        <v/>
      </c>
      <c r="I303" s="16" t="str">
        <f>IF(B303=0,"",COUNTIFS('Extração'!R:R,"Igual",'Extração'!L:L,A303)/B303)</f>
        <v/>
      </c>
    </row>
    <row r="304">
      <c r="B304" s="16">
        <f>COUNTIF('Extração'!L:L,A304)</f>
        <v>0</v>
      </c>
      <c r="C304" s="16" t="str">
        <f>IF(B304=0,"",COUNTIFS('Extração'!P:P,"Sim",'Extração'!L:L,A304)/B304)</f>
        <v/>
      </c>
      <c r="D304" s="16" t="str">
        <f>IF(B304=0,"",COUNTIFS('Extração'!Q:Q,"Sim",'Extração'!L:L,A304)/B304)</f>
        <v/>
      </c>
      <c r="E304" s="16" t="str">
        <f>IF(B304=0,"",COUNTIFS('Extração'!P:P,"Parcialmente",'Extração'!L:L,A304)/B304)</f>
        <v/>
      </c>
      <c r="F304" s="16" t="str">
        <f>IF(B304=0,"",COUNTIFS('Extração'!Q:Q,"Parcialmente",'Extração'!L:L,A304)/B304)</f>
        <v/>
      </c>
      <c r="G304" s="16" t="str">
        <f>IF(B304=0,"",COUNTIFS('Extração'!P:P,"Não",'Extração'!L:L,A304)/B304)</f>
        <v/>
      </c>
      <c r="H304" s="16" t="str">
        <f>IF(B304=0,"",COUNTIFS('Extração'!Q:Q,"Não",'Extração'!L:L,A304)/B304)</f>
        <v/>
      </c>
      <c r="I304" s="16" t="str">
        <f>IF(B304=0,"",COUNTIFS('Extração'!R:R,"Igual",'Extração'!L:L,A304)/B304)</f>
        <v/>
      </c>
    </row>
    <row r="305">
      <c r="B305" s="16">
        <f>COUNTIF('Extração'!L:L,A305)</f>
        <v>0</v>
      </c>
      <c r="C305" s="16" t="str">
        <f>IF(B305=0,"",COUNTIFS('Extração'!P:P,"Sim",'Extração'!L:L,A305)/B305)</f>
        <v/>
      </c>
      <c r="D305" s="16" t="str">
        <f>IF(B305=0,"",COUNTIFS('Extração'!Q:Q,"Sim",'Extração'!L:L,A305)/B305)</f>
        <v/>
      </c>
      <c r="E305" s="16" t="str">
        <f>IF(B305=0,"",COUNTIFS('Extração'!P:P,"Parcialmente",'Extração'!L:L,A305)/B305)</f>
        <v/>
      </c>
      <c r="F305" s="16" t="str">
        <f>IF(B305=0,"",COUNTIFS('Extração'!Q:Q,"Parcialmente",'Extração'!L:L,A305)/B305)</f>
        <v/>
      </c>
      <c r="G305" s="16" t="str">
        <f>IF(B305=0,"",COUNTIFS('Extração'!P:P,"Não",'Extração'!L:L,A305)/B305)</f>
        <v/>
      </c>
      <c r="H305" s="16" t="str">
        <f>IF(B305=0,"",COUNTIFS('Extração'!Q:Q,"Não",'Extração'!L:L,A305)/B305)</f>
        <v/>
      </c>
      <c r="I305" s="16" t="str">
        <f>IF(B305=0,"",COUNTIFS('Extração'!R:R,"Igual",'Extração'!L:L,A305)/B305)</f>
        <v/>
      </c>
    </row>
    <row r="306">
      <c r="B306" s="16">
        <f>COUNTIF('Extração'!L:L,A306)</f>
        <v>0</v>
      </c>
      <c r="C306" s="16" t="str">
        <f>IF(B306=0,"",COUNTIFS('Extração'!P:P,"Sim",'Extração'!L:L,A306)/B306)</f>
        <v/>
      </c>
      <c r="D306" s="16" t="str">
        <f>IF(B306=0,"",COUNTIFS('Extração'!Q:Q,"Sim",'Extração'!L:L,A306)/B306)</f>
        <v/>
      </c>
      <c r="E306" s="16" t="str">
        <f>IF(B306=0,"",COUNTIFS('Extração'!P:P,"Parcialmente",'Extração'!L:L,A306)/B306)</f>
        <v/>
      </c>
      <c r="F306" s="16" t="str">
        <f>IF(B306=0,"",COUNTIFS('Extração'!Q:Q,"Parcialmente",'Extração'!L:L,A306)/B306)</f>
        <v/>
      </c>
      <c r="G306" s="16" t="str">
        <f>IF(B306=0,"",COUNTIFS('Extração'!P:P,"Não",'Extração'!L:L,A306)/B306)</f>
        <v/>
      </c>
      <c r="H306" s="16" t="str">
        <f>IF(B306=0,"",COUNTIFS('Extração'!Q:Q,"Não",'Extração'!L:L,A306)/B306)</f>
        <v/>
      </c>
      <c r="I306" s="16" t="str">
        <f>IF(B306=0,"",COUNTIFS('Extração'!R:R,"Igual",'Extração'!L:L,A306)/B306)</f>
        <v/>
      </c>
    </row>
    <row r="307">
      <c r="B307" s="16">
        <f>COUNTIF('Extração'!L:L,A307)</f>
        <v>0</v>
      </c>
      <c r="C307" s="16" t="str">
        <f>IF(B307=0,"",COUNTIFS('Extração'!P:P,"Sim",'Extração'!L:L,A307)/B307)</f>
        <v/>
      </c>
      <c r="D307" s="16" t="str">
        <f>IF(B307=0,"",COUNTIFS('Extração'!Q:Q,"Sim",'Extração'!L:L,A307)/B307)</f>
        <v/>
      </c>
      <c r="E307" s="16" t="str">
        <f>IF(B307=0,"",COUNTIFS('Extração'!P:P,"Parcialmente",'Extração'!L:L,A307)/B307)</f>
        <v/>
      </c>
      <c r="F307" s="16" t="str">
        <f>IF(B307=0,"",COUNTIFS('Extração'!Q:Q,"Parcialmente",'Extração'!L:L,A307)/B307)</f>
        <v/>
      </c>
      <c r="G307" s="16" t="str">
        <f>IF(B307=0,"",COUNTIFS('Extração'!P:P,"Não",'Extração'!L:L,A307)/B307)</f>
        <v/>
      </c>
      <c r="H307" s="16" t="str">
        <f>IF(B307=0,"",COUNTIFS('Extração'!Q:Q,"Não",'Extração'!L:L,A307)/B307)</f>
        <v/>
      </c>
      <c r="I307" s="16" t="str">
        <f>IF(B307=0,"",COUNTIFS('Extração'!R:R,"Igual",'Extração'!L:L,A307)/B307)</f>
        <v/>
      </c>
    </row>
    <row r="308">
      <c r="B308" s="16">
        <f>COUNTIF('Extração'!L:L,A308)</f>
        <v>0</v>
      </c>
      <c r="C308" s="16" t="str">
        <f>IF(B308=0,"",COUNTIFS('Extração'!P:P,"Sim",'Extração'!L:L,A308)/B308)</f>
        <v/>
      </c>
      <c r="D308" s="16" t="str">
        <f>IF(B308=0,"",COUNTIFS('Extração'!Q:Q,"Sim",'Extração'!L:L,A308)/B308)</f>
        <v/>
      </c>
      <c r="E308" s="16" t="str">
        <f>IF(B308=0,"",COUNTIFS('Extração'!P:P,"Parcialmente",'Extração'!L:L,A308)/B308)</f>
        <v/>
      </c>
      <c r="F308" s="16" t="str">
        <f>IF(B308=0,"",COUNTIFS('Extração'!Q:Q,"Parcialmente",'Extração'!L:L,A308)/B308)</f>
        <v/>
      </c>
      <c r="G308" s="16" t="str">
        <f>IF(B308=0,"",COUNTIFS('Extração'!P:P,"Não",'Extração'!L:L,A308)/B308)</f>
        <v/>
      </c>
      <c r="H308" s="16" t="str">
        <f>IF(B308=0,"",COUNTIFS('Extração'!Q:Q,"Não",'Extração'!L:L,A308)/B308)</f>
        <v/>
      </c>
      <c r="I308" s="16" t="str">
        <f>IF(B308=0,"",COUNTIFS('Extração'!R:R,"Igual",'Extração'!L:L,A308)/B308)</f>
        <v/>
      </c>
    </row>
    <row r="309">
      <c r="B309" s="16">
        <f>COUNTIF('Extração'!L:L,A309)</f>
        <v>0</v>
      </c>
      <c r="C309" s="16" t="str">
        <f>IF(B309=0,"",COUNTIFS('Extração'!P:P,"Sim",'Extração'!L:L,A309)/B309)</f>
        <v/>
      </c>
      <c r="D309" s="16" t="str">
        <f>IF(B309=0,"",COUNTIFS('Extração'!Q:Q,"Sim",'Extração'!L:L,A309)/B309)</f>
        <v/>
      </c>
      <c r="E309" s="16" t="str">
        <f>IF(B309=0,"",COUNTIFS('Extração'!P:P,"Parcialmente",'Extração'!L:L,A309)/B309)</f>
        <v/>
      </c>
      <c r="F309" s="16" t="str">
        <f>IF(B309=0,"",COUNTIFS('Extração'!Q:Q,"Parcialmente",'Extração'!L:L,A309)/B309)</f>
        <v/>
      </c>
      <c r="G309" s="16" t="str">
        <f>IF(B309=0,"",COUNTIFS('Extração'!P:P,"Não",'Extração'!L:L,A309)/B309)</f>
        <v/>
      </c>
      <c r="H309" s="16" t="str">
        <f>IF(B309=0,"",COUNTIFS('Extração'!Q:Q,"Não",'Extração'!L:L,A309)/B309)</f>
        <v/>
      </c>
      <c r="I309" s="16" t="str">
        <f>IF(B309=0,"",COUNTIFS('Extração'!R:R,"Igual",'Extração'!L:L,A309)/B309)</f>
        <v/>
      </c>
    </row>
    <row r="310">
      <c r="B310" s="16">
        <f>COUNTIF('Extração'!L:L,A310)</f>
        <v>0</v>
      </c>
      <c r="C310" s="16" t="str">
        <f>IF(B310=0,"",COUNTIFS('Extração'!P:P,"Sim",'Extração'!L:L,A310)/B310)</f>
        <v/>
      </c>
      <c r="D310" s="16" t="str">
        <f>IF(B310=0,"",COUNTIFS('Extração'!Q:Q,"Sim",'Extração'!L:L,A310)/B310)</f>
        <v/>
      </c>
      <c r="E310" s="16" t="str">
        <f>IF(B310=0,"",COUNTIFS('Extração'!P:P,"Parcialmente",'Extração'!L:L,A310)/B310)</f>
        <v/>
      </c>
      <c r="F310" s="16" t="str">
        <f>IF(B310=0,"",COUNTIFS('Extração'!Q:Q,"Parcialmente",'Extração'!L:L,A310)/B310)</f>
        <v/>
      </c>
      <c r="G310" s="16" t="str">
        <f>IF(B310=0,"",COUNTIFS('Extração'!P:P,"Não",'Extração'!L:L,A310)/B310)</f>
        <v/>
      </c>
      <c r="H310" s="16" t="str">
        <f>IF(B310=0,"",COUNTIFS('Extração'!Q:Q,"Não",'Extração'!L:L,A310)/B310)</f>
        <v/>
      </c>
      <c r="I310" s="16" t="str">
        <f>IF(B310=0,"",COUNTIFS('Extração'!R:R,"Igual",'Extração'!L:L,A310)/B310)</f>
        <v/>
      </c>
    </row>
    <row r="311">
      <c r="B311" s="16">
        <f>COUNTIF('Extração'!L:L,A311)</f>
        <v>0</v>
      </c>
      <c r="C311" s="16" t="str">
        <f>IF(B311=0,"",COUNTIFS('Extração'!P:P,"Sim",'Extração'!L:L,A311)/B311)</f>
        <v/>
      </c>
      <c r="D311" s="16" t="str">
        <f>IF(B311=0,"",COUNTIFS('Extração'!Q:Q,"Sim",'Extração'!L:L,A311)/B311)</f>
        <v/>
      </c>
      <c r="E311" s="16" t="str">
        <f>IF(B311=0,"",COUNTIFS('Extração'!P:P,"Parcialmente",'Extração'!L:L,A311)/B311)</f>
        <v/>
      </c>
      <c r="F311" s="16" t="str">
        <f>IF(B311=0,"",COUNTIFS('Extração'!Q:Q,"Parcialmente",'Extração'!L:L,A311)/B311)</f>
        <v/>
      </c>
      <c r="G311" s="16" t="str">
        <f>IF(B311=0,"",COUNTIFS('Extração'!P:P,"Não",'Extração'!L:L,A311)/B311)</f>
        <v/>
      </c>
      <c r="H311" s="16" t="str">
        <f>IF(B311=0,"",COUNTIFS('Extração'!Q:Q,"Não",'Extração'!L:L,A311)/B311)</f>
        <v/>
      </c>
      <c r="I311" s="16" t="str">
        <f>IF(B311=0,"",COUNTIFS('Extração'!R:R,"Igual",'Extração'!L:L,A311)/B311)</f>
        <v/>
      </c>
    </row>
    <row r="312">
      <c r="B312" s="16">
        <f>COUNTIF('Extração'!L:L,A312)</f>
        <v>0</v>
      </c>
      <c r="C312" s="16" t="str">
        <f>IF(B312=0,"",COUNTIFS('Extração'!P:P,"Sim",'Extração'!L:L,A312)/B312)</f>
        <v/>
      </c>
      <c r="D312" s="16" t="str">
        <f>IF(B312=0,"",COUNTIFS('Extração'!Q:Q,"Sim",'Extração'!L:L,A312)/B312)</f>
        <v/>
      </c>
      <c r="E312" s="16" t="str">
        <f>IF(B312=0,"",COUNTIFS('Extração'!P:P,"Parcialmente",'Extração'!L:L,A312)/B312)</f>
        <v/>
      </c>
      <c r="F312" s="16" t="str">
        <f>IF(B312=0,"",COUNTIFS('Extração'!Q:Q,"Parcialmente",'Extração'!L:L,A312)/B312)</f>
        <v/>
      </c>
      <c r="G312" s="16" t="str">
        <f>IF(B312=0,"",COUNTIFS('Extração'!P:P,"Não",'Extração'!L:L,A312)/B312)</f>
        <v/>
      </c>
      <c r="H312" s="16" t="str">
        <f>IF(B312=0,"",COUNTIFS('Extração'!Q:Q,"Não",'Extração'!L:L,A312)/B312)</f>
        <v/>
      </c>
      <c r="I312" s="16" t="str">
        <f>IF(B312=0,"",COUNTIFS('Extração'!R:R,"Igual",'Extração'!L:L,A312)/B312)</f>
        <v/>
      </c>
    </row>
    <row r="313">
      <c r="B313" s="16">
        <f>COUNTIF('Extração'!L:L,A313)</f>
        <v>0</v>
      </c>
      <c r="C313" s="16" t="str">
        <f>IF(B313=0,"",COUNTIFS('Extração'!P:P,"Sim",'Extração'!L:L,A313)/B313)</f>
        <v/>
      </c>
      <c r="D313" s="16" t="str">
        <f>IF(B313=0,"",COUNTIFS('Extração'!Q:Q,"Sim",'Extração'!L:L,A313)/B313)</f>
        <v/>
      </c>
      <c r="E313" s="16" t="str">
        <f>IF(B313=0,"",COUNTIFS('Extração'!P:P,"Parcialmente",'Extração'!L:L,A313)/B313)</f>
        <v/>
      </c>
      <c r="F313" s="16" t="str">
        <f>IF(B313=0,"",COUNTIFS('Extração'!Q:Q,"Parcialmente",'Extração'!L:L,A313)/B313)</f>
        <v/>
      </c>
      <c r="G313" s="16" t="str">
        <f>IF(B313=0,"",COUNTIFS('Extração'!P:P,"Não",'Extração'!L:L,A313)/B313)</f>
        <v/>
      </c>
      <c r="H313" s="16" t="str">
        <f>IF(B313=0,"",COUNTIFS('Extração'!Q:Q,"Não",'Extração'!L:L,A313)/B313)</f>
        <v/>
      </c>
      <c r="I313" s="16" t="str">
        <f>IF(B313=0,"",COUNTIFS('Extração'!R:R,"Igual",'Extração'!L:L,A313)/B313)</f>
        <v/>
      </c>
    </row>
    <row r="314">
      <c r="B314" s="16">
        <f>COUNTIF('Extração'!L:L,A314)</f>
        <v>0</v>
      </c>
      <c r="C314" s="16" t="str">
        <f>IF(B314=0,"",COUNTIFS('Extração'!P:P,"Sim",'Extração'!L:L,A314)/B314)</f>
        <v/>
      </c>
      <c r="D314" s="16" t="str">
        <f>IF(B314=0,"",COUNTIFS('Extração'!Q:Q,"Sim",'Extração'!L:L,A314)/B314)</f>
        <v/>
      </c>
      <c r="E314" s="16" t="str">
        <f>IF(B314=0,"",COUNTIFS('Extração'!P:P,"Parcialmente",'Extração'!L:L,A314)/B314)</f>
        <v/>
      </c>
      <c r="F314" s="16" t="str">
        <f>IF(B314=0,"",COUNTIFS('Extração'!Q:Q,"Parcialmente",'Extração'!L:L,A314)/B314)</f>
        <v/>
      </c>
      <c r="G314" s="16" t="str">
        <f>IF(B314=0,"",COUNTIFS('Extração'!P:P,"Não",'Extração'!L:L,A314)/B314)</f>
        <v/>
      </c>
      <c r="H314" s="16" t="str">
        <f>IF(B314=0,"",COUNTIFS('Extração'!Q:Q,"Não",'Extração'!L:L,A314)/B314)</f>
        <v/>
      </c>
      <c r="I314" s="16" t="str">
        <f>IF(B314=0,"",COUNTIFS('Extração'!R:R,"Igual",'Extração'!L:L,A314)/B314)</f>
        <v/>
      </c>
    </row>
    <row r="315">
      <c r="B315" s="16">
        <f>COUNTIF('Extração'!L:L,A315)</f>
        <v>0</v>
      </c>
      <c r="C315" s="16" t="str">
        <f>IF(B315=0,"",COUNTIFS('Extração'!P:P,"Sim",'Extração'!L:L,A315)/B315)</f>
        <v/>
      </c>
      <c r="D315" s="16" t="str">
        <f>IF(B315=0,"",COUNTIFS('Extração'!Q:Q,"Sim",'Extração'!L:L,A315)/B315)</f>
        <v/>
      </c>
      <c r="E315" s="16" t="str">
        <f>IF(B315=0,"",COUNTIFS('Extração'!P:P,"Parcialmente",'Extração'!L:L,A315)/B315)</f>
        <v/>
      </c>
      <c r="F315" s="16" t="str">
        <f>IF(B315=0,"",COUNTIFS('Extração'!Q:Q,"Parcialmente",'Extração'!L:L,A315)/B315)</f>
        <v/>
      </c>
      <c r="G315" s="16" t="str">
        <f>IF(B315=0,"",COUNTIFS('Extração'!P:P,"Não",'Extração'!L:L,A315)/B315)</f>
        <v/>
      </c>
      <c r="H315" s="16" t="str">
        <f>IF(B315=0,"",COUNTIFS('Extração'!Q:Q,"Não",'Extração'!L:L,A315)/B315)</f>
        <v/>
      </c>
      <c r="I315" s="16" t="str">
        <f>IF(B315=0,"",COUNTIFS('Extração'!R:R,"Igual",'Extração'!L:L,A315)/B315)</f>
        <v/>
      </c>
    </row>
    <row r="316">
      <c r="B316" s="16">
        <f>COUNTIF('Extração'!L:L,A316)</f>
        <v>0</v>
      </c>
      <c r="C316" s="16" t="str">
        <f>IF(B316=0,"",COUNTIFS('Extração'!P:P,"Sim",'Extração'!L:L,A316)/B316)</f>
        <v/>
      </c>
      <c r="D316" s="16" t="str">
        <f>IF(B316=0,"",COUNTIFS('Extração'!Q:Q,"Sim",'Extração'!L:L,A316)/B316)</f>
        <v/>
      </c>
      <c r="E316" s="16" t="str">
        <f>IF(B316=0,"",COUNTIFS('Extração'!P:P,"Parcialmente",'Extração'!L:L,A316)/B316)</f>
        <v/>
      </c>
      <c r="F316" s="16" t="str">
        <f>IF(B316=0,"",COUNTIFS('Extração'!Q:Q,"Parcialmente",'Extração'!L:L,A316)/B316)</f>
        <v/>
      </c>
      <c r="G316" s="16" t="str">
        <f>IF(B316=0,"",COUNTIFS('Extração'!P:P,"Não",'Extração'!L:L,A316)/B316)</f>
        <v/>
      </c>
      <c r="H316" s="16" t="str">
        <f>IF(B316=0,"",COUNTIFS('Extração'!Q:Q,"Não",'Extração'!L:L,A316)/B316)</f>
        <v/>
      </c>
      <c r="I316" s="16" t="str">
        <f>IF(B316=0,"",COUNTIFS('Extração'!R:R,"Igual",'Extração'!L:L,A316)/B316)</f>
        <v/>
      </c>
    </row>
    <row r="317">
      <c r="B317" s="16">
        <f>COUNTIF('Extração'!L:L,A317)</f>
        <v>0</v>
      </c>
      <c r="C317" s="16" t="str">
        <f>IF(B317=0,"",COUNTIFS('Extração'!P:P,"Sim",'Extração'!L:L,A317)/B317)</f>
        <v/>
      </c>
      <c r="D317" s="16" t="str">
        <f>IF(B317=0,"",COUNTIFS('Extração'!Q:Q,"Sim",'Extração'!L:L,A317)/B317)</f>
        <v/>
      </c>
      <c r="E317" s="16" t="str">
        <f>IF(B317=0,"",COUNTIFS('Extração'!P:P,"Parcialmente",'Extração'!L:L,A317)/B317)</f>
        <v/>
      </c>
      <c r="F317" s="16" t="str">
        <f>IF(B317=0,"",COUNTIFS('Extração'!Q:Q,"Parcialmente",'Extração'!L:L,A317)/B317)</f>
        <v/>
      </c>
      <c r="G317" s="16" t="str">
        <f>IF(B317=0,"",COUNTIFS('Extração'!P:P,"Não",'Extração'!L:L,A317)/B317)</f>
        <v/>
      </c>
      <c r="H317" s="16" t="str">
        <f>IF(B317=0,"",COUNTIFS('Extração'!Q:Q,"Não",'Extração'!L:L,A317)/B317)</f>
        <v/>
      </c>
      <c r="I317" s="16" t="str">
        <f>IF(B317=0,"",COUNTIFS('Extração'!R:R,"Igual",'Extração'!L:L,A317)/B317)</f>
        <v/>
      </c>
    </row>
    <row r="318">
      <c r="B318" s="16">
        <f>COUNTIF('Extração'!L:L,A318)</f>
        <v>0</v>
      </c>
      <c r="C318" s="16" t="str">
        <f>IF(B318=0,"",COUNTIFS('Extração'!P:P,"Sim",'Extração'!L:L,A318)/B318)</f>
        <v/>
      </c>
      <c r="D318" s="16" t="str">
        <f>IF(B318=0,"",COUNTIFS('Extração'!Q:Q,"Sim",'Extração'!L:L,A318)/B318)</f>
        <v/>
      </c>
      <c r="E318" s="16" t="str">
        <f>IF(B318=0,"",COUNTIFS('Extração'!P:P,"Parcialmente",'Extração'!L:L,A318)/B318)</f>
        <v/>
      </c>
      <c r="F318" s="16" t="str">
        <f>IF(B318=0,"",COUNTIFS('Extração'!Q:Q,"Parcialmente",'Extração'!L:L,A318)/B318)</f>
        <v/>
      </c>
      <c r="G318" s="16" t="str">
        <f>IF(B318=0,"",COUNTIFS('Extração'!P:P,"Não",'Extração'!L:L,A318)/B318)</f>
        <v/>
      </c>
      <c r="H318" s="16" t="str">
        <f>IF(B318=0,"",COUNTIFS('Extração'!Q:Q,"Não",'Extração'!L:L,A318)/B318)</f>
        <v/>
      </c>
      <c r="I318" s="16" t="str">
        <f>IF(B318=0,"",COUNTIFS('Extração'!R:R,"Igual",'Extração'!L:L,A318)/B318)</f>
        <v/>
      </c>
    </row>
    <row r="319">
      <c r="B319" s="16">
        <f>COUNTIF('Extração'!L:L,A319)</f>
        <v>0</v>
      </c>
      <c r="C319" s="16" t="str">
        <f>IF(B319=0,"",COUNTIFS('Extração'!P:P,"Sim",'Extração'!L:L,A319)/B319)</f>
        <v/>
      </c>
      <c r="D319" s="16" t="str">
        <f>IF(B319=0,"",COUNTIFS('Extração'!Q:Q,"Sim",'Extração'!L:L,A319)/B319)</f>
        <v/>
      </c>
      <c r="E319" s="16" t="str">
        <f>IF(B319=0,"",COUNTIFS('Extração'!P:P,"Parcialmente",'Extração'!L:L,A319)/B319)</f>
        <v/>
      </c>
      <c r="F319" s="16" t="str">
        <f>IF(B319=0,"",COUNTIFS('Extração'!Q:Q,"Parcialmente",'Extração'!L:L,A319)/B319)</f>
        <v/>
      </c>
      <c r="G319" s="16" t="str">
        <f>IF(B319=0,"",COUNTIFS('Extração'!P:P,"Não",'Extração'!L:L,A319)/B319)</f>
        <v/>
      </c>
      <c r="H319" s="16" t="str">
        <f>IF(B319=0,"",COUNTIFS('Extração'!Q:Q,"Não",'Extração'!L:L,A319)/B319)</f>
        <v/>
      </c>
      <c r="I319" s="16" t="str">
        <f>IF(B319=0,"",COUNTIFS('Extração'!R:R,"Igual",'Extração'!L:L,A319)/B319)</f>
        <v/>
      </c>
    </row>
    <row r="320">
      <c r="B320" s="16">
        <f>COUNTIF('Extração'!L:L,A320)</f>
        <v>0</v>
      </c>
      <c r="C320" s="16" t="str">
        <f>IF(B320=0,"",COUNTIFS('Extração'!P:P,"Sim",'Extração'!L:L,A320)/B320)</f>
        <v/>
      </c>
      <c r="D320" s="16" t="str">
        <f>IF(B320=0,"",COUNTIFS('Extração'!Q:Q,"Sim",'Extração'!L:L,A320)/B320)</f>
        <v/>
      </c>
      <c r="E320" s="16" t="str">
        <f>IF(B320=0,"",COUNTIFS('Extração'!P:P,"Parcialmente",'Extração'!L:L,A320)/B320)</f>
        <v/>
      </c>
      <c r="F320" s="16" t="str">
        <f>IF(B320=0,"",COUNTIFS('Extração'!Q:Q,"Parcialmente",'Extração'!L:L,A320)/B320)</f>
        <v/>
      </c>
      <c r="G320" s="16" t="str">
        <f>IF(B320=0,"",COUNTIFS('Extração'!P:P,"Não",'Extração'!L:L,A320)/B320)</f>
        <v/>
      </c>
      <c r="H320" s="16" t="str">
        <f>IF(B320=0,"",COUNTIFS('Extração'!Q:Q,"Não",'Extração'!L:L,A320)/B320)</f>
        <v/>
      </c>
      <c r="I320" s="16" t="str">
        <f>IF(B320=0,"",COUNTIFS('Extração'!R:R,"Igual",'Extração'!L:L,A320)/B320)</f>
        <v/>
      </c>
    </row>
    <row r="321">
      <c r="B321" s="16">
        <f>COUNTIF('Extração'!L:L,A321)</f>
        <v>0</v>
      </c>
      <c r="C321" s="16" t="str">
        <f>IF(B321=0,"",COUNTIFS('Extração'!P:P,"Sim",'Extração'!L:L,A321)/B321)</f>
        <v/>
      </c>
      <c r="D321" s="16" t="str">
        <f>IF(B321=0,"",COUNTIFS('Extração'!Q:Q,"Sim",'Extração'!L:L,A321)/B321)</f>
        <v/>
      </c>
      <c r="E321" s="16" t="str">
        <f>IF(B321=0,"",COUNTIFS('Extração'!P:P,"Parcialmente",'Extração'!L:L,A321)/B321)</f>
        <v/>
      </c>
      <c r="F321" s="16" t="str">
        <f>IF(B321=0,"",COUNTIFS('Extração'!Q:Q,"Parcialmente",'Extração'!L:L,A321)/B321)</f>
        <v/>
      </c>
      <c r="G321" s="16" t="str">
        <f>IF(B321=0,"",COUNTIFS('Extração'!P:P,"Não",'Extração'!L:L,A321)/B321)</f>
        <v/>
      </c>
      <c r="H321" s="16" t="str">
        <f>IF(B321=0,"",COUNTIFS('Extração'!Q:Q,"Não",'Extração'!L:L,A321)/B321)</f>
        <v/>
      </c>
      <c r="I321" s="16" t="str">
        <f>IF(B321=0,"",COUNTIFS('Extração'!R:R,"Igual",'Extração'!L:L,A321)/B321)</f>
        <v/>
      </c>
    </row>
    <row r="322">
      <c r="B322" s="16">
        <f>COUNTIF('Extração'!L:L,A322)</f>
        <v>0</v>
      </c>
      <c r="C322" s="16" t="str">
        <f>IF(B322=0,"",COUNTIFS('Extração'!P:P,"Sim",'Extração'!L:L,A322)/B322)</f>
        <v/>
      </c>
      <c r="D322" s="16" t="str">
        <f>IF(B322=0,"",COUNTIFS('Extração'!Q:Q,"Sim",'Extração'!L:L,A322)/B322)</f>
        <v/>
      </c>
      <c r="E322" s="16" t="str">
        <f>IF(B322=0,"",COUNTIFS('Extração'!P:P,"Parcialmente",'Extração'!L:L,A322)/B322)</f>
        <v/>
      </c>
      <c r="F322" s="16" t="str">
        <f>IF(B322=0,"",COUNTIFS('Extração'!Q:Q,"Parcialmente",'Extração'!L:L,A322)/B322)</f>
        <v/>
      </c>
      <c r="G322" s="16" t="str">
        <f>IF(B322=0,"",COUNTIFS('Extração'!P:P,"Não",'Extração'!L:L,A322)/B322)</f>
        <v/>
      </c>
      <c r="H322" s="16" t="str">
        <f>IF(B322=0,"",COUNTIFS('Extração'!Q:Q,"Não",'Extração'!L:L,A322)/B322)</f>
        <v/>
      </c>
      <c r="I322" s="16" t="str">
        <f>IF(B322=0,"",COUNTIFS('Extração'!R:R,"Igual",'Extração'!L:L,A322)/B322)</f>
        <v/>
      </c>
    </row>
    <row r="323">
      <c r="B323" s="16">
        <f>COUNTIF('Extração'!L:L,A323)</f>
        <v>0</v>
      </c>
      <c r="C323" s="16" t="str">
        <f>IF(B323=0,"",COUNTIFS('Extração'!P:P,"Sim",'Extração'!L:L,A323)/B323)</f>
        <v/>
      </c>
      <c r="D323" s="16" t="str">
        <f>IF(B323=0,"",COUNTIFS('Extração'!Q:Q,"Sim",'Extração'!L:L,A323)/B323)</f>
        <v/>
      </c>
      <c r="E323" s="16" t="str">
        <f>IF(B323=0,"",COUNTIFS('Extração'!P:P,"Parcialmente",'Extração'!L:L,A323)/B323)</f>
        <v/>
      </c>
      <c r="F323" s="16" t="str">
        <f>IF(B323=0,"",COUNTIFS('Extração'!Q:Q,"Parcialmente",'Extração'!L:L,A323)/B323)</f>
        <v/>
      </c>
      <c r="G323" s="16" t="str">
        <f>IF(B323=0,"",COUNTIFS('Extração'!P:P,"Não",'Extração'!L:L,A323)/B323)</f>
        <v/>
      </c>
      <c r="H323" s="16" t="str">
        <f>IF(B323=0,"",COUNTIFS('Extração'!Q:Q,"Não",'Extração'!L:L,A323)/B323)</f>
        <v/>
      </c>
      <c r="I323" s="16" t="str">
        <f>IF(B323=0,"",COUNTIFS('Extração'!R:R,"Igual",'Extração'!L:L,A323)/B323)</f>
        <v/>
      </c>
    </row>
    <row r="324">
      <c r="B324" s="16">
        <f>COUNTIF('Extração'!L:L,A324)</f>
        <v>0</v>
      </c>
      <c r="C324" s="16" t="str">
        <f>IF(B324=0,"",COUNTIFS('Extração'!P:P,"Sim",'Extração'!L:L,A324)/B324)</f>
        <v/>
      </c>
      <c r="D324" s="16" t="str">
        <f>IF(B324=0,"",COUNTIFS('Extração'!Q:Q,"Sim",'Extração'!L:L,A324)/B324)</f>
        <v/>
      </c>
      <c r="E324" s="16" t="str">
        <f>IF(B324=0,"",COUNTIFS('Extração'!P:P,"Parcialmente",'Extração'!L:L,A324)/B324)</f>
        <v/>
      </c>
      <c r="F324" s="16" t="str">
        <f>IF(B324=0,"",COUNTIFS('Extração'!Q:Q,"Parcialmente",'Extração'!L:L,A324)/B324)</f>
        <v/>
      </c>
      <c r="G324" s="16" t="str">
        <f>IF(B324=0,"",COUNTIFS('Extração'!P:P,"Não",'Extração'!L:L,A324)/B324)</f>
        <v/>
      </c>
      <c r="H324" s="16" t="str">
        <f>IF(B324=0,"",COUNTIFS('Extração'!Q:Q,"Não",'Extração'!L:L,A324)/B324)</f>
        <v/>
      </c>
      <c r="I324" s="16" t="str">
        <f>IF(B324=0,"",COUNTIFS('Extração'!R:R,"Igual",'Extração'!L:L,A324)/B324)</f>
        <v/>
      </c>
    </row>
    <row r="325">
      <c r="B325" s="16">
        <f>COUNTIF('Extração'!L:L,A325)</f>
        <v>0</v>
      </c>
      <c r="C325" s="16" t="str">
        <f>IF(B325=0,"",COUNTIFS('Extração'!P:P,"Sim",'Extração'!L:L,A325)/B325)</f>
        <v/>
      </c>
      <c r="D325" s="16" t="str">
        <f>IF(B325=0,"",COUNTIFS('Extração'!Q:Q,"Sim",'Extração'!L:L,A325)/B325)</f>
        <v/>
      </c>
      <c r="E325" s="16" t="str">
        <f>IF(B325=0,"",COUNTIFS('Extração'!P:P,"Parcialmente",'Extração'!L:L,A325)/B325)</f>
        <v/>
      </c>
      <c r="F325" s="16" t="str">
        <f>IF(B325=0,"",COUNTIFS('Extração'!Q:Q,"Parcialmente",'Extração'!L:L,A325)/B325)</f>
        <v/>
      </c>
      <c r="G325" s="16" t="str">
        <f>IF(B325=0,"",COUNTIFS('Extração'!P:P,"Não",'Extração'!L:L,A325)/B325)</f>
        <v/>
      </c>
      <c r="H325" s="16" t="str">
        <f>IF(B325=0,"",COUNTIFS('Extração'!Q:Q,"Não",'Extração'!L:L,A325)/B325)</f>
        <v/>
      </c>
      <c r="I325" s="16" t="str">
        <f>IF(B325=0,"",COUNTIFS('Extração'!R:R,"Igual",'Extração'!L:L,A325)/B325)</f>
        <v/>
      </c>
    </row>
    <row r="326">
      <c r="B326" s="16">
        <f>COUNTIF('Extração'!L:L,A326)</f>
        <v>0</v>
      </c>
      <c r="C326" s="16" t="str">
        <f>IF(B326=0,"",COUNTIFS('Extração'!P:P,"Sim",'Extração'!L:L,A326)/B326)</f>
        <v/>
      </c>
      <c r="D326" s="16" t="str">
        <f>IF(B326=0,"",COUNTIFS('Extração'!Q:Q,"Sim",'Extração'!L:L,A326)/B326)</f>
        <v/>
      </c>
      <c r="E326" s="16" t="str">
        <f>IF(B326=0,"",COUNTIFS('Extração'!P:P,"Parcialmente",'Extração'!L:L,A326)/B326)</f>
        <v/>
      </c>
      <c r="F326" s="16" t="str">
        <f>IF(B326=0,"",COUNTIFS('Extração'!Q:Q,"Parcialmente",'Extração'!L:L,A326)/B326)</f>
        <v/>
      </c>
      <c r="G326" s="16" t="str">
        <f>IF(B326=0,"",COUNTIFS('Extração'!P:P,"Não",'Extração'!L:L,A326)/B326)</f>
        <v/>
      </c>
      <c r="H326" s="16" t="str">
        <f>IF(B326=0,"",COUNTIFS('Extração'!Q:Q,"Não",'Extração'!L:L,A326)/B326)</f>
        <v/>
      </c>
      <c r="I326" s="16" t="str">
        <f>IF(B326=0,"",COUNTIFS('Extração'!R:R,"Igual",'Extração'!L:L,A326)/B326)</f>
        <v/>
      </c>
    </row>
    <row r="327">
      <c r="B327" s="16">
        <f>COUNTIF('Extração'!L:L,A327)</f>
        <v>0</v>
      </c>
      <c r="C327" s="16" t="str">
        <f>IF(B327=0,"",COUNTIFS('Extração'!P:P,"Sim",'Extração'!L:L,A327)/B327)</f>
        <v/>
      </c>
      <c r="D327" s="16" t="str">
        <f>IF(B327=0,"",COUNTIFS('Extração'!Q:Q,"Sim",'Extração'!L:L,A327)/B327)</f>
        <v/>
      </c>
      <c r="E327" s="16" t="str">
        <f>IF(B327=0,"",COUNTIFS('Extração'!P:P,"Parcialmente",'Extração'!L:L,A327)/B327)</f>
        <v/>
      </c>
      <c r="F327" s="16" t="str">
        <f>IF(B327=0,"",COUNTIFS('Extração'!Q:Q,"Parcialmente",'Extração'!L:L,A327)/B327)</f>
        <v/>
      </c>
      <c r="G327" s="16" t="str">
        <f>IF(B327=0,"",COUNTIFS('Extração'!P:P,"Não",'Extração'!L:L,A327)/B327)</f>
        <v/>
      </c>
      <c r="H327" s="16" t="str">
        <f>IF(B327=0,"",COUNTIFS('Extração'!Q:Q,"Não",'Extração'!L:L,A327)/B327)</f>
        <v/>
      </c>
      <c r="I327" s="16" t="str">
        <f>IF(B327=0,"",COUNTIFS('Extração'!R:R,"Igual",'Extração'!L:L,A327)/B327)</f>
        <v/>
      </c>
    </row>
    <row r="328">
      <c r="B328" s="16">
        <f>COUNTIF('Extração'!L:L,A328)</f>
        <v>0</v>
      </c>
      <c r="C328" s="16" t="str">
        <f>IF(B328=0,"",COUNTIFS('Extração'!P:P,"Sim",'Extração'!L:L,A328)/B328)</f>
        <v/>
      </c>
      <c r="D328" s="16" t="str">
        <f>IF(B328=0,"",COUNTIFS('Extração'!Q:Q,"Sim",'Extração'!L:L,A328)/B328)</f>
        <v/>
      </c>
      <c r="E328" s="16" t="str">
        <f>IF(B328=0,"",COUNTIFS('Extração'!P:P,"Parcialmente",'Extração'!L:L,A328)/B328)</f>
        <v/>
      </c>
      <c r="F328" s="16" t="str">
        <f>IF(B328=0,"",COUNTIFS('Extração'!Q:Q,"Parcialmente",'Extração'!L:L,A328)/B328)</f>
        <v/>
      </c>
      <c r="G328" s="16" t="str">
        <f>IF(B328=0,"",COUNTIFS('Extração'!P:P,"Não",'Extração'!L:L,A328)/B328)</f>
        <v/>
      </c>
      <c r="H328" s="16" t="str">
        <f>IF(B328=0,"",COUNTIFS('Extração'!Q:Q,"Não",'Extração'!L:L,A328)/B328)</f>
        <v/>
      </c>
      <c r="I328" s="16" t="str">
        <f>IF(B328=0,"",COUNTIFS('Extração'!R:R,"Igual",'Extração'!L:L,A328)/B328)</f>
        <v/>
      </c>
    </row>
    <row r="329">
      <c r="B329" s="16">
        <f>COUNTIF('Extração'!L:L,A329)</f>
        <v>0</v>
      </c>
      <c r="C329" s="16" t="str">
        <f>IF(B329=0,"",COUNTIFS('Extração'!P:P,"Sim",'Extração'!L:L,A329)/B329)</f>
        <v/>
      </c>
      <c r="D329" s="16" t="str">
        <f>IF(B329=0,"",COUNTIFS('Extração'!Q:Q,"Sim",'Extração'!L:L,A329)/B329)</f>
        <v/>
      </c>
      <c r="E329" s="16" t="str">
        <f>IF(B329=0,"",COUNTIFS('Extração'!P:P,"Parcialmente",'Extração'!L:L,A329)/B329)</f>
        <v/>
      </c>
      <c r="F329" s="16" t="str">
        <f>IF(B329=0,"",COUNTIFS('Extração'!Q:Q,"Parcialmente",'Extração'!L:L,A329)/B329)</f>
        <v/>
      </c>
      <c r="G329" s="16" t="str">
        <f>IF(B329=0,"",COUNTIFS('Extração'!P:P,"Não",'Extração'!L:L,A329)/B329)</f>
        <v/>
      </c>
      <c r="H329" s="16" t="str">
        <f>IF(B329=0,"",COUNTIFS('Extração'!Q:Q,"Não",'Extração'!L:L,A329)/B329)</f>
        <v/>
      </c>
      <c r="I329" s="16" t="str">
        <f>IF(B329=0,"",COUNTIFS('Extração'!R:R,"Igual",'Extração'!L:L,A329)/B329)</f>
        <v/>
      </c>
    </row>
    <row r="330">
      <c r="B330" s="16">
        <f>COUNTIF('Extração'!L:L,A330)</f>
        <v>0</v>
      </c>
      <c r="C330" s="16" t="str">
        <f>IF(B330=0,"",COUNTIFS('Extração'!P:P,"Sim",'Extração'!L:L,A330)/B330)</f>
        <v/>
      </c>
      <c r="D330" s="16" t="str">
        <f>IF(B330=0,"",COUNTIFS('Extração'!Q:Q,"Sim",'Extração'!L:L,A330)/B330)</f>
        <v/>
      </c>
      <c r="E330" s="16" t="str">
        <f>IF(B330=0,"",COUNTIFS('Extração'!P:P,"Parcialmente",'Extração'!L:L,A330)/B330)</f>
        <v/>
      </c>
      <c r="F330" s="16" t="str">
        <f>IF(B330=0,"",COUNTIFS('Extração'!Q:Q,"Parcialmente",'Extração'!L:L,A330)/B330)</f>
        <v/>
      </c>
      <c r="G330" s="16" t="str">
        <f>IF(B330=0,"",COUNTIFS('Extração'!P:P,"Não",'Extração'!L:L,A330)/B330)</f>
        <v/>
      </c>
      <c r="H330" s="16" t="str">
        <f>IF(B330=0,"",COUNTIFS('Extração'!Q:Q,"Não",'Extração'!L:L,A330)/B330)</f>
        <v/>
      </c>
      <c r="I330" s="16" t="str">
        <f>IF(B330=0,"",COUNTIFS('Extração'!R:R,"Igual",'Extração'!L:L,A330)/B330)</f>
        <v/>
      </c>
    </row>
    <row r="331">
      <c r="B331" s="16">
        <f>COUNTIF('Extração'!L:L,A331)</f>
        <v>0</v>
      </c>
      <c r="C331" s="16" t="str">
        <f>IF(B331=0,"",COUNTIFS('Extração'!P:P,"Sim",'Extração'!L:L,A331)/B331)</f>
        <v/>
      </c>
      <c r="D331" s="16" t="str">
        <f>IF(B331=0,"",COUNTIFS('Extração'!Q:Q,"Sim",'Extração'!L:L,A331)/B331)</f>
        <v/>
      </c>
      <c r="E331" s="16" t="str">
        <f>IF(B331=0,"",COUNTIFS('Extração'!P:P,"Parcialmente",'Extração'!L:L,A331)/B331)</f>
        <v/>
      </c>
      <c r="F331" s="16" t="str">
        <f>IF(B331=0,"",COUNTIFS('Extração'!Q:Q,"Parcialmente",'Extração'!L:L,A331)/B331)</f>
        <v/>
      </c>
      <c r="G331" s="16" t="str">
        <f>IF(B331=0,"",COUNTIFS('Extração'!P:P,"Não",'Extração'!L:L,A331)/B331)</f>
        <v/>
      </c>
      <c r="H331" s="16" t="str">
        <f>IF(B331=0,"",COUNTIFS('Extração'!Q:Q,"Não",'Extração'!L:L,A331)/B331)</f>
        <v/>
      </c>
      <c r="I331" s="16" t="str">
        <f>IF(B331=0,"",COUNTIFS('Extração'!R:R,"Igual",'Extração'!L:L,A331)/B331)</f>
        <v/>
      </c>
    </row>
    <row r="332">
      <c r="B332" s="16">
        <f>COUNTIF('Extração'!L:L,A332)</f>
        <v>0</v>
      </c>
      <c r="C332" s="16" t="str">
        <f>IF(B332=0,"",COUNTIFS('Extração'!P:P,"Sim",'Extração'!L:L,A332)/B332)</f>
        <v/>
      </c>
      <c r="D332" s="16" t="str">
        <f>IF(B332=0,"",COUNTIFS('Extração'!Q:Q,"Sim",'Extração'!L:L,A332)/B332)</f>
        <v/>
      </c>
      <c r="E332" s="16" t="str">
        <f>IF(B332=0,"",COUNTIFS('Extração'!P:P,"Parcialmente",'Extração'!L:L,A332)/B332)</f>
        <v/>
      </c>
      <c r="F332" s="16" t="str">
        <f>IF(B332=0,"",COUNTIFS('Extração'!Q:Q,"Parcialmente",'Extração'!L:L,A332)/B332)</f>
        <v/>
      </c>
      <c r="G332" s="16" t="str">
        <f>IF(B332=0,"",COUNTIFS('Extração'!P:P,"Não",'Extração'!L:L,A332)/B332)</f>
        <v/>
      </c>
      <c r="H332" s="16" t="str">
        <f>IF(B332=0,"",COUNTIFS('Extração'!Q:Q,"Não",'Extração'!L:L,A332)/B332)</f>
        <v/>
      </c>
      <c r="I332" s="16" t="str">
        <f>IF(B332=0,"",COUNTIFS('Extração'!R:R,"Igual",'Extração'!L:L,A332)/B332)</f>
        <v/>
      </c>
    </row>
    <row r="333">
      <c r="B333" s="16">
        <f>COUNTIF('Extração'!L:L,A333)</f>
        <v>0</v>
      </c>
      <c r="C333" s="16" t="str">
        <f>IF(B333=0,"",COUNTIFS('Extração'!P:P,"Sim",'Extração'!L:L,A333)/B333)</f>
        <v/>
      </c>
      <c r="D333" s="16" t="str">
        <f>IF(B333=0,"",COUNTIFS('Extração'!Q:Q,"Sim",'Extração'!L:L,A333)/B333)</f>
        <v/>
      </c>
      <c r="E333" s="16" t="str">
        <f>IF(B333=0,"",COUNTIFS('Extração'!P:P,"Parcialmente",'Extração'!L:L,A333)/B333)</f>
        <v/>
      </c>
      <c r="F333" s="16" t="str">
        <f>IF(B333=0,"",COUNTIFS('Extração'!Q:Q,"Parcialmente",'Extração'!L:L,A333)/B333)</f>
        <v/>
      </c>
      <c r="G333" s="16" t="str">
        <f>IF(B333=0,"",COUNTIFS('Extração'!P:P,"Não",'Extração'!L:L,A333)/B333)</f>
        <v/>
      </c>
      <c r="H333" s="16" t="str">
        <f>IF(B333=0,"",COUNTIFS('Extração'!Q:Q,"Não",'Extração'!L:L,A333)/B333)</f>
        <v/>
      </c>
      <c r="I333" s="16" t="str">
        <f>IF(B333=0,"",COUNTIFS('Extração'!R:R,"Igual",'Extração'!L:L,A333)/B333)</f>
        <v/>
      </c>
    </row>
    <row r="334">
      <c r="B334" s="16">
        <f>COUNTIF('Extração'!L:L,A334)</f>
        <v>0</v>
      </c>
      <c r="C334" s="16" t="str">
        <f>IF(B334=0,"",COUNTIFS('Extração'!P:P,"Sim",'Extração'!L:L,A334)/B334)</f>
        <v/>
      </c>
      <c r="D334" s="16" t="str">
        <f>IF(B334=0,"",COUNTIFS('Extração'!Q:Q,"Sim",'Extração'!L:L,A334)/B334)</f>
        <v/>
      </c>
      <c r="E334" s="16" t="str">
        <f>IF(B334=0,"",COUNTIFS('Extração'!P:P,"Parcialmente",'Extração'!L:L,A334)/B334)</f>
        <v/>
      </c>
      <c r="F334" s="16" t="str">
        <f>IF(B334=0,"",COUNTIFS('Extração'!Q:Q,"Parcialmente",'Extração'!L:L,A334)/B334)</f>
        <v/>
      </c>
      <c r="G334" s="16" t="str">
        <f>IF(B334=0,"",COUNTIFS('Extração'!P:P,"Não",'Extração'!L:L,A334)/B334)</f>
        <v/>
      </c>
      <c r="H334" s="16" t="str">
        <f>IF(B334=0,"",COUNTIFS('Extração'!Q:Q,"Não",'Extração'!L:L,A334)/B334)</f>
        <v/>
      </c>
      <c r="I334" s="16" t="str">
        <f>IF(B334=0,"",COUNTIFS('Extração'!R:R,"Igual",'Extração'!L:L,A334)/B334)</f>
        <v/>
      </c>
    </row>
    <row r="335">
      <c r="B335" s="16">
        <f>COUNTIF('Extração'!L:L,A335)</f>
        <v>0</v>
      </c>
      <c r="C335" s="16" t="str">
        <f>IF(B335=0,"",COUNTIFS('Extração'!P:P,"Sim",'Extração'!L:L,A335)/B335)</f>
        <v/>
      </c>
      <c r="D335" s="16" t="str">
        <f>IF(B335=0,"",COUNTIFS('Extração'!Q:Q,"Sim",'Extração'!L:L,A335)/B335)</f>
        <v/>
      </c>
      <c r="E335" s="16" t="str">
        <f>IF(B335=0,"",COUNTIFS('Extração'!P:P,"Parcialmente",'Extração'!L:L,A335)/B335)</f>
        <v/>
      </c>
      <c r="F335" s="16" t="str">
        <f>IF(B335=0,"",COUNTIFS('Extração'!Q:Q,"Parcialmente",'Extração'!L:L,A335)/B335)</f>
        <v/>
      </c>
      <c r="G335" s="16" t="str">
        <f>IF(B335=0,"",COUNTIFS('Extração'!P:P,"Não",'Extração'!L:L,A335)/B335)</f>
        <v/>
      </c>
      <c r="H335" s="16" t="str">
        <f>IF(B335=0,"",COUNTIFS('Extração'!Q:Q,"Não",'Extração'!L:L,A335)/B335)</f>
        <v/>
      </c>
      <c r="I335" s="16" t="str">
        <f>IF(B335=0,"",COUNTIFS('Extração'!R:R,"Igual",'Extração'!L:L,A335)/B335)</f>
        <v/>
      </c>
    </row>
    <row r="336">
      <c r="B336" s="16">
        <f>COUNTIF('Extração'!L:L,A336)</f>
        <v>0</v>
      </c>
      <c r="C336" s="16" t="str">
        <f>IF(B336=0,"",COUNTIFS('Extração'!P:P,"Sim",'Extração'!L:L,A336)/B336)</f>
        <v/>
      </c>
      <c r="D336" s="16" t="str">
        <f>IF(B336=0,"",COUNTIFS('Extração'!Q:Q,"Sim",'Extração'!L:L,A336)/B336)</f>
        <v/>
      </c>
      <c r="E336" s="16" t="str">
        <f>IF(B336=0,"",COUNTIFS('Extração'!P:P,"Parcialmente",'Extração'!L:L,A336)/B336)</f>
        <v/>
      </c>
      <c r="F336" s="16" t="str">
        <f>IF(B336=0,"",COUNTIFS('Extração'!Q:Q,"Parcialmente",'Extração'!L:L,A336)/B336)</f>
        <v/>
      </c>
      <c r="G336" s="16" t="str">
        <f>IF(B336=0,"",COUNTIFS('Extração'!P:P,"Não",'Extração'!L:L,A336)/B336)</f>
        <v/>
      </c>
      <c r="H336" s="16" t="str">
        <f>IF(B336=0,"",COUNTIFS('Extração'!Q:Q,"Não",'Extração'!L:L,A336)/B336)</f>
        <v/>
      </c>
      <c r="I336" s="16" t="str">
        <f>IF(B336=0,"",COUNTIFS('Extração'!R:R,"Igual",'Extração'!L:L,A336)/B336)</f>
        <v/>
      </c>
    </row>
    <row r="337">
      <c r="B337" s="16">
        <f>COUNTIF('Extração'!L:L,A337)</f>
        <v>0</v>
      </c>
      <c r="C337" s="16" t="str">
        <f>IF(B337=0,"",COUNTIFS('Extração'!P:P,"Sim",'Extração'!L:L,A337)/B337)</f>
        <v/>
      </c>
      <c r="D337" s="16" t="str">
        <f>IF(B337=0,"",COUNTIFS('Extração'!Q:Q,"Sim",'Extração'!L:L,A337)/B337)</f>
        <v/>
      </c>
      <c r="E337" s="16" t="str">
        <f>IF(B337=0,"",COUNTIFS('Extração'!P:P,"Parcialmente",'Extração'!L:L,A337)/B337)</f>
        <v/>
      </c>
      <c r="F337" s="16" t="str">
        <f>IF(B337=0,"",COUNTIFS('Extração'!Q:Q,"Parcialmente",'Extração'!L:L,A337)/B337)</f>
        <v/>
      </c>
      <c r="G337" s="16" t="str">
        <f>IF(B337=0,"",COUNTIFS('Extração'!P:P,"Não",'Extração'!L:L,A337)/B337)</f>
        <v/>
      </c>
      <c r="H337" s="16" t="str">
        <f>IF(B337=0,"",COUNTIFS('Extração'!Q:Q,"Não",'Extração'!L:L,A337)/B337)</f>
        <v/>
      </c>
      <c r="I337" s="16" t="str">
        <f>IF(B337=0,"",COUNTIFS('Extração'!R:R,"Igual",'Extração'!L:L,A337)/B337)</f>
        <v/>
      </c>
    </row>
    <row r="338">
      <c r="B338" s="16">
        <f>COUNTIF('Extração'!L:L,A338)</f>
        <v>0</v>
      </c>
      <c r="C338" s="16" t="str">
        <f>IF(B338=0,"",COUNTIFS('Extração'!P:P,"Sim",'Extração'!L:L,A338)/B338)</f>
        <v/>
      </c>
      <c r="D338" s="16" t="str">
        <f>IF(B338=0,"",COUNTIFS('Extração'!Q:Q,"Sim",'Extração'!L:L,A338)/B338)</f>
        <v/>
      </c>
      <c r="E338" s="16" t="str">
        <f>IF(B338=0,"",COUNTIFS('Extração'!P:P,"Parcialmente",'Extração'!L:L,A338)/B338)</f>
        <v/>
      </c>
      <c r="F338" s="16" t="str">
        <f>IF(B338=0,"",COUNTIFS('Extração'!Q:Q,"Parcialmente",'Extração'!L:L,A338)/B338)</f>
        <v/>
      </c>
      <c r="G338" s="16" t="str">
        <f>IF(B338=0,"",COUNTIFS('Extração'!P:P,"Não",'Extração'!L:L,A338)/B338)</f>
        <v/>
      </c>
      <c r="H338" s="16" t="str">
        <f>IF(B338=0,"",COUNTIFS('Extração'!Q:Q,"Não",'Extração'!L:L,A338)/B338)</f>
        <v/>
      </c>
      <c r="I338" s="16" t="str">
        <f>IF(B338=0,"",COUNTIFS('Extração'!R:R,"Igual",'Extração'!L:L,A338)/B338)</f>
        <v/>
      </c>
    </row>
    <row r="339">
      <c r="B339" s="16">
        <f>COUNTIF('Extração'!L:L,A339)</f>
        <v>0</v>
      </c>
      <c r="C339" s="16" t="str">
        <f>IF(B339=0,"",COUNTIFS('Extração'!P:P,"Sim",'Extração'!L:L,A339)/B339)</f>
        <v/>
      </c>
      <c r="D339" s="16" t="str">
        <f>IF(B339=0,"",COUNTIFS('Extração'!Q:Q,"Sim",'Extração'!L:L,A339)/B339)</f>
        <v/>
      </c>
      <c r="E339" s="16" t="str">
        <f>IF(B339=0,"",COUNTIFS('Extração'!P:P,"Parcialmente",'Extração'!L:L,A339)/B339)</f>
        <v/>
      </c>
      <c r="F339" s="16" t="str">
        <f>IF(B339=0,"",COUNTIFS('Extração'!Q:Q,"Parcialmente",'Extração'!L:L,A339)/B339)</f>
        <v/>
      </c>
      <c r="G339" s="16" t="str">
        <f>IF(B339=0,"",COUNTIFS('Extração'!P:P,"Não",'Extração'!L:L,A339)/B339)</f>
        <v/>
      </c>
      <c r="H339" s="16" t="str">
        <f>IF(B339=0,"",COUNTIFS('Extração'!Q:Q,"Não",'Extração'!L:L,A339)/B339)</f>
        <v/>
      </c>
      <c r="I339" s="16" t="str">
        <f>IF(B339=0,"",COUNTIFS('Extração'!R:R,"Igual",'Extração'!L:L,A339)/B339)</f>
        <v/>
      </c>
    </row>
    <row r="340">
      <c r="B340" s="16">
        <f>COUNTIF('Extração'!L:L,A340)</f>
        <v>0</v>
      </c>
      <c r="C340" s="16" t="str">
        <f>IF(B340=0,"",COUNTIFS('Extração'!P:P,"Sim",'Extração'!L:L,A340)/B340)</f>
        <v/>
      </c>
      <c r="D340" s="16" t="str">
        <f>IF(B340=0,"",COUNTIFS('Extração'!Q:Q,"Sim",'Extração'!L:L,A340)/B340)</f>
        <v/>
      </c>
      <c r="E340" s="16" t="str">
        <f>IF(B340=0,"",COUNTIFS('Extração'!P:P,"Parcialmente",'Extração'!L:L,A340)/B340)</f>
        <v/>
      </c>
      <c r="F340" s="16" t="str">
        <f>IF(B340=0,"",COUNTIFS('Extração'!Q:Q,"Parcialmente",'Extração'!L:L,A340)/B340)</f>
        <v/>
      </c>
      <c r="G340" s="16" t="str">
        <f>IF(B340=0,"",COUNTIFS('Extração'!P:P,"Não",'Extração'!L:L,A340)/B340)</f>
        <v/>
      </c>
      <c r="H340" s="16" t="str">
        <f>IF(B340=0,"",COUNTIFS('Extração'!Q:Q,"Não",'Extração'!L:L,A340)/B340)</f>
        <v/>
      </c>
      <c r="I340" s="16" t="str">
        <f>IF(B340=0,"",COUNTIFS('Extração'!R:R,"Igual",'Extração'!L:L,A340)/B340)</f>
        <v/>
      </c>
    </row>
    <row r="341">
      <c r="B341" s="16">
        <f>COUNTIF('Extração'!L:L,A341)</f>
        <v>0</v>
      </c>
      <c r="C341" s="16" t="str">
        <f>IF(B341=0,"",COUNTIFS('Extração'!P:P,"Sim",'Extração'!L:L,A341)/B341)</f>
        <v/>
      </c>
      <c r="D341" s="16" t="str">
        <f>IF(B341=0,"",COUNTIFS('Extração'!Q:Q,"Sim",'Extração'!L:L,A341)/B341)</f>
        <v/>
      </c>
      <c r="E341" s="16" t="str">
        <f>IF(B341=0,"",COUNTIFS('Extração'!P:P,"Parcialmente",'Extração'!L:L,A341)/B341)</f>
        <v/>
      </c>
      <c r="F341" s="16" t="str">
        <f>IF(B341=0,"",COUNTIFS('Extração'!Q:Q,"Parcialmente",'Extração'!L:L,A341)/B341)</f>
        <v/>
      </c>
      <c r="G341" s="16" t="str">
        <f>IF(B341=0,"",COUNTIFS('Extração'!P:P,"Não",'Extração'!L:L,A341)/B341)</f>
        <v/>
      </c>
      <c r="H341" s="16" t="str">
        <f>IF(B341=0,"",COUNTIFS('Extração'!Q:Q,"Não",'Extração'!L:L,A341)/B341)</f>
        <v/>
      </c>
      <c r="I341" s="16" t="str">
        <f>IF(B341=0,"",COUNTIFS('Extração'!R:R,"Igual",'Extração'!L:L,A341)/B341)</f>
        <v/>
      </c>
    </row>
    <row r="342">
      <c r="B342" s="16">
        <f>COUNTIF('Extração'!L:L,A342)</f>
        <v>0</v>
      </c>
      <c r="C342" s="16" t="str">
        <f>IF(B342=0,"",COUNTIFS('Extração'!P:P,"Sim",'Extração'!L:L,A342)/B342)</f>
        <v/>
      </c>
      <c r="D342" s="16" t="str">
        <f>IF(B342=0,"",COUNTIFS('Extração'!Q:Q,"Sim",'Extração'!L:L,A342)/B342)</f>
        <v/>
      </c>
      <c r="E342" s="16" t="str">
        <f>IF(B342=0,"",COUNTIFS('Extração'!P:P,"Parcialmente",'Extração'!L:L,A342)/B342)</f>
        <v/>
      </c>
      <c r="F342" s="16" t="str">
        <f>IF(B342=0,"",COUNTIFS('Extração'!Q:Q,"Parcialmente",'Extração'!L:L,A342)/B342)</f>
        <v/>
      </c>
      <c r="G342" s="16" t="str">
        <f>IF(B342=0,"",COUNTIFS('Extração'!P:P,"Não",'Extração'!L:L,A342)/B342)</f>
        <v/>
      </c>
      <c r="H342" s="16" t="str">
        <f>IF(B342=0,"",COUNTIFS('Extração'!Q:Q,"Não",'Extração'!L:L,A342)/B342)</f>
        <v/>
      </c>
      <c r="I342" s="16" t="str">
        <f>IF(B342=0,"",COUNTIFS('Extração'!R:R,"Igual",'Extração'!L:L,A342)/B342)</f>
        <v/>
      </c>
    </row>
    <row r="343">
      <c r="B343" s="16">
        <f>COUNTIF('Extração'!L:L,A343)</f>
        <v>0</v>
      </c>
      <c r="C343" s="16" t="str">
        <f>IF(B343=0,"",COUNTIFS('Extração'!P:P,"Sim",'Extração'!L:L,A343)/B343)</f>
        <v/>
      </c>
      <c r="D343" s="16" t="str">
        <f>IF(B343=0,"",COUNTIFS('Extração'!Q:Q,"Sim",'Extração'!L:L,A343)/B343)</f>
        <v/>
      </c>
      <c r="E343" s="16" t="str">
        <f>IF(B343=0,"",COUNTIFS('Extração'!P:P,"Parcialmente",'Extração'!L:L,A343)/B343)</f>
        <v/>
      </c>
      <c r="F343" s="16" t="str">
        <f>IF(B343=0,"",COUNTIFS('Extração'!Q:Q,"Parcialmente",'Extração'!L:L,A343)/B343)</f>
        <v/>
      </c>
      <c r="G343" s="16" t="str">
        <f>IF(B343=0,"",COUNTIFS('Extração'!P:P,"Não",'Extração'!L:L,A343)/B343)</f>
        <v/>
      </c>
      <c r="H343" s="16" t="str">
        <f>IF(B343=0,"",COUNTIFS('Extração'!Q:Q,"Não",'Extração'!L:L,A343)/B343)</f>
        <v/>
      </c>
      <c r="I343" s="16" t="str">
        <f>IF(B343=0,"",COUNTIFS('Extração'!R:R,"Igual",'Extração'!L:L,A343)/B343)</f>
        <v/>
      </c>
    </row>
    <row r="344">
      <c r="B344" s="16">
        <f>COUNTIF('Extração'!L:L,A344)</f>
        <v>0</v>
      </c>
      <c r="C344" s="16" t="str">
        <f>IF(B344=0,"",COUNTIFS('Extração'!P:P,"Sim",'Extração'!L:L,A344)/B344)</f>
        <v/>
      </c>
      <c r="D344" s="16" t="str">
        <f>IF(B344=0,"",COUNTIFS('Extração'!Q:Q,"Sim",'Extração'!L:L,A344)/B344)</f>
        <v/>
      </c>
      <c r="E344" s="16" t="str">
        <f>IF(B344=0,"",COUNTIFS('Extração'!P:P,"Parcialmente",'Extração'!L:L,A344)/B344)</f>
        <v/>
      </c>
      <c r="F344" s="16" t="str">
        <f>IF(B344=0,"",COUNTIFS('Extração'!Q:Q,"Parcialmente",'Extração'!L:L,A344)/B344)</f>
        <v/>
      </c>
      <c r="G344" s="16" t="str">
        <f>IF(B344=0,"",COUNTIFS('Extração'!P:P,"Não",'Extração'!L:L,A344)/B344)</f>
        <v/>
      </c>
      <c r="H344" s="16" t="str">
        <f>IF(B344=0,"",COUNTIFS('Extração'!Q:Q,"Não",'Extração'!L:L,A344)/B344)</f>
        <v/>
      </c>
      <c r="I344" s="16" t="str">
        <f>IF(B344=0,"",COUNTIFS('Extração'!R:R,"Igual",'Extração'!L:L,A344)/B344)</f>
        <v/>
      </c>
    </row>
    <row r="345">
      <c r="B345" s="16">
        <f>COUNTIF('Extração'!L:L,A345)</f>
        <v>0</v>
      </c>
      <c r="C345" s="16" t="str">
        <f>IF(B345=0,"",COUNTIFS('Extração'!P:P,"Sim",'Extração'!L:L,A345)/B345)</f>
        <v/>
      </c>
      <c r="D345" s="16" t="str">
        <f>IF(B345=0,"",COUNTIFS('Extração'!Q:Q,"Sim",'Extração'!L:L,A345)/B345)</f>
        <v/>
      </c>
      <c r="E345" s="16" t="str">
        <f>IF(B345=0,"",COUNTIFS('Extração'!P:P,"Parcialmente",'Extração'!L:L,A345)/B345)</f>
        <v/>
      </c>
      <c r="F345" s="16" t="str">
        <f>IF(B345=0,"",COUNTIFS('Extração'!Q:Q,"Parcialmente",'Extração'!L:L,A345)/B345)</f>
        <v/>
      </c>
      <c r="G345" s="16" t="str">
        <f>IF(B345=0,"",COUNTIFS('Extração'!P:P,"Não",'Extração'!L:L,A345)/B345)</f>
        <v/>
      </c>
      <c r="H345" s="16" t="str">
        <f>IF(B345=0,"",COUNTIFS('Extração'!Q:Q,"Não",'Extração'!L:L,A345)/B345)</f>
        <v/>
      </c>
      <c r="I345" s="16" t="str">
        <f>IF(B345=0,"",COUNTIFS('Extração'!R:R,"Igual",'Extração'!L:L,A345)/B345)</f>
        <v/>
      </c>
    </row>
    <row r="346">
      <c r="B346" s="16">
        <f>COUNTIF('Extração'!L:L,A346)</f>
        <v>0</v>
      </c>
      <c r="C346" s="16" t="str">
        <f>IF(B346=0,"",COUNTIFS('Extração'!P:P,"Sim",'Extração'!L:L,A346)/B346)</f>
        <v/>
      </c>
      <c r="D346" s="16" t="str">
        <f>IF(B346=0,"",COUNTIFS('Extração'!Q:Q,"Sim",'Extração'!L:L,A346)/B346)</f>
        <v/>
      </c>
      <c r="E346" s="16" t="str">
        <f>IF(B346=0,"",COUNTIFS('Extração'!P:P,"Parcialmente",'Extração'!L:L,A346)/B346)</f>
        <v/>
      </c>
      <c r="F346" s="16" t="str">
        <f>IF(B346=0,"",COUNTIFS('Extração'!Q:Q,"Parcialmente",'Extração'!L:L,A346)/B346)</f>
        <v/>
      </c>
      <c r="G346" s="16" t="str">
        <f>IF(B346=0,"",COUNTIFS('Extração'!P:P,"Não",'Extração'!L:L,A346)/B346)</f>
        <v/>
      </c>
      <c r="H346" s="16" t="str">
        <f>IF(B346=0,"",COUNTIFS('Extração'!Q:Q,"Não",'Extração'!L:L,A346)/B346)</f>
        <v/>
      </c>
      <c r="I346" s="16" t="str">
        <f>IF(B346=0,"",COUNTIFS('Extração'!R:R,"Igual",'Extração'!L:L,A346)/B346)</f>
        <v/>
      </c>
    </row>
    <row r="347">
      <c r="B347" s="16">
        <f>COUNTIF('Extração'!L:L,A347)</f>
        <v>0</v>
      </c>
      <c r="C347" s="16" t="str">
        <f>IF(B347=0,"",COUNTIFS('Extração'!P:P,"Sim",'Extração'!L:L,A347)/B347)</f>
        <v/>
      </c>
      <c r="D347" s="16" t="str">
        <f>IF(B347=0,"",COUNTIFS('Extração'!Q:Q,"Sim",'Extração'!L:L,A347)/B347)</f>
        <v/>
      </c>
      <c r="E347" s="16" t="str">
        <f>IF(B347=0,"",COUNTIFS('Extração'!P:P,"Parcialmente",'Extração'!L:L,A347)/B347)</f>
        <v/>
      </c>
      <c r="F347" s="16" t="str">
        <f>IF(B347=0,"",COUNTIFS('Extração'!Q:Q,"Parcialmente",'Extração'!L:L,A347)/B347)</f>
        <v/>
      </c>
      <c r="G347" s="16" t="str">
        <f>IF(B347=0,"",COUNTIFS('Extração'!P:P,"Não",'Extração'!L:L,A347)/B347)</f>
        <v/>
      </c>
      <c r="H347" s="16" t="str">
        <f>IF(B347=0,"",COUNTIFS('Extração'!Q:Q,"Não",'Extração'!L:L,A347)/B347)</f>
        <v/>
      </c>
      <c r="I347" s="16" t="str">
        <f>IF(B347=0,"",COUNTIFS('Extração'!R:R,"Igual",'Extração'!L:L,A347)/B347)</f>
        <v/>
      </c>
    </row>
    <row r="348">
      <c r="B348" s="16">
        <f>COUNTIF('Extração'!L:L,A348)</f>
        <v>0</v>
      </c>
      <c r="C348" s="16" t="str">
        <f>IF(B348=0,"",COUNTIFS('Extração'!P:P,"Sim",'Extração'!L:L,A348)/B348)</f>
        <v/>
      </c>
      <c r="D348" s="16" t="str">
        <f>IF(B348=0,"",COUNTIFS('Extração'!Q:Q,"Sim",'Extração'!L:L,A348)/B348)</f>
        <v/>
      </c>
      <c r="E348" s="16" t="str">
        <f>IF(B348=0,"",COUNTIFS('Extração'!P:P,"Parcialmente",'Extração'!L:L,A348)/B348)</f>
        <v/>
      </c>
      <c r="F348" s="16" t="str">
        <f>IF(B348=0,"",COUNTIFS('Extração'!Q:Q,"Parcialmente",'Extração'!L:L,A348)/B348)</f>
        <v/>
      </c>
      <c r="G348" s="16" t="str">
        <f>IF(B348=0,"",COUNTIFS('Extração'!P:P,"Não",'Extração'!L:L,A348)/B348)</f>
        <v/>
      </c>
      <c r="H348" s="16" t="str">
        <f>IF(B348=0,"",COUNTIFS('Extração'!Q:Q,"Não",'Extração'!L:L,A348)/B348)</f>
        <v/>
      </c>
      <c r="I348" s="16" t="str">
        <f>IF(B348=0,"",COUNTIFS('Extração'!R:R,"Igual",'Extração'!L:L,A348)/B348)</f>
        <v/>
      </c>
    </row>
    <row r="349">
      <c r="B349" s="16">
        <f>COUNTIF('Extração'!L:L,A349)</f>
        <v>0</v>
      </c>
      <c r="C349" s="16" t="str">
        <f>IF(B349=0,"",COUNTIFS('Extração'!P:P,"Sim",'Extração'!L:L,A349)/B349)</f>
        <v/>
      </c>
      <c r="D349" s="16" t="str">
        <f>IF(B349=0,"",COUNTIFS('Extração'!Q:Q,"Sim",'Extração'!L:L,A349)/B349)</f>
        <v/>
      </c>
      <c r="E349" s="16" t="str">
        <f>IF(B349=0,"",COUNTIFS('Extração'!P:P,"Parcialmente",'Extração'!L:L,A349)/B349)</f>
        <v/>
      </c>
      <c r="F349" s="16" t="str">
        <f>IF(B349=0,"",COUNTIFS('Extração'!Q:Q,"Parcialmente",'Extração'!L:L,A349)/B349)</f>
        <v/>
      </c>
      <c r="G349" s="16" t="str">
        <f>IF(B349=0,"",COUNTIFS('Extração'!P:P,"Não",'Extração'!L:L,A349)/B349)</f>
        <v/>
      </c>
      <c r="H349" s="16" t="str">
        <f>IF(B349=0,"",COUNTIFS('Extração'!Q:Q,"Não",'Extração'!L:L,A349)/B349)</f>
        <v/>
      </c>
      <c r="I349" s="16" t="str">
        <f>IF(B349=0,"",COUNTIFS('Extração'!R:R,"Igual",'Extração'!L:L,A349)/B349)</f>
        <v/>
      </c>
    </row>
    <row r="350">
      <c r="B350" s="16">
        <f>COUNTIF('Extração'!L:L,A350)</f>
        <v>0</v>
      </c>
      <c r="C350" s="16" t="str">
        <f>IF(B350=0,"",COUNTIFS('Extração'!P:P,"Sim",'Extração'!L:L,A350)/B350)</f>
        <v/>
      </c>
      <c r="D350" s="16" t="str">
        <f>IF(B350=0,"",COUNTIFS('Extração'!Q:Q,"Sim",'Extração'!L:L,A350)/B350)</f>
        <v/>
      </c>
      <c r="E350" s="16" t="str">
        <f>IF(B350=0,"",COUNTIFS('Extração'!P:P,"Parcialmente",'Extração'!L:L,A350)/B350)</f>
        <v/>
      </c>
      <c r="F350" s="16" t="str">
        <f>IF(B350=0,"",COUNTIFS('Extração'!Q:Q,"Parcialmente",'Extração'!L:L,A350)/B350)</f>
        <v/>
      </c>
      <c r="G350" s="16" t="str">
        <f>IF(B350=0,"",COUNTIFS('Extração'!P:P,"Não",'Extração'!L:L,A350)/B350)</f>
        <v/>
      </c>
      <c r="H350" s="16" t="str">
        <f>IF(B350=0,"",COUNTIFS('Extração'!Q:Q,"Não",'Extração'!L:L,A350)/B350)</f>
        <v/>
      </c>
      <c r="I350" s="16" t="str">
        <f>IF(B350=0,"",COUNTIFS('Extração'!R:R,"Igual",'Extração'!L:L,A350)/B350)</f>
        <v/>
      </c>
    </row>
    <row r="351">
      <c r="B351" s="16">
        <f>COUNTIF('Extração'!L:L,A351)</f>
        <v>0</v>
      </c>
      <c r="C351" s="16" t="str">
        <f>IF(B351=0,"",COUNTIFS('Extração'!P:P,"Sim",'Extração'!L:L,A351)/B351)</f>
        <v/>
      </c>
      <c r="D351" s="16" t="str">
        <f>IF(B351=0,"",COUNTIFS('Extração'!Q:Q,"Sim",'Extração'!L:L,A351)/B351)</f>
        <v/>
      </c>
      <c r="E351" s="16" t="str">
        <f>IF(B351=0,"",COUNTIFS('Extração'!P:P,"Parcialmente",'Extração'!L:L,A351)/B351)</f>
        <v/>
      </c>
      <c r="F351" s="16" t="str">
        <f>IF(B351=0,"",COUNTIFS('Extração'!Q:Q,"Parcialmente",'Extração'!L:L,A351)/B351)</f>
        <v/>
      </c>
      <c r="G351" s="16" t="str">
        <f>IF(B351=0,"",COUNTIFS('Extração'!P:P,"Não",'Extração'!L:L,A351)/B351)</f>
        <v/>
      </c>
      <c r="H351" s="16" t="str">
        <f>IF(B351=0,"",COUNTIFS('Extração'!Q:Q,"Não",'Extração'!L:L,A351)/B351)</f>
        <v/>
      </c>
      <c r="I351" s="16" t="str">
        <f>IF(B351=0,"",COUNTIFS('Extração'!R:R,"Igual",'Extração'!L:L,A351)/B351)</f>
        <v/>
      </c>
    </row>
    <row r="352">
      <c r="B352" s="16">
        <f>COUNTIF('Extração'!L:L,A352)</f>
        <v>0</v>
      </c>
      <c r="C352" s="16" t="str">
        <f>IF(B352=0,"",COUNTIFS('Extração'!P:P,"Sim",'Extração'!L:L,A352)/B352)</f>
        <v/>
      </c>
      <c r="D352" s="16" t="str">
        <f>IF(B352=0,"",COUNTIFS('Extração'!Q:Q,"Sim",'Extração'!L:L,A352)/B352)</f>
        <v/>
      </c>
      <c r="E352" s="16" t="str">
        <f>IF(B352=0,"",COUNTIFS('Extração'!P:P,"Parcialmente",'Extração'!L:L,A352)/B352)</f>
        <v/>
      </c>
      <c r="F352" s="16" t="str">
        <f>IF(B352=0,"",COUNTIFS('Extração'!Q:Q,"Parcialmente",'Extração'!L:L,A352)/B352)</f>
        <v/>
      </c>
      <c r="G352" s="16" t="str">
        <f>IF(B352=0,"",COUNTIFS('Extração'!P:P,"Não",'Extração'!L:L,A352)/B352)</f>
        <v/>
      </c>
      <c r="H352" s="16" t="str">
        <f>IF(B352=0,"",COUNTIFS('Extração'!Q:Q,"Não",'Extração'!L:L,A352)/B352)</f>
        <v/>
      </c>
      <c r="I352" s="16" t="str">
        <f>IF(B352=0,"",COUNTIFS('Extração'!R:R,"Igual",'Extração'!L:L,A352)/B352)</f>
        <v/>
      </c>
    </row>
    <row r="353">
      <c r="B353" s="16">
        <f>COUNTIF('Extração'!L:L,A353)</f>
        <v>0</v>
      </c>
      <c r="C353" s="16" t="str">
        <f>IF(B353=0,"",COUNTIFS('Extração'!P:P,"Sim",'Extração'!L:L,A353)/B353)</f>
        <v/>
      </c>
      <c r="D353" s="16" t="str">
        <f>IF(B353=0,"",COUNTIFS('Extração'!Q:Q,"Sim",'Extração'!L:L,A353)/B353)</f>
        <v/>
      </c>
      <c r="E353" s="16" t="str">
        <f>IF(B353=0,"",COUNTIFS('Extração'!P:P,"Parcialmente",'Extração'!L:L,A353)/B353)</f>
        <v/>
      </c>
      <c r="F353" s="16" t="str">
        <f>IF(B353=0,"",COUNTIFS('Extração'!Q:Q,"Parcialmente",'Extração'!L:L,A353)/B353)</f>
        <v/>
      </c>
      <c r="G353" s="16" t="str">
        <f>IF(B353=0,"",COUNTIFS('Extração'!P:P,"Não",'Extração'!L:L,A353)/B353)</f>
        <v/>
      </c>
      <c r="H353" s="16" t="str">
        <f>IF(B353=0,"",COUNTIFS('Extração'!Q:Q,"Não",'Extração'!L:L,A353)/B353)</f>
        <v/>
      </c>
      <c r="I353" s="16" t="str">
        <f>IF(B353=0,"",COUNTIFS('Extração'!R:R,"Igual",'Extração'!L:L,A353)/B353)</f>
        <v/>
      </c>
    </row>
    <row r="354">
      <c r="B354" s="16">
        <f>COUNTIF('Extração'!L:L,A354)</f>
        <v>0</v>
      </c>
      <c r="C354" s="16" t="str">
        <f>IF(B354=0,"",COUNTIFS('Extração'!P:P,"Sim",'Extração'!L:L,A354)/B354)</f>
        <v/>
      </c>
      <c r="D354" s="16" t="str">
        <f>IF(B354=0,"",COUNTIFS('Extração'!Q:Q,"Sim",'Extração'!L:L,A354)/B354)</f>
        <v/>
      </c>
      <c r="E354" s="16" t="str">
        <f>IF(B354=0,"",COUNTIFS('Extração'!P:P,"Parcialmente",'Extração'!L:L,A354)/B354)</f>
        <v/>
      </c>
      <c r="F354" s="16" t="str">
        <f>IF(B354=0,"",COUNTIFS('Extração'!Q:Q,"Parcialmente",'Extração'!L:L,A354)/B354)</f>
        <v/>
      </c>
      <c r="G354" s="16" t="str">
        <f>IF(B354=0,"",COUNTIFS('Extração'!P:P,"Não",'Extração'!L:L,A354)/B354)</f>
        <v/>
      </c>
      <c r="H354" s="16" t="str">
        <f>IF(B354=0,"",COUNTIFS('Extração'!Q:Q,"Não",'Extração'!L:L,A354)/B354)</f>
        <v/>
      </c>
      <c r="I354" s="16" t="str">
        <f>IF(B354=0,"",COUNTIFS('Extração'!R:R,"Igual",'Extração'!L:L,A354)/B354)</f>
        <v/>
      </c>
    </row>
    <row r="355">
      <c r="B355" s="16">
        <f>COUNTIF('Extração'!L:L,A355)</f>
        <v>0</v>
      </c>
      <c r="C355" s="16" t="str">
        <f>IF(B355=0,"",COUNTIFS('Extração'!P:P,"Sim",'Extração'!L:L,A355)/B355)</f>
        <v/>
      </c>
      <c r="D355" s="16" t="str">
        <f>IF(B355=0,"",COUNTIFS('Extração'!Q:Q,"Sim",'Extração'!L:L,A355)/B355)</f>
        <v/>
      </c>
      <c r="E355" s="16" t="str">
        <f>IF(B355=0,"",COUNTIFS('Extração'!P:P,"Parcialmente",'Extração'!L:L,A355)/B355)</f>
        <v/>
      </c>
      <c r="F355" s="16" t="str">
        <f>IF(B355=0,"",COUNTIFS('Extração'!Q:Q,"Parcialmente",'Extração'!L:L,A355)/B355)</f>
        <v/>
      </c>
      <c r="G355" s="16" t="str">
        <f>IF(B355=0,"",COUNTIFS('Extração'!P:P,"Não",'Extração'!L:L,A355)/B355)</f>
        <v/>
      </c>
      <c r="H355" s="16" t="str">
        <f>IF(B355=0,"",COUNTIFS('Extração'!Q:Q,"Não",'Extração'!L:L,A355)/B355)</f>
        <v/>
      </c>
      <c r="I355" s="16" t="str">
        <f>IF(B355=0,"",COUNTIFS('Extração'!R:R,"Igual",'Extração'!L:L,A355)/B355)</f>
        <v/>
      </c>
    </row>
    <row r="356">
      <c r="B356" s="16">
        <f>COUNTIF('Extração'!L:L,A356)</f>
        <v>0</v>
      </c>
      <c r="C356" s="16" t="str">
        <f>IF(B356=0,"",COUNTIFS('Extração'!P:P,"Sim",'Extração'!L:L,A356)/B356)</f>
        <v/>
      </c>
      <c r="D356" s="16" t="str">
        <f>IF(B356=0,"",COUNTIFS('Extração'!Q:Q,"Sim",'Extração'!L:L,A356)/B356)</f>
        <v/>
      </c>
      <c r="E356" s="16" t="str">
        <f>IF(B356=0,"",COUNTIFS('Extração'!P:P,"Parcialmente",'Extração'!L:L,A356)/B356)</f>
        <v/>
      </c>
      <c r="F356" s="16" t="str">
        <f>IF(B356=0,"",COUNTIFS('Extração'!Q:Q,"Parcialmente",'Extração'!L:L,A356)/B356)</f>
        <v/>
      </c>
      <c r="G356" s="16" t="str">
        <f>IF(B356=0,"",COUNTIFS('Extração'!P:P,"Não",'Extração'!L:L,A356)/B356)</f>
        <v/>
      </c>
      <c r="H356" s="16" t="str">
        <f>IF(B356=0,"",COUNTIFS('Extração'!Q:Q,"Não",'Extração'!L:L,A356)/B356)</f>
        <v/>
      </c>
      <c r="I356" s="16" t="str">
        <f>IF(B356=0,"",COUNTIFS('Extração'!R:R,"Igual",'Extração'!L:L,A356)/B356)</f>
        <v/>
      </c>
    </row>
    <row r="357">
      <c r="B357" s="16">
        <f>COUNTIF('Extração'!L:L,A357)</f>
        <v>0</v>
      </c>
      <c r="C357" s="16" t="str">
        <f>IF(B357=0,"",COUNTIFS('Extração'!P:P,"Sim",'Extração'!L:L,A357)/B357)</f>
        <v/>
      </c>
      <c r="D357" s="16" t="str">
        <f>IF(B357=0,"",COUNTIFS('Extração'!Q:Q,"Sim",'Extração'!L:L,A357)/B357)</f>
        <v/>
      </c>
      <c r="E357" s="16" t="str">
        <f>IF(B357=0,"",COUNTIFS('Extração'!P:P,"Parcialmente",'Extração'!L:L,A357)/B357)</f>
        <v/>
      </c>
      <c r="F357" s="16" t="str">
        <f>IF(B357=0,"",COUNTIFS('Extração'!Q:Q,"Parcialmente",'Extração'!L:L,A357)/B357)</f>
        <v/>
      </c>
      <c r="G357" s="16" t="str">
        <f>IF(B357=0,"",COUNTIFS('Extração'!P:P,"Não",'Extração'!L:L,A357)/B357)</f>
        <v/>
      </c>
      <c r="H357" s="16" t="str">
        <f>IF(B357=0,"",COUNTIFS('Extração'!Q:Q,"Não",'Extração'!L:L,A357)/B357)</f>
        <v/>
      </c>
      <c r="I357" s="16" t="str">
        <f>IF(B357=0,"",COUNTIFS('Extração'!R:R,"Igual",'Extração'!L:L,A357)/B357)</f>
        <v/>
      </c>
    </row>
    <row r="358">
      <c r="B358" s="16">
        <f>COUNTIF('Extração'!L:L,A358)</f>
        <v>0</v>
      </c>
      <c r="C358" s="16" t="str">
        <f>IF(B358=0,"",COUNTIFS('Extração'!P:P,"Sim",'Extração'!L:L,A358)/B358)</f>
        <v/>
      </c>
      <c r="D358" s="16" t="str">
        <f>IF(B358=0,"",COUNTIFS('Extração'!Q:Q,"Sim",'Extração'!L:L,A358)/B358)</f>
        <v/>
      </c>
      <c r="E358" s="16" t="str">
        <f>IF(B358=0,"",COUNTIFS('Extração'!P:P,"Parcialmente",'Extração'!L:L,A358)/B358)</f>
        <v/>
      </c>
      <c r="F358" s="16" t="str">
        <f>IF(B358=0,"",COUNTIFS('Extração'!Q:Q,"Parcialmente",'Extração'!L:L,A358)/B358)</f>
        <v/>
      </c>
      <c r="G358" s="16" t="str">
        <f>IF(B358=0,"",COUNTIFS('Extração'!P:P,"Não",'Extração'!L:L,A358)/B358)</f>
        <v/>
      </c>
      <c r="H358" s="16" t="str">
        <f>IF(B358=0,"",COUNTIFS('Extração'!Q:Q,"Não",'Extração'!L:L,A358)/B358)</f>
        <v/>
      </c>
      <c r="I358" s="16" t="str">
        <f>IF(B358=0,"",COUNTIFS('Extração'!R:R,"Igual",'Extração'!L:L,A358)/B358)</f>
        <v/>
      </c>
    </row>
    <row r="359">
      <c r="B359" s="16">
        <f>COUNTIF('Extração'!L:L,A359)</f>
        <v>0</v>
      </c>
      <c r="C359" s="16" t="str">
        <f>IF(B359=0,"",COUNTIFS('Extração'!P:P,"Sim",'Extração'!L:L,A359)/B359)</f>
        <v/>
      </c>
      <c r="D359" s="16" t="str">
        <f>IF(B359=0,"",COUNTIFS('Extração'!Q:Q,"Sim",'Extração'!L:L,A359)/B359)</f>
        <v/>
      </c>
      <c r="E359" s="16" t="str">
        <f>IF(B359=0,"",COUNTIFS('Extração'!P:P,"Parcialmente",'Extração'!L:L,A359)/B359)</f>
        <v/>
      </c>
      <c r="F359" s="16" t="str">
        <f>IF(B359=0,"",COUNTIFS('Extração'!Q:Q,"Parcialmente",'Extração'!L:L,A359)/B359)</f>
        <v/>
      </c>
      <c r="G359" s="16" t="str">
        <f>IF(B359=0,"",COUNTIFS('Extração'!P:P,"Não",'Extração'!L:L,A359)/B359)</f>
        <v/>
      </c>
      <c r="H359" s="16" t="str">
        <f>IF(B359=0,"",COUNTIFS('Extração'!Q:Q,"Não",'Extração'!L:L,A359)/B359)</f>
        <v/>
      </c>
      <c r="I359" s="16" t="str">
        <f>IF(B359=0,"",COUNTIFS('Extração'!R:R,"Igual",'Extração'!L:L,A359)/B359)</f>
        <v/>
      </c>
    </row>
    <row r="360">
      <c r="B360" s="16">
        <f>COUNTIF('Extração'!L:L,A360)</f>
        <v>0</v>
      </c>
      <c r="C360" s="16" t="str">
        <f>IF(B360=0,"",COUNTIFS('Extração'!P:P,"Sim",'Extração'!L:L,A360)/B360)</f>
        <v/>
      </c>
      <c r="D360" s="16" t="str">
        <f>IF(B360=0,"",COUNTIFS('Extração'!Q:Q,"Sim",'Extração'!L:L,A360)/B360)</f>
        <v/>
      </c>
      <c r="E360" s="16" t="str">
        <f>IF(B360=0,"",COUNTIFS('Extração'!P:P,"Parcialmente",'Extração'!L:L,A360)/B360)</f>
        <v/>
      </c>
      <c r="F360" s="16" t="str">
        <f>IF(B360=0,"",COUNTIFS('Extração'!Q:Q,"Parcialmente",'Extração'!L:L,A360)/B360)</f>
        <v/>
      </c>
      <c r="G360" s="16" t="str">
        <f>IF(B360=0,"",COUNTIFS('Extração'!P:P,"Não",'Extração'!L:L,A360)/B360)</f>
        <v/>
      </c>
      <c r="H360" s="16" t="str">
        <f>IF(B360=0,"",COUNTIFS('Extração'!Q:Q,"Não",'Extração'!L:L,A360)/B360)</f>
        <v/>
      </c>
      <c r="I360" s="16" t="str">
        <f>IF(B360=0,"",COUNTIFS('Extração'!R:R,"Igual",'Extração'!L:L,A360)/B360)</f>
        <v/>
      </c>
    </row>
    <row r="361">
      <c r="B361" s="16">
        <f>COUNTIF('Extração'!L:L,A361)</f>
        <v>0</v>
      </c>
      <c r="C361" s="16" t="str">
        <f>IF(B361=0,"",COUNTIFS('Extração'!P:P,"Sim",'Extração'!L:L,A361)/B361)</f>
        <v/>
      </c>
      <c r="D361" s="16" t="str">
        <f>IF(B361=0,"",COUNTIFS('Extração'!Q:Q,"Sim",'Extração'!L:L,A361)/B361)</f>
        <v/>
      </c>
      <c r="E361" s="16" t="str">
        <f>IF(B361=0,"",COUNTIFS('Extração'!P:P,"Parcialmente",'Extração'!L:L,A361)/B361)</f>
        <v/>
      </c>
      <c r="F361" s="16" t="str">
        <f>IF(B361=0,"",COUNTIFS('Extração'!Q:Q,"Parcialmente",'Extração'!L:L,A361)/B361)</f>
        <v/>
      </c>
      <c r="G361" s="16" t="str">
        <f>IF(B361=0,"",COUNTIFS('Extração'!P:P,"Não",'Extração'!L:L,A361)/B361)</f>
        <v/>
      </c>
      <c r="H361" s="16" t="str">
        <f>IF(B361=0,"",COUNTIFS('Extração'!Q:Q,"Não",'Extração'!L:L,A361)/B361)</f>
        <v/>
      </c>
      <c r="I361" s="16" t="str">
        <f>IF(B361=0,"",COUNTIFS('Extração'!R:R,"Igual",'Extração'!L:L,A361)/B361)</f>
        <v/>
      </c>
    </row>
    <row r="362">
      <c r="B362" s="16">
        <f>COUNTIF('Extração'!L:L,A362)</f>
        <v>0</v>
      </c>
      <c r="C362" s="16" t="str">
        <f>IF(B362=0,"",COUNTIFS('Extração'!P:P,"Sim",'Extração'!L:L,A362)/B362)</f>
        <v/>
      </c>
      <c r="D362" s="16" t="str">
        <f>IF(B362=0,"",COUNTIFS('Extração'!Q:Q,"Sim",'Extração'!L:L,A362)/B362)</f>
        <v/>
      </c>
      <c r="E362" s="16" t="str">
        <f>IF(B362=0,"",COUNTIFS('Extração'!P:P,"Parcialmente",'Extração'!L:L,A362)/B362)</f>
        <v/>
      </c>
      <c r="F362" s="16" t="str">
        <f>IF(B362=0,"",COUNTIFS('Extração'!Q:Q,"Parcialmente",'Extração'!L:L,A362)/B362)</f>
        <v/>
      </c>
      <c r="G362" s="16" t="str">
        <f>IF(B362=0,"",COUNTIFS('Extração'!P:P,"Não",'Extração'!L:L,A362)/B362)</f>
        <v/>
      </c>
      <c r="H362" s="16" t="str">
        <f>IF(B362=0,"",COUNTIFS('Extração'!Q:Q,"Não",'Extração'!L:L,A362)/B362)</f>
        <v/>
      </c>
      <c r="I362" s="16" t="str">
        <f>IF(B362=0,"",COUNTIFS('Extração'!R:R,"Igual",'Extração'!L:L,A362)/B362)</f>
        <v/>
      </c>
    </row>
    <row r="363">
      <c r="B363" s="16">
        <f>COUNTIF('Extração'!L:L,A363)</f>
        <v>0</v>
      </c>
      <c r="C363" s="16" t="str">
        <f>IF(B363=0,"",COUNTIFS('Extração'!P:P,"Sim",'Extração'!L:L,A363)/B363)</f>
        <v/>
      </c>
      <c r="D363" s="16" t="str">
        <f>IF(B363=0,"",COUNTIFS('Extração'!Q:Q,"Sim",'Extração'!L:L,A363)/B363)</f>
        <v/>
      </c>
      <c r="E363" s="16" t="str">
        <f>IF(B363=0,"",COUNTIFS('Extração'!P:P,"Parcialmente",'Extração'!L:L,A363)/B363)</f>
        <v/>
      </c>
      <c r="F363" s="16" t="str">
        <f>IF(B363=0,"",COUNTIFS('Extração'!Q:Q,"Parcialmente",'Extração'!L:L,A363)/B363)</f>
        <v/>
      </c>
      <c r="G363" s="16" t="str">
        <f>IF(B363=0,"",COUNTIFS('Extração'!P:P,"Não",'Extração'!L:L,A363)/B363)</f>
        <v/>
      </c>
      <c r="H363" s="16" t="str">
        <f>IF(B363=0,"",COUNTIFS('Extração'!Q:Q,"Não",'Extração'!L:L,A363)/B363)</f>
        <v/>
      </c>
      <c r="I363" s="16" t="str">
        <f>IF(B363=0,"",COUNTIFS('Extração'!R:R,"Igual",'Extração'!L:L,A363)/B363)</f>
        <v/>
      </c>
    </row>
    <row r="364">
      <c r="B364" s="16">
        <f>COUNTIF('Extração'!L:L,A364)</f>
        <v>0</v>
      </c>
      <c r="C364" s="16" t="str">
        <f>IF(B364=0,"",COUNTIFS('Extração'!P:P,"Sim",'Extração'!L:L,A364)/B364)</f>
        <v/>
      </c>
      <c r="D364" s="16" t="str">
        <f>IF(B364=0,"",COUNTIFS('Extração'!Q:Q,"Sim",'Extração'!L:L,A364)/B364)</f>
        <v/>
      </c>
      <c r="E364" s="16" t="str">
        <f>IF(B364=0,"",COUNTIFS('Extração'!P:P,"Parcialmente",'Extração'!L:L,A364)/B364)</f>
        <v/>
      </c>
      <c r="F364" s="16" t="str">
        <f>IF(B364=0,"",COUNTIFS('Extração'!Q:Q,"Parcialmente",'Extração'!L:L,A364)/B364)</f>
        <v/>
      </c>
      <c r="G364" s="16" t="str">
        <f>IF(B364=0,"",COUNTIFS('Extração'!P:P,"Não",'Extração'!L:L,A364)/B364)</f>
        <v/>
      </c>
      <c r="H364" s="16" t="str">
        <f>IF(B364=0,"",COUNTIFS('Extração'!Q:Q,"Não",'Extração'!L:L,A364)/B364)</f>
        <v/>
      </c>
      <c r="I364" s="16" t="str">
        <f>IF(B364=0,"",COUNTIFS('Extração'!R:R,"Igual",'Extração'!L:L,A364)/B364)</f>
        <v/>
      </c>
    </row>
    <row r="365">
      <c r="B365" s="16">
        <f>COUNTIF('Extração'!L:L,A365)</f>
        <v>0</v>
      </c>
      <c r="C365" s="16" t="str">
        <f>IF(B365=0,"",COUNTIFS('Extração'!P:P,"Sim",'Extração'!L:L,A365)/B365)</f>
        <v/>
      </c>
      <c r="D365" s="16" t="str">
        <f>IF(B365=0,"",COUNTIFS('Extração'!Q:Q,"Sim",'Extração'!L:L,A365)/B365)</f>
        <v/>
      </c>
      <c r="E365" s="16" t="str">
        <f>IF(B365=0,"",COUNTIFS('Extração'!P:P,"Parcialmente",'Extração'!L:L,A365)/B365)</f>
        <v/>
      </c>
      <c r="F365" s="16" t="str">
        <f>IF(B365=0,"",COUNTIFS('Extração'!Q:Q,"Parcialmente",'Extração'!L:L,A365)/B365)</f>
        <v/>
      </c>
      <c r="G365" s="16" t="str">
        <f>IF(B365=0,"",COUNTIFS('Extração'!P:P,"Não",'Extração'!L:L,A365)/B365)</f>
        <v/>
      </c>
      <c r="H365" s="16" t="str">
        <f>IF(B365=0,"",COUNTIFS('Extração'!Q:Q,"Não",'Extração'!L:L,A365)/B365)</f>
        <v/>
      </c>
      <c r="I365" s="16" t="str">
        <f>IF(B365=0,"",COUNTIFS('Extração'!R:R,"Igual",'Extração'!L:L,A365)/B365)</f>
        <v/>
      </c>
    </row>
    <row r="366">
      <c r="B366" s="16">
        <f>COUNTIF('Extração'!L:L,A366)</f>
        <v>0</v>
      </c>
      <c r="C366" s="16" t="str">
        <f>IF(B366=0,"",COUNTIFS('Extração'!P:P,"Sim",'Extração'!L:L,A366)/B366)</f>
        <v/>
      </c>
      <c r="D366" s="16" t="str">
        <f>IF(B366=0,"",COUNTIFS('Extração'!Q:Q,"Sim",'Extração'!L:L,A366)/B366)</f>
        <v/>
      </c>
      <c r="E366" s="16" t="str">
        <f>IF(B366=0,"",COUNTIFS('Extração'!P:P,"Parcialmente",'Extração'!L:L,A366)/B366)</f>
        <v/>
      </c>
      <c r="F366" s="16" t="str">
        <f>IF(B366=0,"",COUNTIFS('Extração'!Q:Q,"Parcialmente",'Extração'!L:L,A366)/B366)</f>
        <v/>
      </c>
      <c r="G366" s="16" t="str">
        <f>IF(B366=0,"",COUNTIFS('Extração'!P:P,"Não",'Extração'!L:L,A366)/B366)</f>
        <v/>
      </c>
      <c r="H366" s="16" t="str">
        <f>IF(B366=0,"",COUNTIFS('Extração'!Q:Q,"Não",'Extração'!L:L,A366)/B366)</f>
        <v/>
      </c>
      <c r="I366" s="16" t="str">
        <f>IF(B366=0,"",COUNTIFS('Extração'!R:R,"Igual",'Extração'!L:L,A366)/B366)</f>
        <v/>
      </c>
    </row>
    <row r="367">
      <c r="B367" s="16">
        <f>COUNTIF('Extração'!L:L,A367)</f>
        <v>0</v>
      </c>
      <c r="C367" s="16" t="str">
        <f>IF(B367=0,"",COUNTIFS('Extração'!P:P,"Sim",'Extração'!L:L,A367)/B367)</f>
        <v/>
      </c>
      <c r="D367" s="16" t="str">
        <f>IF(B367=0,"",COUNTIFS('Extração'!Q:Q,"Sim",'Extração'!L:L,A367)/B367)</f>
        <v/>
      </c>
      <c r="E367" s="16" t="str">
        <f>IF(B367=0,"",COUNTIFS('Extração'!P:P,"Parcialmente",'Extração'!L:L,A367)/B367)</f>
        <v/>
      </c>
      <c r="F367" s="16" t="str">
        <f>IF(B367=0,"",COUNTIFS('Extração'!Q:Q,"Parcialmente",'Extração'!L:L,A367)/B367)</f>
        <v/>
      </c>
      <c r="G367" s="16" t="str">
        <f>IF(B367=0,"",COUNTIFS('Extração'!P:P,"Não",'Extração'!L:L,A367)/B367)</f>
        <v/>
      </c>
      <c r="H367" s="16" t="str">
        <f>IF(B367=0,"",COUNTIFS('Extração'!Q:Q,"Não",'Extração'!L:L,A367)/B367)</f>
        <v/>
      </c>
      <c r="I367" s="16" t="str">
        <f>IF(B367=0,"",COUNTIFS('Extração'!R:R,"Igual",'Extração'!L:L,A367)/B367)</f>
        <v/>
      </c>
    </row>
    <row r="368">
      <c r="B368" s="16">
        <f>COUNTIF('Extração'!L:L,A368)</f>
        <v>0</v>
      </c>
      <c r="C368" s="16" t="str">
        <f>IF(B368=0,"",COUNTIFS('Extração'!P:P,"Sim",'Extração'!L:L,A368)/B368)</f>
        <v/>
      </c>
      <c r="D368" s="16" t="str">
        <f>IF(B368=0,"",COUNTIFS('Extração'!Q:Q,"Sim",'Extração'!L:L,A368)/B368)</f>
        <v/>
      </c>
      <c r="E368" s="16" t="str">
        <f>IF(B368=0,"",COUNTIFS('Extração'!P:P,"Parcialmente",'Extração'!L:L,A368)/B368)</f>
        <v/>
      </c>
      <c r="F368" s="16" t="str">
        <f>IF(B368=0,"",COUNTIFS('Extração'!Q:Q,"Parcialmente",'Extração'!L:L,A368)/B368)</f>
        <v/>
      </c>
      <c r="G368" s="16" t="str">
        <f>IF(B368=0,"",COUNTIFS('Extração'!P:P,"Não",'Extração'!L:L,A368)/B368)</f>
        <v/>
      </c>
      <c r="H368" s="16" t="str">
        <f>IF(B368=0,"",COUNTIFS('Extração'!Q:Q,"Não",'Extração'!L:L,A368)/B368)</f>
        <v/>
      </c>
      <c r="I368" s="16" t="str">
        <f>IF(B368=0,"",COUNTIFS('Extração'!R:R,"Igual",'Extração'!L:L,A368)/B368)</f>
        <v/>
      </c>
    </row>
    <row r="369">
      <c r="B369" s="16">
        <f>COUNTIF('Extração'!L:L,A369)</f>
        <v>0</v>
      </c>
      <c r="C369" s="16" t="str">
        <f>IF(B369=0,"",COUNTIFS('Extração'!P:P,"Sim",'Extração'!L:L,A369)/B369)</f>
        <v/>
      </c>
      <c r="D369" s="16" t="str">
        <f>IF(B369=0,"",COUNTIFS('Extração'!Q:Q,"Sim",'Extração'!L:L,A369)/B369)</f>
        <v/>
      </c>
      <c r="E369" s="16" t="str">
        <f>IF(B369=0,"",COUNTIFS('Extração'!P:P,"Parcialmente",'Extração'!L:L,A369)/B369)</f>
        <v/>
      </c>
      <c r="F369" s="16" t="str">
        <f>IF(B369=0,"",COUNTIFS('Extração'!Q:Q,"Parcialmente",'Extração'!L:L,A369)/B369)</f>
        <v/>
      </c>
      <c r="G369" s="16" t="str">
        <f>IF(B369=0,"",COUNTIFS('Extração'!P:P,"Não",'Extração'!L:L,A369)/B369)</f>
        <v/>
      </c>
      <c r="H369" s="16" t="str">
        <f>IF(B369=0,"",COUNTIFS('Extração'!Q:Q,"Não",'Extração'!L:L,A369)/B369)</f>
        <v/>
      </c>
      <c r="I369" s="16" t="str">
        <f>IF(B369=0,"",COUNTIFS('Extração'!R:R,"Igual",'Extração'!L:L,A369)/B369)</f>
        <v/>
      </c>
    </row>
    <row r="370">
      <c r="B370" s="16">
        <f>COUNTIF('Extração'!L:L,A370)</f>
        <v>0</v>
      </c>
      <c r="C370" s="16" t="str">
        <f>IF(B370=0,"",COUNTIFS('Extração'!P:P,"Sim",'Extração'!L:L,A370)/B370)</f>
        <v/>
      </c>
      <c r="D370" s="16" t="str">
        <f>IF(B370=0,"",COUNTIFS('Extração'!Q:Q,"Sim",'Extração'!L:L,A370)/B370)</f>
        <v/>
      </c>
      <c r="E370" s="16" t="str">
        <f>IF(B370=0,"",COUNTIFS('Extração'!P:P,"Parcialmente",'Extração'!L:L,A370)/B370)</f>
        <v/>
      </c>
      <c r="F370" s="16" t="str">
        <f>IF(B370=0,"",COUNTIFS('Extração'!Q:Q,"Parcialmente",'Extração'!L:L,A370)/B370)</f>
        <v/>
      </c>
      <c r="G370" s="16" t="str">
        <f>IF(B370=0,"",COUNTIFS('Extração'!P:P,"Não",'Extração'!L:L,A370)/B370)</f>
        <v/>
      </c>
      <c r="H370" s="16" t="str">
        <f>IF(B370=0,"",COUNTIFS('Extração'!Q:Q,"Não",'Extração'!L:L,A370)/B370)</f>
        <v/>
      </c>
      <c r="I370" s="16" t="str">
        <f>IF(B370=0,"",COUNTIFS('Extração'!R:R,"Igual",'Extração'!L:L,A370)/B370)</f>
        <v/>
      </c>
    </row>
    <row r="371">
      <c r="B371" s="16">
        <f>COUNTIF('Extração'!L:L,A371)</f>
        <v>0</v>
      </c>
      <c r="C371" s="16" t="str">
        <f>IF(B371=0,"",COUNTIFS('Extração'!P:P,"Sim",'Extração'!L:L,A371)/B371)</f>
        <v/>
      </c>
      <c r="D371" s="16" t="str">
        <f>IF(B371=0,"",COUNTIFS('Extração'!Q:Q,"Sim",'Extração'!L:L,A371)/B371)</f>
        <v/>
      </c>
      <c r="E371" s="16" t="str">
        <f>IF(B371=0,"",COUNTIFS('Extração'!P:P,"Parcialmente",'Extração'!L:L,A371)/B371)</f>
        <v/>
      </c>
      <c r="F371" s="16" t="str">
        <f>IF(B371=0,"",COUNTIFS('Extração'!Q:Q,"Parcialmente",'Extração'!L:L,A371)/B371)</f>
        <v/>
      </c>
      <c r="G371" s="16" t="str">
        <f>IF(B371=0,"",COUNTIFS('Extração'!P:P,"Não",'Extração'!L:L,A371)/B371)</f>
        <v/>
      </c>
      <c r="H371" s="16" t="str">
        <f>IF(B371=0,"",COUNTIFS('Extração'!Q:Q,"Não",'Extração'!L:L,A371)/B371)</f>
        <v/>
      </c>
      <c r="I371" s="16" t="str">
        <f>IF(B371=0,"",COUNTIFS('Extração'!R:R,"Igual",'Extração'!L:L,A371)/B371)</f>
        <v/>
      </c>
    </row>
    <row r="372">
      <c r="B372" s="16">
        <f>COUNTIF('Extração'!L:L,A372)</f>
        <v>0</v>
      </c>
      <c r="C372" s="16" t="str">
        <f>IF(B372=0,"",COUNTIFS('Extração'!P:P,"Sim",'Extração'!L:L,A372)/B372)</f>
        <v/>
      </c>
      <c r="D372" s="16" t="str">
        <f>IF(B372=0,"",COUNTIFS('Extração'!Q:Q,"Sim",'Extração'!L:L,A372)/B372)</f>
        <v/>
      </c>
      <c r="E372" s="16" t="str">
        <f>IF(B372=0,"",COUNTIFS('Extração'!P:P,"Parcialmente",'Extração'!L:L,A372)/B372)</f>
        <v/>
      </c>
      <c r="F372" s="16" t="str">
        <f>IF(B372=0,"",COUNTIFS('Extração'!Q:Q,"Parcialmente",'Extração'!L:L,A372)/B372)</f>
        <v/>
      </c>
      <c r="G372" s="16" t="str">
        <f>IF(B372=0,"",COUNTIFS('Extração'!P:P,"Não",'Extração'!L:L,A372)/B372)</f>
        <v/>
      </c>
      <c r="H372" s="16" t="str">
        <f>IF(B372=0,"",COUNTIFS('Extração'!Q:Q,"Não",'Extração'!L:L,A372)/B372)</f>
        <v/>
      </c>
      <c r="I372" s="16" t="str">
        <f>IF(B372=0,"",COUNTIFS('Extração'!R:R,"Igual",'Extração'!L:L,A372)/B372)</f>
        <v/>
      </c>
    </row>
    <row r="373">
      <c r="B373" s="16">
        <f>COUNTIF('Extração'!L:L,A373)</f>
        <v>0</v>
      </c>
      <c r="C373" s="16" t="str">
        <f>IF(B373=0,"",COUNTIFS('Extração'!P:P,"Sim",'Extração'!L:L,A373)/B373)</f>
        <v/>
      </c>
      <c r="D373" s="16" t="str">
        <f>IF(B373=0,"",COUNTIFS('Extração'!Q:Q,"Sim",'Extração'!L:L,A373)/B373)</f>
        <v/>
      </c>
      <c r="E373" s="16" t="str">
        <f>IF(B373=0,"",COUNTIFS('Extração'!P:P,"Parcialmente",'Extração'!L:L,A373)/B373)</f>
        <v/>
      </c>
      <c r="F373" s="16" t="str">
        <f>IF(B373=0,"",COUNTIFS('Extração'!Q:Q,"Parcialmente",'Extração'!L:L,A373)/B373)</f>
        <v/>
      </c>
      <c r="G373" s="16" t="str">
        <f>IF(B373=0,"",COUNTIFS('Extração'!P:P,"Não",'Extração'!L:L,A373)/B373)</f>
        <v/>
      </c>
      <c r="H373" s="16" t="str">
        <f>IF(B373=0,"",COUNTIFS('Extração'!Q:Q,"Não",'Extração'!L:L,A373)/B373)</f>
        <v/>
      </c>
      <c r="I373" s="16" t="str">
        <f>IF(B373=0,"",COUNTIFS('Extração'!R:R,"Igual",'Extração'!L:L,A373)/B373)</f>
        <v/>
      </c>
    </row>
    <row r="374">
      <c r="B374" s="16">
        <f>COUNTIF('Extração'!L:L,A374)</f>
        <v>0</v>
      </c>
      <c r="C374" s="16" t="str">
        <f>IF(B374=0,"",COUNTIFS('Extração'!P:P,"Sim",'Extração'!L:L,A374)/B374)</f>
        <v/>
      </c>
      <c r="D374" s="16" t="str">
        <f>IF(B374=0,"",COUNTIFS('Extração'!Q:Q,"Sim",'Extração'!L:L,A374)/B374)</f>
        <v/>
      </c>
      <c r="E374" s="16" t="str">
        <f>IF(B374=0,"",COUNTIFS('Extração'!P:P,"Parcialmente",'Extração'!L:L,A374)/B374)</f>
        <v/>
      </c>
      <c r="F374" s="16" t="str">
        <f>IF(B374=0,"",COUNTIFS('Extração'!Q:Q,"Parcialmente",'Extração'!L:L,A374)/B374)</f>
        <v/>
      </c>
      <c r="G374" s="16" t="str">
        <f>IF(B374=0,"",COUNTIFS('Extração'!P:P,"Não",'Extração'!L:L,A374)/B374)</f>
        <v/>
      </c>
      <c r="H374" s="16" t="str">
        <f>IF(B374=0,"",COUNTIFS('Extração'!Q:Q,"Não",'Extração'!L:L,A374)/B374)</f>
        <v/>
      </c>
      <c r="I374" s="16" t="str">
        <f>IF(B374=0,"",COUNTIFS('Extração'!R:R,"Igual",'Extração'!L:L,A374)/B374)</f>
        <v/>
      </c>
    </row>
    <row r="375">
      <c r="B375" s="16">
        <f>COUNTIF('Extração'!L:L,A375)</f>
        <v>0</v>
      </c>
      <c r="C375" s="16" t="str">
        <f>IF(B375=0,"",COUNTIFS('Extração'!P:P,"Sim",'Extração'!L:L,A375)/B375)</f>
        <v/>
      </c>
      <c r="D375" s="16" t="str">
        <f>IF(B375=0,"",COUNTIFS('Extração'!Q:Q,"Sim",'Extração'!L:L,A375)/B375)</f>
        <v/>
      </c>
      <c r="E375" s="16" t="str">
        <f>IF(B375=0,"",COUNTIFS('Extração'!P:P,"Parcialmente",'Extração'!L:L,A375)/B375)</f>
        <v/>
      </c>
      <c r="F375" s="16" t="str">
        <f>IF(B375=0,"",COUNTIFS('Extração'!Q:Q,"Parcialmente",'Extração'!L:L,A375)/B375)</f>
        <v/>
      </c>
      <c r="G375" s="16" t="str">
        <f>IF(B375=0,"",COUNTIFS('Extração'!P:P,"Não",'Extração'!L:L,A375)/B375)</f>
        <v/>
      </c>
      <c r="H375" s="16" t="str">
        <f>IF(B375=0,"",COUNTIFS('Extração'!Q:Q,"Não",'Extração'!L:L,A375)/B375)</f>
        <v/>
      </c>
      <c r="I375" s="16" t="str">
        <f>IF(B375=0,"",COUNTIFS('Extração'!R:R,"Igual",'Extração'!L:L,A375)/B375)</f>
        <v/>
      </c>
    </row>
    <row r="376">
      <c r="B376" s="16">
        <f>COUNTIF('Extração'!L:L,A376)</f>
        <v>0</v>
      </c>
      <c r="C376" s="16" t="str">
        <f>IF(B376=0,"",COUNTIFS('Extração'!P:P,"Sim",'Extração'!L:L,A376)/B376)</f>
        <v/>
      </c>
      <c r="D376" s="16" t="str">
        <f>IF(B376=0,"",COUNTIFS('Extração'!Q:Q,"Sim",'Extração'!L:L,A376)/B376)</f>
        <v/>
      </c>
      <c r="E376" s="16" t="str">
        <f>IF(B376=0,"",COUNTIFS('Extração'!P:P,"Parcialmente",'Extração'!L:L,A376)/B376)</f>
        <v/>
      </c>
      <c r="F376" s="16" t="str">
        <f>IF(B376=0,"",COUNTIFS('Extração'!Q:Q,"Parcialmente",'Extração'!L:L,A376)/B376)</f>
        <v/>
      </c>
      <c r="G376" s="16" t="str">
        <f>IF(B376=0,"",COUNTIFS('Extração'!P:P,"Não",'Extração'!L:L,A376)/B376)</f>
        <v/>
      </c>
      <c r="H376" s="16" t="str">
        <f>IF(B376=0,"",COUNTIFS('Extração'!Q:Q,"Não",'Extração'!L:L,A376)/B376)</f>
        <v/>
      </c>
      <c r="I376" s="16" t="str">
        <f>IF(B376=0,"",COUNTIFS('Extração'!R:R,"Igual",'Extração'!L:L,A376)/B376)</f>
        <v/>
      </c>
    </row>
    <row r="377">
      <c r="B377" s="16">
        <f>COUNTIF('Extração'!L:L,A377)</f>
        <v>0</v>
      </c>
      <c r="C377" s="16" t="str">
        <f>IF(B377=0,"",COUNTIFS('Extração'!P:P,"Sim",'Extração'!L:L,A377)/B377)</f>
        <v/>
      </c>
      <c r="D377" s="16" t="str">
        <f>IF(B377=0,"",COUNTIFS('Extração'!Q:Q,"Sim",'Extração'!L:L,A377)/B377)</f>
        <v/>
      </c>
      <c r="E377" s="16" t="str">
        <f>IF(B377=0,"",COUNTIFS('Extração'!P:P,"Parcialmente",'Extração'!L:L,A377)/B377)</f>
        <v/>
      </c>
      <c r="F377" s="16" t="str">
        <f>IF(B377=0,"",COUNTIFS('Extração'!Q:Q,"Parcialmente",'Extração'!L:L,A377)/B377)</f>
        <v/>
      </c>
      <c r="G377" s="16" t="str">
        <f>IF(B377=0,"",COUNTIFS('Extração'!P:P,"Não",'Extração'!L:L,A377)/B377)</f>
        <v/>
      </c>
      <c r="H377" s="16" t="str">
        <f>IF(B377=0,"",COUNTIFS('Extração'!Q:Q,"Não",'Extração'!L:L,A377)/B377)</f>
        <v/>
      </c>
      <c r="I377" s="16" t="str">
        <f>IF(B377=0,"",COUNTIFS('Extração'!R:R,"Igual",'Extração'!L:L,A377)/B377)</f>
        <v/>
      </c>
    </row>
    <row r="378">
      <c r="B378" s="16">
        <f>COUNTIF('Extração'!L:L,A378)</f>
        <v>0</v>
      </c>
      <c r="C378" s="16" t="str">
        <f>IF(B378=0,"",COUNTIFS('Extração'!P:P,"Sim",'Extração'!L:L,A378)/B378)</f>
        <v/>
      </c>
      <c r="D378" s="16" t="str">
        <f>IF(B378=0,"",COUNTIFS('Extração'!Q:Q,"Sim",'Extração'!L:L,A378)/B378)</f>
        <v/>
      </c>
      <c r="E378" s="16" t="str">
        <f>IF(B378=0,"",COUNTIFS('Extração'!P:P,"Parcialmente",'Extração'!L:L,A378)/B378)</f>
        <v/>
      </c>
      <c r="F378" s="16" t="str">
        <f>IF(B378=0,"",COUNTIFS('Extração'!Q:Q,"Parcialmente",'Extração'!L:L,A378)/B378)</f>
        <v/>
      </c>
      <c r="G378" s="16" t="str">
        <f>IF(B378=0,"",COUNTIFS('Extração'!P:P,"Não",'Extração'!L:L,A378)/B378)</f>
        <v/>
      </c>
      <c r="H378" s="16" t="str">
        <f>IF(B378=0,"",COUNTIFS('Extração'!Q:Q,"Não",'Extração'!L:L,A378)/B378)</f>
        <v/>
      </c>
      <c r="I378" s="16" t="str">
        <f>IF(B378=0,"",COUNTIFS('Extração'!R:R,"Igual",'Extração'!L:L,A378)/B378)</f>
        <v/>
      </c>
    </row>
    <row r="379">
      <c r="B379" s="16">
        <f>COUNTIF('Extração'!L:L,A379)</f>
        <v>0</v>
      </c>
      <c r="C379" s="16" t="str">
        <f>IF(B379=0,"",COUNTIFS('Extração'!P:P,"Sim",'Extração'!L:L,A379)/B379)</f>
        <v/>
      </c>
      <c r="D379" s="16" t="str">
        <f>IF(B379=0,"",COUNTIFS('Extração'!Q:Q,"Sim",'Extração'!L:L,A379)/B379)</f>
        <v/>
      </c>
      <c r="E379" s="16" t="str">
        <f>IF(B379=0,"",COUNTIFS('Extração'!P:P,"Parcialmente",'Extração'!L:L,A379)/B379)</f>
        <v/>
      </c>
      <c r="F379" s="16" t="str">
        <f>IF(B379=0,"",COUNTIFS('Extração'!Q:Q,"Parcialmente",'Extração'!L:L,A379)/B379)</f>
        <v/>
      </c>
      <c r="G379" s="16" t="str">
        <f>IF(B379=0,"",COUNTIFS('Extração'!P:P,"Não",'Extração'!L:L,A379)/B379)</f>
        <v/>
      </c>
      <c r="H379" s="16" t="str">
        <f>IF(B379=0,"",COUNTIFS('Extração'!Q:Q,"Não",'Extração'!L:L,A379)/B379)</f>
        <v/>
      </c>
      <c r="I379" s="16" t="str">
        <f>IF(B379=0,"",COUNTIFS('Extração'!R:R,"Igual",'Extração'!L:L,A379)/B379)</f>
        <v/>
      </c>
    </row>
    <row r="380">
      <c r="B380" s="16">
        <f>COUNTIF('Extração'!L:L,A380)</f>
        <v>0</v>
      </c>
      <c r="C380" s="16" t="str">
        <f>IF(B380=0,"",COUNTIFS('Extração'!P:P,"Sim",'Extração'!L:L,A380)/B380)</f>
        <v/>
      </c>
      <c r="D380" s="16" t="str">
        <f>IF(B380=0,"",COUNTIFS('Extração'!Q:Q,"Sim",'Extração'!L:L,A380)/B380)</f>
        <v/>
      </c>
      <c r="E380" s="16" t="str">
        <f>IF(B380=0,"",COUNTIFS('Extração'!P:P,"Parcialmente",'Extração'!L:L,A380)/B380)</f>
        <v/>
      </c>
      <c r="F380" s="16" t="str">
        <f>IF(B380=0,"",COUNTIFS('Extração'!Q:Q,"Parcialmente",'Extração'!L:L,A380)/B380)</f>
        <v/>
      </c>
      <c r="G380" s="16" t="str">
        <f>IF(B380=0,"",COUNTIFS('Extração'!P:P,"Não",'Extração'!L:L,A380)/B380)</f>
        <v/>
      </c>
      <c r="H380" s="16" t="str">
        <f>IF(B380=0,"",COUNTIFS('Extração'!Q:Q,"Não",'Extração'!L:L,A380)/B380)</f>
        <v/>
      </c>
      <c r="I380" s="16" t="str">
        <f>IF(B380=0,"",COUNTIFS('Extração'!R:R,"Igual",'Extração'!L:L,A380)/B380)</f>
        <v/>
      </c>
    </row>
    <row r="381">
      <c r="B381" s="16">
        <f>COUNTIF('Extração'!L:L,A381)</f>
        <v>0</v>
      </c>
      <c r="C381" s="16" t="str">
        <f>IF(B381=0,"",COUNTIFS('Extração'!P:P,"Sim",'Extração'!L:L,A381)/B381)</f>
        <v/>
      </c>
      <c r="D381" s="16" t="str">
        <f>IF(B381=0,"",COUNTIFS('Extração'!Q:Q,"Sim",'Extração'!L:L,A381)/B381)</f>
        <v/>
      </c>
      <c r="E381" s="16" t="str">
        <f>IF(B381=0,"",COUNTIFS('Extração'!P:P,"Parcialmente",'Extração'!L:L,A381)/B381)</f>
        <v/>
      </c>
      <c r="F381" s="16" t="str">
        <f>IF(B381=0,"",COUNTIFS('Extração'!Q:Q,"Parcialmente",'Extração'!L:L,A381)/B381)</f>
        <v/>
      </c>
      <c r="G381" s="16" t="str">
        <f>IF(B381=0,"",COUNTIFS('Extração'!P:P,"Não",'Extração'!L:L,A381)/B381)</f>
        <v/>
      </c>
      <c r="H381" s="16" t="str">
        <f>IF(B381=0,"",COUNTIFS('Extração'!Q:Q,"Não",'Extração'!L:L,A381)/B381)</f>
        <v/>
      </c>
      <c r="I381" s="16" t="str">
        <f>IF(B381=0,"",COUNTIFS('Extração'!R:R,"Igual",'Extração'!L:L,A381)/B381)</f>
        <v/>
      </c>
    </row>
    <row r="382">
      <c r="B382" s="16">
        <f>COUNTIF('Extração'!L:L,A382)</f>
        <v>0</v>
      </c>
      <c r="C382" s="16" t="str">
        <f>IF(B382=0,"",COUNTIFS('Extração'!P:P,"Sim",'Extração'!L:L,A382)/B382)</f>
        <v/>
      </c>
      <c r="D382" s="16" t="str">
        <f>IF(B382=0,"",COUNTIFS('Extração'!Q:Q,"Sim",'Extração'!L:L,A382)/B382)</f>
        <v/>
      </c>
      <c r="E382" s="16" t="str">
        <f>IF(B382=0,"",COUNTIFS('Extração'!P:P,"Parcialmente",'Extração'!L:L,A382)/B382)</f>
        <v/>
      </c>
      <c r="F382" s="16" t="str">
        <f>IF(B382=0,"",COUNTIFS('Extração'!Q:Q,"Parcialmente",'Extração'!L:L,A382)/B382)</f>
        <v/>
      </c>
      <c r="G382" s="16" t="str">
        <f>IF(B382=0,"",COUNTIFS('Extração'!P:P,"Não",'Extração'!L:L,A382)/B382)</f>
        <v/>
      </c>
      <c r="H382" s="16" t="str">
        <f>IF(B382=0,"",COUNTIFS('Extração'!Q:Q,"Não",'Extração'!L:L,A382)/B382)</f>
        <v/>
      </c>
      <c r="I382" s="16" t="str">
        <f>IF(B382=0,"",COUNTIFS('Extração'!R:R,"Igual",'Extração'!L:L,A382)/B382)</f>
        <v/>
      </c>
    </row>
    <row r="383">
      <c r="B383" s="16">
        <f>COUNTIF('Extração'!L:L,A383)</f>
        <v>0</v>
      </c>
      <c r="C383" s="16" t="str">
        <f>IF(B383=0,"",COUNTIFS('Extração'!P:P,"Sim",'Extração'!L:L,A383)/B383)</f>
        <v/>
      </c>
      <c r="D383" s="16" t="str">
        <f>IF(B383=0,"",COUNTIFS('Extração'!Q:Q,"Sim",'Extração'!L:L,A383)/B383)</f>
        <v/>
      </c>
      <c r="E383" s="16" t="str">
        <f>IF(B383=0,"",COUNTIFS('Extração'!P:P,"Parcialmente",'Extração'!L:L,A383)/B383)</f>
        <v/>
      </c>
      <c r="F383" s="16" t="str">
        <f>IF(B383=0,"",COUNTIFS('Extração'!Q:Q,"Parcialmente",'Extração'!L:L,A383)/B383)</f>
        <v/>
      </c>
      <c r="G383" s="16" t="str">
        <f>IF(B383=0,"",COUNTIFS('Extração'!P:P,"Não",'Extração'!L:L,A383)/B383)</f>
        <v/>
      </c>
      <c r="H383" s="16" t="str">
        <f>IF(B383=0,"",COUNTIFS('Extração'!Q:Q,"Não",'Extração'!L:L,A383)/B383)</f>
        <v/>
      </c>
      <c r="I383" s="16" t="str">
        <f>IF(B383=0,"",COUNTIFS('Extração'!R:R,"Igual",'Extração'!L:L,A383)/B383)</f>
        <v/>
      </c>
    </row>
    <row r="384">
      <c r="B384" s="16">
        <f>COUNTIF('Extração'!L:L,A384)</f>
        <v>0</v>
      </c>
      <c r="C384" s="16" t="str">
        <f>IF(B384=0,"",COUNTIFS('Extração'!P:P,"Sim",'Extração'!L:L,A384)/B384)</f>
        <v/>
      </c>
      <c r="D384" s="16" t="str">
        <f>IF(B384=0,"",COUNTIFS('Extração'!Q:Q,"Sim",'Extração'!L:L,A384)/B384)</f>
        <v/>
      </c>
      <c r="E384" s="16" t="str">
        <f>IF(B384=0,"",COUNTIFS('Extração'!P:P,"Parcialmente",'Extração'!L:L,A384)/B384)</f>
        <v/>
      </c>
      <c r="F384" s="16" t="str">
        <f>IF(B384=0,"",COUNTIFS('Extração'!Q:Q,"Parcialmente",'Extração'!L:L,A384)/B384)</f>
        <v/>
      </c>
      <c r="G384" s="16" t="str">
        <f>IF(B384=0,"",COUNTIFS('Extração'!P:P,"Não",'Extração'!L:L,A384)/B384)</f>
        <v/>
      </c>
      <c r="H384" s="16" t="str">
        <f>IF(B384=0,"",COUNTIFS('Extração'!Q:Q,"Não",'Extração'!L:L,A384)/B384)</f>
        <v/>
      </c>
      <c r="I384" s="16" t="str">
        <f>IF(B384=0,"",COUNTIFS('Extração'!R:R,"Igual",'Extração'!L:L,A384)/B384)</f>
        <v/>
      </c>
    </row>
    <row r="385">
      <c r="B385" s="16">
        <f>COUNTIF('Extração'!L:L,A385)</f>
        <v>0</v>
      </c>
      <c r="C385" s="16" t="str">
        <f>IF(B385=0,"",COUNTIFS('Extração'!P:P,"Sim",'Extração'!L:L,A385)/B385)</f>
        <v/>
      </c>
      <c r="D385" s="16" t="str">
        <f>IF(B385=0,"",COUNTIFS('Extração'!Q:Q,"Sim",'Extração'!L:L,A385)/B385)</f>
        <v/>
      </c>
      <c r="E385" s="16" t="str">
        <f>IF(B385=0,"",COUNTIFS('Extração'!P:P,"Parcialmente",'Extração'!L:L,A385)/B385)</f>
        <v/>
      </c>
      <c r="F385" s="16" t="str">
        <f>IF(B385=0,"",COUNTIFS('Extração'!Q:Q,"Parcialmente",'Extração'!L:L,A385)/B385)</f>
        <v/>
      </c>
      <c r="G385" s="16" t="str">
        <f>IF(B385=0,"",COUNTIFS('Extração'!P:P,"Não",'Extração'!L:L,A385)/B385)</f>
        <v/>
      </c>
      <c r="H385" s="16" t="str">
        <f>IF(B385=0,"",COUNTIFS('Extração'!Q:Q,"Não",'Extração'!L:L,A385)/B385)</f>
        <v/>
      </c>
      <c r="I385" s="16" t="str">
        <f>IF(B385=0,"",COUNTIFS('Extração'!R:R,"Igual",'Extração'!L:L,A385)/B385)</f>
        <v/>
      </c>
    </row>
    <row r="386">
      <c r="B386" s="16">
        <f>COUNTIF('Extração'!L:L,A386)</f>
        <v>0</v>
      </c>
      <c r="C386" s="16" t="str">
        <f>IF(B386=0,"",COUNTIFS('Extração'!P:P,"Sim",'Extração'!L:L,A386)/B386)</f>
        <v/>
      </c>
      <c r="D386" s="16" t="str">
        <f>IF(B386=0,"",COUNTIFS('Extração'!Q:Q,"Sim",'Extração'!L:L,A386)/B386)</f>
        <v/>
      </c>
      <c r="E386" s="16" t="str">
        <f>IF(B386=0,"",COUNTIFS('Extração'!P:P,"Parcialmente",'Extração'!L:L,A386)/B386)</f>
        <v/>
      </c>
      <c r="F386" s="16" t="str">
        <f>IF(B386=0,"",COUNTIFS('Extração'!Q:Q,"Parcialmente",'Extração'!L:L,A386)/B386)</f>
        <v/>
      </c>
      <c r="G386" s="16" t="str">
        <f>IF(B386=0,"",COUNTIFS('Extração'!P:P,"Não",'Extração'!L:L,A386)/B386)</f>
        <v/>
      </c>
      <c r="H386" s="16" t="str">
        <f>IF(B386=0,"",COUNTIFS('Extração'!Q:Q,"Não",'Extração'!L:L,A386)/B386)</f>
        <v/>
      </c>
      <c r="I386" s="16" t="str">
        <f>IF(B386=0,"",COUNTIFS('Extração'!R:R,"Igual",'Extração'!L:L,A386)/B386)</f>
        <v/>
      </c>
    </row>
    <row r="387">
      <c r="B387" s="16">
        <f>COUNTIF('Extração'!L:L,A387)</f>
        <v>0</v>
      </c>
      <c r="C387" s="16" t="str">
        <f>IF(B387=0,"",COUNTIFS('Extração'!P:P,"Sim",'Extração'!L:L,A387)/B387)</f>
        <v/>
      </c>
      <c r="D387" s="16" t="str">
        <f>IF(B387=0,"",COUNTIFS('Extração'!Q:Q,"Sim",'Extração'!L:L,A387)/B387)</f>
        <v/>
      </c>
      <c r="E387" s="16" t="str">
        <f>IF(B387=0,"",COUNTIFS('Extração'!P:P,"Parcialmente",'Extração'!L:L,A387)/B387)</f>
        <v/>
      </c>
      <c r="F387" s="16" t="str">
        <f>IF(B387=0,"",COUNTIFS('Extração'!Q:Q,"Parcialmente",'Extração'!L:L,A387)/B387)</f>
        <v/>
      </c>
      <c r="G387" s="16" t="str">
        <f>IF(B387=0,"",COUNTIFS('Extração'!P:P,"Não",'Extração'!L:L,A387)/B387)</f>
        <v/>
      </c>
      <c r="H387" s="16" t="str">
        <f>IF(B387=0,"",COUNTIFS('Extração'!Q:Q,"Não",'Extração'!L:L,A387)/B387)</f>
        <v/>
      </c>
      <c r="I387" s="16" t="str">
        <f>IF(B387=0,"",COUNTIFS('Extração'!R:R,"Igual",'Extração'!L:L,A387)/B387)</f>
        <v/>
      </c>
    </row>
    <row r="388">
      <c r="B388" s="16">
        <f>COUNTIF('Extração'!L:L,A388)</f>
        <v>0</v>
      </c>
      <c r="C388" s="16" t="str">
        <f>IF(B388=0,"",COUNTIFS('Extração'!P:P,"Sim",'Extração'!L:L,A388)/B388)</f>
        <v/>
      </c>
      <c r="D388" s="16" t="str">
        <f>IF(B388=0,"",COUNTIFS('Extração'!Q:Q,"Sim",'Extração'!L:L,A388)/B388)</f>
        <v/>
      </c>
      <c r="E388" s="16" t="str">
        <f>IF(B388=0,"",COUNTIFS('Extração'!P:P,"Parcialmente",'Extração'!L:L,A388)/B388)</f>
        <v/>
      </c>
      <c r="F388" s="16" t="str">
        <f>IF(B388=0,"",COUNTIFS('Extração'!Q:Q,"Parcialmente",'Extração'!L:L,A388)/B388)</f>
        <v/>
      </c>
      <c r="G388" s="16" t="str">
        <f>IF(B388=0,"",COUNTIFS('Extração'!P:P,"Não",'Extração'!L:L,A388)/B388)</f>
        <v/>
      </c>
      <c r="H388" s="16" t="str">
        <f>IF(B388=0,"",COUNTIFS('Extração'!Q:Q,"Não",'Extração'!L:L,A388)/B388)</f>
        <v/>
      </c>
      <c r="I388" s="16" t="str">
        <f>IF(B388=0,"",COUNTIFS('Extração'!R:R,"Igual",'Extração'!L:L,A388)/B388)</f>
        <v/>
      </c>
    </row>
    <row r="389">
      <c r="B389" s="16">
        <f>COUNTIF('Extração'!L:L,A389)</f>
        <v>0</v>
      </c>
      <c r="C389" s="16" t="str">
        <f>IF(B389=0,"",COUNTIFS('Extração'!P:P,"Sim",'Extração'!L:L,A389)/B389)</f>
        <v/>
      </c>
      <c r="D389" s="16" t="str">
        <f>IF(B389=0,"",COUNTIFS('Extração'!Q:Q,"Sim",'Extração'!L:L,A389)/B389)</f>
        <v/>
      </c>
      <c r="E389" s="16" t="str">
        <f>IF(B389=0,"",COUNTIFS('Extração'!P:P,"Parcialmente",'Extração'!L:L,A389)/B389)</f>
        <v/>
      </c>
      <c r="F389" s="16" t="str">
        <f>IF(B389=0,"",COUNTIFS('Extração'!Q:Q,"Parcialmente",'Extração'!L:L,A389)/B389)</f>
        <v/>
      </c>
      <c r="G389" s="16" t="str">
        <f>IF(B389=0,"",COUNTIFS('Extração'!P:P,"Não",'Extração'!L:L,A389)/B389)</f>
        <v/>
      </c>
      <c r="H389" s="16" t="str">
        <f>IF(B389=0,"",COUNTIFS('Extração'!Q:Q,"Não",'Extração'!L:L,A389)/B389)</f>
        <v/>
      </c>
      <c r="I389" s="16" t="str">
        <f>IF(B389=0,"",COUNTIFS('Extração'!R:R,"Igual",'Extração'!L:L,A389)/B389)</f>
        <v/>
      </c>
    </row>
    <row r="390">
      <c r="B390" s="16">
        <f>COUNTIF('Extração'!L:L,A390)</f>
        <v>0</v>
      </c>
      <c r="C390" s="16" t="str">
        <f>IF(B390=0,"",COUNTIFS('Extração'!P:P,"Sim",'Extração'!L:L,A390)/B390)</f>
        <v/>
      </c>
      <c r="D390" s="16" t="str">
        <f>IF(B390=0,"",COUNTIFS('Extração'!Q:Q,"Sim",'Extração'!L:L,A390)/B390)</f>
        <v/>
      </c>
      <c r="E390" s="16" t="str">
        <f>IF(B390=0,"",COUNTIFS('Extração'!P:P,"Parcialmente",'Extração'!L:L,A390)/B390)</f>
        <v/>
      </c>
      <c r="F390" s="16" t="str">
        <f>IF(B390=0,"",COUNTIFS('Extração'!Q:Q,"Parcialmente",'Extração'!L:L,A390)/B390)</f>
        <v/>
      </c>
      <c r="G390" s="16" t="str">
        <f>IF(B390=0,"",COUNTIFS('Extração'!P:P,"Não",'Extração'!L:L,A390)/B390)</f>
        <v/>
      </c>
      <c r="H390" s="16" t="str">
        <f>IF(B390=0,"",COUNTIFS('Extração'!Q:Q,"Não",'Extração'!L:L,A390)/B390)</f>
        <v/>
      </c>
      <c r="I390" s="16" t="str">
        <f>IF(B390=0,"",COUNTIFS('Extração'!R:R,"Igual",'Extração'!L:L,A390)/B390)</f>
        <v/>
      </c>
    </row>
    <row r="391">
      <c r="B391" s="16">
        <f>COUNTIF('Extração'!L:L,A391)</f>
        <v>0</v>
      </c>
      <c r="C391" s="16" t="str">
        <f>IF(B391=0,"",COUNTIFS('Extração'!P:P,"Sim",'Extração'!L:L,A391)/B391)</f>
        <v/>
      </c>
      <c r="D391" s="16" t="str">
        <f>IF(B391=0,"",COUNTIFS('Extração'!Q:Q,"Sim",'Extração'!L:L,A391)/B391)</f>
        <v/>
      </c>
      <c r="E391" s="16" t="str">
        <f>IF(B391=0,"",COUNTIFS('Extração'!P:P,"Parcialmente",'Extração'!L:L,A391)/B391)</f>
        <v/>
      </c>
      <c r="F391" s="16" t="str">
        <f>IF(B391=0,"",COUNTIFS('Extração'!Q:Q,"Parcialmente",'Extração'!L:L,A391)/B391)</f>
        <v/>
      </c>
      <c r="G391" s="16" t="str">
        <f>IF(B391=0,"",COUNTIFS('Extração'!P:P,"Não",'Extração'!L:L,A391)/B391)</f>
        <v/>
      </c>
      <c r="H391" s="16" t="str">
        <f>IF(B391=0,"",COUNTIFS('Extração'!Q:Q,"Não",'Extração'!L:L,A391)/B391)</f>
        <v/>
      </c>
      <c r="I391" s="16" t="str">
        <f>IF(B391=0,"",COUNTIFS('Extração'!R:R,"Igual",'Extração'!L:L,A391)/B391)</f>
        <v/>
      </c>
    </row>
    <row r="392">
      <c r="B392" s="16">
        <f>COUNTIF('Extração'!L:L,A392)</f>
        <v>0</v>
      </c>
      <c r="C392" s="16" t="str">
        <f>IF(B392=0,"",COUNTIFS('Extração'!P:P,"Sim",'Extração'!L:L,A392)/B392)</f>
        <v/>
      </c>
      <c r="D392" s="16" t="str">
        <f>IF(B392=0,"",COUNTIFS('Extração'!Q:Q,"Sim",'Extração'!L:L,A392)/B392)</f>
        <v/>
      </c>
      <c r="E392" s="16" t="str">
        <f>IF(B392=0,"",COUNTIFS('Extração'!P:P,"Parcialmente",'Extração'!L:L,A392)/B392)</f>
        <v/>
      </c>
      <c r="F392" s="16" t="str">
        <f>IF(B392=0,"",COUNTIFS('Extração'!Q:Q,"Parcialmente",'Extração'!L:L,A392)/B392)</f>
        <v/>
      </c>
      <c r="G392" s="16" t="str">
        <f>IF(B392=0,"",COUNTIFS('Extração'!P:P,"Não",'Extração'!L:L,A392)/B392)</f>
        <v/>
      </c>
      <c r="H392" s="16" t="str">
        <f>IF(B392=0,"",COUNTIFS('Extração'!Q:Q,"Não",'Extração'!L:L,A392)/B392)</f>
        <v/>
      </c>
      <c r="I392" s="16" t="str">
        <f>IF(B392=0,"",COUNTIFS('Extração'!R:R,"Igual",'Extração'!L:L,A392)/B392)</f>
        <v/>
      </c>
    </row>
    <row r="393">
      <c r="B393" s="16">
        <f>COUNTIF('Extração'!L:L,A393)</f>
        <v>0</v>
      </c>
      <c r="C393" s="16" t="str">
        <f>IF(B393=0,"",COUNTIFS('Extração'!P:P,"Sim",'Extração'!L:L,A393)/B393)</f>
        <v/>
      </c>
      <c r="D393" s="16" t="str">
        <f>IF(B393=0,"",COUNTIFS('Extração'!Q:Q,"Sim",'Extração'!L:L,A393)/B393)</f>
        <v/>
      </c>
      <c r="E393" s="16" t="str">
        <f>IF(B393=0,"",COUNTIFS('Extração'!P:P,"Parcialmente",'Extração'!L:L,A393)/B393)</f>
        <v/>
      </c>
      <c r="F393" s="16" t="str">
        <f>IF(B393=0,"",COUNTIFS('Extração'!Q:Q,"Parcialmente",'Extração'!L:L,A393)/B393)</f>
        <v/>
      </c>
      <c r="G393" s="16" t="str">
        <f>IF(B393=0,"",COUNTIFS('Extração'!P:P,"Não",'Extração'!L:L,A393)/B393)</f>
        <v/>
      </c>
      <c r="H393" s="16" t="str">
        <f>IF(B393=0,"",COUNTIFS('Extração'!Q:Q,"Não",'Extração'!L:L,A393)/B393)</f>
        <v/>
      </c>
      <c r="I393" s="16" t="str">
        <f>IF(B393=0,"",COUNTIFS('Extração'!R:R,"Igual",'Extração'!L:L,A393)/B393)</f>
        <v/>
      </c>
    </row>
    <row r="394">
      <c r="B394" s="16">
        <f>COUNTIF('Extração'!L:L,A394)</f>
        <v>0</v>
      </c>
      <c r="C394" s="16" t="str">
        <f>IF(B394=0,"",COUNTIFS('Extração'!P:P,"Sim",'Extração'!L:L,A394)/B394)</f>
        <v/>
      </c>
      <c r="D394" s="16" t="str">
        <f>IF(B394=0,"",COUNTIFS('Extração'!Q:Q,"Sim",'Extração'!L:L,A394)/B394)</f>
        <v/>
      </c>
      <c r="E394" s="16" t="str">
        <f>IF(B394=0,"",COUNTIFS('Extração'!P:P,"Parcialmente",'Extração'!L:L,A394)/B394)</f>
        <v/>
      </c>
      <c r="F394" s="16" t="str">
        <f>IF(B394=0,"",COUNTIFS('Extração'!Q:Q,"Parcialmente",'Extração'!L:L,A394)/B394)</f>
        <v/>
      </c>
      <c r="G394" s="16" t="str">
        <f>IF(B394=0,"",COUNTIFS('Extração'!P:P,"Não",'Extração'!L:L,A394)/B394)</f>
        <v/>
      </c>
      <c r="H394" s="16" t="str">
        <f>IF(B394=0,"",COUNTIFS('Extração'!Q:Q,"Não",'Extração'!L:L,A394)/B394)</f>
        <v/>
      </c>
      <c r="I394" s="16" t="str">
        <f>IF(B394=0,"",COUNTIFS('Extração'!R:R,"Igual",'Extração'!L:L,A394)/B394)</f>
        <v/>
      </c>
    </row>
    <row r="395">
      <c r="B395" s="16">
        <f>COUNTIF('Extração'!L:L,A395)</f>
        <v>0</v>
      </c>
      <c r="C395" s="16" t="str">
        <f>IF(B395=0,"",COUNTIFS('Extração'!P:P,"Sim",'Extração'!L:L,A395)/B395)</f>
        <v/>
      </c>
      <c r="D395" s="16" t="str">
        <f>IF(B395=0,"",COUNTIFS('Extração'!Q:Q,"Sim",'Extração'!L:L,A395)/B395)</f>
        <v/>
      </c>
      <c r="E395" s="16" t="str">
        <f>IF(B395=0,"",COUNTIFS('Extração'!P:P,"Parcialmente",'Extração'!L:L,A395)/B395)</f>
        <v/>
      </c>
      <c r="F395" s="16" t="str">
        <f>IF(B395=0,"",COUNTIFS('Extração'!Q:Q,"Parcialmente",'Extração'!L:L,A395)/B395)</f>
        <v/>
      </c>
      <c r="G395" s="16" t="str">
        <f>IF(B395=0,"",COUNTIFS('Extração'!P:P,"Não",'Extração'!L:L,A395)/B395)</f>
        <v/>
      </c>
      <c r="H395" s="16" t="str">
        <f>IF(B395=0,"",COUNTIFS('Extração'!Q:Q,"Não",'Extração'!L:L,A395)/B395)</f>
        <v/>
      </c>
      <c r="I395" s="16" t="str">
        <f>IF(B395=0,"",COUNTIFS('Extração'!R:R,"Igual",'Extração'!L:L,A395)/B395)</f>
        <v/>
      </c>
    </row>
    <row r="396">
      <c r="B396" s="16">
        <f>COUNTIF('Extração'!L:L,A396)</f>
        <v>0</v>
      </c>
      <c r="C396" s="16" t="str">
        <f>IF(B396=0,"",COUNTIFS('Extração'!P:P,"Sim",'Extração'!L:L,A396)/B396)</f>
        <v/>
      </c>
      <c r="D396" s="16" t="str">
        <f>IF(B396=0,"",COUNTIFS('Extração'!Q:Q,"Sim",'Extração'!L:L,A396)/B396)</f>
        <v/>
      </c>
      <c r="E396" s="16" t="str">
        <f>IF(B396=0,"",COUNTIFS('Extração'!P:P,"Parcialmente",'Extração'!L:L,A396)/B396)</f>
        <v/>
      </c>
      <c r="F396" s="16" t="str">
        <f>IF(B396=0,"",COUNTIFS('Extração'!Q:Q,"Parcialmente",'Extração'!L:L,A396)/B396)</f>
        <v/>
      </c>
      <c r="G396" s="16" t="str">
        <f>IF(B396=0,"",COUNTIFS('Extração'!P:P,"Não",'Extração'!L:L,A396)/B396)</f>
        <v/>
      </c>
      <c r="H396" s="16" t="str">
        <f>IF(B396=0,"",COUNTIFS('Extração'!Q:Q,"Não",'Extração'!L:L,A396)/B396)</f>
        <v/>
      </c>
      <c r="I396" s="16" t="str">
        <f>IF(B396=0,"",COUNTIFS('Extração'!R:R,"Igual",'Extração'!L:L,A396)/B396)</f>
        <v/>
      </c>
    </row>
    <row r="397">
      <c r="B397" s="16">
        <f>COUNTIF('Extração'!L:L,A397)</f>
        <v>0</v>
      </c>
      <c r="C397" s="16" t="str">
        <f>IF(B397=0,"",COUNTIFS('Extração'!P:P,"Sim",'Extração'!L:L,A397)/B397)</f>
        <v/>
      </c>
      <c r="D397" s="16" t="str">
        <f>IF(B397=0,"",COUNTIFS('Extração'!Q:Q,"Sim",'Extração'!L:L,A397)/B397)</f>
        <v/>
      </c>
      <c r="E397" s="16" t="str">
        <f>IF(B397=0,"",COUNTIFS('Extração'!P:P,"Parcialmente",'Extração'!L:L,A397)/B397)</f>
        <v/>
      </c>
      <c r="F397" s="16" t="str">
        <f>IF(B397=0,"",COUNTIFS('Extração'!Q:Q,"Parcialmente",'Extração'!L:L,A397)/B397)</f>
        <v/>
      </c>
      <c r="G397" s="16" t="str">
        <f>IF(B397=0,"",COUNTIFS('Extração'!P:P,"Não",'Extração'!L:L,A397)/B397)</f>
        <v/>
      </c>
      <c r="H397" s="16" t="str">
        <f>IF(B397=0,"",COUNTIFS('Extração'!Q:Q,"Não",'Extração'!L:L,A397)/B397)</f>
        <v/>
      </c>
      <c r="I397" s="16" t="str">
        <f>IF(B397=0,"",COUNTIFS('Extração'!R:R,"Igual",'Extração'!L:L,A397)/B397)</f>
        <v/>
      </c>
    </row>
    <row r="398">
      <c r="B398" s="16">
        <f>COUNTIF('Extração'!L:L,A398)</f>
        <v>0</v>
      </c>
      <c r="C398" s="16" t="str">
        <f>IF(B398=0,"",COUNTIFS('Extração'!P:P,"Sim",'Extração'!L:L,A398)/B398)</f>
        <v/>
      </c>
      <c r="D398" s="16" t="str">
        <f>IF(B398=0,"",COUNTIFS('Extração'!Q:Q,"Sim",'Extração'!L:L,A398)/B398)</f>
        <v/>
      </c>
      <c r="E398" s="16" t="str">
        <f>IF(B398=0,"",COUNTIFS('Extração'!P:P,"Parcialmente",'Extração'!L:L,A398)/B398)</f>
        <v/>
      </c>
      <c r="F398" s="16" t="str">
        <f>IF(B398=0,"",COUNTIFS('Extração'!Q:Q,"Parcialmente",'Extração'!L:L,A398)/B398)</f>
        <v/>
      </c>
      <c r="G398" s="16" t="str">
        <f>IF(B398=0,"",COUNTIFS('Extração'!P:P,"Não",'Extração'!L:L,A398)/B398)</f>
        <v/>
      </c>
      <c r="H398" s="16" t="str">
        <f>IF(B398=0,"",COUNTIFS('Extração'!Q:Q,"Não",'Extração'!L:L,A398)/B398)</f>
        <v/>
      </c>
      <c r="I398" s="16" t="str">
        <f>IF(B398=0,"",COUNTIFS('Extração'!R:R,"Igual",'Extração'!L:L,A398)/B398)</f>
        <v/>
      </c>
    </row>
    <row r="399">
      <c r="B399" s="16">
        <f>COUNTIF('Extração'!L:L,A399)</f>
        <v>0</v>
      </c>
      <c r="C399" s="16" t="str">
        <f>IF(B399=0,"",COUNTIFS('Extração'!P:P,"Sim",'Extração'!L:L,A399)/B399)</f>
        <v/>
      </c>
      <c r="D399" s="16" t="str">
        <f>IF(B399=0,"",COUNTIFS('Extração'!Q:Q,"Sim",'Extração'!L:L,A399)/B399)</f>
        <v/>
      </c>
      <c r="E399" s="16" t="str">
        <f>IF(B399=0,"",COUNTIFS('Extração'!P:P,"Parcialmente",'Extração'!L:L,A399)/B399)</f>
        <v/>
      </c>
      <c r="F399" s="16" t="str">
        <f>IF(B399=0,"",COUNTIFS('Extração'!Q:Q,"Parcialmente",'Extração'!L:L,A399)/B399)</f>
        <v/>
      </c>
      <c r="G399" s="16" t="str">
        <f>IF(B399=0,"",COUNTIFS('Extração'!P:P,"Não",'Extração'!L:L,A399)/B399)</f>
        <v/>
      </c>
      <c r="H399" s="16" t="str">
        <f>IF(B399=0,"",COUNTIFS('Extração'!Q:Q,"Não",'Extração'!L:L,A399)/B399)</f>
        <v/>
      </c>
      <c r="I399" s="16" t="str">
        <f>IF(B399=0,"",COUNTIFS('Extração'!R:R,"Igual",'Extração'!L:L,A399)/B399)</f>
        <v/>
      </c>
    </row>
    <row r="400">
      <c r="B400" s="16">
        <f>COUNTIF('Extração'!L:L,A400)</f>
        <v>0</v>
      </c>
      <c r="C400" s="16" t="str">
        <f>IF(B400=0,"",COUNTIFS('Extração'!P:P,"Sim",'Extração'!L:L,A400)/B400)</f>
        <v/>
      </c>
      <c r="D400" s="16" t="str">
        <f>IF(B400=0,"",COUNTIFS('Extração'!Q:Q,"Sim",'Extração'!L:L,A400)/B400)</f>
        <v/>
      </c>
      <c r="E400" s="16" t="str">
        <f>IF(B400=0,"",COUNTIFS('Extração'!P:P,"Parcialmente",'Extração'!L:L,A400)/B400)</f>
        <v/>
      </c>
      <c r="F400" s="16" t="str">
        <f>IF(B400=0,"",COUNTIFS('Extração'!Q:Q,"Parcialmente",'Extração'!L:L,A400)/B400)</f>
        <v/>
      </c>
      <c r="G400" s="16" t="str">
        <f>IF(B400=0,"",COUNTIFS('Extração'!P:P,"Não",'Extração'!L:L,A400)/B400)</f>
        <v/>
      </c>
      <c r="H400" s="16" t="str">
        <f>IF(B400=0,"",COUNTIFS('Extração'!Q:Q,"Não",'Extração'!L:L,A400)/B400)</f>
        <v/>
      </c>
      <c r="I400" s="16" t="str">
        <f>IF(B400=0,"",COUNTIFS('Extração'!R:R,"Igual",'Extração'!L:L,A400)/B400)</f>
        <v/>
      </c>
    </row>
    <row r="401">
      <c r="B401" s="16">
        <f>COUNTIF('Extração'!L:L,A401)</f>
        <v>0</v>
      </c>
      <c r="C401" s="16" t="str">
        <f>IF(B401=0,"",COUNTIFS('Extração'!P:P,"Sim",'Extração'!L:L,A401)/B401)</f>
        <v/>
      </c>
      <c r="D401" s="16" t="str">
        <f>IF(B401=0,"",COUNTIFS('Extração'!Q:Q,"Sim",'Extração'!L:L,A401)/B401)</f>
        <v/>
      </c>
      <c r="E401" s="16" t="str">
        <f>IF(B401=0,"",COUNTIFS('Extração'!P:P,"Parcialmente",'Extração'!L:L,A401)/B401)</f>
        <v/>
      </c>
      <c r="F401" s="16" t="str">
        <f>IF(B401=0,"",COUNTIFS('Extração'!Q:Q,"Parcialmente",'Extração'!L:L,A401)/B401)</f>
        <v/>
      </c>
      <c r="G401" s="16" t="str">
        <f>IF(B401=0,"",COUNTIFS('Extração'!P:P,"Não",'Extração'!L:L,A401)/B401)</f>
        <v/>
      </c>
      <c r="H401" s="16" t="str">
        <f>IF(B401=0,"",COUNTIFS('Extração'!Q:Q,"Não",'Extração'!L:L,A401)/B401)</f>
        <v/>
      </c>
      <c r="I401" s="16" t="str">
        <f>IF(B401=0,"",COUNTIFS('Extração'!R:R,"Igual",'Extração'!L:L,A401)/B401)</f>
        <v/>
      </c>
    </row>
    <row r="402">
      <c r="B402" s="16">
        <f>COUNTIF('Extração'!L:L,A402)</f>
        <v>0</v>
      </c>
      <c r="C402" s="16" t="str">
        <f>IF(B402=0,"",COUNTIFS('Extração'!P:P,"Sim",'Extração'!L:L,A402)/B402)</f>
        <v/>
      </c>
      <c r="D402" s="16" t="str">
        <f>IF(B402=0,"",COUNTIFS('Extração'!Q:Q,"Sim",'Extração'!L:L,A402)/B402)</f>
        <v/>
      </c>
      <c r="E402" s="16" t="str">
        <f>IF(B402=0,"",COUNTIFS('Extração'!P:P,"Parcialmente",'Extração'!L:L,A402)/B402)</f>
        <v/>
      </c>
      <c r="F402" s="16" t="str">
        <f>IF(B402=0,"",COUNTIFS('Extração'!Q:Q,"Parcialmente",'Extração'!L:L,A402)/B402)</f>
        <v/>
      </c>
      <c r="G402" s="16" t="str">
        <f>IF(B402=0,"",COUNTIFS('Extração'!P:P,"Não",'Extração'!L:L,A402)/B402)</f>
        <v/>
      </c>
      <c r="H402" s="16" t="str">
        <f>IF(B402=0,"",COUNTIFS('Extração'!Q:Q,"Não",'Extração'!L:L,A402)/B402)</f>
        <v/>
      </c>
      <c r="I402" s="16" t="str">
        <f>IF(B402=0,"",COUNTIFS('Extração'!R:R,"Igual",'Extração'!L:L,A402)/B402)</f>
        <v/>
      </c>
    </row>
    <row r="403">
      <c r="B403" s="16">
        <f>COUNTIF('Extração'!L:L,A403)</f>
        <v>0</v>
      </c>
      <c r="C403" s="16" t="str">
        <f>IF(B403=0,"",COUNTIFS('Extração'!P:P,"Sim",'Extração'!L:L,A403)/B403)</f>
        <v/>
      </c>
      <c r="D403" s="16" t="str">
        <f>IF(B403=0,"",COUNTIFS('Extração'!Q:Q,"Sim",'Extração'!L:L,A403)/B403)</f>
        <v/>
      </c>
      <c r="E403" s="16" t="str">
        <f>IF(B403=0,"",COUNTIFS('Extração'!P:P,"Parcialmente",'Extração'!L:L,A403)/B403)</f>
        <v/>
      </c>
      <c r="F403" s="16" t="str">
        <f>IF(B403=0,"",COUNTIFS('Extração'!Q:Q,"Parcialmente",'Extração'!L:L,A403)/B403)</f>
        <v/>
      </c>
      <c r="G403" s="16" t="str">
        <f>IF(B403=0,"",COUNTIFS('Extração'!P:P,"Não",'Extração'!L:L,A403)/B403)</f>
        <v/>
      </c>
      <c r="H403" s="16" t="str">
        <f>IF(B403=0,"",COUNTIFS('Extração'!Q:Q,"Não",'Extração'!L:L,A403)/B403)</f>
        <v/>
      </c>
      <c r="I403" s="16" t="str">
        <f>IF(B403=0,"",COUNTIFS('Extração'!R:R,"Igual",'Extração'!L:L,A403)/B403)</f>
        <v/>
      </c>
    </row>
    <row r="404">
      <c r="B404" s="16">
        <f>COUNTIF('Extração'!L:L,A404)</f>
        <v>0</v>
      </c>
      <c r="C404" s="16" t="str">
        <f>IF(B404=0,"",COUNTIFS('Extração'!P:P,"Sim",'Extração'!L:L,A404)/B404)</f>
        <v/>
      </c>
      <c r="D404" s="16" t="str">
        <f>IF(B404=0,"",COUNTIFS('Extração'!Q:Q,"Sim",'Extração'!L:L,A404)/B404)</f>
        <v/>
      </c>
      <c r="E404" s="16" t="str">
        <f>IF(B404=0,"",COUNTIFS('Extração'!P:P,"Parcialmente",'Extração'!L:L,A404)/B404)</f>
        <v/>
      </c>
      <c r="F404" s="16" t="str">
        <f>IF(B404=0,"",COUNTIFS('Extração'!Q:Q,"Parcialmente",'Extração'!L:L,A404)/B404)</f>
        <v/>
      </c>
      <c r="G404" s="16" t="str">
        <f>IF(B404=0,"",COUNTIFS('Extração'!P:P,"Não",'Extração'!L:L,A404)/B404)</f>
        <v/>
      </c>
      <c r="H404" s="16" t="str">
        <f>IF(B404=0,"",COUNTIFS('Extração'!Q:Q,"Não",'Extração'!L:L,A404)/B404)</f>
        <v/>
      </c>
      <c r="I404" s="16" t="str">
        <f>IF(B404=0,"",COUNTIFS('Extração'!R:R,"Igual",'Extração'!L:L,A404)/B404)</f>
        <v/>
      </c>
    </row>
    <row r="405">
      <c r="B405" s="16">
        <f>COUNTIF('Extração'!L:L,A405)</f>
        <v>0</v>
      </c>
      <c r="C405" s="16" t="str">
        <f>IF(B405=0,"",COUNTIFS('Extração'!P:P,"Sim",'Extração'!L:L,A405)/B405)</f>
        <v/>
      </c>
      <c r="D405" s="16" t="str">
        <f>IF(B405=0,"",COUNTIFS('Extração'!Q:Q,"Sim",'Extração'!L:L,A405)/B405)</f>
        <v/>
      </c>
      <c r="E405" s="16" t="str">
        <f>IF(B405=0,"",COUNTIFS('Extração'!P:P,"Parcialmente",'Extração'!L:L,A405)/B405)</f>
        <v/>
      </c>
      <c r="F405" s="16" t="str">
        <f>IF(B405=0,"",COUNTIFS('Extração'!Q:Q,"Parcialmente",'Extração'!L:L,A405)/B405)</f>
        <v/>
      </c>
      <c r="G405" s="16" t="str">
        <f>IF(B405=0,"",COUNTIFS('Extração'!P:P,"Não",'Extração'!L:L,A405)/B405)</f>
        <v/>
      </c>
      <c r="H405" s="16" t="str">
        <f>IF(B405=0,"",COUNTIFS('Extração'!Q:Q,"Não",'Extração'!L:L,A405)/B405)</f>
        <v/>
      </c>
      <c r="I405" s="16" t="str">
        <f>IF(B405=0,"",COUNTIFS('Extração'!R:R,"Igual",'Extração'!L:L,A405)/B405)</f>
        <v/>
      </c>
    </row>
    <row r="406">
      <c r="B406" s="16">
        <f>COUNTIF('Extração'!L:L,A406)</f>
        <v>0</v>
      </c>
      <c r="C406" s="16" t="str">
        <f>IF(B406=0,"",COUNTIFS('Extração'!P:P,"Sim",'Extração'!L:L,A406)/B406)</f>
        <v/>
      </c>
      <c r="D406" s="16" t="str">
        <f>IF(B406=0,"",COUNTIFS('Extração'!Q:Q,"Sim",'Extração'!L:L,A406)/B406)</f>
        <v/>
      </c>
      <c r="E406" s="16" t="str">
        <f>IF(B406=0,"",COUNTIFS('Extração'!P:P,"Parcialmente",'Extração'!L:L,A406)/B406)</f>
        <v/>
      </c>
      <c r="F406" s="16" t="str">
        <f>IF(B406=0,"",COUNTIFS('Extração'!Q:Q,"Parcialmente",'Extração'!L:L,A406)/B406)</f>
        <v/>
      </c>
      <c r="G406" s="16" t="str">
        <f>IF(B406=0,"",COUNTIFS('Extração'!P:P,"Não",'Extração'!L:L,A406)/B406)</f>
        <v/>
      </c>
      <c r="H406" s="16" t="str">
        <f>IF(B406=0,"",COUNTIFS('Extração'!Q:Q,"Não",'Extração'!L:L,A406)/B406)</f>
        <v/>
      </c>
      <c r="I406" s="16" t="str">
        <f>IF(B406=0,"",COUNTIFS('Extração'!R:R,"Igual",'Extração'!L:L,A406)/B406)</f>
        <v/>
      </c>
    </row>
    <row r="407">
      <c r="B407" s="16">
        <f>COUNTIF('Extração'!L:L,A407)</f>
        <v>0</v>
      </c>
      <c r="C407" s="16" t="str">
        <f>IF(B407=0,"",COUNTIFS('Extração'!P:P,"Sim",'Extração'!L:L,A407)/B407)</f>
        <v/>
      </c>
      <c r="D407" s="16" t="str">
        <f>IF(B407=0,"",COUNTIFS('Extração'!Q:Q,"Sim",'Extração'!L:L,A407)/B407)</f>
        <v/>
      </c>
      <c r="E407" s="16" t="str">
        <f>IF(B407=0,"",COUNTIFS('Extração'!P:P,"Parcialmente",'Extração'!L:L,A407)/B407)</f>
        <v/>
      </c>
      <c r="F407" s="16" t="str">
        <f>IF(B407=0,"",COUNTIFS('Extração'!Q:Q,"Parcialmente",'Extração'!L:L,A407)/B407)</f>
        <v/>
      </c>
      <c r="G407" s="16" t="str">
        <f>IF(B407=0,"",COUNTIFS('Extração'!P:P,"Não",'Extração'!L:L,A407)/B407)</f>
        <v/>
      </c>
      <c r="H407" s="16" t="str">
        <f>IF(B407=0,"",COUNTIFS('Extração'!Q:Q,"Não",'Extração'!L:L,A407)/B407)</f>
        <v/>
      </c>
      <c r="I407" s="16" t="str">
        <f>IF(B407=0,"",COUNTIFS('Extração'!R:R,"Igual",'Extração'!L:L,A407)/B407)</f>
        <v/>
      </c>
    </row>
    <row r="408">
      <c r="B408" s="16">
        <f>COUNTIF('Extração'!L:L,A408)</f>
        <v>0</v>
      </c>
      <c r="C408" s="16" t="str">
        <f>IF(B408=0,"",COUNTIFS('Extração'!P:P,"Sim",'Extração'!L:L,A408)/B408)</f>
        <v/>
      </c>
      <c r="D408" s="16" t="str">
        <f>IF(B408=0,"",COUNTIFS('Extração'!Q:Q,"Sim",'Extração'!L:L,A408)/B408)</f>
        <v/>
      </c>
      <c r="E408" s="16" t="str">
        <f>IF(B408=0,"",COUNTIFS('Extração'!P:P,"Parcialmente",'Extração'!L:L,A408)/B408)</f>
        <v/>
      </c>
      <c r="F408" s="16" t="str">
        <f>IF(B408=0,"",COUNTIFS('Extração'!Q:Q,"Parcialmente",'Extração'!L:L,A408)/B408)</f>
        <v/>
      </c>
      <c r="G408" s="16" t="str">
        <f>IF(B408=0,"",COUNTIFS('Extração'!P:P,"Não",'Extração'!L:L,A408)/B408)</f>
        <v/>
      </c>
      <c r="H408" s="16" t="str">
        <f>IF(B408=0,"",COUNTIFS('Extração'!Q:Q,"Não",'Extração'!L:L,A408)/B408)</f>
        <v/>
      </c>
      <c r="I408" s="16" t="str">
        <f>IF(B408=0,"",COUNTIFS('Extração'!R:R,"Igual",'Extração'!L:L,A408)/B408)</f>
        <v/>
      </c>
    </row>
    <row r="409">
      <c r="B409" s="16">
        <f>COUNTIF('Extração'!L:L,A409)</f>
        <v>0</v>
      </c>
      <c r="C409" s="16" t="str">
        <f>IF(B409=0,"",COUNTIFS('Extração'!P:P,"Sim",'Extração'!L:L,A409)/B409)</f>
        <v/>
      </c>
      <c r="D409" s="16" t="str">
        <f>IF(B409=0,"",COUNTIFS('Extração'!Q:Q,"Sim",'Extração'!L:L,A409)/B409)</f>
        <v/>
      </c>
      <c r="E409" s="16" t="str">
        <f>IF(B409=0,"",COUNTIFS('Extração'!P:P,"Parcialmente",'Extração'!L:L,A409)/B409)</f>
        <v/>
      </c>
      <c r="F409" s="16" t="str">
        <f>IF(B409=0,"",COUNTIFS('Extração'!Q:Q,"Parcialmente",'Extração'!L:L,A409)/B409)</f>
        <v/>
      </c>
      <c r="G409" s="16" t="str">
        <f>IF(B409=0,"",COUNTIFS('Extração'!P:P,"Não",'Extração'!L:L,A409)/B409)</f>
        <v/>
      </c>
      <c r="H409" s="16" t="str">
        <f>IF(B409=0,"",COUNTIFS('Extração'!Q:Q,"Não",'Extração'!L:L,A409)/B409)</f>
        <v/>
      </c>
      <c r="I409" s="16" t="str">
        <f>IF(B409=0,"",COUNTIFS('Extração'!R:R,"Igual",'Extração'!L:L,A409)/B409)</f>
        <v/>
      </c>
    </row>
    <row r="410">
      <c r="B410" s="16">
        <f>COUNTIF('Extração'!L:L,A410)</f>
        <v>0</v>
      </c>
      <c r="C410" s="16" t="str">
        <f>IF(B410=0,"",COUNTIFS('Extração'!P:P,"Sim",'Extração'!L:L,A410)/B410)</f>
        <v/>
      </c>
      <c r="D410" s="16" t="str">
        <f>IF(B410=0,"",COUNTIFS('Extração'!Q:Q,"Sim",'Extração'!L:L,A410)/B410)</f>
        <v/>
      </c>
      <c r="E410" s="16" t="str">
        <f>IF(B410=0,"",COUNTIFS('Extração'!P:P,"Parcialmente",'Extração'!L:L,A410)/B410)</f>
        <v/>
      </c>
      <c r="F410" s="16" t="str">
        <f>IF(B410=0,"",COUNTIFS('Extração'!Q:Q,"Parcialmente",'Extração'!L:L,A410)/B410)</f>
        <v/>
      </c>
      <c r="G410" s="16" t="str">
        <f>IF(B410=0,"",COUNTIFS('Extração'!P:P,"Não",'Extração'!L:L,A410)/B410)</f>
        <v/>
      </c>
      <c r="H410" s="16" t="str">
        <f>IF(B410=0,"",COUNTIFS('Extração'!Q:Q,"Não",'Extração'!L:L,A410)/B410)</f>
        <v/>
      </c>
      <c r="I410" s="16" t="str">
        <f>IF(B410=0,"",COUNTIFS('Extração'!R:R,"Igual",'Extração'!L:L,A410)/B410)</f>
        <v/>
      </c>
    </row>
    <row r="411">
      <c r="B411" s="16">
        <f>COUNTIF('Extração'!L:L,A411)</f>
        <v>0</v>
      </c>
      <c r="C411" s="16" t="str">
        <f>IF(B411=0,"",COUNTIFS('Extração'!P:P,"Sim",'Extração'!L:L,A411)/B411)</f>
        <v/>
      </c>
      <c r="D411" s="16" t="str">
        <f>IF(B411=0,"",COUNTIFS('Extração'!Q:Q,"Sim",'Extração'!L:L,A411)/B411)</f>
        <v/>
      </c>
      <c r="E411" s="16" t="str">
        <f>IF(B411=0,"",COUNTIFS('Extração'!P:P,"Parcialmente",'Extração'!L:L,A411)/B411)</f>
        <v/>
      </c>
      <c r="F411" s="16" t="str">
        <f>IF(B411=0,"",COUNTIFS('Extração'!Q:Q,"Parcialmente",'Extração'!L:L,A411)/B411)</f>
        <v/>
      </c>
      <c r="G411" s="16" t="str">
        <f>IF(B411=0,"",COUNTIFS('Extração'!P:P,"Não",'Extração'!L:L,A411)/B411)</f>
        <v/>
      </c>
      <c r="H411" s="16" t="str">
        <f>IF(B411=0,"",COUNTIFS('Extração'!Q:Q,"Não",'Extração'!L:L,A411)/B411)</f>
        <v/>
      </c>
      <c r="I411" s="16" t="str">
        <f>IF(B411=0,"",COUNTIFS('Extração'!R:R,"Igual",'Extração'!L:L,A411)/B411)</f>
        <v/>
      </c>
    </row>
    <row r="412">
      <c r="B412" s="16">
        <f>COUNTIF('Extração'!L:L,A412)</f>
        <v>0</v>
      </c>
      <c r="C412" s="16" t="str">
        <f>IF(B412=0,"",COUNTIFS('Extração'!P:P,"Sim",'Extração'!L:L,A412)/B412)</f>
        <v/>
      </c>
      <c r="D412" s="16" t="str">
        <f>IF(B412=0,"",COUNTIFS('Extração'!Q:Q,"Sim",'Extração'!L:L,A412)/B412)</f>
        <v/>
      </c>
      <c r="E412" s="16" t="str">
        <f>IF(B412=0,"",COUNTIFS('Extração'!P:P,"Parcialmente",'Extração'!L:L,A412)/B412)</f>
        <v/>
      </c>
      <c r="F412" s="16" t="str">
        <f>IF(B412=0,"",COUNTIFS('Extração'!Q:Q,"Parcialmente",'Extração'!L:L,A412)/B412)</f>
        <v/>
      </c>
      <c r="G412" s="16" t="str">
        <f>IF(B412=0,"",COUNTIFS('Extração'!P:P,"Não",'Extração'!L:L,A412)/B412)</f>
        <v/>
      </c>
      <c r="H412" s="16" t="str">
        <f>IF(B412=0,"",COUNTIFS('Extração'!Q:Q,"Não",'Extração'!L:L,A412)/B412)</f>
        <v/>
      </c>
      <c r="I412" s="16" t="str">
        <f>IF(B412=0,"",COUNTIFS('Extração'!R:R,"Igual",'Extração'!L:L,A412)/B412)</f>
        <v/>
      </c>
    </row>
    <row r="413">
      <c r="B413" s="16">
        <f>COUNTIF('Extração'!L:L,A413)</f>
        <v>0</v>
      </c>
      <c r="C413" s="16" t="str">
        <f>IF(B413=0,"",COUNTIFS('Extração'!P:P,"Sim",'Extração'!L:L,A413)/B413)</f>
        <v/>
      </c>
      <c r="D413" s="16" t="str">
        <f>IF(B413=0,"",COUNTIFS('Extração'!Q:Q,"Sim",'Extração'!L:L,A413)/B413)</f>
        <v/>
      </c>
      <c r="E413" s="16" t="str">
        <f>IF(B413=0,"",COUNTIFS('Extração'!P:P,"Parcialmente",'Extração'!L:L,A413)/B413)</f>
        <v/>
      </c>
      <c r="F413" s="16" t="str">
        <f>IF(B413=0,"",COUNTIFS('Extração'!Q:Q,"Parcialmente",'Extração'!L:L,A413)/B413)</f>
        <v/>
      </c>
      <c r="G413" s="16" t="str">
        <f>IF(B413=0,"",COUNTIFS('Extração'!P:P,"Não",'Extração'!L:L,A413)/B413)</f>
        <v/>
      </c>
      <c r="H413" s="16" t="str">
        <f>IF(B413=0,"",COUNTIFS('Extração'!Q:Q,"Não",'Extração'!L:L,A413)/B413)</f>
        <v/>
      </c>
      <c r="I413" s="16" t="str">
        <f>IF(B413=0,"",COUNTIFS('Extração'!R:R,"Igual",'Extração'!L:L,A413)/B413)</f>
        <v/>
      </c>
    </row>
    <row r="414">
      <c r="B414" s="16">
        <f>COUNTIF('Extração'!L:L,A414)</f>
        <v>0</v>
      </c>
      <c r="C414" s="16" t="str">
        <f>IF(B414=0,"",COUNTIFS('Extração'!P:P,"Sim",'Extração'!L:L,A414)/B414)</f>
        <v/>
      </c>
      <c r="D414" s="16" t="str">
        <f>IF(B414=0,"",COUNTIFS('Extração'!Q:Q,"Sim",'Extração'!L:L,A414)/B414)</f>
        <v/>
      </c>
      <c r="E414" s="16" t="str">
        <f>IF(B414=0,"",COUNTIFS('Extração'!P:P,"Parcialmente",'Extração'!L:L,A414)/B414)</f>
        <v/>
      </c>
      <c r="F414" s="16" t="str">
        <f>IF(B414=0,"",COUNTIFS('Extração'!Q:Q,"Parcialmente",'Extração'!L:L,A414)/B414)</f>
        <v/>
      </c>
      <c r="G414" s="16" t="str">
        <f>IF(B414=0,"",COUNTIFS('Extração'!P:P,"Não",'Extração'!L:L,A414)/B414)</f>
        <v/>
      </c>
      <c r="H414" s="16" t="str">
        <f>IF(B414=0,"",COUNTIFS('Extração'!Q:Q,"Não",'Extração'!L:L,A414)/B414)</f>
        <v/>
      </c>
      <c r="I414" s="16" t="str">
        <f>IF(B414=0,"",COUNTIFS('Extração'!R:R,"Igual",'Extração'!L:L,A414)/B414)</f>
        <v/>
      </c>
    </row>
    <row r="415">
      <c r="B415" s="16">
        <f>COUNTIF('Extração'!L:L,A415)</f>
        <v>0</v>
      </c>
      <c r="C415" s="16" t="str">
        <f>IF(B415=0,"",COUNTIFS('Extração'!P:P,"Sim",'Extração'!L:L,A415)/B415)</f>
        <v/>
      </c>
      <c r="D415" s="16" t="str">
        <f>IF(B415=0,"",COUNTIFS('Extração'!Q:Q,"Sim",'Extração'!L:L,A415)/B415)</f>
        <v/>
      </c>
      <c r="E415" s="16" t="str">
        <f>IF(B415=0,"",COUNTIFS('Extração'!P:P,"Parcialmente",'Extração'!L:L,A415)/B415)</f>
        <v/>
      </c>
      <c r="F415" s="16" t="str">
        <f>IF(B415=0,"",COUNTIFS('Extração'!Q:Q,"Parcialmente",'Extração'!L:L,A415)/B415)</f>
        <v/>
      </c>
      <c r="G415" s="16" t="str">
        <f>IF(B415=0,"",COUNTIFS('Extração'!P:P,"Não",'Extração'!L:L,A415)/B415)</f>
        <v/>
      </c>
      <c r="H415" s="16" t="str">
        <f>IF(B415=0,"",COUNTIFS('Extração'!Q:Q,"Não",'Extração'!L:L,A415)/B415)</f>
        <v/>
      </c>
      <c r="I415" s="16" t="str">
        <f>IF(B415=0,"",COUNTIFS('Extração'!R:R,"Igual",'Extração'!L:L,A415)/B415)</f>
        <v/>
      </c>
    </row>
    <row r="416">
      <c r="B416" s="16">
        <f>COUNTIF('Extração'!L:L,A416)</f>
        <v>0</v>
      </c>
      <c r="C416" s="16" t="str">
        <f>IF(B416=0,"",COUNTIFS('Extração'!P:P,"Sim",'Extração'!L:L,A416)/B416)</f>
        <v/>
      </c>
      <c r="D416" s="16" t="str">
        <f>IF(B416=0,"",COUNTIFS('Extração'!Q:Q,"Sim",'Extração'!L:L,A416)/B416)</f>
        <v/>
      </c>
      <c r="E416" s="16" t="str">
        <f>IF(B416=0,"",COUNTIFS('Extração'!P:P,"Parcialmente",'Extração'!L:L,A416)/B416)</f>
        <v/>
      </c>
      <c r="F416" s="16" t="str">
        <f>IF(B416=0,"",COUNTIFS('Extração'!Q:Q,"Parcialmente",'Extração'!L:L,A416)/B416)</f>
        <v/>
      </c>
      <c r="G416" s="16" t="str">
        <f>IF(B416=0,"",COUNTIFS('Extração'!P:P,"Não",'Extração'!L:L,A416)/B416)</f>
        <v/>
      </c>
      <c r="H416" s="16" t="str">
        <f>IF(B416=0,"",COUNTIFS('Extração'!Q:Q,"Não",'Extração'!L:L,A416)/B416)</f>
        <v/>
      </c>
      <c r="I416" s="16" t="str">
        <f>IF(B416=0,"",COUNTIFS('Extração'!R:R,"Igual",'Extração'!L:L,A416)/B416)</f>
        <v/>
      </c>
    </row>
    <row r="417">
      <c r="B417" s="16">
        <f>COUNTIF('Extração'!L:L,A417)</f>
        <v>0</v>
      </c>
      <c r="C417" s="16" t="str">
        <f>IF(B417=0,"",COUNTIFS('Extração'!P:P,"Sim",'Extração'!L:L,A417)/B417)</f>
        <v/>
      </c>
      <c r="D417" s="16" t="str">
        <f>IF(B417=0,"",COUNTIFS('Extração'!Q:Q,"Sim",'Extração'!L:L,A417)/B417)</f>
        <v/>
      </c>
      <c r="E417" s="16" t="str">
        <f>IF(B417=0,"",COUNTIFS('Extração'!P:P,"Parcialmente",'Extração'!L:L,A417)/B417)</f>
        <v/>
      </c>
      <c r="F417" s="16" t="str">
        <f>IF(B417=0,"",COUNTIFS('Extração'!Q:Q,"Parcialmente",'Extração'!L:L,A417)/B417)</f>
        <v/>
      </c>
      <c r="G417" s="16" t="str">
        <f>IF(B417=0,"",COUNTIFS('Extração'!P:P,"Não",'Extração'!L:L,A417)/B417)</f>
        <v/>
      </c>
      <c r="H417" s="16" t="str">
        <f>IF(B417=0,"",COUNTIFS('Extração'!Q:Q,"Não",'Extração'!L:L,A417)/B417)</f>
        <v/>
      </c>
      <c r="I417" s="16" t="str">
        <f>IF(B417=0,"",COUNTIFS('Extração'!R:R,"Igual",'Extração'!L:L,A417)/B417)</f>
        <v/>
      </c>
    </row>
    <row r="418">
      <c r="B418" s="16">
        <f>COUNTIF('Extração'!L:L,A418)</f>
        <v>0</v>
      </c>
      <c r="C418" s="16" t="str">
        <f>IF(B418=0,"",COUNTIFS('Extração'!P:P,"Sim",'Extração'!L:L,A418)/B418)</f>
        <v/>
      </c>
      <c r="D418" s="16" t="str">
        <f>IF(B418=0,"",COUNTIFS('Extração'!Q:Q,"Sim",'Extração'!L:L,A418)/B418)</f>
        <v/>
      </c>
      <c r="E418" s="16" t="str">
        <f>IF(B418=0,"",COUNTIFS('Extração'!P:P,"Parcialmente",'Extração'!L:L,A418)/B418)</f>
        <v/>
      </c>
      <c r="F418" s="16" t="str">
        <f>IF(B418=0,"",COUNTIFS('Extração'!Q:Q,"Parcialmente",'Extração'!L:L,A418)/B418)</f>
        <v/>
      </c>
      <c r="G418" s="16" t="str">
        <f>IF(B418=0,"",COUNTIFS('Extração'!P:P,"Não",'Extração'!L:L,A418)/B418)</f>
        <v/>
      </c>
      <c r="H418" s="16" t="str">
        <f>IF(B418=0,"",COUNTIFS('Extração'!Q:Q,"Não",'Extração'!L:L,A418)/B418)</f>
        <v/>
      </c>
      <c r="I418" s="16" t="str">
        <f>IF(B418=0,"",COUNTIFS('Extração'!R:R,"Igual",'Extração'!L:L,A418)/B418)</f>
        <v/>
      </c>
    </row>
    <row r="419">
      <c r="B419" s="16">
        <f>COUNTIF('Extração'!L:L,A419)</f>
        <v>0</v>
      </c>
      <c r="C419" s="16" t="str">
        <f>IF(B419=0,"",COUNTIFS('Extração'!P:P,"Sim",'Extração'!L:L,A419)/B419)</f>
        <v/>
      </c>
      <c r="D419" s="16" t="str">
        <f>IF(B419=0,"",COUNTIFS('Extração'!Q:Q,"Sim",'Extração'!L:L,A419)/B419)</f>
        <v/>
      </c>
      <c r="E419" s="16" t="str">
        <f>IF(B419=0,"",COUNTIFS('Extração'!P:P,"Parcialmente",'Extração'!L:L,A419)/B419)</f>
        <v/>
      </c>
      <c r="F419" s="16" t="str">
        <f>IF(B419=0,"",COUNTIFS('Extração'!Q:Q,"Parcialmente",'Extração'!L:L,A419)/B419)</f>
        <v/>
      </c>
      <c r="G419" s="16" t="str">
        <f>IF(B419=0,"",COUNTIFS('Extração'!P:P,"Não",'Extração'!L:L,A419)/B419)</f>
        <v/>
      </c>
      <c r="H419" s="16" t="str">
        <f>IF(B419=0,"",COUNTIFS('Extração'!Q:Q,"Não",'Extração'!L:L,A419)/B419)</f>
        <v/>
      </c>
      <c r="I419" s="16" t="str">
        <f>IF(B419=0,"",COUNTIFS('Extração'!R:R,"Igual",'Extração'!L:L,A419)/B419)</f>
        <v/>
      </c>
    </row>
    <row r="420">
      <c r="B420" s="16">
        <f>COUNTIF('Extração'!L:L,A420)</f>
        <v>0</v>
      </c>
      <c r="C420" s="16" t="str">
        <f>IF(B420=0,"",COUNTIFS('Extração'!P:P,"Sim",'Extração'!L:L,A420)/B420)</f>
        <v/>
      </c>
      <c r="D420" s="16" t="str">
        <f>IF(B420=0,"",COUNTIFS('Extração'!Q:Q,"Sim",'Extração'!L:L,A420)/B420)</f>
        <v/>
      </c>
      <c r="E420" s="16" t="str">
        <f>IF(B420=0,"",COUNTIFS('Extração'!P:P,"Parcialmente",'Extração'!L:L,A420)/B420)</f>
        <v/>
      </c>
      <c r="F420" s="16" t="str">
        <f>IF(B420=0,"",COUNTIFS('Extração'!Q:Q,"Parcialmente",'Extração'!L:L,A420)/B420)</f>
        <v/>
      </c>
      <c r="G420" s="16" t="str">
        <f>IF(B420=0,"",COUNTIFS('Extração'!P:P,"Não",'Extração'!L:L,A420)/B420)</f>
        <v/>
      </c>
      <c r="H420" s="16" t="str">
        <f>IF(B420=0,"",COUNTIFS('Extração'!Q:Q,"Não",'Extração'!L:L,A420)/B420)</f>
        <v/>
      </c>
      <c r="I420" s="16" t="str">
        <f>IF(B420=0,"",COUNTIFS('Extração'!R:R,"Igual",'Extração'!L:L,A420)/B420)</f>
        <v/>
      </c>
    </row>
    <row r="421">
      <c r="B421" s="16">
        <f>COUNTIF('Extração'!L:L,A421)</f>
        <v>0</v>
      </c>
      <c r="C421" s="16" t="str">
        <f>IF(B421=0,"",COUNTIFS('Extração'!P:P,"Sim",'Extração'!L:L,A421)/B421)</f>
        <v/>
      </c>
      <c r="D421" s="16" t="str">
        <f>IF(B421=0,"",COUNTIFS('Extração'!Q:Q,"Sim",'Extração'!L:L,A421)/B421)</f>
        <v/>
      </c>
      <c r="E421" s="16" t="str">
        <f>IF(B421=0,"",COUNTIFS('Extração'!P:P,"Parcialmente",'Extração'!L:L,A421)/B421)</f>
        <v/>
      </c>
      <c r="F421" s="16" t="str">
        <f>IF(B421=0,"",COUNTIFS('Extração'!Q:Q,"Parcialmente",'Extração'!L:L,A421)/B421)</f>
        <v/>
      </c>
      <c r="G421" s="16" t="str">
        <f>IF(B421=0,"",COUNTIFS('Extração'!P:P,"Não",'Extração'!L:L,A421)/B421)</f>
        <v/>
      </c>
      <c r="H421" s="16" t="str">
        <f>IF(B421=0,"",COUNTIFS('Extração'!Q:Q,"Não",'Extração'!L:L,A421)/B421)</f>
        <v/>
      </c>
      <c r="I421" s="16" t="str">
        <f>IF(B421=0,"",COUNTIFS('Extração'!R:R,"Igual",'Extração'!L:L,A421)/B421)</f>
        <v/>
      </c>
    </row>
    <row r="422">
      <c r="B422" s="16">
        <f>COUNTIF('Extração'!L:L,A422)</f>
        <v>0</v>
      </c>
      <c r="C422" s="16" t="str">
        <f>IF(B422=0,"",COUNTIFS('Extração'!P:P,"Sim",'Extração'!L:L,A422)/B422)</f>
        <v/>
      </c>
      <c r="D422" s="16" t="str">
        <f>IF(B422=0,"",COUNTIFS('Extração'!Q:Q,"Sim",'Extração'!L:L,A422)/B422)</f>
        <v/>
      </c>
      <c r="E422" s="16" t="str">
        <f>IF(B422=0,"",COUNTIFS('Extração'!P:P,"Parcialmente",'Extração'!L:L,A422)/B422)</f>
        <v/>
      </c>
      <c r="F422" s="16" t="str">
        <f>IF(B422=0,"",COUNTIFS('Extração'!Q:Q,"Parcialmente",'Extração'!L:L,A422)/B422)</f>
        <v/>
      </c>
      <c r="G422" s="16" t="str">
        <f>IF(B422=0,"",COUNTIFS('Extração'!P:P,"Não",'Extração'!L:L,A422)/B422)</f>
        <v/>
      </c>
      <c r="H422" s="16" t="str">
        <f>IF(B422=0,"",COUNTIFS('Extração'!Q:Q,"Não",'Extração'!L:L,A422)/B422)</f>
        <v/>
      </c>
      <c r="I422" s="16" t="str">
        <f>IF(B422=0,"",COUNTIFS('Extração'!R:R,"Igual",'Extração'!L:L,A422)/B422)</f>
        <v/>
      </c>
    </row>
    <row r="423">
      <c r="B423" s="16">
        <f>COUNTIF('Extração'!L:L,A423)</f>
        <v>0</v>
      </c>
      <c r="C423" s="16" t="str">
        <f>IF(B423=0,"",COUNTIFS('Extração'!P:P,"Sim",'Extração'!L:L,A423)/B423)</f>
        <v/>
      </c>
      <c r="D423" s="16" t="str">
        <f>IF(B423=0,"",COUNTIFS('Extração'!Q:Q,"Sim",'Extração'!L:L,A423)/B423)</f>
        <v/>
      </c>
      <c r="E423" s="16" t="str">
        <f>IF(B423=0,"",COUNTIFS('Extração'!P:P,"Parcialmente",'Extração'!L:L,A423)/B423)</f>
        <v/>
      </c>
      <c r="F423" s="16" t="str">
        <f>IF(B423=0,"",COUNTIFS('Extração'!Q:Q,"Parcialmente",'Extração'!L:L,A423)/B423)</f>
        <v/>
      </c>
      <c r="G423" s="16" t="str">
        <f>IF(B423=0,"",COUNTIFS('Extração'!P:P,"Não",'Extração'!L:L,A423)/B423)</f>
        <v/>
      </c>
      <c r="H423" s="16" t="str">
        <f>IF(B423=0,"",COUNTIFS('Extração'!Q:Q,"Não",'Extração'!L:L,A423)/B423)</f>
        <v/>
      </c>
      <c r="I423" s="16" t="str">
        <f>IF(B423=0,"",COUNTIFS('Extração'!R:R,"Igual",'Extração'!L:L,A423)/B423)</f>
        <v/>
      </c>
    </row>
    <row r="424">
      <c r="B424" s="16">
        <f>COUNTIF('Extração'!L:L,A424)</f>
        <v>0</v>
      </c>
      <c r="C424" s="16" t="str">
        <f>IF(B424=0,"",COUNTIFS('Extração'!P:P,"Sim",'Extração'!L:L,A424)/B424)</f>
        <v/>
      </c>
      <c r="D424" s="16" t="str">
        <f>IF(B424=0,"",COUNTIFS('Extração'!Q:Q,"Sim",'Extração'!L:L,A424)/B424)</f>
        <v/>
      </c>
      <c r="E424" s="16" t="str">
        <f>IF(B424=0,"",COUNTIFS('Extração'!P:P,"Parcialmente",'Extração'!L:L,A424)/B424)</f>
        <v/>
      </c>
      <c r="F424" s="16" t="str">
        <f>IF(B424=0,"",COUNTIFS('Extração'!Q:Q,"Parcialmente",'Extração'!L:L,A424)/B424)</f>
        <v/>
      </c>
      <c r="G424" s="16" t="str">
        <f>IF(B424=0,"",COUNTIFS('Extração'!P:P,"Não",'Extração'!L:L,A424)/B424)</f>
        <v/>
      </c>
      <c r="H424" s="16" t="str">
        <f>IF(B424=0,"",COUNTIFS('Extração'!Q:Q,"Não",'Extração'!L:L,A424)/B424)</f>
        <v/>
      </c>
      <c r="I424" s="16" t="str">
        <f>IF(B424=0,"",COUNTIFS('Extração'!R:R,"Igual",'Extração'!L:L,A424)/B424)</f>
        <v/>
      </c>
    </row>
    <row r="425">
      <c r="B425" s="16">
        <f>COUNTIF('Extração'!L:L,A425)</f>
        <v>0</v>
      </c>
      <c r="C425" s="16" t="str">
        <f>IF(B425=0,"",COUNTIFS('Extração'!P:P,"Sim",'Extração'!L:L,A425)/B425)</f>
        <v/>
      </c>
      <c r="D425" s="16" t="str">
        <f>IF(B425=0,"",COUNTIFS('Extração'!Q:Q,"Sim",'Extração'!L:L,A425)/B425)</f>
        <v/>
      </c>
      <c r="E425" s="16" t="str">
        <f>IF(B425=0,"",COUNTIFS('Extração'!P:P,"Parcialmente",'Extração'!L:L,A425)/B425)</f>
        <v/>
      </c>
      <c r="F425" s="16" t="str">
        <f>IF(B425=0,"",COUNTIFS('Extração'!Q:Q,"Parcialmente",'Extração'!L:L,A425)/B425)</f>
        <v/>
      </c>
      <c r="G425" s="16" t="str">
        <f>IF(B425=0,"",COUNTIFS('Extração'!P:P,"Não",'Extração'!L:L,A425)/B425)</f>
        <v/>
      </c>
      <c r="H425" s="16" t="str">
        <f>IF(B425=0,"",COUNTIFS('Extração'!Q:Q,"Não",'Extração'!L:L,A425)/B425)</f>
        <v/>
      </c>
      <c r="I425" s="16" t="str">
        <f>IF(B425=0,"",COUNTIFS('Extração'!R:R,"Igual",'Extração'!L:L,A425)/B425)</f>
        <v/>
      </c>
    </row>
    <row r="426">
      <c r="B426" s="16">
        <f>COUNTIF('Extração'!L:L,A426)</f>
        <v>0</v>
      </c>
      <c r="C426" s="16" t="str">
        <f>IF(B426=0,"",COUNTIFS('Extração'!P:P,"Sim",'Extração'!L:L,A426)/B426)</f>
        <v/>
      </c>
      <c r="D426" s="16" t="str">
        <f>IF(B426=0,"",COUNTIFS('Extração'!Q:Q,"Sim",'Extração'!L:L,A426)/B426)</f>
        <v/>
      </c>
      <c r="E426" s="16" t="str">
        <f>IF(B426=0,"",COUNTIFS('Extração'!P:P,"Parcialmente",'Extração'!L:L,A426)/B426)</f>
        <v/>
      </c>
      <c r="F426" s="16" t="str">
        <f>IF(B426=0,"",COUNTIFS('Extração'!Q:Q,"Parcialmente",'Extração'!L:L,A426)/B426)</f>
        <v/>
      </c>
      <c r="G426" s="16" t="str">
        <f>IF(B426=0,"",COUNTIFS('Extração'!P:P,"Não",'Extração'!L:L,A426)/B426)</f>
        <v/>
      </c>
      <c r="H426" s="16" t="str">
        <f>IF(B426=0,"",COUNTIFS('Extração'!Q:Q,"Não",'Extração'!L:L,A426)/B426)</f>
        <v/>
      </c>
      <c r="I426" s="16" t="str">
        <f>IF(B426=0,"",COUNTIFS('Extração'!R:R,"Igual",'Extração'!L:L,A426)/B426)</f>
        <v/>
      </c>
    </row>
    <row r="427">
      <c r="B427" s="16">
        <f>COUNTIF('Extração'!L:L,A427)</f>
        <v>0</v>
      </c>
      <c r="C427" s="16" t="str">
        <f>IF(B427=0,"",COUNTIFS('Extração'!P:P,"Sim",'Extração'!L:L,A427)/B427)</f>
        <v/>
      </c>
      <c r="D427" s="16" t="str">
        <f>IF(B427=0,"",COUNTIFS('Extração'!Q:Q,"Sim",'Extração'!L:L,A427)/B427)</f>
        <v/>
      </c>
      <c r="E427" s="16" t="str">
        <f>IF(B427=0,"",COUNTIFS('Extração'!P:P,"Parcialmente",'Extração'!L:L,A427)/B427)</f>
        <v/>
      </c>
      <c r="F427" s="16" t="str">
        <f>IF(B427=0,"",COUNTIFS('Extração'!Q:Q,"Parcialmente",'Extração'!L:L,A427)/B427)</f>
        <v/>
      </c>
      <c r="G427" s="16" t="str">
        <f>IF(B427=0,"",COUNTIFS('Extração'!P:P,"Não",'Extração'!L:L,A427)/B427)</f>
        <v/>
      </c>
      <c r="H427" s="16" t="str">
        <f>IF(B427=0,"",COUNTIFS('Extração'!Q:Q,"Não",'Extração'!L:L,A427)/B427)</f>
        <v/>
      </c>
      <c r="I427" s="16" t="str">
        <f>IF(B427=0,"",COUNTIFS('Extração'!R:R,"Igual",'Extração'!L:L,A427)/B427)</f>
        <v/>
      </c>
    </row>
    <row r="428">
      <c r="B428" s="16">
        <f>COUNTIF('Extração'!L:L,A428)</f>
        <v>0</v>
      </c>
      <c r="C428" s="16" t="str">
        <f>IF(B428=0,"",COUNTIFS('Extração'!P:P,"Sim",'Extração'!L:L,A428)/B428)</f>
        <v/>
      </c>
      <c r="D428" s="16" t="str">
        <f>IF(B428=0,"",COUNTIFS('Extração'!Q:Q,"Sim",'Extração'!L:L,A428)/B428)</f>
        <v/>
      </c>
      <c r="E428" s="16" t="str">
        <f>IF(B428=0,"",COUNTIFS('Extração'!P:P,"Parcialmente",'Extração'!L:L,A428)/B428)</f>
        <v/>
      </c>
      <c r="F428" s="16" t="str">
        <f>IF(B428=0,"",COUNTIFS('Extração'!Q:Q,"Parcialmente",'Extração'!L:L,A428)/B428)</f>
        <v/>
      </c>
      <c r="G428" s="16" t="str">
        <f>IF(B428=0,"",COUNTIFS('Extração'!P:P,"Não",'Extração'!L:L,A428)/B428)</f>
        <v/>
      </c>
      <c r="H428" s="16" t="str">
        <f>IF(B428=0,"",COUNTIFS('Extração'!Q:Q,"Não",'Extração'!L:L,A428)/B428)</f>
        <v/>
      </c>
      <c r="I428" s="16" t="str">
        <f>IF(B428=0,"",COUNTIFS('Extração'!R:R,"Igual",'Extração'!L:L,A428)/B428)</f>
        <v/>
      </c>
    </row>
    <row r="429">
      <c r="B429" s="16">
        <f>COUNTIF('Extração'!L:L,A429)</f>
        <v>0</v>
      </c>
      <c r="C429" s="16" t="str">
        <f>IF(B429=0,"",COUNTIFS('Extração'!P:P,"Sim",'Extração'!L:L,A429)/B429)</f>
        <v/>
      </c>
      <c r="D429" s="16" t="str">
        <f>IF(B429=0,"",COUNTIFS('Extração'!Q:Q,"Sim",'Extração'!L:L,A429)/B429)</f>
        <v/>
      </c>
      <c r="E429" s="16" t="str">
        <f>IF(B429=0,"",COUNTIFS('Extração'!P:P,"Parcialmente",'Extração'!L:L,A429)/B429)</f>
        <v/>
      </c>
      <c r="F429" s="16" t="str">
        <f>IF(B429=0,"",COUNTIFS('Extração'!Q:Q,"Parcialmente",'Extração'!L:L,A429)/B429)</f>
        <v/>
      </c>
      <c r="G429" s="16" t="str">
        <f>IF(B429=0,"",COUNTIFS('Extração'!P:P,"Não",'Extração'!L:L,A429)/B429)</f>
        <v/>
      </c>
      <c r="H429" s="16" t="str">
        <f>IF(B429=0,"",COUNTIFS('Extração'!Q:Q,"Não",'Extração'!L:L,A429)/B429)</f>
        <v/>
      </c>
      <c r="I429" s="16" t="str">
        <f>IF(B429=0,"",COUNTIFS('Extração'!R:R,"Igual",'Extração'!L:L,A429)/B429)</f>
        <v/>
      </c>
    </row>
    <row r="430">
      <c r="B430" s="16">
        <f>COUNTIF('Extração'!L:L,A430)</f>
        <v>0</v>
      </c>
      <c r="C430" s="16" t="str">
        <f>IF(B430=0,"",COUNTIFS('Extração'!P:P,"Sim",'Extração'!L:L,A430)/B430)</f>
        <v/>
      </c>
      <c r="D430" s="16" t="str">
        <f>IF(B430=0,"",COUNTIFS('Extração'!Q:Q,"Sim",'Extração'!L:L,A430)/B430)</f>
        <v/>
      </c>
      <c r="E430" s="16" t="str">
        <f>IF(B430=0,"",COUNTIFS('Extração'!P:P,"Parcialmente",'Extração'!L:L,A430)/B430)</f>
        <v/>
      </c>
      <c r="F430" s="16" t="str">
        <f>IF(B430=0,"",COUNTIFS('Extração'!Q:Q,"Parcialmente",'Extração'!L:L,A430)/B430)</f>
        <v/>
      </c>
      <c r="G430" s="16" t="str">
        <f>IF(B430=0,"",COUNTIFS('Extração'!P:P,"Não",'Extração'!L:L,A430)/B430)</f>
        <v/>
      </c>
      <c r="H430" s="16" t="str">
        <f>IF(B430=0,"",COUNTIFS('Extração'!Q:Q,"Não",'Extração'!L:L,A430)/B430)</f>
        <v/>
      </c>
      <c r="I430" s="16" t="str">
        <f>IF(B430=0,"",COUNTIFS('Extração'!R:R,"Igual",'Extração'!L:L,A430)/B430)</f>
        <v/>
      </c>
    </row>
    <row r="431">
      <c r="B431" s="16">
        <f>COUNTIF('Extração'!L:L,A431)</f>
        <v>0</v>
      </c>
      <c r="C431" s="16" t="str">
        <f>IF(B431=0,"",COUNTIFS('Extração'!P:P,"Sim",'Extração'!L:L,A431)/B431)</f>
        <v/>
      </c>
      <c r="D431" s="16" t="str">
        <f>IF(B431=0,"",COUNTIFS('Extração'!Q:Q,"Sim",'Extração'!L:L,A431)/B431)</f>
        <v/>
      </c>
      <c r="E431" s="16" t="str">
        <f>IF(B431=0,"",COUNTIFS('Extração'!P:P,"Parcialmente",'Extração'!L:L,A431)/B431)</f>
        <v/>
      </c>
      <c r="F431" s="16" t="str">
        <f>IF(B431=0,"",COUNTIFS('Extração'!Q:Q,"Parcialmente",'Extração'!L:L,A431)/B431)</f>
        <v/>
      </c>
      <c r="G431" s="16" t="str">
        <f>IF(B431=0,"",COUNTIFS('Extração'!P:P,"Não",'Extração'!L:L,A431)/B431)</f>
        <v/>
      </c>
      <c r="H431" s="16" t="str">
        <f>IF(B431=0,"",COUNTIFS('Extração'!Q:Q,"Não",'Extração'!L:L,A431)/B431)</f>
        <v/>
      </c>
      <c r="I431" s="16" t="str">
        <f>IF(B431=0,"",COUNTIFS('Extração'!R:R,"Igual",'Extração'!L:L,A431)/B431)</f>
        <v/>
      </c>
    </row>
    <row r="432">
      <c r="B432" s="16">
        <f>COUNTIF('Extração'!L:L,A432)</f>
        <v>0</v>
      </c>
      <c r="C432" s="16" t="str">
        <f>IF(B432=0,"",COUNTIFS('Extração'!P:P,"Sim",'Extração'!L:L,A432)/B432)</f>
        <v/>
      </c>
      <c r="D432" s="16" t="str">
        <f>IF(B432=0,"",COUNTIFS('Extração'!Q:Q,"Sim",'Extração'!L:L,A432)/B432)</f>
        <v/>
      </c>
      <c r="E432" s="16" t="str">
        <f>IF(B432=0,"",COUNTIFS('Extração'!P:P,"Parcialmente",'Extração'!L:L,A432)/B432)</f>
        <v/>
      </c>
      <c r="F432" s="16" t="str">
        <f>IF(B432=0,"",COUNTIFS('Extração'!Q:Q,"Parcialmente",'Extração'!L:L,A432)/B432)</f>
        <v/>
      </c>
      <c r="G432" s="16" t="str">
        <f>IF(B432=0,"",COUNTIFS('Extração'!P:P,"Não",'Extração'!L:L,A432)/B432)</f>
        <v/>
      </c>
      <c r="H432" s="16" t="str">
        <f>IF(B432=0,"",COUNTIFS('Extração'!Q:Q,"Não",'Extração'!L:L,A432)/B432)</f>
        <v/>
      </c>
      <c r="I432" s="16" t="str">
        <f>IF(B432=0,"",COUNTIFS('Extração'!R:R,"Igual",'Extração'!L:L,A432)/B432)</f>
        <v/>
      </c>
    </row>
    <row r="433">
      <c r="B433" s="16">
        <f>COUNTIF('Extração'!L:L,A433)</f>
        <v>0</v>
      </c>
      <c r="C433" s="16" t="str">
        <f>IF(B433=0,"",COUNTIFS('Extração'!P:P,"Sim",'Extração'!L:L,A433)/B433)</f>
        <v/>
      </c>
      <c r="D433" s="16" t="str">
        <f>IF(B433=0,"",COUNTIFS('Extração'!Q:Q,"Sim",'Extração'!L:L,A433)/B433)</f>
        <v/>
      </c>
      <c r="E433" s="16" t="str">
        <f>IF(B433=0,"",COUNTIFS('Extração'!P:P,"Parcialmente",'Extração'!L:L,A433)/B433)</f>
        <v/>
      </c>
      <c r="F433" s="16" t="str">
        <f>IF(B433=0,"",COUNTIFS('Extração'!Q:Q,"Parcialmente",'Extração'!L:L,A433)/B433)</f>
        <v/>
      </c>
      <c r="G433" s="16" t="str">
        <f>IF(B433=0,"",COUNTIFS('Extração'!P:P,"Não",'Extração'!L:L,A433)/B433)</f>
        <v/>
      </c>
      <c r="H433" s="16" t="str">
        <f>IF(B433=0,"",COUNTIFS('Extração'!Q:Q,"Não",'Extração'!L:L,A433)/B433)</f>
        <v/>
      </c>
      <c r="I433" s="16" t="str">
        <f>IF(B433=0,"",COUNTIFS('Extração'!R:R,"Igual",'Extração'!L:L,A433)/B433)</f>
        <v/>
      </c>
    </row>
    <row r="434">
      <c r="B434" s="16">
        <f>COUNTIF('Extração'!L:L,A434)</f>
        <v>0</v>
      </c>
      <c r="C434" s="16" t="str">
        <f>IF(B434=0,"",COUNTIFS('Extração'!P:P,"Sim",'Extração'!L:L,A434)/B434)</f>
        <v/>
      </c>
      <c r="D434" s="16" t="str">
        <f>IF(B434=0,"",COUNTIFS('Extração'!Q:Q,"Sim",'Extração'!L:L,A434)/B434)</f>
        <v/>
      </c>
      <c r="E434" s="16" t="str">
        <f>IF(B434=0,"",COUNTIFS('Extração'!P:P,"Parcialmente",'Extração'!L:L,A434)/B434)</f>
        <v/>
      </c>
      <c r="F434" s="16" t="str">
        <f>IF(B434=0,"",COUNTIFS('Extração'!Q:Q,"Parcialmente",'Extração'!L:L,A434)/B434)</f>
        <v/>
      </c>
      <c r="G434" s="16" t="str">
        <f>IF(B434=0,"",COUNTIFS('Extração'!P:P,"Não",'Extração'!L:L,A434)/B434)</f>
        <v/>
      </c>
      <c r="H434" s="16" t="str">
        <f>IF(B434=0,"",COUNTIFS('Extração'!Q:Q,"Não",'Extração'!L:L,A434)/B434)</f>
        <v/>
      </c>
      <c r="I434" s="16" t="str">
        <f>IF(B434=0,"",COUNTIFS('Extração'!R:R,"Igual",'Extração'!L:L,A434)/B434)</f>
        <v/>
      </c>
    </row>
    <row r="435">
      <c r="B435" s="16">
        <f>COUNTIF('Extração'!L:L,A435)</f>
        <v>0</v>
      </c>
      <c r="C435" s="16" t="str">
        <f>IF(B435=0,"",COUNTIFS('Extração'!P:P,"Sim",'Extração'!L:L,A435)/B435)</f>
        <v/>
      </c>
      <c r="D435" s="16" t="str">
        <f>IF(B435=0,"",COUNTIFS('Extração'!Q:Q,"Sim",'Extração'!L:L,A435)/B435)</f>
        <v/>
      </c>
      <c r="E435" s="16" t="str">
        <f>IF(B435=0,"",COUNTIFS('Extração'!P:P,"Parcialmente",'Extração'!L:L,A435)/B435)</f>
        <v/>
      </c>
      <c r="F435" s="16" t="str">
        <f>IF(B435=0,"",COUNTIFS('Extração'!Q:Q,"Parcialmente",'Extração'!L:L,A435)/B435)</f>
        <v/>
      </c>
      <c r="G435" s="16" t="str">
        <f>IF(B435=0,"",COUNTIFS('Extração'!P:P,"Não",'Extração'!L:L,A435)/B435)</f>
        <v/>
      </c>
      <c r="H435" s="16" t="str">
        <f>IF(B435=0,"",COUNTIFS('Extração'!Q:Q,"Não",'Extração'!L:L,A435)/B435)</f>
        <v/>
      </c>
      <c r="I435" s="16" t="str">
        <f>IF(B435=0,"",COUNTIFS('Extração'!R:R,"Igual",'Extração'!L:L,A435)/B435)</f>
        <v/>
      </c>
    </row>
    <row r="436">
      <c r="B436" s="16">
        <f>COUNTIF('Extração'!L:L,A436)</f>
        <v>0</v>
      </c>
      <c r="C436" s="16" t="str">
        <f>IF(B436=0,"",COUNTIFS('Extração'!P:P,"Sim",'Extração'!L:L,A436)/B436)</f>
        <v/>
      </c>
      <c r="D436" s="16" t="str">
        <f>IF(B436=0,"",COUNTIFS('Extração'!Q:Q,"Sim",'Extração'!L:L,A436)/B436)</f>
        <v/>
      </c>
      <c r="E436" s="16" t="str">
        <f>IF(B436=0,"",COUNTIFS('Extração'!P:P,"Parcialmente",'Extração'!L:L,A436)/B436)</f>
        <v/>
      </c>
      <c r="F436" s="16" t="str">
        <f>IF(B436=0,"",COUNTIFS('Extração'!Q:Q,"Parcialmente",'Extração'!L:L,A436)/B436)</f>
        <v/>
      </c>
      <c r="G436" s="16" t="str">
        <f>IF(B436=0,"",COUNTIFS('Extração'!P:P,"Não",'Extração'!L:L,A436)/B436)</f>
        <v/>
      </c>
      <c r="H436" s="16" t="str">
        <f>IF(B436=0,"",COUNTIFS('Extração'!Q:Q,"Não",'Extração'!L:L,A436)/B436)</f>
        <v/>
      </c>
      <c r="I436" s="16" t="str">
        <f>IF(B436=0,"",COUNTIFS('Extração'!R:R,"Igual",'Extração'!L:L,A436)/B436)</f>
        <v/>
      </c>
    </row>
    <row r="437">
      <c r="B437" s="16">
        <f>COUNTIF('Extração'!L:L,A437)</f>
        <v>0</v>
      </c>
      <c r="C437" s="16" t="str">
        <f>IF(B437=0,"",COUNTIFS('Extração'!P:P,"Sim",'Extração'!L:L,A437)/B437)</f>
        <v/>
      </c>
      <c r="D437" s="16" t="str">
        <f>IF(B437=0,"",COUNTIFS('Extração'!Q:Q,"Sim",'Extração'!L:L,A437)/B437)</f>
        <v/>
      </c>
      <c r="E437" s="16" t="str">
        <f>IF(B437=0,"",COUNTIFS('Extração'!P:P,"Parcialmente",'Extração'!L:L,A437)/B437)</f>
        <v/>
      </c>
      <c r="F437" s="16" t="str">
        <f>IF(B437=0,"",COUNTIFS('Extração'!Q:Q,"Parcialmente",'Extração'!L:L,A437)/B437)</f>
        <v/>
      </c>
      <c r="G437" s="16" t="str">
        <f>IF(B437=0,"",COUNTIFS('Extração'!P:P,"Não",'Extração'!L:L,A437)/B437)</f>
        <v/>
      </c>
      <c r="H437" s="16" t="str">
        <f>IF(B437=0,"",COUNTIFS('Extração'!Q:Q,"Não",'Extração'!L:L,A437)/B437)</f>
        <v/>
      </c>
      <c r="I437" s="16" t="str">
        <f>IF(B437=0,"",COUNTIFS('Extração'!R:R,"Igual",'Extração'!L:L,A437)/B437)</f>
        <v/>
      </c>
    </row>
    <row r="438">
      <c r="B438" s="16">
        <f>COUNTIF('Extração'!L:L,A438)</f>
        <v>0</v>
      </c>
      <c r="C438" s="16" t="str">
        <f>IF(B438=0,"",COUNTIFS('Extração'!P:P,"Sim",'Extração'!L:L,A438)/B438)</f>
        <v/>
      </c>
      <c r="D438" s="16" t="str">
        <f>IF(B438=0,"",COUNTIFS('Extração'!Q:Q,"Sim",'Extração'!L:L,A438)/B438)</f>
        <v/>
      </c>
      <c r="E438" s="16" t="str">
        <f>IF(B438=0,"",COUNTIFS('Extração'!P:P,"Parcialmente",'Extração'!L:L,A438)/B438)</f>
        <v/>
      </c>
      <c r="F438" s="16" t="str">
        <f>IF(B438=0,"",COUNTIFS('Extração'!Q:Q,"Parcialmente",'Extração'!L:L,A438)/B438)</f>
        <v/>
      </c>
      <c r="G438" s="16" t="str">
        <f>IF(B438=0,"",COUNTIFS('Extração'!P:P,"Não",'Extração'!L:L,A438)/B438)</f>
        <v/>
      </c>
      <c r="H438" s="16" t="str">
        <f>IF(B438=0,"",COUNTIFS('Extração'!Q:Q,"Não",'Extração'!L:L,A438)/B438)</f>
        <v/>
      </c>
      <c r="I438" s="16" t="str">
        <f>IF(B438=0,"",COUNTIFS('Extração'!R:R,"Igual",'Extração'!L:L,A438)/B438)</f>
        <v/>
      </c>
    </row>
    <row r="439">
      <c r="B439" s="16">
        <f>COUNTIF('Extração'!L:L,A439)</f>
        <v>0</v>
      </c>
      <c r="C439" s="16" t="str">
        <f>IF(B439=0,"",COUNTIFS('Extração'!P:P,"Sim",'Extração'!L:L,A439)/B439)</f>
        <v/>
      </c>
      <c r="D439" s="16" t="str">
        <f>IF(B439=0,"",COUNTIFS('Extração'!Q:Q,"Sim",'Extração'!L:L,A439)/B439)</f>
        <v/>
      </c>
      <c r="E439" s="16" t="str">
        <f>IF(B439=0,"",COUNTIFS('Extração'!P:P,"Parcialmente",'Extração'!L:L,A439)/B439)</f>
        <v/>
      </c>
      <c r="F439" s="16" t="str">
        <f>IF(B439=0,"",COUNTIFS('Extração'!Q:Q,"Parcialmente",'Extração'!L:L,A439)/B439)</f>
        <v/>
      </c>
      <c r="G439" s="16" t="str">
        <f>IF(B439=0,"",COUNTIFS('Extração'!P:P,"Não",'Extração'!L:L,A439)/B439)</f>
        <v/>
      </c>
      <c r="H439" s="16" t="str">
        <f>IF(B439=0,"",COUNTIFS('Extração'!Q:Q,"Não",'Extração'!L:L,A439)/B439)</f>
        <v/>
      </c>
      <c r="I439" s="16" t="str">
        <f>IF(B439=0,"",COUNTIFS('Extração'!R:R,"Igual",'Extração'!L:L,A439)/B439)</f>
        <v/>
      </c>
    </row>
    <row r="440">
      <c r="B440" s="16">
        <f>COUNTIF('Extração'!L:L,A440)</f>
        <v>0</v>
      </c>
      <c r="C440" s="16" t="str">
        <f>IF(B440=0,"",COUNTIFS('Extração'!P:P,"Sim",'Extração'!L:L,A440)/B440)</f>
        <v/>
      </c>
      <c r="D440" s="16" t="str">
        <f>IF(B440=0,"",COUNTIFS('Extração'!Q:Q,"Sim",'Extração'!L:L,A440)/B440)</f>
        <v/>
      </c>
      <c r="E440" s="16" t="str">
        <f>IF(B440=0,"",COUNTIFS('Extração'!P:P,"Parcialmente",'Extração'!L:L,A440)/B440)</f>
        <v/>
      </c>
      <c r="F440" s="16" t="str">
        <f>IF(B440=0,"",COUNTIFS('Extração'!Q:Q,"Parcialmente",'Extração'!L:L,A440)/B440)</f>
        <v/>
      </c>
      <c r="G440" s="16" t="str">
        <f>IF(B440=0,"",COUNTIFS('Extração'!P:P,"Não",'Extração'!L:L,A440)/B440)</f>
        <v/>
      </c>
      <c r="H440" s="16" t="str">
        <f>IF(B440=0,"",COUNTIFS('Extração'!Q:Q,"Não",'Extração'!L:L,A440)/B440)</f>
        <v/>
      </c>
      <c r="I440" s="16" t="str">
        <f>IF(B440=0,"",COUNTIFS('Extração'!R:R,"Igual",'Extração'!L:L,A440)/B440)</f>
        <v/>
      </c>
    </row>
    <row r="441">
      <c r="B441" s="16">
        <f>COUNTIF('Extração'!L:L,A441)</f>
        <v>0</v>
      </c>
      <c r="C441" s="16" t="str">
        <f>IF(B441=0,"",COUNTIFS('Extração'!P:P,"Sim",'Extração'!L:L,A441)/B441)</f>
        <v/>
      </c>
      <c r="D441" s="16" t="str">
        <f>IF(B441=0,"",COUNTIFS('Extração'!Q:Q,"Sim",'Extração'!L:L,A441)/B441)</f>
        <v/>
      </c>
      <c r="E441" s="16" t="str">
        <f>IF(B441=0,"",COUNTIFS('Extração'!P:P,"Parcialmente",'Extração'!L:L,A441)/B441)</f>
        <v/>
      </c>
      <c r="F441" s="16" t="str">
        <f>IF(B441=0,"",COUNTIFS('Extração'!Q:Q,"Parcialmente",'Extração'!L:L,A441)/B441)</f>
        <v/>
      </c>
      <c r="G441" s="16" t="str">
        <f>IF(B441=0,"",COUNTIFS('Extração'!P:P,"Não",'Extração'!L:L,A441)/B441)</f>
        <v/>
      </c>
      <c r="H441" s="16" t="str">
        <f>IF(B441=0,"",COUNTIFS('Extração'!Q:Q,"Não",'Extração'!L:L,A441)/B441)</f>
        <v/>
      </c>
      <c r="I441" s="16" t="str">
        <f>IF(B441=0,"",COUNTIFS('Extração'!R:R,"Igual",'Extração'!L:L,A441)/B441)</f>
        <v/>
      </c>
    </row>
    <row r="442">
      <c r="B442" s="16">
        <f>COUNTIF('Extração'!L:L,A442)</f>
        <v>0</v>
      </c>
      <c r="C442" s="16" t="str">
        <f>IF(B442=0,"",COUNTIFS('Extração'!P:P,"Sim",'Extração'!L:L,A442)/B442)</f>
        <v/>
      </c>
      <c r="D442" s="16" t="str">
        <f>IF(B442=0,"",COUNTIFS('Extração'!Q:Q,"Sim",'Extração'!L:L,A442)/B442)</f>
        <v/>
      </c>
      <c r="E442" s="16" t="str">
        <f>IF(B442=0,"",COUNTIFS('Extração'!P:P,"Parcialmente",'Extração'!L:L,A442)/B442)</f>
        <v/>
      </c>
      <c r="F442" s="16" t="str">
        <f>IF(B442=0,"",COUNTIFS('Extração'!Q:Q,"Parcialmente",'Extração'!L:L,A442)/B442)</f>
        <v/>
      </c>
      <c r="G442" s="16" t="str">
        <f>IF(B442=0,"",COUNTIFS('Extração'!P:P,"Não",'Extração'!L:L,A442)/B442)</f>
        <v/>
      </c>
      <c r="H442" s="16" t="str">
        <f>IF(B442=0,"",COUNTIFS('Extração'!Q:Q,"Não",'Extração'!L:L,A442)/B442)</f>
        <v/>
      </c>
      <c r="I442" s="16" t="str">
        <f>IF(B442=0,"",COUNTIFS('Extração'!R:R,"Igual",'Extração'!L:L,A442)/B442)</f>
        <v/>
      </c>
    </row>
    <row r="443">
      <c r="B443" s="16">
        <f>COUNTIF('Extração'!L:L,A443)</f>
        <v>0</v>
      </c>
      <c r="C443" s="16" t="str">
        <f>IF(B443=0,"",COUNTIFS('Extração'!P:P,"Sim",'Extração'!L:L,A443)/B443)</f>
        <v/>
      </c>
      <c r="D443" s="16" t="str">
        <f>IF(B443=0,"",COUNTIFS('Extração'!Q:Q,"Sim",'Extração'!L:L,A443)/B443)</f>
        <v/>
      </c>
      <c r="E443" s="16" t="str">
        <f>IF(B443=0,"",COUNTIFS('Extração'!P:P,"Parcialmente",'Extração'!L:L,A443)/B443)</f>
        <v/>
      </c>
      <c r="F443" s="16" t="str">
        <f>IF(B443=0,"",COUNTIFS('Extração'!Q:Q,"Parcialmente",'Extração'!L:L,A443)/B443)</f>
        <v/>
      </c>
      <c r="G443" s="16" t="str">
        <f>IF(B443=0,"",COUNTIFS('Extração'!P:P,"Não",'Extração'!L:L,A443)/B443)</f>
        <v/>
      </c>
      <c r="H443" s="16" t="str">
        <f>IF(B443=0,"",COUNTIFS('Extração'!Q:Q,"Não",'Extração'!L:L,A443)/B443)</f>
        <v/>
      </c>
      <c r="I443" s="16" t="str">
        <f>IF(B443=0,"",COUNTIFS('Extração'!R:R,"Igual",'Extração'!L:L,A443)/B443)</f>
        <v/>
      </c>
    </row>
    <row r="444">
      <c r="B444" s="16">
        <f>COUNTIF('Extração'!L:L,A444)</f>
        <v>0</v>
      </c>
      <c r="C444" s="16" t="str">
        <f>IF(B444=0,"",COUNTIFS('Extração'!P:P,"Sim",'Extração'!L:L,A444)/B444)</f>
        <v/>
      </c>
      <c r="D444" s="16" t="str">
        <f>IF(B444=0,"",COUNTIFS('Extração'!Q:Q,"Sim",'Extração'!L:L,A444)/B444)</f>
        <v/>
      </c>
      <c r="E444" s="16" t="str">
        <f>IF(B444=0,"",COUNTIFS('Extração'!P:P,"Parcialmente",'Extração'!L:L,A444)/B444)</f>
        <v/>
      </c>
      <c r="F444" s="16" t="str">
        <f>IF(B444=0,"",COUNTIFS('Extração'!Q:Q,"Parcialmente",'Extração'!L:L,A444)/B444)</f>
        <v/>
      </c>
      <c r="G444" s="16" t="str">
        <f>IF(B444=0,"",COUNTIFS('Extração'!P:P,"Não",'Extração'!L:L,A444)/B444)</f>
        <v/>
      </c>
      <c r="H444" s="16" t="str">
        <f>IF(B444=0,"",COUNTIFS('Extração'!Q:Q,"Não",'Extração'!L:L,A444)/B444)</f>
        <v/>
      </c>
      <c r="I444" s="16" t="str">
        <f>IF(B444=0,"",COUNTIFS('Extração'!R:R,"Igual",'Extração'!L:L,A444)/B444)</f>
        <v/>
      </c>
    </row>
    <row r="445">
      <c r="B445" s="16">
        <f>COUNTIF('Extração'!L:L,A445)</f>
        <v>0</v>
      </c>
      <c r="C445" s="16" t="str">
        <f>IF(B445=0,"",COUNTIFS('Extração'!P:P,"Sim",'Extração'!L:L,A445)/B445)</f>
        <v/>
      </c>
      <c r="D445" s="16" t="str">
        <f>IF(B445=0,"",COUNTIFS('Extração'!Q:Q,"Sim",'Extração'!L:L,A445)/B445)</f>
        <v/>
      </c>
      <c r="E445" s="16" t="str">
        <f>IF(B445=0,"",COUNTIFS('Extração'!P:P,"Parcialmente",'Extração'!L:L,A445)/B445)</f>
        <v/>
      </c>
      <c r="F445" s="16" t="str">
        <f>IF(B445=0,"",COUNTIFS('Extração'!Q:Q,"Parcialmente",'Extração'!L:L,A445)/B445)</f>
        <v/>
      </c>
      <c r="G445" s="16" t="str">
        <f>IF(B445=0,"",COUNTIFS('Extração'!P:P,"Não",'Extração'!L:L,A445)/B445)</f>
        <v/>
      </c>
      <c r="H445" s="16" t="str">
        <f>IF(B445=0,"",COUNTIFS('Extração'!Q:Q,"Não",'Extração'!L:L,A445)/B445)</f>
        <v/>
      </c>
      <c r="I445" s="16" t="str">
        <f>IF(B445=0,"",COUNTIFS('Extração'!R:R,"Igual",'Extração'!L:L,A445)/B445)</f>
        <v/>
      </c>
    </row>
    <row r="446">
      <c r="B446" s="16">
        <f>COUNTIF('Extração'!L:L,A446)</f>
        <v>0</v>
      </c>
      <c r="C446" s="16" t="str">
        <f>IF(B446=0,"",COUNTIFS('Extração'!P:P,"Sim",'Extração'!L:L,A446)/B446)</f>
        <v/>
      </c>
      <c r="D446" s="16" t="str">
        <f>IF(B446=0,"",COUNTIFS('Extração'!Q:Q,"Sim",'Extração'!L:L,A446)/B446)</f>
        <v/>
      </c>
      <c r="E446" s="16" t="str">
        <f>IF(B446=0,"",COUNTIFS('Extração'!P:P,"Parcialmente",'Extração'!L:L,A446)/B446)</f>
        <v/>
      </c>
      <c r="F446" s="16" t="str">
        <f>IF(B446=0,"",COUNTIFS('Extração'!Q:Q,"Parcialmente",'Extração'!L:L,A446)/B446)</f>
        <v/>
      </c>
      <c r="G446" s="16" t="str">
        <f>IF(B446=0,"",COUNTIFS('Extração'!P:P,"Não",'Extração'!L:L,A446)/B446)</f>
        <v/>
      </c>
      <c r="H446" s="16" t="str">
        <f>IF(B446=0,"",COUNTIFS('Extração'!Q:Q,"Não",'Extração'!L:L,A446)/B446)</f>
        <v/>
      </c>
      <c r="I446" s="16" t="str">
        <f>IF(B446=0,"",COUNTIFS('Extração'!R:R,"Igual",'Extração'!L:L,A446)/B446)</f>
        <v/>
      </c>
    </row>
    <row r="447">
      <c r="B447" s="16">
        <f>COUNTIF('Extração'!L:L,A447)</f>
        <v>0</v>
      </c>
      <c r="C447" s="16" t="str">
        <f>IF(B447=0,"",COUNTIFS('Extração'!P:P,"Sim",'Extração'!L:L,A447)/B447)</f>
        <v/>
      </c>
      <c r="D447" s="16" t="str">
        <f>IF(B447=0,"",COUNTIFS('Extração'!Q:Q,"Sim",'Extração'!L:L,A447)/B447)</f>
        <v/>
      </c>
      <c r="E447" s="16" t="str">
        <f>IF(B447=0,"",COUNTIFS('Extração'!P:P,"Parcialmente",'Extração'!L:L,A447)/B447)</f>
        <v/>
      </c>
      <c r="F447" s="16" t="str">
        <f>IF(B447=0,"",COUNTIFS('Extração'!Q:Q,"Parcialmente",'Extração'!L:L,A447)/B447)</f>
        <v/>
      </c>
      <c r="G447" s="16" t="str">
        <f>IF(B447=0,"",COUNTIFS('Extração'!P:P,"Não",'Extração'!L:L,A447)/B447)</f>
        <v/>
      </c>
      <c r="H447" s="16" t="str">
        <f>IF(B447=0,"",COUNTIFS('Extração'!Q:Q,"Não",'Extração'!L:L,A447)/B447)</f>
        <v/>
      </c>
      <c r="I447" s="16" t="str">
        <f>IF(B447=0,"",COUNTIFS('Extração'!R:R,"Igual",'Extração'!L:L,A447)/B447)</f>
        <v/>
      </c>
    </row>
    <row r="448">
      <c r="B448" s="16">
        <f>COUNTIF('Extração'!L:L,A448)</f>
        <v>0</v>
      </c>
      <c r="C448" s="16" t="str">
        <f>IF(B448=0,"",COUNTIFS('Extração'!P:P,"Sim",'Extração'!L:L,A448)/B448)</f>
        <v/>
      </c>
      <c r="D448" s="16" t="str">
        <f>IF(B448=0,"",COUNTIFS('Extração'!Q:Q,"Sim",'Extração'!L:L,A448)/B448)</f>
        <v/>
      </c>
      <c r="E448" s="16" t="str">
        <f>IF(B448=0,"",COUNTIFS('Extração'!P:P,"Parcialmente",'Extração'!L:L,A448)/B448)</f>
        <v/>
      </c>
      <c r="F448" s="16" t="str">
        <f>IF(B448=0,"",COUNTIFS('Extração'!Q:Q,"Parcialmente",'Extração'!L:L,A448)/B448)</f>
        <v/>
      </c>
      <c r="G448" s="16" t="str">
        <f>IF(B448=0,"",COUNTIFS('Extração'!P:P,"Não",'Extração'!L:L,A448)/B448)</f>
        <v/>
      </c>
      <c r="H448" s="16" t="str">
        <f>IF(B448=0,"",COUNTIFS('Extração'!Q:Q,"Não",'Extração'!L:L,A448)/B448)</f>
        <v/>
      </c>
      <c r="I448" s="16" t="str">
        <f>IF(B448=0,"",COUNTIFS('Extração'!R:R,"Igual",'Extração'!L:L,A448)/B448)</f>
        <v/>
      </c>
    </row>
    <row r="449">
      <c r="B449" s="16">
        <f>COUNTIF('Extração'!L:L,A449)</f>
        <v>0</v>
      </c>
      <c r="C449" s="16" t="str">
        <f>IF(B449=0,"",COUNTIFS('Extração'!P:P,"Sim",'Extração'!L:L,A449)/B449)</f>
        <v/>
      </c>
      <c r="D449" s="16" t="str">
        <f>IF(B449=0,"",COUNTIFS('Extração'!Q:Q,"Sim",'Extração'!L:L,A449)/B449)</f>
        <v/>
      </c>
      <c r="E449" s="16" t="str">
        <f>IF(B449=0,"",COUNTIFS('Extração'!P:P,"Parcialmente",'Extração'!L:L,A449)/B449)</f>
        <v/>
      </c>
      <c r="F449" s="16" t="str">
        <f>IF(B449=0,"",COUNTIFS('Extração'!Q:Q,"Parcialmente",'Extração'!L:L,A449)/B449)</f>
        <v/>
      </c>
      <c r="G449" s="16" t="str">
        <f>IF(B449=0,"",COUNTIFS('Extração'!P:P,"Não",'Extração'!L:L,A449)/B449)</f>
        <v/>
      </c>
      <c r="H449" s="16" t="str">
        <f>IF(B449=0,"",COUNTIFS('Extração'!Q:Q,"Não",'Extração'!L:L,A449)/B449)</f>
        <v/>
      </c>
      <c r="I449" s="16" t="str">
        <f>IF(B449=0,"",COUNTIFS('Extração'!R:R,"Igual",'Extração'!L:L,A449)/B449)</f>
        <v/>
      </c>
    </row>
    <row r="450">
      <c r="B450" s="16">
        <f>COUNTIF('Extração'!L:L,A450)</f>
        <v>0</v>
      </c>
      <c r="C450" s="16" t="str">
        <f>IF(B450=0,"",COUNTIFS('Extração'!P:P,"Sim",'Extração'!L:L,A450)/B450)</f>
        <v/>
      </c>
      <c r="D450" s="16" t="str">
        <f>IF(B450=0,"",COUNTIFS('Extração'!Q:Q,"Sim",'Extração'!L:L,A450)/B450)</f>
        <v/>
      </c>
      <c r="E450" s="16" t="str">
        <f>IF(B450=0,"",COUNTIFS('Extração'!P:P,"Parcialmente",'Extração'!L:L,A450)/B450)</f>
        <v/>
      </c>
      <c r="F450" s="16" t="str">
        <f>IF(B450=0,"",COUNTIFS('Extração'!Q:Q,"Parcialmente",'Extração'!L:L,A450)/B450)</f>
        <v/>
      </c>
      <c r="G450" s="16" t="str">
        <f>IF(B450=0,"",COUNTIFS('Extração'!P:P,"Não",'Extração'!L:L,A450)/B450)</f>
        <v/>
      </c>
      <c r="H450" s="16" t="str">
        <f>IF(B450=0,"",COUNTIFS('Extração'!Q:Q,"Não",'Extração'!L:L,A450)/B450)</f>
        <v/>
      </c>
      <c r="I450" s="16" t="str">
        <f>IF(B450=0,"",COUNTIFS('Extração'!R:R,"Igual",'Extração'!L:L,A450)/B450)</f>
        <v/>
      </c>
    </row>
    <row r="451">
      <c r="B451" s="16">
        <f>COUNTIF('Extração'!L:L,A451)</f>
        <v>0</v>
      </c>
      <c r="C451" s="16" t="str">
        <f>IF(B451=0,"",COUNTIFS('Extração'!P:P,"Sim",'Extração'!L:L,A451)/B451)</f>
        <v/>
      </c>
      <c r="D451" s="16" t="str">
        <f>IF(B451=0,"",COUNTIFS('Extração'!Q:Q,"Sim",'Extração'!L:L,A451)/B451)</f>
        <v/>
      </c>
      <c r="E451" s="16" t="str">
        <f>IF(B451=0,"",COUNTIFS('Extração'!P:P,"Parcialmente",'Extração'!L:L,A451)/B451)</f>
        <v/>
      </c>
      <c r="F451" s="16" t="str">
        <f>IF(B451=0,"",COUNTIFS('Extração'!Q:Q,"Parcialmente",'Extração'!L:L,A451)/B451)</f>
        <v/>
      </c>
      <c r="G451" s="16" t="str">
        <f>IF(B451=0,"",COUNTIFS('Extração'!P:P,"Não",'Extração'!L:L,A451)/B451)</f>
        <v/>
      </c>
      <c r="H451" s="16" t="str">
        <f>IF(B451=0,"",COUNTIFS('Extração'!Q:Q,"Não",'Extração'!L:L,A451)/B451)</f>
        <v/>
      </c>
      <c r="I451" s="16" t="str">
        <f>IF(B451=0,"",COUNTIFS('Extração'!R:R,"Igual",'Extração'!L:L,A451)/B451)</f>
        <v/>
      </c>
    </row>
    <row r="452">
      <c r="B452" s="16">
        <f>COUNTIF('Extração'!L:L,A452)</f>
        <v>0</v>
      </c>
      <c r="C452" s="16" t="str">
        <f>IF(B452=0,"",COUNTIFS('Extração'!P:P,"Sim",'Extração'!L:L,A452)/B452)</f>
        <v/>
      </c>
      <c r="D452" s="16" t="str">
        <f>IF(B452=0,"",COUNTIFS('Extração'!Q:Q,"Sim",'Extração'!L:L,A452)/B452)</f>
        <v/>
      </c>
      <c r="E452" s="16" t="str">
        <f>IF(B452=0,"",COUNTIFS('Extração'!P:P,"Parcialmente",'Extração'!L:L,A452)/B452)</f>
        <v/>
      </c>
      <c r="F452" s="16" t="str">
        <f>IF(B452=0,"",COUNTIFS('Extração'!Q:Q,"Parcialmente",'Extração'!L:L,A452)/B452)</f>
        <v/>
      </c>
      <c r="G452" s="16" t="str">
        <f>IF(B452=0,"",COUNTIFS('Extração'!P:P,"Não",'Extração'!L:L,A452)/B452)</f>
        <v/>
      </c>
      <c r="H452" s="16" t="str">
        <f>IF(B452=0,"",COUNTIFS('Extração'!Q:Q,"Não",'Extração'!L:L,A452)/B452)</f>
        <v/>
      </c>
      <c r="I452" s="16" t="str">
        <f>IF(B452=0,"",COUNTIFS('Extração'!R:R,"Igual",'Extração'!L:L,A452)/B452)</f>
        <v/>
      </c>
    </row>
    <row r="453">
      <c r="B453" s="16">
        <f>COUNTIF('Extração'!L:L,A453)</f>
        <v>0</v>
      </c>
      <c r="C453" s="16" t="str">
        <f>IF(B453=0,"",COUNTIFS('Extração'!P:P,"Sim",'Extração'!L:L,A453)/B453)</f>
        <v/>
      </c>
      <c r="D453" s="16" t="str">
        <f>IF(B453=0,"",COUNTIFS('Extração'!Q:Q,"Sim",'Extração'!L:L,A453)/B453)</f>
        <v/>
      </c>
      <c r="E453" s="16" t="str">
        <f>IF(B453=0,"",COUNTIFS('Extração'!P:P,"Parcialmente",'Extração'!L:L,A453)/B453)</f>
        <v/>
      </c>
      <c r="F453" s="16" t="str">
        <f>IF(B453=0,"",COUNTIFS('Extração'!Q:Q,"Parcialmente",'Extração'!L:L,A453)/B453)</f>
        <v/>
      </c>
      <c r="G453" s="16" t="str">
        <f>IF(B453=0,"",COUNTIFS('Extração'!P:P,"Não",'Extração'!L:L,A453)/B453)</f>
        <v/>
      </c>
      <c r="H453" s="16" t="str">
        <f>IF(B453=0,"",COUNTIFS('Extração'!Q:Q,"Não",'Extração'!L:L,A453)/B453)</f>
        <v/>
      </c>
      <c r="I453" s="16" t="str">
        <f>IF(B453=0,"",COUNTIFS('Extração'!R:R,"Igual",'Extração'!L:L,A453)/B453)</f>
        <v/>
      </c>
    </row>
    <row r="454">
      <c r="B454" s="16">
        <f>COUNTIF('Extração'!L:L,A454)</f>
        <v>0</v>
      </c>
      <c r="C454" s="16" t="str">
        <f>IF(B454=0,"",COUNTIFS('Extração'!P:P,"Sim",'Extração'!L:L,A454)/B454)</f>
        <v/>
      </c>
      <c r="D454" s="16" t="str">
        <f>IF(B454=0,"",COUNTIFS('Extração'!Q:Q,"Sim",'Extração'!L:L,A454)/B454)</f>
        <v/>
      </c>
      <c r="E454" s="16" t="str">
        <f>IF(B454=0,"",COUNTIFS('Extração'!P:P,"Parcialmente",'Extração'!L:L,A454)/B454)</f>
        <v/>
      </c>
      <c r="F454" s="16" t="str">
        <f>IF(B454=0,"",COUNTIFS('Extração'!Q:Q,"Parcialmente",'Extração'!L:L,A454)/B454)</f>
        <v/>
      </c>
      <c r="G454" s="16" t="str">
        <f>IF(B454=0,"",COUNTIFS('Extração'!P:P,"Não",'Extração'!L:L,A454)/B454)</f>
        <v/>
      </c>
      <c r="H454" s="16" t="str">
        <f>IF(B454=0,"",COUNTIFS('Extração'!Q:Q,"Não",'Extração'!L:L,A454)/B454)</f>
        <v/>
      </c>
      <c r="I454" s="16" t="str">
        <f>IF(B454=0,"",COUNTIFS('Extração'!R:R,"Igual",'Extração'!L:L,A454)/B454)</f>
        <v/>
      </c>
    </row>
    <row r="455">
      <c r="B455" s="16">
        <f>COUNTIF('Extração'!L:L,A455)</f>
        <v>0</v>
      </c>
      <c r="C455" s="16" t="str">
        <f>IF(B455=0,"",COUNTIFS('Extração'!P:P,"Sim",'Extração'!L:L,A455)/B455)</f>
        <v/>
      </c>
      <c r="D455" s="16" t="str">
        <f>IF(B455=0,"",COUNTIFS('Extração'!Q:Q,"Sim",'Extração'!L:L,A455)/B455)</f>
        <v/>
      </c>
      <c r="E455" s="16" t="str">
        <f>IF(B455=0,"",COUNTIFS('Extração'!P:P,"Parcialmente",'Extração'!L:L,A455)/B455)</f>
        <v/>
      </c>
      <c r="F455" s="16" t="str">
        <f>IF(B455=0,"",COUNTIFS('Extração'!Q:Q,"Parcialmente",'Extração'!L:L,A455)/B455)</f>
        <v/>
      </c>
      <c r="G455" s="16" t="str">
        <f>IF(B455=0,"",COUNTIFS('Extração'!P:P,"Não",'Extração'!L:L,A455)/B455)</f>
        <v/>
      </c>
      <c r="H455" s="16" t="str">
        <f>IF(B455=0,"",COUNTIFS('Extração'!Q:Q,"Não",'Extração'!L:L,A455)/B455)</f>
        <v/>
      </c>
      <c r="I455" s="16" t="str">
        <f>IF(B455=0,"",COUNTIFS('Extração'!R:R,"Igual",'Extração'!L:L,A455)/B455)</f>
        <v/>
      </c>
    </row>
    <row r="456">
      <c r="B456" s="16">
        <f>COUNTIF('Extração'!L:L,A456)</f>
        <v>0</v>
      </c>
      <c r="C456" s="16" t="str">
        <f>IF(B456=0,"",COUNTIFS('Extração'!P:P,"Sim",'Extração'!L:L,A456)/B456)</f>
        <v/>
      </c>
      <c r="D456" s="16" t="str">
        <f>IF(B456=0,"",COUNTIFS('Extração'!Q:Q,"Sim",'Extração'!L:L,A456)/B456)</f>
        <v/>
      </c>
      <c r="E456" s="16" t="str">
        <f>IF(B456=0,"",COUNTIFS('Extração'!P:P,"Parcialmente",'Extração'!L:L,A456)/B456)</f>
        <v/>
      </c>
      <c r="F456" s="16" t="str">
        <f>IF(B456=0,"",COUNTIFS('Extração'!Q:Q,"Parcialmente",'Extração'!L:L,A456)/B456)</f>
        <v/>
      </c>
      <c r="G456" s="16" t="str">
        <f>IF(B456=0,"",COUNTIFS('Extração'!P:P,"Não",'Extração'!L:L,A456)/B456)</f>
        <v/>
      </c>
      <c r="H456" s="16" t="str">
        <f>IF(B456=0,"",COUNTIFS('Extração'!Q:Q,"Não",'Extração'!L:L,A456)/B456)</f>
        <v/>
      </c>
      <c r="I456" s="16" t="str">
        <f>IF(B456=0,"",COUNTIFS('Extração'!R:R,"Igual",'Extração'!L:L,A456)/B456)</f>
        <v/>
      </c>
    </row>
    <row r="457">
      <c r="B457" s="16">
        <f>COUNTIF('Extração'!L:L,A457)</f>
        <v>0</v>
      </c>
      <c r="C457" s="16" t="str">
        <f>IF(B457=0,"",COUNTIFS('Extração'!P:P,"Sim",'Extração'!L:L,A457)/B457)</f>
        <v/>
      </c>
      <c r="D457" s="16" t="str">
        <f>IF(B457=0,"",COUNTIFS('Extração'!Q:Q,"Sim",'Extração'!L:L,A457)/B457)</f>
        <v/>
      </c>
      <c r="E457" s="16" t="str">
        <f>IF(B457=0,"",COUNTIFS('Extração'!P:P,"Parcialmente",'Extração'!L:L,A457)/B457)</f>
        <v/>
      </c>
      <c r="F457" s="16" t="str">
        <f>IF(B457=0,"",COUNTIFS('Extração'!Q:Q,"Parcialmente",'Extração'!L:L,A457)/B457)</f>
        <v/>
      </c>
      <c r="G457" s="16" t="str">
        <f>IF(B457=0,"",COUNTIFS('Extração'!P:P,"Não",'Extração'!L:L,A457)/B457)</f>
        <v/>
      </c>
      <c r="H457" s="16" t="str">
        <f>IF(B457=0,"",COUNTIFS('Extração'!Q:Q,"Não",'Extração'!L:L,A457)/B457)</f>
        <v/>
      </c>
      <c r="I457" s="16" t="str">
        <f>IF(B457=0,"",COUNTIFS('Extração'!R:R,"Igual",'Extração'!L:L,A457)/B457)</f>
        <v/>
      </c>
    </row>
    <row r="458">
      <c r="B458" s="16">
        <f>COUNTIF('Extração'!L:L,A458)</f>
        <v>0</v>
      </c>
      <c r="C458" s="16" t="str">
        <f>IF(B458=0,"",COUNTIFS('Extração'!P:P,"Sim",'Extração'!L:L,A458)/B458)</f>
        <v/>
      </c>
      <c r="D458" s="16" t="str">
        <f>IF(B458=0,"",COUNTIFS('Extração'!Q:Q,"Sim",'Extração'!L:L,A458)/B458)</f>
        <v/>
      </c>
      <c r="E458" s="16" t="str">
        <f>IF(B458=0,"",COUNTIFS('Extração'!P:P,"Parcialmente",'Extração'!L:L,A458)/B458)</f>
        <v/>
      </c>
      <c r="F458" s="16" t="str">
        <f>IF(B458=0,"",COUNTIFS('Extração'!Q:Q,"Parcialmente",'Extração'!L:L,A458)/B458)</f>
        <v/>
      </c>
      <c r="G458" s="16" t="str">
        <f>IF(B458=0,"",COUNTIFS('Extração'!P:P,"Não",'Extração'!L:L,A458)/B458)</f>
        <v/>
      </c>
      <c r="H458" s="16" t="str">
        <f>IF(B458=0,"",COUNTIFS('Extração'!Q:Q,"Não",'Extração'!L:L,A458)/B458)</f>
        <v/>
      </c>
      <c r="I458" s="16" t="str">
        <f>IF(B458=0,"",COUNTIFS('Extração'!R:R,"Igual",'Extração'!L:L,A458)/B458)</f>
        <v/>
      </c>
    </row>
    <row r="459">
      <c r="B459" s="16">
        <f>COUNTIF('Extração'!L:L,A459)</f>
        <v>0</v>
      </c>
      <c r="C459" s="16" t="str">
        <f>IF(B459=0,"",COUNTIFS('Extração'!P:P,"Sim",'Extração'!L:L,A459)/B459)</f>
        <v/>
      </c>
      <c r="D459" s="16" t="str">
        <f>IF(B459=0,"",COUNTIFS('Extração'!Q:Q,"Sim",'Extração'!L:L,A459)/B459)</f>
        <v/>
      </c>
      <c r="E459" s="16" t="str">
        <f>IF(B459=0,"",COUNTIFS('Extração'!P:P,"Parcialmente",'Extração'!L:L,A459)/B459)</f>
        <v/>
      </c>
      <c r="F459" s="16" t="str">
        <f>IF(B459=0,"",COUNTIFS('Extração'!Q:Q,"Parcialmente",'Extração'!L:L,A459)/B459)</f>
        <v/>
      </c>
      <c r="G459" s="16" t="str">
        <f>IF(B459=0,"",COUNTIFS('Extração'!P:P,"Não",'Extração'!L:L,A459)/B459)</f>
        <v/>
      </c>
      <c r="H459" s="16" t="str">
        <f>IF(B459=0,"",COUNTIFS('Extração'!Q:Q,"Não",'Extração'!L:L,A459)/B459)</f>
        <v/>
      </c>
      <c r="I459" s="16" t="str">
        <f>IF(B459=0,"",COUNTIFS('Extração'!R:R,"Igual",'Extração'!L:L,A459)/B459)</f>
        <v/>
      </c>
    </row>
    <row r="460">
      <c r="B460" s="16">
        <f>COUNTIF('Extração'!L:L,A460)</f>
        <v>0</v>
      </c>
      <c r="C460" s="16" t="str">
        <f>IF(B460=0,"",COUNTIFS('Extração'!P:P,"Sim",'Extração'!L:L,A460)/B460)</f>
        <v/>
      </c>
      <c r="D460" s="16" t="str">
        <f>IF(B460=0,"",COUNTIFS('Extração'!Q:Q,"Sim",'Extração'!L:L,A460)/B460)</f>
        <v/>
      </c>
      <c r="E460" s="16" t="str">
        <f>IF(B460=0,"",COUNTIFS('Extração'!P:P,"Parcialmente",'Extração'!L:L,A460)/B460)</f>
        <v/>
      </c>
      <c r="F460" s="16" t="str">
        <f>IF(B460=0,"",COUNTIFS('Extração'!Q:Q,"Parcialmente",'Extração'!L:L,A460)/B460)</f>
        <v/>
      </c>
      <c r="G460" s="16" t="str">
        <f>IF(B460=0,"",COUNTIFS('Extração'!P:P,"Não",'Extração'!L:L,A460)/B460)</f>
        <v/>
      </c>
      <c r="H460" s="16" t="str">
        <f>IF(B460=0,"",COUNTIFS('Extração'!Q:Q,"Não",'Extração'!L:L,A460)/B460)</f>
        <v/>
      </c>
      <c r="I460" s="16" t="str">
        <f>IF(B460=0,"",COUNTIFS('Extração'!R:R,"Igual",'Extração'!L:L,A460)/B460)</f>
        <v/>
      </c>
    </row>
    <row r="461">
      <c r="B461" s="16">
        <f>COUNTIF('Extração'!L:L,A461)</f>
        <v>0</v>
      </c>
      <c r="C461" s="16" t="str">
        <f>IF(B461=0,"",COUNTIFS('Extração'!P:P,"Sim",'Extração'!L:L,A461)/B461)</f>
        <v/>
      </c>
      <c r="D461" s="16" t="str">
        <f>IF(B461=0,"",COUNTIFS('Extração'!Q:Q,"Sim",'Extração'!L:L,A461)/B461)</f>
        <v/>
      </c>
      <c r="E461" s="16" t="str">
        <f>IF(B461=0,"",COUNTIFS('Extração'!P:P,"Parcialmente",'Extração'!L:L,A461)/B461)</f>
        <v/>
      </c>
      <c r="F461" s="16" t="str">
        <f>IF(B461=0,"",COUNTIFS('Extração'!Q:Q,"Parcialmente",'Extração'!L:L,A461)/B461)</f>
        <v/>
      </c>
      <c r="G461" s="16" t="str">
        <f>IF(B461=0,"",COUNTIFS('Extração'!P:P,"Não",'Extração'!L:L,A461)/B461)</f>
        <v/>
      </c>
      <c r="H461" s="16" t="str">
        <f>IF(B461=0,"",COUNTIFS('Extração'!Q:Q,"Não",'Extração'!L:L,A461)/B461)</f>
        <v/>
      </c>
      <c r="I461" s="16" t="str">
        <f>IF(B461=0,"",COUNTIFS('Extração'!R:R,"Igual",'Extração'!L:L,A461)/B461)</f>
        <v/>
      </c>
    </row>
    <row r="462">
      <c r="B462" s="16">
        <f>COUNTIF('Extração'!L:L,A462)</f>
        <v>0</v>
      </c>
      <c r="C462" s="16" t="str">
        <f>IF(B462=0,"",COUNTIFS('Extração'!P:P,"Sim",'Extração'!L:L,A462)/B462)</f>
        <v/>
      </c>
      <c r="D462" s="16" t="str">
        <f>IF(B462=0,"",COUNTIFS('Extração'!Q:Q,"Sim",'Extração'!L:L,A462)/B462)</f>
        <v/>
      </c>
      <c r="E462" s="16" t="str">
        <f>IF(B462=0,"",COUNTIFS('Extração'!P:P,"Parcialmente",'Extração'!L:L,A462)/B462)</f>
        <v/>
      </c>
      <c r="F462" s="16" t="str">
        <f>IF(B462=0,"",COUNTIFS('Extração'!Q:Q,"Parcialmente",'Extração'!L:L,A462)/B462)</f>
        <v/>
      </c>
      <c r="G462" s="16" t="str">
        <f>IF(B462=0,"",COUNTIFS('Extração'!P:P,"Não",'Extração'!L:L,A462)/B462)</f>
        <v/>
      </c>
      <c r="H462" s="16" t="str">
        <f>IF(B462=0,"",COUNTIFS('Extração'!Q:Q,"Não",'Extração'!L:L,A462)/B462)</f>
        <v/>
      </c>
      <c r="I462" s="16" t="str">
        <f>IF(B462=0,"",COUNTIFS('Extração'!R:R,"Igual",'Extração'!L:L,A462)/B462)</f>
        <v/>
      </c>
    </row>
    <row r="463">
      <c r="B463" s="16">
        <f>COUNTIF('Extração'!L:L,A463)</f>
        <v>0</v>
      </c>
      <c r="C463" s="16" t="str">
        <f>IF(B463=0,"",COUNTIFS('Extração'!P:P,"Sim",'Extração'!L:L,A463)/B463)</f>
        <v/>
      </c>
      <c r="D463" s="16" t="str">
        <f>IF(B463=0,"",COUNTIFS('Extração'!Q:Q,"Sim",'Extração'!L:L,A463)/B463)</f>
        <v/>
      </c>
      <c r="E463" s="16" t="str">
        <f>IF(B463=0,"",COUNTIFS('Extração'!P:P,"Parcialmente",'Extração'!L:L,A463)/B463)</f>
        <v/>
      </c>
      <c r="F463" s="16" t="str">
        <f>IF(B463=0,"",COUNTIFS('Extração'!Q:Q,"Parcialmente",'Extração'!L:L,A463)/B463)</f>
        <v/>
      </c>
      <c r="G463" s="16" t="str">
        <f>IF(B463=0,"",COUNTIFS('Extração'!P:P,"Não",'Extração'!L:L,A463)/B463)</f>
        <v/>
      </c>
      <c r="H463" s="16" t="str">
        <f>IF(B463=0,"",COUNTIFS('Extração'!Q:Q,"Não",'Extração'!L:L,A463)/B463)</f>
        <v/>
      </c>
      <c r="I463" s="16" t="str">
        <f>IF(B463=0,"",COUNTIFS('Extração'!R:R,"Igual",'Extração'!L:L,A463)/B463)</f>
        <v/>
      </c>
    </row>
    <row r="464">
      <c r="B464" s="16">
        <f>COUNTIF('Extração'!L:L,A464)</f>
        <v>0</v>
      </c>
      <c r="C464" s="16" t="str">
        <f>IF(B464=0,"",COUNTIFS('Extração'!P:P,"Sim",'Extração'!L:L,A464)/B464)</f>
        <v/>
      </c>
      <c r="D464" s="16" t="str">
        <f>IF(B464=0,"",COUNTIFS('Extração'!Q:Q,"Sim",'Extração'!L:L,A464)/B464)</f>
        <v/>
      </c>
      <c r="E464" s="16" t="str">
        <f>IF(B464=0,"",COUNTIFS('Extração'!P:P,"Parcialmente",'Extração'!L:L,A464)/B464)</f>
        <v/>
      </c>
      <c r="F464" s="16" t="str">
        <f>IF(B464=0,"",COUNTIFS('Extração'!Q:Q,"Parcialmente",'Extração'!L:L,A464)/B464)</f>
        <v/>
      </c>
      <c r="G464" s="16" t="str">
        <f>IF(B464=0,"",COUNTIFS('Extração'!P:P,"Não",'Extração'!L:L,A464)/B464)</f>
        <v/>
      </c>
      <c r="H464" s="16" t="str">
        <f>IF(B464=0,"",COUNTIFS('Extração'!Q:Q,"Não",'Extração'!L:L,A464)/B464)</f>
        <v/>
      </c>
      <c r="I464" s="16" t="str">
        <f>IF(B464=0,"",COUNTIFS('Extração'!R:R,"Igual",'Extração'!L:L,A464)/B464)</f>
        <v/>
      </c>
    </row>
    <row r="465">
      <c r="B465" s="16">
        <f>COUNTIF('Extração'!L:L,A465)</f>
        <v>0</v>
      </c>
      <c r="C465" s="16" t="str">
        <f>IF(B465=0,"",COUNTIFS('Extração'!P:P,"Sim",'Extração'!L:L,A465)/B465)</f>
        <v/>
      </c>
      <c r="D465" s="16" t="str">
        <f>IF(B465=0,"",COUNTIFS('Extração'!Q:Q,"Sim",'Extração'!L:L,A465)/B465)</f>
        <v/>
      </c>
      <c r="E465" s="16" t="str">
        <f>IF(B465=0,"",COUNTIFS('Extração'!P:P,"Parcialmente",'Extração'!L:L,A465)/B465)</f>
        <v/>
      </c>
      <c r="F465" s="16" t="str">
        <f>IF(B465=0,"",COUNTIFS('Extração'!Q:Q,"Parcialmente",'Extração'!L:L,A465)/B465)</f>
        <v/>
      </c>
      <c r="G465" s="16" t="str">
        <f>IF(B465=0,"",COUNTIFS('Extração'!P:P,"Não",'Extração'!L:L,A465)/B465)</f>
        <v/>
      </c>
      <c r="H465" s="16" t="str">
        <f>IF(B465=0,"",COUNTIFS('Extração'!Q:Q,"Não",'Extração'!L:L,A465)/B465)</f>
        <v/>
      </c>
      <c r="I465" s="16" t="str">
        <f>IF(B465=0,"",COUNTIFS('Extração'!R:R,"Igual",'Extração'!L:L,A465)/B465)</f>
        <v/>
      </c>
    </row>
    <row r="466">
      <c r="B466" s="16">
        <f>COUNTIF('Extração'!L:L,A466)</f>
        <v>0</v>
      </c>
      <c r="C466" s="16" t="str">
        <f>IF(B466=0,"",COUNTIFS('Extração'!P:P,"Sim",'Extração'!L:L,A466)/B466)</f>
        <v/>
      </c>
      <c r="D466" s="16" t="str">
        <f>IF(B466=0,"",COUNTIFS('Extração'!Q:Q,"Sim",'Extração'!L:L,A466)/B466)</f>
        <v/>
      </c>
      <c r="E466" s="16" t="str">
        <f>IF(B466=0,"",COUNTIFS('Extração'!P:P,"Parcialmente",'Extração'!L:L,A466)/B466)</f>
        <v/>
      </c>
      <c r="F466" s="16" t="str">
        <f>IF(B466=0,"",COUNTIFS('Extração'!Q:Q,"Parcialmente",'Extração'!L:L,A466)/B466)</f>
        <v/>
      </c>
      <c r="G466" s="16" t="str">
        <f>IF(B466=0,"",COUNTIFS('Extração'!P:P,"Não",'Extração'!L:L,A466)/B466)</f>
        <v/>
      </c>
      <c r="H466" s="16" t="str">
        <f>IF(B466=0,"",COUNTIFS('Extração'!Q:Q,"Não",'Extração'!L:L,A466)/B466)</f>
        <v/>
      </c>
      <c r="I466" s="16" t="str">
        <f>IF(B466=0,"",COUNTIFS('Extração'!R:R,"Igual",'Extração'!L:L,A466)/B466)</f>
        <v/>
      </c>
    </row>
    <row r="467">
      <c r="B467" s="16">
        <f>COUNTIF('Extração'!L:L,A467)</f>
        <v>0</v>
      </c>
      <c r="C467" s="16" t="str">
        <f>IF(B467=0,"",COUNTIFS('Extração'!P:P,"Sim",'Extração'!L:L,A467)/B467)</f>
        <v/>
      </c>
      <c r="D467" s="16" t="str">
        <f>IF(B467=0,"",COUNTIFS('Extração'!Q:Q,"Sim",'Extração'!L:L,A467)/B467)</f>
        <v/>
      </c>
      <c r="E467" s="16" t="str">
        <f>IF(B467=0,"",COUNTIFS('Extração'!P:P,"Parcialmente",'Extração'!L:L,A467)/B467)</f>
        <v/>
      </c>
      <c r="F467" s="16" t="str">
        <f>IF(B467=0,"",COUNTIFS('Extração'!Q:Q,"Parcialmente",'Extração'!L:L,A467)/B467)</f>
        <v/>
      </c>
      <c r="G467" s="16" t="str">
        <f>IF(B467=0,"",COUNTIFS('Extração'!P:P,"Não",'Extração'!L:L,A467)/B467)</f>
        <v/>
      </c>
      <c r="H467" s="16" t="str">
        <f>IF(B467=0,"",COUNTIFS('Extração'!Q:Q,"Não",'Extração'!L:L,A467)/B467)</f>
        <v/>
      </c>
      <c r="I467" s="16" t="str">
        <f>IF(B467=0,"",COUNTIFS('Extração'!R:R,"Igual",'Extração'!L:L,A467)/B467)</f>
        <v/>
      </c>
    </row>
    <row r="468">
      <c r="B468" s="16">
        <f>COUNTIF('Extração'!L:L,A468)</f>
        <v>0</v>
      </c>
      <c r="C468" s="16" t="str">
        <f>IF(B468=0,"",COUNTIFS('Extração'!P:P,"Sim",'Extração'!L:L,A468)/B468)</f>
        <v/>
      </c>
      <c r="D468" s="16" t="str">
        <f>IF(B468=0,"",COUNTIFS('Extração'!Q:Q,"Sim",'Extração'!L:L,A468)/B468)</f>
        <v/>
      </c>
      <c r="E468" s="16" t="str">
        <f>IF(B468=0,"",COUNTIFS('Extração'!P:P,"Parcialmente",'Extração'!L:L,A468)/B468)</f>
        <v/>
      </c>
      <c r="F468" s="16" t="str">
        <f>IF(B468=0,"",COUNTIFS('Extração'!Q:Q,"Parcialmente",'Extração'!L:L,A468)/B468)</f>
        <v/>
      </c>
      <c r="G468" s="16" t="str">
        <f>IF(B468=0,"",COUNTIFS('Extração'!P:P,"Não",'Extração'!L:L,A468)/B468)</f>
        <v/>
      </c>
      <c r="H468" s="16" t="str">
        <f>IF(B468=0,"",COUNTIFS('Extração'!Q:Q,"Não",'Extração'!L:L,A468)/B468)</f>
        <v/>
      </c>
      <c r="I468" s="16" t="str">
        <f>IF(B468=0,"",COUNTIFS('Extração'!R:R,"Igual",'Extração'!L:L,A468)/B468)</f>
        <v/>
      </c>
    </row>
    <row r="469">
      <c r="B469" s="16">
        <f>COUNTIF('Extração'!L:L,A469)</f>
        <v>0</v>
      </c>
      <c r="C469" s="16" t="str">
        <f>IF(B469=0,"",COUNTIFS('Extração'!P:P,"Sim",'Extração'!L:L,A469)/B469)</f>
        <v/>
      </c>
      <c r="D469" s="16" t="str">
        <f>IF(B469=0,"",COUNTIFS('Extração'!Q:Q,"Sim",'Extração'!L:L,A469)/B469)</f>
        <v/>
      </c>
      <c r="E469" s="16" t="str">
        <f>IF(B469=0,"",COUNTIFS('Extração'!P:P,"Parcialmente",'Extração'!L:L,A469)/B469)</f>
        <v/>
      </c>
      <c r="F469" s="16" t="str">
        <f>IF(B469=0,"",COUNTIFS('Extração'!Q:Q,"Parcialmente",'Extração'!L:L,A469)/B469)</f>
        <v/>
      </c>
      <c r="G469" s="16" t="str">
        <f>IF(B469=0,"",COUNTIFS('Extração'!P:P,"Não",'Extração'!L:L,A469)/B469)</f>
        <v/>
      </c>
      <c r="H469" s="16" t="str">
        <f>IF(B469=0,"",COUNTIFS('Extração'!Q:Q,"Não",'Extração'!L:L,A469)/B469)</f>
        <v/>
      </c>
      <c r="I469" s="16" t="str">
        <f>IF(B469=0,"",COUNTIFS('Extração'!R:R,"Igual",'Extração'!L:L,A469)/B469)</f>
        <v/>
      </c>
    </row>
    <row r="470">
      <c r="B470" s="16">
        <f>COUNTIF('Extração'!L:L,A470)</f>
        <v>0</v>
      </c>
      <c r="C470" s="16" t="str">
        <f>IF(B470=0,"",COUNTIFS('Extração'!P:P,"Sim",'Extração'!L:L,A470)/B470)</f>
        <v/>
      </c>
      <c r="D470" s="16" t="str">
        <f>IF(B470=0,"",COUNTIFS('Extração'!Q:Q,"Sim",'Extração'!L:L,A470)/B470)</f>
        <v/>
      </c>
      <c r="E470" s="16" t="str">
        <f>IF(B470=0,"",COUNTIFS('Extração'!P:P,"Parcialmente",'Extração'!L:L,A470)/B470)</f>
        <v/>
      </c>
      <c r="F470" s="16" t="str">
        <f>IF(B470=0,"",COUNTIFS('Extração'!Q:Q,"Parcialmente",'Extração'!L:L,A470)/B470)</f>
        <v/>
      </c>
      <c r="G470" s="16" t="str">
        <f>IF(B470=0,"",COUNTIFS('Extração'!P:P,"Não",'Extração'!L:L,A470)/B470)</f>
        <v/>
      </c>
      <c r="H470" s="16" t="str">
        <f>IF(B470=0,"",COUNTIFS('Extração'!Q:Q,"Não",'Extração'!L:L,A470)/B470)</f>
        <v/>
      </c>
      <c r="I470" s="16" t="str">
        <f>IF(B470=0,"",COUNTIFS('Extração'!R:R,"Igual",'Extração'!L:L,A470)/B470)</f>
        <v/>
      </c>
    </row>
    <row r="471">
      <c r="B471" s="16">
        <f>COUNTIF('Extração'!L:L,A471)</f>
        <v>0</v>
      </c>
      <c r="C471" s="16" t="str">
        <f>IF(B471=0,"",COUNTIFS('Extração'!P:P,"Sim",'Extração'!L:L,A471)/B471)</f>
        <v/>
      </c>
      <c r="D471" s="16" t="str">
        <f>IF(B471=0,"",COUNTIFS('Extração'!Q:Q,"Sim",'Extração'!L:L,A471)/B471)</f>
        <v/>
      </c>
      <c r="E471" s="16" t="str">
        <f>IF(B471=0,"",COUNTIFS('Extração'!P:P,"Parcialmente",'Extração'!L:L,A471)/B471)</f>
        <v/>
      </c>
      <c r="F471" s="16" t="str">
        <f>IF(B471=0,"",COUNTIFS('Extração'!Q:Q,"Parcialmente",'Extração'!L:L,A471)/B471)</f>
        <v/>
      </c>
      <c r="G471" s="16" t="str">
        <f>IF(B471=0,"",COUNTIFS('Extração'!P:P,"Não",'Extração'!L:L,A471)/B471)</f>
        <v/>
      </c>
      <c r="H471" s="16" t="str">
        <f>IF(B471=0,"",COUNTIFS('Extração'!Q:Q,"Não",'Extração'!L:L,A471)/B471)</f>
        <v/>
      </c>
      <c r="I471" s="16" t="str">
        <f>IF(B471=0,"",COUNTIFS('Extração'!R:R,"Igual",'Extração'!L:L,A471)/B471)</f>
        <v/>
      </c>
    </row>
    <row r="472">
      <c r="B472" s="16">
        <f>COUNTIF('Extração'!L:L,A472)</f>
        <v>0</v>
      </c>
      <c r="C472" s="16" t="str">
        <f>IF(B472=0,"",COUNTIFS('Extração'!P:P,"Sim",'Extração'!L:L,A472)/B472)</f>
        <v/>
      </c>
      <c r="D472" s="16" t="str">
        <f>IF(B472=0,"",COUNTIFS('Extração'!Q:Q,"Sim",'Extração'!L:L,A472)/B472)</f>
        <v/>
      </c>
      <c r="E472" s="16" t="str">
        <f>IF(B472=0,"",COUNTIFS('Extração'!P:P,"Parcialmente",'Extração'!L:L,A472)/B472)</f>
        <v/>
      </c>
      <c r="F472" s="16" t="str">
        <f>IF(B472=0,"",COUNTIFS('Extração'!Q:Q,"Parcialmente",'Extração'!L:L,A472)/B472)</f>
        <v/>
      </c>
      <c r="G472" s="16" t="str">
        <f>IF(B472=0,"",COUNTIFS('Extração'!P:P,"Não",'Extração'!L:L,A472)/B472)</f>
        <v/>
      </c>
      <c r="H472" s="16" t="str">
        <f>IF(B472=0,"",COUNTIFS('Extração'!Q:Q,"Não",'Extração'!L:L,A472)/B472)</f>
        <v/>
      </c>
      <c r="I472" s="16" t="str">
        <f>IF(B472=0,"",COUNTIFS('Extração'!R:R,"Igual",'Extração'!L:L,A472)/B472)</f>
        <v/>
      </c>
    </row>
    <row r="473">
      <c r="B473" s="16">
        <f>COUNTIF('Extração'!L:L,A473)</f>
        <v>0</v>
      </c>
      <c r="C473" s="16" t="str">
        <f>IF(B473=0,"",COUNTIFS('Extração'!P:P,"Sim",'Extração'!L:L,A473)/B473)</f>
        <v/>
      </c>
      <c r="D473" s="16" t="str">
        <f>IF(B473=0,"",COUNTIFS('Extração'!Q:Q,"Sim",'Extração'!L:L,A473)/B473)</f>
        <v/>
      </c>
      <c r="E473" s="16" t="str">
        <f>IF(B473=0,"",COUNTIFS('Extração'!P:P,"Parcialmente",'Extração'!L:L,A473)/B473)</f>
        <v/>
      </c>
      <c r="F473" s="16" t="str">
        <f>IF(B473=0,"",COUNTIFS('Extração'!Q:Q,"Parcialmente",'Extração'!L:L,A473)/B473)</f>
        <v/>
      </c>
      <c r="G473" s="16" t="str">
        <f>IF(B473=0,"",COUNTIFS('Extração'!P:P,"Não",'Extração'!L:L,A473)/B473)</f>
        <v/>
      </c>
      <c r="H473" s="16" t="str">
        <f>IF(B473=0,"",COUNTIFS('Extração'!Q:Q,"Não",'Extração'!L:L,A473)/B473)</f>
        <v/>
      </c>
      <c r="I473" s="16" t="str">
        <f>IF(B473=0,"",COUNTIFS('Extração'!R:R,"Igual",'Extração'!L:L,A473)/B473)</f>
        <v/>
      </c>
    </row>
    <row r="474">
      <c r="B474" s="16">
        <f>COUNTIF('Extração'!L:L,A474)</f>
        <v>0</v>
      </c>
      <c r="C474" s="16" t="str">
        <f>IF(B474=0,"",COUNTIFS('Extração'!P:P,"Sim",'Extração'!L:L,A474)/B474)</f>
        <v/>
      </c>
      <c r="D474" s="16" t="str">
        <f>IF(B474=0,"",COUNTIFS('Extração'!Q:Q,"Sim",'Extração'!L:L,A474)/B474)</f>
        <v/>
      </c>
      <c r="E474" s="16" t="str">
        <f>IF(B474=0,"",COUNTIFS('Extração'!P:P,"Parcialmente",'Extração'!L:L,A474)/B474)</f>
        <v/>
      </c>
      <c r="F474" s="16" t="str">
        <f>IF(B474=0,"",COUNTIFS('Extração'!Q:Q,"Parcialmente",'Extração'!L:L,A474)/B474)</f>
        <v/>
      </c>
      <c r="G474" s="16" t="str">
        <f>IF(B474=0,"",COUNTIFS('Extração'!P:P,"Não",'Extração'!L:L,A474)/B474)</f>
        <v/>
      </c>
      <c r="H474" s="16" t="str">
        <f>IF(B474=0,"",COUNTIFS('Extração'!Q:Q,"Não",'Extração'!L:L,A474)/B474)</f>
        <v/>
      </c>
      <c r="I474" s="16" t="str">
        <f>IF(B474=0,"",COUNTIFS('Extração'!R:R,"Igual",'Extração'!L:L,A474)/B474)</f>
        <v/>
      </c>
    </row>
    <row r="475">
      <c r="B475" s="16">
        <f>COUNTIF('Extração'!L:L,A475)</f>
        <v>0</v>
      </c>
      <c r="C475" s="16" t="str">
        <f>IF(B475=0,"",COUNTIFS('Extração'!P:P,"Sim",'Extração'!L:L,A475)/B475)</f>
        <v/>
      </c>
      <c r="D475" s="16" t="str">
        <f>IF(B475=0,"",COUNTIFS('Extração'!Q:Q,"Sim",'Extração'!L:L,A475)/B475)</f>
        <v/>
      </c>
      <c r="E475" s="16" t="str">
        <f>IF(B475=0,"",COUNTIFS('Extração'!P:P,"Parcialmente",'Extração'!L:L,A475)/B475)</f>
        <v/>
      </c>
      <c r="F475" s="16" t="str">
        <f>IF(B475=0,"",COUNTIFS('Extração'!Q:Q,"Parcialmente",'Extração'!L:L,A475)/B475)</f>
        <v/>
      </c>
      <c r="G475" s="16" t="str">
        <f>IF(B475=0,"",COUNTIFS('Extração'!P:P,"Não",'Extração'!L:L,A475)/B475)</f>
        <v/>
      </c>
      <c r="H475" s="16" t="str">
        <f>IF(B475=0,"",COUNTIFS('Extração'!Q:Q,"Não",'Extração'!L:L,A475)/B475)</f>
        <v/>
      </c>
      <c r="I475" s="16" t="str">
        <f>IF(B475=0,"",COUNTIFS('Extração'!R:R,"Igual",'Extração'!L:L,A475)/B475)</f>
        <v/>
      </c>
    </row>
    <row r="476">
      <c r="B476" s="16">
        <f>COUNTIF('Extração'!L:L,A476)</f>
        <v>0</v>
      </c>
      <c r="C476" s="16" t="str">
        <f>IF(B476=0,"",COUNTIFS('Extração'!P:P,"Sim",'Extração'!L:L,A476)/B476)</f>
        <v/>
      </c>
      <c r="D476" s="16" t="str">
        <f>IF(B476=0,"",COUNTIFS('Extração'!Q:Q,"Sim",'Extração'!L:L,A476)/B476)</f>
        <v/>
      </c>
      <c r="E476" s="16" t="str">
        <f>IF(B476=0,"",COUNTIFS('Extração'!P:P,"Parcialmente",'Extração'!L:L,A476)/B476)</f>
        <v/>
      </c>
      <c r="F476" s="16" t="str">
        <f>IF(B476=0,"",COUNTIFS('Extração'!Q:Q,"Parcialmente",'Extração'!L:L,A476)/B476)</f>
        <v/>
      </c>
      <c r="G476" s="16" t="str">
        <f>IF(B476=0,"",COUNTIFS('Extração'!P:P,"Não",'Extração'!L:L,A476)/B476)</f>
        <v/>
      </c>
      <c r="H476" s="16" t="str">
        <f>IF(B476=0,"",COUNTIFS('Extração'!Q:Q,"Não",'Extração'!L:L,A476)/B476)</f>
        <v/>
      </c>
      <c r="I476" s="16" t="str">
        <f>IF(B476=0,"",COUNTIFS('Extração'!R:R,"Igual",'Extração'!L:L,A476)/B476)</f>
        <v/>
      </c>
    </row>
    <row r="477">
      <c r="B477" s="16">
        <f>COUNTIF('Extração'!L:L,A477)</f>
        <v>0</v>
      </c>
      <c r="C477" s="16" t="str">
        <f>IF(B477=0,"",COUNTIFS('Extração'!P:P,"Sim",'Extração'!L:L,A477)/B477)</f>
        <v/>
      </c>
      <c r="D477" s="16" t="str">
        <f>IF(B477=0,"",COUNTIFS('Extração'!Q:Q,"Sim",'Extração'!L:L,A477)/B477)</f>
        <v/>
      </c>
      <c r="E477" s="16" t="str">
        <f>IF(B477=0,"",COUNTIFS('Extração'!P:P,"Parcialmente",'Extração'!L:L,A477)/B477)</f>
        <v/>
      </c>
      <c r="F477" s="16" t="str">
        <f>IF(B477=0,"",COUNTIFS('Extração'!Q:Q,"Parcialmente",'Extração'!L:L,A477)/B477)</f>
        <v/>
      </c>
      <c r="G477" s="16" t="str">
        <f>IF(B477=0,"",COUNTIFS('Extração'!P:P,"Não",'Extração'!L:L,A477)/B477)</f>
        <v/>
      </c>
      <c r="H477" s="16" t="str">
        <f>IF(B477=0,"",COUNTIFS('Extração'!Q:Q,"Não",'Extração'!L:L,A477)/B477)</f>
        <v/>
      </c>
      <c r="I477" s="16" t="str">
        <f>IF(B477=0,"",COUNTIFS('Extração'!R:R,"Igual",'Extração'!L:L,A477)/B477)</f>
        <v/>
      </c>
    </row>
    <row r="478">
      <c r="B478" s="16">
        <f>COUNTIF('Extração'!L:L,A478)</f>
        <v>0</v>
      </c>
      <c r="C478" s="16" t="str">
        <f>IF(B478=0,"",COUNTIFS('Extração'!P:P,"Sim",'Extração'!L:L,A478)/B478)</f>
        <v/>
      </c>
      <c r="D478" s="16" t="str">
        <f>IF(B478=0,"",COUNTIFS('Extração'!Q:Q,"Sim",'Extração'!L:L,A478)/B478)</f>
        <v/>
      </c>
      <c r="E478" s="16" t="str">
        <f>IF(B478=0,"",COUNTIFS('Extração'!P:P,"Parcialmente",'Extração'!L:L,A478)/B478)</f>
        <v/>
      </c>
      <c r="F478" s="16" t="str">
        <f>IF(B478=0,"",COUNTIFS('Extração'!Q:Q,"Parcialmente",'Extração'!L:L,A478)/B478)</f>
        <v/>
      </c>
      <c r="G478" s="16" t="str">
        <f>IF(B478=0,"",COUNTIFS('Extração'!P:P,"Não",'Extração'!L:L,A478)/B478)</f>
        <v/>
      </c>
      <c r="H478" s="16" t="str">
        <f>IF(B478=0,"",COUNTIFS('Extração'!Q:Q,"Não",'Extração'!L:L,A478)/B478)</f>
        <v/>
      </c>
      <c r="I478" s="16" t="str">
        <f>IF(B478=0,"",COUNTIFS('Extração'!R:R,"Igual",'Extração'!L:L,A478)/B478)</f>
        <v/>
      </c>
    </row>
    <row r="479">
      <c r="B479" s="16">
        <f>COUNTIF('Extração'!L:L,A479)</f>
        <v>0</v>
      </c>
      <c r="C479" s="16" t="str">
        <f>IF(B479=0,"",COUNTIFS('Extração'!P:P,"Sim",'Extração'!L:L,A479)/B479)</f>
        <v/>
      </c>
      <c r="D479" s="16" t="str">
        <f>IF(B479=0,"",COUNTIFS('Extração'!Q:Q,"Sim",'Extração'!L:L,A479)/B479)</f>
        <v/>
      </c>
      <c r="E479" s="16" t="str">
        <f>IF(B479=0,"",COUNTIFS('Extração'!P:P,"Parcialmente",'Extração'!L:L,A479)/B479)</f>
        <v/>
      </c>
      <c r="F479" s="16" t="str">
        <f>IF(B479=0,"",COUNTIFS('Extração'!Q:Q,"Parcialmente",'Extração'!L:L,A479)/B479)</f>
        <v/>
      </c>
      <c r="G479" s="16" t="str">
        <f>IF(B479=0,"",COUNTIFS('Extração'!P:P,"Não",'Extração'!L:L,A479)/B479)</f>
        <v/>
      </c>
      <c r="H479" s="16" t="str">
        <f>IF(B479=0,"",COUNTIFS('Extração'!Q:Q,"Não",'Extração'!L:L,A479)/B479)</f>
        <v/>
      </c>
      <c r="I479" s="16" t="str">
        <f>IF(B479=0,"",COUNTIFS('Extração'!R:R,"Igual",'Extração'!L:L,A479)/B479)</f>
        <v/>
      </c>
    </row>
    <row r="480">
      <c r="B480" s="16">
        <f>COUNTIF('Extração'!L:L,A480)</f>
        <v>0</v>
      </c>
      <c r="C480" s="16" t="str">
        <f>IF(B480=0,"",COUNTIFS('Extração'!P:P,"Sim",'Extração'!L:L,A480)/B480)</f>
        <v/>
      </c>
      <c r="D480" s="16" t="str">
        <f>IF(B480=0,"",COUNTIFS('Extração'!Q:Q,"Sim",'Extração'!L:L,A480)/B480)</f>
        <v/>
      </c>
      <c r="E480" s="16" t="str">
        <f>IF(B480=0,"",COUNTIFS('Extração'!P:P,"Parcialmente",'Extração'!L:L,A480)/B480)</f>
        <v/>
      </c>
      <c r="F480" s="16" t="str">
        <f>IF(B480=0,"",COUNTIFS('Extração'!Q:Q,"Parcialmente",'Extração'!L:L,A480)/B480)</f>
        <v/>
      </c>
      <c r="G480" s="16" t="str">
        <f>IF(B480=0,"",COUNTIFS('Extração'!P:P,"Não",'Extração'!L:L,A480)/B480)</f>
        <v/>
      </c>
      <c r="H480" s="16" t="str">
        <f>IF(B480=0,"",COUNTIFS('Extração'!Q:Q,"Não",'Extração'!L:L,A480)/B480)</f>
        <v/>
      </c>
      <c r="I480" s="16" t="str">
        <f>IF(B480=0,"",COUNTIFS('Extração'!R:R,"Igual",'Extração'!L:L,A480)/B480)</f>
        <v/>
      </c>
    </row>
    <row r="481">
      <c r="B481" s="16">
        <f>COUNTIF('Extração'!L:L,A481)</f>
        <v>0</v>
      </c>
      <c r="C481" s="16" t="str">
        <f>IF(B481=0,"",COUNTIFS('Extração'!P:P,"Sim",'Extração'!L:L,A481)/B481)</f>
        <v/>
      </c>
      <c r="D481" s="16" t="str">
        <f>IF(B481=0,"",COUNTIFS('Extração'!Q:Q,"Sim",'Extração'!L:L,A481)/B481)</f>
        <v/>
      </c>
      <c r="E481" s="16" t="str">
        <f>IF(B481=0,"",COUNTIFS('Extração'!P:P,"Parcialmente",'Extração'!L:L,A481)/B481)</f>
        <v/>
      </c>
      <c r="F481" s="16" t="str">
        <f>IF(B481=0,"",COUNTIFS('Extração'!Q:Q,"Parcialmente",'Extração'!L:L,A481)/B481)</f>
        <v/>
      </c>
      <c r="G481" s="16" t="str">
        <f>IF(B481=0,"",COUNTIFS('Extração'!P:P,"Não",'Extração'!L:L,A481)/B481)</f>
        <v/>
      </c>
      <c r="H481" s="16" t="str">
        <f>IF(B481=0,"",COUNTIFS('Extração'!Q:Q,"Não",'Extração'!L:L,A481)/B481)</f>
        <v/>
      </c>
      <c r="I481" s="16" t="str">
        <f>IF(B481=0,"",COUNTIFS('Extração'!R:R,"Igual",'Extração'!L:L,A481)/B481)</f>
        <v/>
      </c>
    </row>
    <row r="482">
      <c r="B482" s="16">
        <f>COUNTIF('Extração'!L:L,A482)</f>
        <v>0</v>
      </c>
      <c r="C482" s="16" t="str">
        <f>IF(B482=0,"",COUNTIFS('Extração'!P:P,"Sim",'Extração'!L:L,A482)/B482)</f>
        <v/>
      </c>
      <c r="D482" s="16" t="str">
        <f>IF(B482=0,"",COUNTIFS('Extração'!Q:Q,"Sim",'Extração'!L:L,A482)/B482)</f>
        <v/>
      </c>
      <c r="E482" s="16" t="str">
        <f>IF(B482=0,"",COUNTIFS('Extração'!P:P,"Parcialmente",'Extração'!L:L,A482)/B482)</f>
        <v/>
      </c>
      <c r="F482" s="16" t="str">
        <f>IF(B482=0,"",COUNTIFS('Extração'!Q:Q,"Parcialmente",'Extração'!L:L,A482)/B482)</f>
        <v/>
      </c>
      <c r="G482" s="16" t="str">
        <f>IF(B482=0,"",COUNTIFS('Extração'!P:P,"Não",'Extração'!L:L,A482)/B482)</f>
        <v/>
      </c>
      <c r="H482" s="16" t="str">
        <f>IF(B482=0,"",COUNTIFS('Extração'!Q:Q,"Não",'Extração'!L:L,A482)/B482)</f>
        <v/>
      </c>
      <c r="I482" s="16" t="str">
        <f>IF(B482=0,"",COUNTIFS('Extração'!R:R,"Igual",'Extração'!L:L,A482)/B482)</f>
        <v/>
      </c>
    </row>
    <row r="483">
      <c r="B483" s="16">
        <f>COUNTIF('Extração'!L:L,A483)</f>
        <v>0</v>
      </c>
      <c r="C483" s="16" t="str">
        <f>IF(B483=0,"",COUNTIFS('Extração'!P:P,"Sim",'Extração'!L:L,A483)/B483)</f>
        <v/>
      </c>
      <c r="D483" s="16" t="str">
        <f>IF(B483=0,"",COUNTIFS('Extração'!Q:Q,"Sim",'Extração'!L:L,A483)/B483)</f>
        <v/>
      </c>
      <c r="E483" s="16" t="str">
        <f>IF(B483=0,"",COUNTIFS('Extração'!P:P,"Parcialmente",'Extração'!L:L,A483)/B483)</f>
        <v/>
      </c>
      <c r="F483" s="16" t="str">
        <f>IF(B483=0,"",COUNTIFS('Extração'!Q:Q,"Parcialmente",'Extração'!L:L,A483)/B483)</f>
        <v/>
      </c>
      <c r="G483" s="16" t="str">
        <f>IF(B483=0,"",COUNTIFS('Extração'!P:P,"Não",'Extração'!L:L,A483)/B483)</f>
        <v/>
      </c>
      <c r="H483" s="16" t="str">
        <f>IF(B483=0,"",COUNTIFS('Extração'!Q:Q,"Não",'Extração'!L:L,A483)/B483)</f>
        <v/>
      </c>
      <c r="I483" s="16" t="str">
        <f>IF(B483=0,"",COUNTIFS('Extração'!R:R,"Igual",'Extração'!L:L,A483)/B483)</f>
        <v/>
      </c>
    </row>
    <row r="484">
      <c r="B484" s="16">
        <f>COUNTIF('Extração'!L:L,A484)</f>
        <v>0</v>
      </c>
      <c r="C484" s="16" t="str">
        <f>IF(B484=0,"",COUNTIFS('Extração'!P:P,"Sim",'Extração'!L:L,A484)/B484)</f>
        <v/>
      </c>
      <c r="D484" s="16" t="str">
        <f>IF(B484=0,"",COUNTIFS('Extração'!Q:Q,"Sim",'Extração'!L:L,A484)/B484)</f>
        <v/>
      </c>
      <c r="E484" s="16" t="str">
        <f>IF(B484=0,"",COUNTIFS('Extração'!P:P,"Parcialmente",'Extração'!L:L,A484)/B484)</f>
        <v/>
      </c>
      <c r="F484" s="16" t="str">
        <f>IF(B484=0,"",COUNTIFS('Extração'!Q:Q,"Parcialmente",'Extração'!L:L,A484)/B484)</f>
        <v/>
      </c>
      <c r="G484" s="16" t="str">
        <f>IF(B484=0,"",COUNTIFS('Extração'!P:P,"Não",'Extração'!L:L,A484)/B484)</f>
        <v/>
      </c>
      <c r="H484" s="16" t="str">
        <f>IF(B484=0,"",COUNTIFS('Extração'!Q:Q,"Não",'Extração'!L:L,A484)/B484)</f>
        <v/>
      </c>
      <c r="I484" s="16" t="str">
        <f>IF(B484=0,"",COUNTIFS('Extração'!R:R,"Igual",'Extração'!L:L,A484)/B484)</f>
        <v/>
      </c>
    </row>
    <row r="485">
      <c r="B485" s="16">
        <f>COUNTIF('Extração'!L:L,A485)</f>
        <v>0</v>
      </c>
      <c r="C485" s="16" t="str">
        <f>IF(B485=0,"",COUNTIFS('Extração'!P:P,"Sim",'Extração'!L:L,A485)/B485)</f>
        <v/>
      </c>
      <c r="D485" s="16" t="str">
        <f>IF(B485=0,"",COUNTIFS('Extração'!Q:Q,"Sim",'Extração'!L:L,A485)/B485)</f>
        <v/>
      </c>
      <c r="E485" s="16" t="str">
        <f>IF(B485=0,"",COUNTIFS('Extração'!P:P,"Parcialmente",'Extração'!L:L,A485)/B485)</f>
        <v/>
      </c>
      <c r="F485" s="16" t="str">
        <f>IF(B485=0,"",COUNTIFS('Extração'!Q:Q,"Parcialmente",'Extração'!L:L,A485)/B485)</f>
        <v/>
      </c>
      <c r="G485" s="16" t="str">
        <f>IF(B485=0,"",COUNTIFS('Extração'!P:P,"Não",'Extração'!L:L,A485)/B485)</f>
        <v/>
      </c>
      <c r="H485" s="16" t="str">
        <f>IF(B485=0,"",COUNTIFS('Extração'!Q:Q,"Não",'Extração'!L:L,A485)/B485)</f>
        <v/>
      </c>
      <c r="I485" s="16" t="str">
        <f>IF(B485=0,"",COUNTIFS('Extração'!R:R,"Igual",'Extração'!L:L,A485)/B485)</f>
        <v/>
      </c>
    </row>
    <row r="486">
      <c r="B486" s="16">
        <f>COUNTIF('Extração'!L:L,A486)</f>
        <v>0</v>
      </c>
      <c r="C486" s="16" t="str">
        <f>IF(B486=0,"",COUNTIFS('Extração'!P:P,"Sim",'Extração'!L:L,A486)/B486)</f>
        <v/>
      </c>
      <c r="D486" s="16" t="str">
        <f>IF(B486=0,"",COUNTIFS('Extração'!Q:Q,"Sim",'Extração'!L:L,A486)/B486)</f>
        <v/>
      </c>
      <c r="E486" s="16" t="str">
        <f>IF(B486=0,"",COUNTIFS('Extração'!P:P,"Parcialmente",'Extração'!L:L,A486)/B486)</f>
        <v/>
      </c>
      <c r="F486" s="16" t="str">
        <f>IF(B486=0,"",COUNTIFS('Extração'!Q:Q,"Parcialmente",'Extração'!L:L,A486)/B486)</f>
        <v/>
      </c>
      <c r="G486" s="16" t="str">
        <f>IF(B486=0,"",COUNTIFS('Extração'!P:P,"Não",'Extração'!L:L,A486)/B486)</f>
        <v/>
      </c>
      <c r="H486" s="16" t="str">
        <f>IF(B486=0,"",COUNTIFS('Extração'!Q:Q,"Não",'Extração'!L:L,A486)/B486)</f>
        <v/>
      </c>
      <c r="I486" s="16" t="str">
        <f>IF(B486=0,"",COUNTIFS('Extração'!R:R,"Igual",'Extração'!L:L,A486)/B486)</f>
        <v/>
      </c>
    </row>
    <row r="487">
      <c r="B487" s="16">
        <f>COUNTIF('Extração'!L:L,A487)</f>
        <v>0</v>
      </c>
      <c r="C487" s="16" t="str">
        <f>IF(B487=0,"",COUNTIFS('Extração'!P:P,"Sim",'Extração'!L:L,A487)/B487)</f>
        <v/>
      </c>
      <c r="D487" s="16" t="str">
        <f>IF(B487=0,"",COUNTIFS('Extração'!Q:Q,"Sim",'Extração'!L:L,A487)/B487)</f>
        <v/>
      </c>
      <c r="E487" s="16" t="str">
        <f>IF(B487=0,"",COUNTIFS('Extração'!P:P,"Parcialmente",'Extração'!L:L,A487)/B487)</f>
        <v/>
      </c>
      <c r="F487" s="16" t="str">
        <f>IF(B487=0,"",COUNTIFS('Extração'!Q:Q,"Parcialmente",'Extração'!L:L,A487)/B487)</f>
        <v/>
      </c>
      <c r="G487" s="16" t="str">
        <f>IF(B487=0,"",COUNTIFS('Extração'!P:P,"Não",'Extração'!L:L,A487)/B487)</f>
        <v/>
      </c>
      <c r="H487" s="16" t="str">
        <f>IF(B487=0,"",COUNTIFS('Extração'!Q:Q,"Não",'Extração'!L:L,A487)/B487)</f>
        <v/>
      </c>
      <c r="I487" s="16" t="str">
        <f>IF(B487=0,"",COUNTIFS('Extração'!R:R,"Igual",'Extração'!L:L,A487)/B487)</f>
        <v/>
      </c>
    </row>
    <row r="488">
      <c r="B488" s="16">
        <f>COUNTIF('Extração'!L:L,A488)</f>
        <v>0</v>
      </c>
      <c r="C488" s="16" t="str">
        <f>IF(B488=0,"",COUNTIFS('Extração'!P:P,"Sim",'Extração'!L:L,A488)/B488)</f>
        <v/>
      </c>
      <c r="D488" s="16" t="str">
        <f>IF(B488=0,"",COUNTIFS('Extração'!Q:Q,"Sim",'Extração'!L:L,A488)/B488)</f>
        <v/>
      </c>
      <c r="E488" s="16" t="str">
        <f>IF(B488=0,"",COUNTIFS('Extração'!P:P,"Parcialmente",'Extração'!L:L,A488)/B488)</f>
        <v/>
      </c>
      <c r="F488" s="16" t="str">
        <f>IF(B488=0,"",COUNTIFS('Extração'!Q:Q,"Parcialmente",'Extração'!L:L,A488)/B488)</f>
        <v/>
      </c>
      <c r="G488" s="16" t="str">
        <f>IF(B488=0,"",COUNTIFS('Extração'!P:P,"Não",'Extração'!L:L,A488)/B488)</f>
        <v/>
      </c>
      <c r="H488" s="16" t="str">
        <f>IF(B488=0,"",COUNTIFS('Extração'!Q:Q,"Não",'Extração'!L:L,A488)/B488)</f>
        <v/>
      </c>
      <c r="I488" s="16" t="str">
        <f>IF(B488=0,"",COUNTIFS('Extração'!R:R,"Igual",'Extração'!L:L,A488)/B488)</f>
        <v/>
      </c>
    </row>
    <row r="489">
      <c r="B489" s="16">
        <f>COUNTIF('Extração'!L:L,A489)</f>
        <v>0</v>
      </c>
      <c r="C489" s="16" t="str">
        <f>IF(B489=0,"",COUNTIFS('Extração'!P:P,"Sim",'Extração'!L:L,A489)/B489)</f>
        <v/>
      </c>
      <c r="D489" s="16" t="str">
        <f>IF(B489=0,"",COUNTIFS('Extração'!Q:Q,"Sim",'Extração'!L:L,A489)/B489)</f>
        <v/>
      </c>
      <c r="E489" s="16" t="str">
        <f>IF(B489=0,"",COUNTIFS('Extração'!P:P,"Parcialmente",'Extração'!L:L,A489)/B489)</f>
        <v/>
      </c>
      <c r="F489" s="16" t="str">
        <f>IF(B489=0,"",COUNTIFS('Extração'!Q:Q,"Parcialmente",'Extração'!L:L,A489)/B489)</f>
        <v/>
      </c>
      <c r="G489" s="16" t="str">
        <f>IF(B489=0,"",COUNTIFS('Extração'!P:P,"Não",'Extração'!L:L,A489)/B489)</f>
        <v/>
      </c>
      <c r="H489" s="16" t="str">
        <f>IF(B489=0,"",COUNTIFS('Extração'!Q:Q,"Não",'Extração'!L:L,A489)/B489)</f>
        <v/>
      </c>
      <c r="I489" s="16" t="str">
        <f>IF(B489=0,"",COUNTIFS('Extração'!R:R,"Igual",'Extração'!L:L,A489)/B489)</f>
        <v/>
      </c>
    </row>
    <row r="490">
      <c r="B490" s="16">
        <f>COUNTIF('Extração'!L:L,A490)</f>
        <v>0</v>
      </c>
      <c r="C490" s="16" t="str">
        <f>IF(B490=0,"",COUNTIFS('Extração'!P:P,"Sim",'Extração'!L:L,A490)/B490)</f>
        <v/>
      </c>
      <c r="D490" s="16" t="str">
        <f>IF(B490=0,"",COUNTIFS('Extração'!Q:Q,"Sim",'Extração'!L:L,A490)/B490)</f>
        <v/>
      </c>
      <c r="E490" s="16" t="str">
        <f>IF(B490=0,"",COUNTIFS('Extração'!P:P,"Parcialmente",'Extração'!L:L,A490)/B490)</f>
        <v/>
      </c>
      <c r="F490" s="16" t="str">
        <f>IF(B490=0,"",COUNTIFS('Extração'!Q:Q,"Parcialmente",'Extração'!L:L,A490)/B490)</f>
        <v/>
      </c>
      <c r="G490" s="16" t="str">
        <f>IF(B490=0,"",COUNTIFS('Extração'!P:P,"Não",'Extração'!L:L,A490)/B490)</f>
        <v/>
      </c>
      <c r="H490" s="16" t="str">
        <f>IF(B490=0,"",COUNTIFS('Extração'!Q:Q,"Não",'Extração'!L:L,A490)/B490)</f>
        <v/>
      </c>
      <c r="I490" s="16" t="str">
        <f>IF(B490=0,"",COUNTIFS('Extração'!R:R,"Igual",'Extração'!L:L,A490)/B490)</f>
        <v/>
      </c>
    </row>
    <row r="491">
      <c r="B491" s="16">
        <f>COUNTIF('Extração'!L:L,A491)</f>
        <v>0</v>
      </c>
      <c r="C491" s="16" t="str">
        <f>IF(B491=0,"",COUNTIFS('Extração'!P:P,"Sim",'Extração'!L:L,A491)/B491)</f>
        <v/>
      </c>
      <c r="D491" s="16" t="str">
        <f>IF(B491=0,"",COUNTIFS('Extração'!Q:Q,"Sim",'Extração'!L:L,A491)/B491)</f>
        <v/>
      </c>
      <c r="E491" s="16" t="str">
        <f>IF(B491=0,"",COUNTIFS('Extração'!P:P,"Parcialmente",'Extração'!L:L,A491)/B491)</f>
        <v/>
      </c>
      <c r="F491" s="16" t="str">
        <f>IF(B491=0,"",COUNTIFS('Extração'!Q:Q,"Parcialmente",'Extração'!L:L,A491)/B491)</f>
        <v/>
      </c>
      <c r="G491" s="16" t="str">
        <f>IF(B491=0,"",COUNTIFS('Extração'!P:P,"Não",'Extração'!L:L,A491)/B491)</f>
        <v/>
      </c>
      <c r="H491" s="16" t="str">
        <f>IF(B491=0,"",COUNTIFS('Extração'!Q:Q,"Não",'Extração'!L:L,A491)/B491)</f>
        <v/>
      </c>
      <c r="I491" s="16" t="str">
        <f>IF(B491=0,"",COUNTIFS('Extração'!R:R,"Igual",'Extração'!L:L,A491)/B491)</f>
        <v/>
      </c>
    </row>
    <row r="492">
      <c r="B492" s="16">
        <f>COUNTIF('Extração'!L:L,A492)</f>
        <v>0</v>
      </c>
      <c r="C492" s="16" t="str">
        <f>IF(B492=0,"",COUNTIFS('Extração'!P:P,"Sim",'Extração'!L:L,A492)/B492)</f>
        <v/>
      </c>
      <c r="D492" s="16" t="str">
        <f>IF(B492=0,"",COUNTIFS('Extração'!Q:Q,"Sim",'Extração'!L:L,A492)/B492)</f>
        <v/>
      </c>
      <c r="E492" s="16" t="str">
        <f>IF(B492=0,"",COUNTIFS('Extração'!P:P,"Parcialmente",'Extração'!L:L,A492)/B492)</f>
        <v/>
      </c>
      <c r="F492" s="16" t="str">
        <f>IF(B492=0,"",COUNTIFS('Extração'!Q:Q,"Parcialmente",'Extração'!L:L,A492)/B492)</f>
        <v/>
      </c>
      <c r="G492" s="16" t="str">
        <f>IF(B492=0,"",COUNTIFS('Extração'!P:P,"Não",'Extração'!L:L,A492)/B492)</f>
        <v/>
      </c>
      <c r="H492" s="16" t="str">
        <f>IF(B492=0,"",COUNTIFS('Extração'!Q:Q,"Não",'Extração'!L:L,A492)/B492)</f>
        <v/>
      </c>
      <c r="I492" s="16" t="str">
        <f>IF(B492=0,"",COUNTIFS('Extração'!R:R,"Igual",'Extração'!L:L,A492)/B492)</f>
        <v/>
      </c>
    </row>
    <row r="493">
      <c r="B493" s="16">
        <f>COUNTIF('Extração'!L:L,A493)</f>
        <v>0</v>
      </c>
      <c r="C493" s="16" t="str">
        <f>IF(B493=0,"",COUNTIFS('Extração'!P:P,"Sim",'Extração'!L:L,A493)/B493)</f>
        <v/>
      </c>
      <c r="D493" s="16" t="str">
        <f>IF(B493=0,"",COUNTIFS('Extração'!Q:Q,"Sim",'Extração'!L:L,A493)/B493)</f>
        <v/>
      </c>
      <c r="E493" s="16" t="str">
        <f>IF(B493=0,"",COUNTIFS('Extração'!P:P,"Parcialmente",'Extração'!L:L,A493)/B493)</f>
        <v/>
      </c>
      <c r="F493" s="16" t="str">
        <f>IF(B493=0,"",COUNTIFS('Extração'!Q:Q,"Parcialmente",'Extração'!L:L,A493)/B493)</f>
        <v/>
      </c>
      <c r="G493" s="16" t="str">
        <f>IF(B493=0,"",COUNTIFS('Extração'!P:P,"Não",'Extração'!L:L,A493)/B493)</f>
        <v/>
      </c>
      <c r="H493" s="16" t="str">
        <f>IF(B493=0,"",COUNTIFS('Extração'!Q:Q,"Não",'Extração'!L:L,A493)/B493)</f>
        <v/>
      </c>
      <c r="I493" s="16" t="str">
        <f>IF(B493=0,"",COUNTIFS('Extração'!R:R,"Igual",'Extração'!L:L,A493)/B493)</f>
        <v/>
      </c>
    </row>
    <row r="494">
      <c r="B494" s="16">
        <f>COUNTIF('Extração'!L:L,A494)</f>
        <v>0</v>
      </c>
      <c r="C494" s="16" t="str">
        <f>IF(B494=0,"",COUNTIFS('Extração'!P:P,"Sim",'Extração'!L:L,A494)/B494)</f>
        <v/>
      </c>
      <c r="D494" s="16" t="str">
        <f>IF(B494=0,"",COUNTIFS('Extração'!Q:Q,"Sim",'Extração'!L:L,A494)/B494)</f>
        <v/>
      </c>
      <c r="E494" s="16" t="str">
        <f>IF(B494=0,"",COUNTIFS('Extração'!P:P,"Parcialmente",'Extração'!L:L,A494)/B494)</f>
        <v/>
      </c>
      <c r="F494" s="16" t="str">
        <f>IF(B494=0,"",COUNTIFS('Extração'!Q:Q,"Parcialmente",'Extração'!L:L,A494)/B494)</f>
        <v/>
      </c>
      <c r="G494" s="16" t="str">
        <f>IF(B494=0,"",COUNTIFS('Extração'!P:P,"Não",'Extração'!L:L,A494)/B494)</f>
        <v/>
      </c>
      <c r="H494" s="16" t="str">
        <f>IF(B494=0,"",COUNTIFS('Extração'!Q:Q,"Não",'Extração'!L:L,A494)/B494)</f>
        <v/>
      </c>
      <c r="I494" s="16" t="str">
        <f>IF(B494=0,"",COUNTIFS('Extração'!R:R,"Igual",'Extração'!L:L,A494)/B494)</f>
        <v/>
      </c>
    </row>
    <row r="495">
      <c r="B495" s="16">
        <f>COUNTIF('Extração'!L:L,A495)</f>
        <v>0</v>
      </c>
      <c r="C495" s="16" t="str">
        <f>IF(B495=0,"",COUNTIFS('Extração'!P:P,"Sim",'Extração'!L:L,A495)/B495)</f>
        <v/>
      </c>
      <c r="D495" s="16" t="str">
        <f>IF(B495=0,"",COUNTIFS('Extração'!Q:Q,"Sim",'Extração'!L:L,A495)/B495)</f>
        <v/>
      </c>
      <c r="E495" s="16" t="str">
        <f>IF(B495=0,"",COUNTIFS('Extração'!P:P,"Parcialmente",'Extração'!L:L,A495)/B495)</f>
        <v/>
      </c>
      <c r="F495" s="16" t="str">
        <f>IF(B495=0,"",COUNTIFS('Extração'!Q:Q,"Parcialmente",'Extração'!L:L,A495)/B495)</f>
        <v/>
      </c>
      <c r="G495" s="16" t="str">
        <f>IF(B495=0,"",COUNTIFS('Extração'!P:P,"Não",'Extração'!L:L,A495)/B495)</f>
        <v/>
      </c>
      <c r="H495" s="16" t="str">
        <f>IF(B495=0,"",COUNTIFS('Extração'!Q:Q,"Não",'Extração'!L:L,A495)/B495)</f>
        <v/>
      </c>
      <c r="I495" s="16" t="str">
        <f>IF(B495=0,"",COUNTIFS('Extração'!R:R,"Igual",'Extração'!L:L,A495)/B495)</f>
        <v/>
      </c>
    </row>
    <row r="496">
      <c r="B496" s="16">
        <f>COUNTIF('Extração'!L:L,A496)</f>
        <v>0</v>
      </c>
      <c r="C496" s="16" t="str">
        <f>IF(B496=0,"",COUNTIFS('Extração'!P:P,"Sim",'Extração'!L:L,A496)/B496)</f>
        <v/>
      </c>
      <c r="D496" s="16" t="str">
        <f>IF(B496=0,"",COUNTIFS('Extração'!Q:Q,"Sim",'Extração'!L:L,A496)/B496)</f>
        <v/>
      </c>
      <c r="E496" s="16" t="str">
        <f>IF(B496=0,"",COUNTIFS('Extração'!P:P,"Parcialmente",'Extração'!L:L,A496)/B496)</f>
        <v/>
      </c>
      <c r="F496" s="16" t="str">
        <f>IF(B496=0,"",COUNTIFS('Extração'!Q:Q,"Parcialmente",'Extração'!L:L,A496)/B496)</f>
        <v/>
      </c>
      <c r="G496" s="16" t="str">
        <f>IF(B496=0,"",COUNTIFS('Extração'!P:P,"Não",'Extração'!L:L,A496)/B496)</f>
        <v/>
      </c>
      <c r="H496" s="16" t="str">
        <f>IF(B496=0,"",COUNTIFS('Extração'!Q:Q,"Não",'Extração'!L:L,A496)/B496)</f>
        <v/>
      </c>
      <c r="I496" s="16" t="str">
        <f>IF(B496=0,"",COUNTIFS('Extração'!R:R,"Igual",'Extração'!L:L,A496)/B496)</f>
        <v/>
      </c>
    </row>
    <row r="497">
      <c r="B497" s="16">
        <f>COUNTIF('Extração'!L:L,A497)</f>
        <v>0</v>
      </c>
      <c r="C497" s="16" t="str">
        <f>IF(B497=0,"",COUNTIFS('Extração'!P:P,"Sim",'Extração'!L:L,A497)/B497)</f>
        <v/>
      </c>
      <c r="D497" s="16" t="str">
        <f>IF(B497=0,"",COUNTIFS('Extração'!Q:Q,"Sim",'Extração'!L:L,A497)/B497)</f>
        <v/>
      </c>
      <c r="E497" s="16" t="str">
        <f>IF(B497=0,"",COUNTIFS('Extração'!P:P,"Parcialmente",'Extração'!L:L,A497)/B497)</f>
        <v/>
      </c>
      <c r="F497" s="16" t="str">
        <f>IF(B497=0,"",COUNTIFS('Extração'!Q:Q,"Parcialmente",'Extração'!L:L,A497)/B497)</f>
        <v/>
      </c>
      <c r="G497" s="16" t="str">
        <f>IF(B497=0,"",COUNTIFS('Extração'!P:P,"Não",'Extração'!L:L,A497)/B497)</f>
        <v/>
      </c>
      <c r="H497" s="16" t="str">
        <f>IF(B497=0,"",COUNTIFS('Extração'!Q:Q,"Não",'Extração'!L:L,A497)/B497)</f>
        <v/>
      </c>
      <c r="I497" s="16" t="str">
        <f>IF(B497=0,"",COUNTIFS('Extração'!R:R,"Igual",'Extração'!L:L,A497)/B497)</f>
        <v/>
      </c>
    </row>
    <row r="498">
      <c r="B498" s="16">
        <f>COUNTIF('Extração'!L:L,A498)</f>
        <v>0</v>
      </c>
      <c r="C498" s="16" t="str">
        <f>IF(B498=0,"",COUNTIFS('Extração'!P:P,"Sim",'Extração'!L:L,A498)/B498)</f>
        <v/>
      </c>
      <c r="D498" s="16" t="str">
        <f>IF(B498=0,"",COUNTIFS('Extração'!Q:Q,"Sim",'Extração'!L:L,A498)/B498)</f>
        <v/>
      </c>
      <c r="E498" s="16" t="str">
        <f>IF(B498=0,"",COUNTIFS('Extração'!P:P,"Parcialmente",'Extração'!L:L,A498)/B498)</f>
        <v/>
      </c>
      <c r="F498" s="16" t="str">
        <f>IF(B498=0,"",COUNTIFS('Extração'!Q:Q,"Parcialmente",'Extração'!L:L,A498)/B498)</f>
        <v/>
      </c>
      <c r="G498" s="16" t="str">
        <f>IF(B498=0,"",COUNTIFS('Extração'!P:P,"Não",'Extração'!L:L,A498)/B498)</f>
        <v/>
      </c>
      <c r="H498" s="16" t="str">
        <f>IF(B498=0,"",COUNTIFS('Extração'!Q:Q,"Não",'Extração'!L:L,A498)/B498)</f>
        <v/>
      </c>
      <c r="I498" s="16" t="str">
        <f>IF(B498=0,"",COUNTIFS('Extração'!R:R,"Igual",'Extração'!L:L,A498)/B498)</f>
        <v/>
      </c>
    </row>
    <row r="499">
      <c r="B499" s="16">
        <f>COUNTIF('Extração'!L:L,A499)</f>
        <v>0</v>
      </c>
      <c r="C499" s="16" t="str">
        <f>IF(B499=0,"",COUNTIFS('Extração'!P:P,"Sim",'Extração'!L:L,A499)/B499)</f>
        <v/>
      </c>
      <c r="D499" s="16" t="str">
        <f>IF(B499=0,"",COUNTIFS('Extração'!Q:Q,"Sim",'Extração'!L:L,A499)/B499)</f>
        <v/>
      </c>
      <c r="E499" s="16" t="str">
        <f>IF(B499=0,"",COUNTIFS('Extração'!P:P,"Parcialmente",'Extração'!L:L,A499)/B499)</f>
        <v/>
      </c>
      <c r="F499" s="16" t="str">
        <f>IF(B499=0,"",COUNTIFS('Extração'!Q:Q,"Parcialmente",'Extração'!L:L,A499)/B499)</f>
        <v/>
      </c>
      <c r="G499" s="16" t="str">
        <f>IF(B499=0,"",COUNTIFS('Extração'!P:P,"Não",'Extração'!L:L,A499)/B499)</f>
        <v/>
      </c>
      <c r="H499" s="16" t="str">
        <f>IF(B499=0,"",COUNTIFS('Extração'!Q:Q,"Não",'Extração'!L:L,A499)/B499)</f>
        <v/>
      </c>
      <c r="I499" s="16" t="str">
        <f>IF(B499=0,"",COUNTIFS('Extração'!R:R,"Igual",'Extração'!L:L,A499)/B499)</f>
        <v/>
      </c>
    </row>
    <row r="500">
      <c r="B500" s="16">
        <f>COUNTIF('Extração'!L:L,A500)</f>
        <v>0</v>
      </c>
      <c r="C500" s="16" t="str">
        <f>IF(B500=0,"",COUNTIFS('Extração'!P:P,"Sim",'Extração'!L:L,A500)/B500)</f>
        <v/>
      </c>
      <c r="D500" s="16" t="str">
        <f>IF(B500=0,"",COUNTIFS('Extração'!Q:Q,"Sim",'Extração'!L:L,A500)/B500)</f>
        <v/>
      </c>
      <c r="E500" s="16" t="str">
        <f>IF(B500=0,"",COUNTIFS('Extração'!P:P,"Parcialmente",'Extração'!L:L,A500)/B500)</f>
        <v/>
      </c>
      <c r="F500" s="16" t="str">
        <f>IF(B500=0,"",COUNTIFS('Extração'!Q:Q,"Parcialmente",'Extração'!L:L,A500)/B500)</f>
        <v/>
      </c>
      <c r="G500" s="16" t="str">
        <f>IF(B500=0,"",COUNTIFS('Extração'!P:P,"Não",'Extração'!L:L,A500)/B500)</f>
        <v/>
      </c>
      <c r="H500" s="16" t="str">
        <f>IF(B500=0,"",COUNTIFS('Extração'!Q:Q,"Não",'Extração'!L:L,A500)/B500)</f>
        <v/>
      </c>
      <c r="I500" s="16" t="str">
        <f>IF(B500=0,"",COUNTIFS('Extração'!R:R,"Igual",'Extração'!L:L,A500)/B500)</f>
        <v/>
      </c>
    </row>
    <row r="501">
      <c r="B501" s="16">
        <f>COUNTIF('Extração'!L:L,A501)</f>
        <v>0</v>
      </c>
      <c r="C501" s="16" t="str">
        <f>IF(B501=0,"",COUNTIFS('Extração'!P:P,"Sim",'Extração'!L:L,A501)/B501)</f>
        <v/>
      </c>
      <c r="D501" s="16" t="str">
        <f>IF(B501=0,"",COUNTIFS('Extração'!Q:Q,"Sim",'Extração'!L:L,A501)/B501)</f>
        <v/>
      </c>
      <c r="E501" s="16" t="str">
        <f>IF(B501=0,"",COUNTIFS('Extração'!P:P,"Parcialmente",'Extração'!L:L,A501)/B501)</f>
        <v/>
      </c>
      <c r="F501" s="16" t="str">
        <f>IF(B501=0,"",COUNTIFS('Extração'!Q:Q,"Parcialmente",'Extração'!L:L,A501)/B501)</f>
        <v/>
      </c>
      <c r="G501" s="16" t="str">
        <f>IF(B501=0,"",COUNTIFS('Extração'!P:P,"Não",'Extração'!L:L,A501)/B501)</f>
        <v/>
      </c>
      <c r="H501" s="16" t="str">
        <f>IF(B501=0,"",COUNTIFS('Extração'!Q:Q,"Não",'Extração'!L:L,A501)/B501)</f>
        <v/>
      </c>
      <c r="I501" s="16" t="str">
        <f>IF(B501=0,"",COUNTIFS('Extração'!R:R,"Igual",'Extração'!L:L,A501)/B501)</f>
        <v/>
      </c>
    </row>
    <row r="502">
      <c r="B502" s="16">
        <f>COUNTIF('Extração'!L:L,A502)</f>
        <v>0</v>
      </c>
      <c r="C502" s="16" t="str">
        <f>IF(B502=0,"",COUNTIFS('Extração'!P:P,"Sim",'Extração'!L:L,A502)/B502)</f>
        <v/>
      </c>
      <c r="D502" s="16" t="str">
        <f>IF(B502=0,"",COUNTIFS('Extração'!Q:Q,"Sim",'Extração'!L:L,A502)/B502)</f>
        <v/>
      </c>
      <c r="E502" s="16" t="str">
        <f>IF(B502=0,"",COUNTIFS('Extração'!P:P,"Parcialmente",'Extração'!L:L,A502)/B502)</f>
        <v/>
      </c>
      <c r="F502" s="16" t="str">
        <f>IF(B502=0,"",COUNTIFS('Extração'!Q:Q,"Parcialmente",'Extração'!L:L,A502)/B502)</f>
        <v/>
      </c>
      <c r="G502" s="16" t="str">
        <f>IF(B502=0,"",COUNTIFS('Extração'!P:P,"Não",'Extração'!L:L,A502)/B502)</f>
        <v/>
      </c>
      <c r="H502" s="16" t="str">
        <f>IF(B502=0,"",COUNTIFS('Extração'!Q:Q,"Não",'Extração'!L:L,A502)/B502)</f>
        <v/>
      </c>
      <c r="I502" s="16" t="str">
        <f>IF(B502=0,"",COUNTIFS('Extração'!R:R,"Igual",'Extração'!L:L,A502)/B502)</f>
        <v/>
      </c>
    </row>
    <row r="503">
      <c r="B503" s="16">
        <f>COUNTIF('Extração'!L:L,A503)</f>
        <v>0</v>
      </c>
      <c r="C503" s="16" t="str">
        <f>IF(B503=0,"",COUNTIFS('Extração'!P:P,"Sim",'Extração'!L:L,A503)/B503)</f>
        <v/>
      </c>
      <c r="D503" s="16" t="str">
        <f>IF(B503=0,"",COUNTIFS('Extração'!Q:Q,"Sim",'Extração'!L:L,A503)/B503)</f>
        <v/>
      </c>
      <c r="E503" s="16" t="str">
        <f>IF(B503=0,"",COUNTIFS('Extração'!P:P,"Parcialmente",'Extração'!L:L,A503)/B503)</f>
        <v/>
      </c>
      <c r="F503" s="16" t="str">
        <f>IF(B503=0,"",COUNTIFS('Extração'!Q:Q,"Parcialmente",'Extração'!L:L,A503)/B503)</f>
        <v/>
      </c>
      <c r="G503" s="16" t="str">
        <f>IF(B503=0,"",COUNTIFS('Extração'!P:P,"Não",'Extração'!L:L,A503)/B503)</f>
        <v/>
      </c>
      <c r="H503" s="16" t="str">
        <f>IF(B503=0,"",COUNTIFS('Extração'!Q:Q,"Não",'Extração'!L:L,A503)/B503)</f>
        <v/>
      </c>
      <c r="I503" s="16" t="str">
        <f>IF(B503=0,"",COUNTIFS('Extração'!R:R,"Igual",'Extração'!L:L,A503)/B503)</f>
        <v/>
      </c>
    </row>
    <row r="504">
      <c r="B504" s="16">
        <f>COUNTIF('Extração'!L:L,A504)</f>
        <v>0</v>
      </c>
      <c r="C504" s="16" t="str">
        <f>IF(B504=0,"",COUNTIFS('Extração'!P:P,"Sim",'Extração'!L:L,A504)/B504)</f>
        <v/>
      </c>
      <c r="D504" s="16" t="str">
        <f>IF(B504=0,"",COUNTIFS('Extração'!Q:Q,"Sim",'Extração'!L:L,A504)/B504)</f>
        <v/>
      </c>
      <c r="E504" s="16" t="str">
        <f>IF(B504=0,"",COUNTIFS('Extração'!P:P,"Parcialmente",'Extração'!L:L,A504)/B504)</f>
        <v/>
      </c>
      <c r="F504" s="16" t="str">
        <f>IF(B504=0,"",COUNTIFS('Extração'!Q:Q,"Parcialmente",'Extração'!L:L,A504)/B504)</f>
        <v/>
      </c>
      <c r="G504" s="16" t="str">
        <f>IF(B504=0,"",COUNTIFS('Extração'!P:P,"Não",'Extração'!L:L,A504)/B504)</f>
        <v/>
      </c>
      <c r="H504" s="16" t="str">
        <f>IF(B504=0,"",COUNTIFS('Extração'!Q:Q,"Não",'Extração'!L:L,A504)/B504)</f>
        <v/>
      </c>
      <c r="I504" s="16" t="str">
        <f>IF(B504=0,"",COUNTIFS('Extração'!R:R,"Igual",'Extração'!L:L,A504)/B504)</f>
        <v/>
      </c>
    </row>
    <row r="505">
      <c r="B505" s="16">
        <f>COUNTIF('Extração'!L:L,A505)</f>
        <v>0</v>
      </c>
      <c r="C505" s="16" t="str">
        <f>IF(B505=0,"",COUNTIFS('Extração'!P:P,"Sim",'Extração'!L:L,A505)/B505)</f>
        <v/>
      </c>
      <c r="D505" s="16" t="str">
        <f>IF(B505=0,"",COUNTIFS('Extração'!Q:Q,"Sim",'Extração'!L:L,A505)/B505)</f>
        <v/>
      </c>
      <c r="E505" s="16" t="str">
        <f>IF(B505=0,"",COUNTIFS('Extração'!P:P,"Parcialmente",'Extração'!L:L,A505)/B505)</f>
        <v/>
      </c>
      <c r="F505" s="16" t="str">
        <f>IF(B505=0,"",COUNTIFS('Extração'!Q:Q,"Parcialmente",'Extração'!L:L,A505)/B505)</f>
        <v/>
      </c>
      <c r="G505" s="16" t="str">
        <f>IF(B505=0,"",COUNTIFS('Extração'!P:P,"Não",'Extração'!L:L,A505)/B505)</f>
        <v/>
      </c>
      <c r="H505" s="16" t="str">
        <f>IF(B505=0,"",COUNTIFS('Extração'!Q:Q,"Não",'Extração'!L:L,A505)/B505)</f>
        <v/>
      </c>
      <c r="I505" s="16" t="str">
        <f>IF(B505=0,"",COUNTIFS('Extração'!R:R,"Igual",'Extração'!L:L,A505)/B505)</f>
        <v/>
      </c>
    </row>
    <row r="506">
      <c r="B506" s="16">
        <f>COUNTIF('Extração'!L:L,A506)</f>
        <v>0</v>
      </c>
      <c r="C506" s="16" t="str">
        <f>IF(B506=0,"",COUNTIFS('Extração'!P:P,"Sim",'Extração'!L:L,A506)/B506)</f>
        <v/>
      </c>
      <c r="D506" s="16" t="str">
        <f>IF(B506=0,"",COUNTIFS('Extração'!Q:Q,"Sim",'Extração'!L:L,A506)/B506)</f>
        <v/>
      </c>
      <c r="E506" s="16" t="str">
        <f>IF(B506=0,"",COUNTIFS('Extração'!P:P,"Parcialmente",'Extração'!L:L,A506)/B506)</f>
        <v/>
      </c>
      <c r="F506" s="16" t="str">
        <f>IF(B506=0,"",COUNTIFS('Extração'!Q:Q,"Parcialmente",'Extração'!L:L,A506)/B506)</f>
        <v/>
      </c>
      <c r="G506" s="16" t="str">
        <f>IF(B506=0,"",COUNTIFS('Extração'!P:P,"Não",'Extração'!L:L,A506)/B506)</f>
        <v/>
      </c>
      <c r="H506" s="16" t="str">
        <f>IF(B506=0,"",COUNTIFS('Extração'!Q:Q,"Não",'Extração'!L:L,A506)/B506)</f>
        <v/>
      </c>
      <c r="I506" s="16" t="str">
        <f>IF(B506=0,"",COUNTIFS('Extração'!R:R,"Igual",'Extração'!L:L,A506)/B506)</f>
        <v/>
      </c>
    </row>
    <row r="507">
      <c r="B507" s="16">
        <f>COUNTIF('Extração'!L:L,A507)</f>
        <v>0</v>
      </c>
      <c r="C507" s="16" t="str">
        <f>IF(B507=0,"",COUNTIFS('Extração'!P:P,"Sim",'Extração'!L:L,A507)/B507)</f>
        <v/>
      </c>
      <c r="D507" s="16" t="str">
        <f>IF(B507=0,"",COUNTIFS('Extração'!Q:Q,"Sim",'Extração'!L:L,A507)/B507)</f>
        <v/>
      </c>
      <c r="E507" s="16" t="str">
        <f>IF(B507=0,"",COUNTIFS('Extração'!P:P,"Parcialmente",'Extração'!L:L,A507)/B507)</f>
        <v/>
      </c>
      <c r="F507" s="16" t="str">
        <f>IF(B507=0,"",COUNTIFS('Extração'!Q:Q,"Parcialmente",'Extração'!L:L,A507)/B507)</f>
        <v/>
      </c>
      <c r="G507" s="16" t="str">
        <f>IF(B507=0,"",COUNTIFS('Extração'!P:P,"Não",'Extração'!L:L,A507)/B507)</f>
        <v/>
      </c>
      <c r="H507" s="16" t="str">
        <f>IF(B507=0,"",COUNTIFS('Extração'!Q:Q,"Não",'Extração'!L:L,A507)/B507)</f>
        <v/>
      </c>
      <c r="I507" s="16" t="str">
        <f>IF(B507=0,"",COUNTIFS('Extração'!R:R,"Igual",'Extração'!L:L,A507)/B507)</f>
        <v/>
      </c>
    </row>
    <row r="508">
      <c r="B508" s="16">
        <f>COUNTIF('Extração'!L:L,A508)</f>
        <v>0</v>
      </c>
      <c r="C508" s="16" t="str">
        <f>IF(B508=0,"",COUNTIFS('Extração'!P:P,"Sim",'Extração'!L:L,A508)/B508)</f>
        <v/>
      </c>
      <c r="D508" s="16" t="str">
        <f>IF(B508=0,"",COUNTIFS('Extração'!Q:Q,"Sim",'Extração'!L:L,A508)/B508)</f>
        <v/>
      </c>
      <c r="E508" s="16" t="str">
        <f>IF(B508=0,"",COUNTIFS('Extração'!P:P,"Parcialmente",'Extração'!L:L,A508)/B508)</f>
        <v/>
      </c>
      <c r="F508" s="16" t="str">
        <f>IF(B508=0,"",COUNTIFS('Extração'!Q:Q,"Parcialmente",'Extração'!L:L,A508)/B508)</f>
        <v/>
      </c>
      <c r="G508" s="16" t="str">
        <f>IF(B508=0,"",COUNTIFS('Extração'!P:P,"Não",'Extração'!L:L,A508)/B508)</f>
        <v/>
      </c>
      <c r="H508" s="16" t="str">
        <f>IF(B508=0,"",COUNTIFS('Extração'!Q:Q,"Não",'Extração'!L:L,A508)/B508)</f>
        <v/>
      </c>
      <c r="I508" s="16" t="str">
        <f>IF(B508=0,"",COUNTIFS('Extração'!R:R,"Igual",'Extração'!L:L,A508)/B508)</f>
        <v/>
      </c>
    </row>
    <row r="509">
      <c r="B509" s="16">
        <f>COUNTIF('Extração'!L:L,A509)</f>
        <v>0</v>
      </c>
      <c r="C509" s="16" t="str">
        <f>IF(B509=0,"",COUNTIFS('Extração'!P:P,"Sim",'Extração'!L:L,A509)/B509)</f>
        <v/>
      </c>
      <c r="D509" s="16" t="str">
        <f>IF(B509=0,"",COUNTIFS('Extração'!Q:Q,"Sim",'Extração'!L:L,A509)/B509)</f>
        <v/>
      </c>
      <c r="E509" s="16" t="str">
        <f>IF(B509=0,"",COUNTIFS('Extração'!P:P,"Parcialmente",'Extração'!L:L,A509)/B509)</f>
        <v/>
      </c>
      <c r="F509" s="16" t="str">
        <f>IF(B509=0,"",COUNTIFS('Extração'!Q:Q,"Parcialmente",'Extração'!L:L,A509)/B509)</f>
        <v/>
      </c>
      <c r="G509" s="16" t="str">
        <f>IF(B509=0,"",COUNTIFS('Extração'!P:P,"Não",'Extração'!L:L,A509)/B509)</f>
        <v/>
      </c>
      <c r="H509" s="16" t="str">
        <f>IF(B509=0,"",COUNTIFS('Extração'!Q:Q,"Não",'Extração'!L:L,A509)/B509)</f>
        <v/>
      </c>
      <c r="I509" s="16" t="str">
        <f>IF(B509=0,"",COUNTIFS('Extração'!R:R,"Igual",'Extração'!L:L,A509)/B509)</f>
        <v/>
      </c>
    </row>
    <row r="510">
      <c r="B510" s="16">
        <f>COUNTIF('Extração'!L:L,A510)</f>
        <v>0</v>
      </c>
      <c r="C510" s="16" t="str">
        <f>IF(B510=0,"",COUNTIFS('Extração'!P:P,"Sim",'Extração'!L:L,A510)/B510)</f>
        <v/>
      </c>
      <c r="D510" s="16" t="str">
        <f>IF(B510=0,"",COUNTIFS('Extração'!Q:Q,"Sim",'Extração'!L:L,A510)/B510)</f>
        <v/>
      </c>
      <c r="E510" s="16" t="str">
        <f>IF(B510=0,"",COUNTIFS('Extração'!P:P,"Parcialmente",'Extração'!L:L,A510)/B510)</f>
        <v/>
      </c>
      <c r="F510" s="16" t="str">
        <f>IF(B510=0,"",COUNTIFS('Extração'!Q:Q,"Parcialmente",'Extração'!L:L,A510)/B510)</f>
        <v/>
      </c>
      <c r="G510" s="16" t="str">
        <f>IF(B510=0,"",COUNTIFS('Extração'!P:P,"Não",'Extração'!L:L,A510)/B510)</f>
        <v/>
      </c>
      <c r="H510" s="16" t="str">
        <f>IF(B510=0,"",COUNTIFS('Extração'!Q:Q,"Não",'Extração'!L:L,A510)/B510)</f>
        <v/>
      </c>
      <c r="I510" s="16" t="str">
        <f>IF(B510=0,"",COUNTIFS('Extração'!R:R,"Igual",'Extração'!L:L,A510)/B510)</f>
        <v/>
      </c>
    </row>
    <row r="511">
      <c r="B511" s="16">
        <f>COUNTIF('Extração'!L:L,A511)</f>
        <v>0</v>
      </c>
      <c r="C511" s="16" t="str">
        <f>IF(B511=0,"",COUNTIFS('Extração'!P:P,"Sim",'Extração'!L:L,A511)/B511)</f>
        <v/>
      </c>
      <c r="D511" s="16" t="str">
        <f>IF(B511=0,"",COUNTIFS('Extração'!Q:Q,"Sim",'Extração'!L:L,A511)/B511)</f>
        <v/>
      </c>
      <c r="E511" s="16" t="str">
        <f>IF(B511=0,"",COUNTIFS('Extração'!P:P,"Parcialmente",'Extração'!L:L,A511)/B511)</f>
        <v/>
      </c>
      <c r="F511" s="16" t="str">
        <f>IF(B511=0,"",COUNTIFS('Extração'!Q:Q,"Parcialmente",'Extração'!L:L,A511)/B511)</f>
        <v/>
      </c>
      <c r="G511" s="16" t="str">
        <f>IF(B511=0,"",COUNTIFS('Extração'!P:P,"Não",'Extração'!L:L,A511)/B511)</f>
        <v/>
      </c>
      <c r="H511" s="16" t="str">
        <f>IF(B511=0,"",COUNTIFS('Extração'!Q:Q,"Não",'Extração'!L:L,A511)/B511)</f>
        <v/>
      </c>
      <c r="I511" s="16" t="str">
        <f>IF(B511=0,"",COUNTIFS('Extração'!R:R,"Igual",'Extração'!L:L,A511)/B511)</f>
        <v/>
      </c>
    </row>
    <row r="512">
      <c r="B512" s="16">
        <f>COUNTIF('Extração'!L:L,A512)</f>
        <v>0</v>
      </c>
      <c r="C512" s="16" t="str">
        <f>IF(B512=0,"",COUNTIFS('Extração'!P:P,"Sim",'Extração'!L:L,A512)/B512)</f>
        <v/>
      </c>
      <c r="D512" s="16" t="str">
        <f>IF(B512=0,"",COUNTIFS('Extração'!Q:Q,"Sim",'Extração'!L:L,A512)/B512)</f>
        <v/>
      </c>
      <c r="E512" s="16" t="str">
        <f>IF(B512=0,"",COUNTIFS('Extração'!P:P,"Parcialmente",'Extração'!L:L,A512)/B512)</f>
        <v/>
      </c>
      <c r="F512" s="16" t="str">
        <f>IF(B512=0,"",COUNTIFS('Extração'!Q:Q,"Parcialmente",'Extração'!L:L,A512)/B512)</f>
        <v/>
      </c>
      <c r="G512" s="16" t="str">
        <f>IF(B512=0,"",COUNTIFS('Extração'!P:P,"Não",'Extração'!L:L,A512)/B512)</f>
        <v/>
      </c>
      <c r="H512" s="16" t="str">
        <f>IF(B512=0,"",COUNTIFS('Extração'!Q:Q,"Não",'Extração'!L:L,A512)/B512)</f>
        <v/>
      </c>
      <c r="I512" s="16" t="str">
        <f>IF(B512=0,"",COUNTIFS('Extração'!R:R,"Igual",'Extração'!L:L,A512)/B512)</f>
        <v/>
      </c>
    </row>
    <row r="513">
      <c r="B513" s="16">
        <f>COUNTIF('Extração'!L:L,A513)</f>
        <v>0</v>
      </c>
      <c r="C513" s="16" t="str">
        <f>IF(B513=0,"",COUNTIFS('Extração'!P:P,"Sim",'Extração'!L:L,A513)/B513)</f>
        <v/>
      </c>
      <c r="D513" s="16" t="str">
        <f>IF(B513=0,"",COUNTIFS('Extração'!Q:Q,"Sim",'Extração'!L:L,A513)/B513)</f>
        <v/>
      </c>
      <c r="E513" s="16" t="str">
        <f>IF(B513=0,"",COUNTIFS('Extração'!P:P,"Parcialmente",'Extração'!L:L,A513)/B513)</f>
        <v/>
      </c>
      <c r="F513" s="16" t="str">
        <f>IF(B513=0,"",COUNTIFS('Extração'!Q:Q,"Parcialmente",'Extração'!L:L,A513)/B513)</f>
        <v/>
      </c>
      <c r="G513" s="16" t="str">
        <f>IF(B513=0,"",COUNTIFS('Extração'!P:P,"Não",'Extração'!L:L,A513)/B513)</f>
        <v/>
      </c>
      <c r="H513" s="16" t="str">
        <f>IF(B513=0,"",COUNTIFS('Extração'!Q:Q,"Não",'Extração'!L:L,A513)/B513)</f>
        <v/>
      </c>
      <c r="I513" s="16" t="str">
        <f>IF(B513=0,"",COUNTIFS('Extração'!R:R,"Igual",'Extração'!L:L,A513)/B513)</f>
        <v/>
      </c>
    </row>
    <row r="514">
      <c r="B514" s="16">
        <f>COUNTIF('Extração'!L:L,A514)</f>
        <v>0</v>
      </c>
      <c r="C514" s="16" t="str">
        <f>IF(B514=0,"",COUNTIFS('Extração'!P:P,"Sim",'Extração'!L:L,A514)/B514)</f>
        <v/>
      </c>
      <c r="D514" s="16" t="str">
        <f>IF(B514=0,"",COUNTIFS('Extração'!Q:Q,"Sim",'Extração'!L:L,A514)/B514)</f>
        <v/>
      </c>
      <c r="E514" s="16" t="str">
        <f>IF(B514=0,"",COUNTIFS('Extração'!P:P,"Parcialmente",'Extração'!L:L,A514)/B514)</f>
        <v/>
      </c>
      <c r="F514" s="16" t="str">
        <f>IF(B514=0,"",COUNTIFS('Extração'!Q:Q,"Parcialmente",'Extração'!L:L,A514)/B514)</f>
        <v/>
      </c>
      <c r="G514" s="16" t="str">
        <f>IF(B514=0,"",COUNTIFS('Extração'!P:P,"Não",'Extração'!L:L,A514)/B514)</f>
        <v/>
      </c>
      <c r="H514" s="16" t="str">
        <f>IF(B514=0,"",COUNTIFS('Extração'!Q:Q,"Não",'Extração'!L:L,A514)/B514)</f>
        <v/>
      </c>
      <c r="I514" s="16" t="str">
        <f>IF(B514=0,"",COUNTIFS('Extração'!R:R,"Igual",'Extração'!L:L,A514)/B514)</f>
        <v/>
      </c>
    </row>
    <row r="515">
      <c r="B515" s="16">
        <f>COUNTIF('Extração'!L:L,A515)</f>
        <v>0</v>
      </c>
      <c r="C515" s="16" t="str">
        <f>IF(B515=0,"",COUNTIFS('Extração'!P:P,"Sim",'Extração'!L:L,A515)/B515)</f>
        <v/>
      </c>
      <c r="D515" s="16" t="str">
        <f>IF(B515=0,"",COUNTIFS('Extração'!Q:Q,"Sim",'Extração'!L:L,A515)/B515)</f>
        <v/>
      </c>
      <c r="E515" s="16" t="str">
        <f>IF(B515=0,"",COUNTIFS('Extração'!P:P,"Parcialmente",'Extração'!L:L,A515)/B515)</f>
        <v/>
      </c>
      <c r="F515" s="16" t="str">
        <f>IF(B515=0,"",COUNTIFS('Extração'!Q:Q,"Parcialmente",'Extração'!L:L,A515)/B515)</f>
        <v/>
      </c>
      <c r="G515" s="16" t="str">
        <f>IF(B515=0,"",COUNTIFS('Extração'!P:P,"Não",'Extração'!L:L,A515)/B515)</f>
        <v/>
      </c>
      <c r="H515" s="16" t="str">
        <f>IF(B515=0,"",COUNTIFS('Extração'!Q:Q,"Não",'Extração'!L:L,A515)/B515)</f>
        <v/>
      </c>
      <c r="I515" s="16" t="str">
        <f>IF(B515=0,"",COUNTIFS('Extração'!R:R,"Igual",'Extração'!L:L,A515)/B515)</f>
        <v/>
      </c>
    </row>
    <row r="516">
      <c r="B516" s="16">
        <f>COUNTIF('Extração'!L:L,A516)</f>
        <v>0</v>
      </c>
      <c r="C516" s="16" t="str">
        <f>IF(B516=0,"",COUNTIFS('Extração'!P:P,"Sim",'Extração'!L:L,A516)/B516)</f>
        <v/>
      </c>
      <c r="D516" s="16" t="str">
        <f>IF(B516=0,"",COUNTIFS('Extração'!Q:Q,"Sim",'Extração'!L:L,A516)/B516)</f>
        <v/>
      </c>
      <c r="E516" s="16" t="str">
        <f>IF(B516=0,"",COUNTIFS('Extração'!P:P,"Parcialmente",'Extração'!L:L,A516)/B516)</f>
        <v/>
      </c>
      <c r="F516" s="16" t="str">
        <f>IF(B516=0,"",COUNTIFS('Extração'!Q:Q,"Parcialmente",'Extração'!L:L,A516)/B516)</f>
        <v/>
      </c>
      <c r="G516" s="16" t="str">
        <f>IF(B516=0,"",COUNTIFS('Extração'!P:P,"Não",'Extração'!L:L,A516)/B516)</f>
        <v/>
      </c>
      <c r="H516" s="16" t="str">
        <f>IF(B516=0,"",COUNTIFS('Extração'!Q:Q,"Não",'Extração'!L:L,A516)/B516)</f>
        <v/>
      </c>
      <c r="I516" s="16" t="str">
        <f>IF(B516=0,"",COUNTIFS('Extração'!R:R,"Igual",'Extração'!L:L,A516)/B516)</f>
        <v/>
      </c>
    </row>
    <row r="517">
      <c r="B517" s="16">
        <f>COUNTIF('Extração'!L:L,A517)</f>
        <v>0</v>
      </c>
      <c r="C517" s="16" t="str">
        <f>IF(B517=0,"",COUNTIFS('Extração'!P:P,"Sim",'Extração'!L:L,A517)/B517)</f>
        <v/>
      </c>
      <c r="D517" s="16" t="str">
        <f>IF(B517=0,"",COUNTIFS('Extração'!Q:Q,"Sim",'Extração'!L:L,A517)/B517)</f>
        <v/>
      </c>
      <c r="E517" s="16" t="str">
        <f>IF(B517=0,"",COUNTIFS('Extração'!P:P,"Parcialmente",'Extração'!L:L,A517)/B517)</f>
        <v/>
      </c>
      <c r="F517" s="16" t="str">
        <f>IF(B517=0,"",COUNTIFS('Extração'!Q:Q,"Parcialmente",'Extração'!L:L,A517)/B517)</f>
        <v/>
      </c>
      <c r="G517" s="16" t="str">
        <f>IF(B517=0,"",COUNTIFS('Extração'!P:P,"Não",'Extração'!L:L,A517)/B517)</f>
        <v/>
      </c>
      <c r="H517" s="16" t="str">
        <f>IF(B517=0,"",COUNTIFS('Extração'!Q:Q,"Não",'Extração'!L:L,A517)/B517)</f>
        <v/>
      </c>
      <c r="I517" s="16" t="str">
        <f>IF(B517=0,"",COUNTIFS('Extração'!R:R,"Igual",'Extração'!L:L,A517)/B517)</f>
        <v/>
      </c>
    </row>
    <row r="518">
      <c r="B518" s="16">
        <f>COUNTIF('Extração'!L:L,A518)</f>
        <v>0</v>
      </c>
      <c r="C518" s="16" t="str">
        <f>IF(B518=0,"",COUNTIFS('Extração'!P:P,"Sim",'Extração'!L:L,A518)/B518)</f>
        <v/>
      </c>
      <c r="D518" s="16" t="str">
        <f>IF(B518=0,"",COUNTIFS('Extração'!Q:Q,"Sim",'Extração'!L:L,A518)/B518)</f>
        <v/>
      </c>
      <c r="E518" s="16" t="str">
        <f>IF(B518=0,"",COUNTIFS('Extração'!P:P,"Parcialmente",'Extração'!L:L,A518)/B518)</f>
        <v/>
      </c>
      <c r="F518" s="16" t="str">
        <f>IF(B518=0,"",COUNTIFS('Extração'!Q:Q,"Parcialmente",'Extração'!L:L,A518)/B518)</f>
        <v/>
      </c>
      <c r="G518" s="16" t="str">
        <f>IF(B518=0,"",COUNTIFS('Extração'!P:P,"Não",'Extração'!L:L,A518)/B518)</f>
        <v/>
      </c>
      <c r="H518" s="16" t="str">
        <f>IF(B518=0,"",COUNTIFS('Extração'!Q:Q,"Não",'Extração'!L:L,A518)/B518)</f>
        <v/>
      </c>
      <c r="I518" s="16" t="str">
        <f>IF(B518=0,"",COUNTIFS('Extração'!R:R,"Igual",'Extração'!L:L,A518)/B518)</f>
        <v/>
      </c>
    </row>
    <row r="519">
      <c r="B519" s="16">
        <f>COUNTIF('Extração'!L:L,A519)</f>
        <v>0</v>
      </c>
      <c r="C519" s="16" t="str">
        <f>IF(B519=0,"",COUNTIFS('Extração'!P:P,"Sim",'Extração'!L:L,A519)/B519)</f>
        <v/>
      </c>
      <c r="D519" s="16" t="str">
        <f>IF(B519=0,"",COUNTIFS('Extração'!Q:Q,"Sim",'Extração'!L:L,A519)/B519)</f>
        <v/>
      </c>
      <c r="E519" s="16" t="str">
        <f>IF(B519=0,"",COUNTIFS('Extração'!P:P,"Parcialmente",'Extração'!L:L,A519)/B519)</f>
        <v/>
      </c>
      <c r="F519" s="16" t="str">
        <f>IF(B519=0,"",COUNTIFS('Extração'!Q:Q,"Parcialmente",'Extração'!L:L,A519)/B519)</f>
        <v/>
      </c>
      <c r="G519" s="16" t="str">
        <f>IF(B519=0,"",COUNTIFS('Extração'!P:P,"Não",'Extração'!L:L,A519)/B519)</f>
        <v/>
      </c>
      <c r="H519" s="16" t="str">
        <f>IF(B519=0,"",COUNTIFS('Extração'!Q:Q,"Não",'Extração'!L:L,A519)/B519)</f>
        <v/>
      </c>
      <c r="I519" s="16" t="str">
        <f>IF(B519=0,"",COUNTIFS('Extração'!R:R,"Igual",'Extração'!L:L,A519)/B519)</f>
        <v/>
      </c>
    </row>
    <row r="520">
      <c r="B520" s="16">
        <f>COUNTIF('Extração'!L:L,A520)</f>
        <v>0</v>
      </c>
      <c r="C520" s="16" t="str">
        <f>IF(B520=0,"",COUNTIFS('Extração'!P:P,"Sim",'Extração'!L:L,A520)/B520)</f>
        <v/>
      </c>
      <c r="D520" s="16" t="str">
        <f>IF(B520=0,"",COUNTIFS('Extração'!Q:Q,"Sim",'Extração'!L:L,A520)/B520)</f>
        <v/>
      </c>
      <c r="E520" s="16" t="str">
        <f>IF(B520=0,"",COUNTIFS('Extração'!P:P,"Parcialmente",'Extração'!L:L,A520)/B520)</f>
        <v/>
      </c>
      <c r="F520" s="16" t="str">
        <f>IF(B520=0,"",COUNTIFS('Extração'!Q:Q,"Parcialmente",'Extração'!L:L,A520)/B520)</f>
        <v/>
      </c>
      <c r="G520" s="16" t="str">
        <f>IF(B520=0,"",COUNTIFS('Extração'!P:P,"Não",'Extração'!L:L,A520)/B520)</f>
        <v/>
      </c>
      <c r="H520" s="16" t="str">
        <f>IF(B520=0,"",COUNTIFS('Extração'!Q:Q,"Não",'Extração'!L:L,A520)/B520)</f>
        <v/>
      </c>
      <c r="I520" s="16" t="str">
        <f>IF(B520=0,"",COUNTIFS('Extração'!R:R,"Igual",'Extração'!L:L,A520)/B520)</f>
        <v/>
      </c>
    </row>
    <row r="521">
      <c r="B521" s="16">
        <f>COUNTIF('Extração'!L:L,A521)</f>
        <v>0</v>
      </c>
      <c r="C521" s="16" t="str">
        <f>IF(B521=0,"",COUNTIFS('Extração'!P:P,"Sim",'Extração'!L:L,A521)/B521)</f>
        <v/>
      </c>
      <c r="D521" s="16" t="str">
        <f>IF(B521=0,"",COUNTIFS('Extração'!Q:Q,"Sim",'Extração'!L:L,A521)/B521)</f>
        <v/>
      </c>
      <c r="E521" s="16" t="str">
        <f>IF(B521=0,"",COUNTIFS('Extração'!P:P,"Parcialmente",'Extração'!L:L,A521)/B521)</f>
        <v/>
      </c>
      <c r="F521" s="16" t="str">
        <f>IF(B521=0,"",COUNTIFS('Extração'!Q:Q,"Parcialmente",'Extração'!L:L,A521)/B521)</f>
        <v/>
      </c>
      <c r="G521" s="16" t="str">
        <f>IF(B521=0,"",COUNTIFS('Extração'!P:P,"Não",'Extração'!L:L,A521)/B521)</f>
        <v/>
      </c>
      <c r="H521" s="16" t="str">
        <f>IF(B521=0,"",COUNTIFS('Extração'!Q:Q,"Não",'Extração'!L:L,A521)/B521)</f>
        <v/>
      </c>
      <c r="I521" s="16" t="str">
        <f>IF(B521=0,"",COUNTIFS('Extração'!R:R,"Igual",'Extração'!L:L,A521)/B521)</f>
        <v/>
      </c>
    </row>
    <row r="522">
      <c r="B522" s="16">
        <f>COUNTIF('Extração'!L:L,A522)</f>
        <v>0</v>
      </c>
      <c r="C522" s="16" t="str">
        <f>IF(B522=0,"",COUNTIFS('Extração'!P:P,"Sim",'Extração'!L:L,A522)/B522)</f>
        <v/>
      </c>
      <c r="D522" s="16" t="str">
        <f>IF(B522=0,"",COUNTIFS('Extração'!Q:Q,"Sim",'Extração'!L:L,A522)/B522)</f>
        <v/>
      </c>
      <c r="E522" s="16" t="str">
        <f>IF(B522=0,"",COUNTIFS('Extração'!P:P,"Parcialmente",'Extração'!L:L,A522)/B522)</f>
        <v/>
      </c>
      <c r="F522" s="16" t="str">
        <f>IF(B522=0,"",COUNTIFS('Extração'!Q:Q,"Parcialmente",'Extração'!L:L,A522)/B522)</f>
        <v/>
      </c>
      <c r="G522" s="16" t="str">
        <f>IF(B522=0,"",COUNTIFS('Extração'!P:P,"Não",'Extração'!L:L,A522)/B522)</f>
        <v/>
      </c>
      <c r="H522" s="16" t="str">
        <f>IF(B522=0,"",COUNTIFS('Extração'!Q:Q,"Não",'Extração'!L:L,A522)/B522)</f>
        <v/>
      </c>
      <c r="I522" s="16" t="str">
        <f>IF(B522=0,"",COUNTIFS('Extração'!R:R,"Igual",'Extração'!L:L,A522)/B522)</f>
        <v/>
      </c>
    </row>
    <row r="523">
      <c r="B523" s="16">
        <f>COUNTIF('Extração'!L:L,A523)</f>
        <v>0</v>
      </c>
      <c r="C523" s="16" t="str">
        <f>IF(B523=0,"",COUNTIFS('Extração'!P:P,"Sim",'Extração'!L:L,A523)/B523)</f>
        <v/>
      </c>
      <c r="D523" s="16" t="str">
        <f>IF(B523=0,"",COUNTIFS('Extração'!Q:Q,"Sim",'Extração'!L:L,A523)/B523)</f>
        <v/>
      </c>
      <c r="E523" s="16" t="str">
        <f>IF(B523=0,"",COUNTIFS('Extração'!P:P,"Parcialmente",'Extração'!L:L,A523)/B523)</f>
        <v/>
      </c>
      <c r="F523" s="16" t="str">
        <f>IF(B523=0,"",COUNTIFS('Extração'!Q:Q,"Parcialmente",'Extração'!L:L,A523)/B523)</f>
        <v/>
      </c>
      <c r="G523" s="16" t="str">
        <f>IF(B523=0,"",COUNTIFS('Extração'!P:P,"Não",'Extração'!L:L,A523)/B523)</f>
        <v/>
      </c>
      <c r="H523" s="16" t="str">
        <f>IF(B523=0,"",COUNTIFS('Extração'!Q:Q,"Não",'Extração'!L:L,A523)/B523)</f>
        <v/>
      </c>
      <c r="I523" s="16" t="str">
        <f>IF(B523=0,"",COUNTIFS('Extração'!R:R,"Igual",'Extração'!L:L,A523)/B523)</f>
        <v/>
      </c>
    </row>
    <row r="524">
      <c r="B524" s="16">
        <f>COUNTIF('Extração'!L:L,A524)</f>
        <v>0</v>
      </c>
      <c r="C524" s="16" t="str">
        <f>IF(B524=0,"",COUNTIFS('Extração'!P:P,"Sim",'Extração'!L:L,A524)/B524)</f>
        <v/>
      </c>
      <c r="D524" s="16" t="str">
        <f>IF(B524=0,"",COUNTIFS('Extração'!Q:Q,"Sim",'Extração'!L:L,A524)/B524)</f>
        <v/>
      </c>
      <c r="E524" s="16" t="str">
        <f>IF(B524=0,"",COUNTIFS('Extração'!P:P,"Parcialmente",'Extração'!L:L,A524)/B524)</f>
        <v/>
      </c>
      <c r="F524" s="16" t="str">
        <f>IF(B524=0,"",COUNTIFS('Extração'!Q:Q,"Parcialmente",'Extração'!L:L,A524)/B524)</f>
        <v/>
      </c>
      <c r="G524" s="16" t="str">
        <f>IF(B524=0,"",COUNTIFS('Extração'!P:P,"Não",'Extração'!L:L,A524)/B524)</f>
        <v/>
      </c>
      <c r="H524" s="16" t="str">
        <f>IF(B524=0,"",COUNTIFS('Extração'!Q:Q,"Não",'Extração'!L:L,A524)/B524)</f>
        <v/>
      </c>
      <c r="I524" s="16" t="str">
        <f>IF(B524=0,"",COUNTIFS('Extração'!R:R,"Igual",'Extração'!L:L,A524)/B524)</f>
        <v/>
      </c>
    </row>
    <row r="525">
      <c r="B525" s="16">
        <f>COUNTIF('Extração'!L:L,A525)</f>
        <v>0</v>
      </c>
      <c r="C525" s="16" t="str">
        <f>IF(B525=0,"",COUNTIFS('Extração'!P:P,"Sim",'Extração'!L:L,A525)/B525)</f>
        <v/>
      </c>
      <c r="D525" s="16" t="str">
        <f>IF(B525=0,"",COUNTIFS('Extração'!Q:Q,"Sim",'Extração'!L:L,A525)/B525)</f>
        <v/>
      </c>
      <c r="E525" s="16" t="str">
        <f>IF(B525=0,"",COUNTIFS('Extração'!P:P,"Parcialmente",'Extração'!L:L,A525)/B525)</f>
        <v/>
      </c>
      <c r="F525" s="16" t="str">
        <f>IF(B525=0,"",COUNTIFS('Extração'!Q:Q,"Parcialmente",'Extração'!L:L,A525)/B525)</f>
        <v/>
      </c>
      <c r="G525" s="16" t="str">
        <f>IF(B525=0,"",COUNTIFS('Extração'!P:P,"Não",'Extração'!L:L,A525)/B525)</f>
        <v/>
      </c>
      <c r="H525" s="16" t="str">
        <f>IF(B525=0,"",COUNTIFS('Extração'!Q:Q,"Não",'Extração'!L:L,A525)/B525)</f>
        <v/>
      </c>
      <c r="I525" s="16" t="str">
        <f>IF(B525=0,"",COUNTIFS('Extração'!R:R,"Igual",'Extração'!L:L,A525)/B525)</f>
        <v/>
      </c>
    </row>
    <row r="526">
      <c r="B526" s="16">
        <f>COUNTIF('Extração'!L:L,A526)</f>
        <v>0</v>
      </c>
      <c r="C526" s="16" t="str">
        <f>IF(B526=0,"",COUNTIFS('Extração'!P:P,"Sim",'Extração'!L:L,A526)/B526)</f>
        <v/>
      </c>
      <c r="D526" s="16" t="str">
        <f>IF(B526=0,"",COUNTIFS('Extração'!Q:Q,"Sim",'Extração'!L:L,A526)/B526)</f>
        <v/>
      </c>
      <c r="E526" s="16" t="str">
        <f>IF(B526=0,"",COUNTIFS('Extração'!P:P,"Parcialmente",'Extração'!L:L,A526)/B526)</f>
        <v/>
      </c>
      <c r="F526" s="16" t="str">
        <f>IF(B526=0,"",COUNTIFS('Extração'!Q:Q,"Parcialmente",'Extração'!L:L,A526)/B526)</f>
        <v/>
      </c>
      <c r="G526" s="16" t="str">
        <f>IF(B526=0,"",COUNTIFS('Extração'!P:P,"Não",'Extração'!L:L,A526)/B526)</f>
        <v/>
      </c>
      <c r="H526" s="16" t="str">
        <f>IF(B526=0,"",COUNTIFS('Extração'!Q:Q,"Não",'Extração'!L:L,A526)/B526)</f>
        <v/>
      </c>
      <c r="I526" s="16" t="str">
        <f>IF(B526=0,"",COUNTIFS('Extração'!R:R,"Igual",'Extração'!L:L,A526)/B526)</f>
        <v/>
      </c>
    </row>
    <row r="527">
      <c r="B527" s="16">
        <f>COUNTIF('Extração'!L:L,A527)</f>
        <v>0</v>
      </c>
      <c r="C527" s="16" t="str">
        <f>IF(B527=0,"",COUNTIFS('Extração'!P:P,"Sim",'Extração'!L:L,A527)/B527)</f>
        <v/>
      </c>
      <c r="D527" s="16" t="str">
        <f>IF(B527=0,"",COUNTIFS('Extração'!Q:Q,"Sim",'Extração'!L:L,A527)/B527)</f>
        <v/>
      </c>
      <c r="E527" s="16" t="str">
        <f>IF(B527=0,"",COUNTIFS('Extração'!P:P,"Parcialmente",'Extração'!L:L,A527)/B527)</f>
        <v/>
      </c>
      <c r="F527" s="16" t="str">
        <f>IF(B527=0,"",COUNTIFS('Extração'!Q:Q,"Parcialmente",'Extração'!L:L,A527)/B527)</f>
        <v/>
      </c>
      <c r="G527" s="16" t="str">
        <f>IF(B527=0,"",COUNTIFS('Extração'!P:P,"Não",'Extração'!L:L,A527)/B527)</f>
        <v/>
      </c>
      <c r="H527" s="16" t="str">
        <f>IF(B527=0,"",COUNTIFS('Extração'!Q:Q,"Não",'Extração'!L:L,A527)/B527)</f>
        <v/>
      </c>
      <c r="I527" s="16" t="str">
        <f>IF(B527=0,"",COUNTIFS('Extração'!R:R,"Igual",'Extração'!L:L,A527)/B527)</f>
        <v/>
      </c>
    </row>
    <row r="528">
      <c r="B528" s="16">
        <f>COUNTIF('Extração'!L:L,A528)</f>
        <v>0</v>
      </c>
      <c r="C528" s="16" t="str">
        <f>IF(B528=0,"",COUNTIFS('Extração'!P:P,"Sim",'Extração'!L:L,A528)/B528)</f>
        <v/>
      </c>
      <c r="D528" s="16" t="str">
        <f>IF(B528=0,"",COUNTIFS('Extração'!Q:Q,"Sim",'Extração'!L:L,A528)/B528)</f>
        <v/>
      </c>
      <c r="E528" s="16" t="str">
        <f>IF(B528=0,"",COUNTIFS('Extração'!P:P,"Parcialmente",'Extração'!L:L,A528)/B528)</f>
        <v/>
      </c>
      <c r="F528" s="16" t="str">
        <f>IF(B528=0,"",COUNTIFS('Extração'!Q:Q,"Parcialmente",'Extração'!L:L,A528)/B528)</f>
        <v/>
      </c>
      <c r="G528" s="16" t="str">
        <f>IF(B528=0,"",COUNTIFS('Extração'!P:P,"Não",'Extração'!L:L,A528)/B528)</f>
        <v/>
      </c>
      <c r="H528" s="16" t="str">
        <f>IF(B528=0,"",COUNTIFS('Extração'!Q:Q,"Não",'Extração'!L:L,A528)/B528)</f>
        <v/>
      </c>
      <c r="I528" s="16" t="str">
        <f>IF(B528=0,"",COUNTIFS('Extração'!R:R,"Igual",'Extração'!L:L,A528)/B528)</f>
        <v/>
      </c>
    </row>
    <row r="529">
      <c r="B529" s="16">
        <f>COUNTIF('Extração'!L:L,A529)</f>
        <v>0</v>
      </c>
      <c r="C529" s="16" t="str">
        <f>IF(B529=0,"",COUNTIFS('Extração'!P:P,"Sim",'Extração'!L:L,A529)/B529)</f>
        <v/>
      </c>
      <c r="D529" s="16" t="str">
        <f>IF(B529=0,"",COUNTIFS('Extração'!Q:Q,"Sim",'Extração'!L:L,A529)/B529)</f>
        <v/>
      </c>
      <c r="E529" s="16" t="str">
        <f>IF(B529=0,"",COUNTIFS('Extração'!P:P,"Parcialmente",'Extração'!L:L,A529)/B529)</f>
        <v/>
      </c>
      <c r="F529" s="16" t="str">
        <f>IF(B529=0,"",COUNTIFS('Extração'!Q:Q,"Parcialmente",'Extração'!L:L,A529)/B529)</f>
        <v/>
      </c>
      <c r="G529" s="16" t="str">
        <f>IF(B529=0,"",COUNTIFS('Extração'!P:P,"Não",'Extração'!L:L,A529)/B529)</f>
        <v/>
      </c>
      <c r="H529" s="16" t="str">
        <f>IF(B529=0,"",COUNTIFS('Extração'!Q:Q,"Não",'Extração'!L:L,A529)/B529)</f>
        <v/>
      </c>
      <c r="I529" s="16" t="str">
        <f>IF(B529=0,"",COUNTIFS('Extração'!R:R,"Igual",'Extração'!L:L,A529)/B529)</f>
        <v/>
      </c>
    </row>
    <row r="530">
      <c r="B530" s="16">
        <f>COUNTIF('Extração'!L:L,A530)</f>
        <v>0</v>
      </c>
      <c r="C530" s="16" t="str">
        <f>IF(B530=0,"",COUNTIFS('Extração'!P:P,"Sim",'Extração'!L:L,A530)/B530)</f>
        <v/>
      </c>
      <c r="D530" s="16" t="str">
        <f>IF(B530=0,"",COUNTIFS('Extração'!Q:Q,"Sim",'Extração'!L:L,A530)/B530)</f>
        <v/>
      </c>
      <c r="E530" s="16" t="str">
        <f>IF(B530=0,"",COUNTIFS('Extração'!P:P,"Parcialmente",'Extração'!L:L,A530)/B530)</f>
        <v/>
      </c>
      <c r="F530" s="16" t="str">
        <f>IF(B530=0,"",COUNTIFS('Extração'!Q:Q,"Parcialmente",'Extração'!L:L,A530)/B530)</f>
        <v/>
      </c>
      <c r="G530" s="16" t="str">
        <f>IF(B530=0,"",COUNTIFS('Extração'!P:P,"Não",'Extração'!L:L,A530)/B530)</f>
        <v/>
      </c>
      <c r="H530" s="16" t="str">
        <f>IF(B530=0,"",COUNTIFS('Extração'!Q:Q,"Não",'Extração'!L:L,A530)/B530)</f>
        <v/>
      </c>
      <c r="I530" s="16" t="str">
        <f>IF(B530=0,"",COUNTIFS('Extração'!R:R,"Igual",'Extração'!L:L,A530)/B530)</f>
        <v/>
      </c>
    </row>
    <row r="531">
      <c r="B531" s="16">
        <f>COUNTIF('Extração'!L:L,A531)</f>
        <v>0</v>
      </c>
      <c r="C531" s="16" t="str">
        <f>IF(B531=0,"",COUNTIFS('Extração'!P:P,"Sim",'Extração'!L:L,A531)/B531)</f>
        <v/>
      </c>
      <c r="D531" s="16" t="str">
        <f>IF(B531=0,"",COUNTIFS('Extração'!Q:Q,"Sim",'Extração'!L:L,A531)/B531)</f>
        <v/>
      </c>
      <c r="E531" s="16" t="str">
        <f>IF(B531=0,"",COUNTIFS('Extração'!P:P,"Parcialmente",'Extração'!L:L,A531)/B531)</f>
        <v/>
      </c>
      <c r="F531" s="16" t="str">
        <f>IF(B531=0,"",COUNTIFS('Extração'!Q:Q,"Parcialmente",'Extração'!L:L,A531)/B531)</f>
        <v/>
      </c>
      <c r="G531" s="16" t="str">
        <f>IF(B531=0,"",COUNTIFS('Extração'!P:P,"Não",'Extração'!L:L,A531)/B531)</f>
        <v/>
      </c>
      <c r="H531" s="16" t="str">
        <f>IF(B531=0,"",COUNTIFS('Extração'!Q:Q,"Não",'Extração'!L:L,A531)/B531)</f>
        <v/>
      </c>
      <c r="I531" s="16" t="str">
        <f>IF(B531=0,"",COUNTIFS('Extração'!R:R,"Igual",'Extração'!L:L,A531)/B531)</f>
        <v/>
      </c>
    </row>
    <row r="532">
      <c r="B532" s="16">
        <f>COUNTIF('Extração'!L:L,A532)</f>
        <v>0</v>
      </c>
      <c r="C532" s="16" t="str">
        <f>IF(B532=0,"",COUNTIFS('Extração'!P:P,"Sim",'Extração'!L:L,A532)/B532)</f>
        <v/>
      </c>
      <c r="D532" s="16" t="str">
        <f>IF(B532=0,"",COUNTIFS('Extração'!Q:Q,"Sim",'Extração'!L:L,A532)/B532)</f>
        <v/>
      </c>
      <c r="E532" s="16" t="str">
        <f>IF(B532=0,"",COUNTIFS('Extração'!P:P,"Parcialmente",'Extração'!L:L,A532)/B532)</f>
        <v/>
      </c>
      <c r="F532" s="16" t="str">
        <f>IF(B532=0,"",COUNTIFS('Extração'!Q:Q,"Parcialmente",'Extração'!L:L,A532)/B532)</f>
        <v/>
      </c>
      <c r="G532" s="16" t="str">
        <f>IF(B532=0,"",COUNTIFS('Extração'!P:P,"Não",'Extração'!L:L,A532)/B532)</f>
        <v/>
      </c>
      <c r="H532" s="16" t="str">
        <f>IF(B532=0,"",COUNTIFS('Extração'!Q:Q,"Não",'Extração'!L:L,A532)/B532)</f>
        <v/>
      </c>
      <c r="I532" s="16" t="str">
        <f>IF(B532=0,"",COUNTIFS('Extração'!R:R,"Igual",'Extração'!L:L,A532)/B532)</f>
        <v/>
      </c>
    </row>
    <row r="533">
      <c r="B533" s="16">
        <f>COUNTIF('Extração'!L:L,A533)</f>
        <v>0</v>
      </c>
      <c r="C533" s="16" t="str">
        <f>IF(B533=0,"",COUNTIFS('Extração'!P:P,"Sim",'Extração'!L:L,A533)/B533)</f>
        <v/>
      </c>
      <c r="D533" s="16" t="str">
        <f>IF(B533=0,"",COUNTIFS('Extração'!Q:Q,"Sim",'Extração'!L:L,A533)/B533)</f>
        <v/>
      </c>
      <c r="E533" s="16" t="str">
        <f>IF(B533=0,"",COUNTIFS('Extração'!P:P,"Parcialmente",'Extração'!L:L,A533)/B533)</f>
        <v/>
      </c>
      <c r="F533" s="16" t="str">
        <f>IF(B533=0,"",COUNTIFS('Extração'!Q:Q,"Parcialmente",'Extração'!L:L,A533)/B533)</f>
        <v/>
      </c>
      <c r="G533" s="16" t="str">
        <f>IF(B533=0,"",COUNTIFS('Extração'!P:P,"Não",'Extração'!L:L,A533)/B533)</f>
        <v/>
      </c>
      <c r="H533" s="16" t="str">
        <f>IF(B533=0,"",COUNTIFS('Extração'!Q:Q,"Não",'Extração'!L:L,A533)/B533)</f>
        <v/>
      </c>
      <c r="I533" s="16" t="str">
        <f>IF(B533=0,"",COUNTIFS('Extração'!R:R,"Igual",'Extração'!L:L,A533)/B533)</f>
        <v/>
      </c>
    </row>
    <row r="534">
      <c r="B534" s="16">
        <f>COUNTIF('Extração'!L:L,A534)</f>
        <v>0</v>
      </c>
      <c r="C534" s="16" t="str">
        <f>IF(B534=0,"",COUNTIFS('Extração'!P:P,"Sim",'Extração'!L:L,A534)/B534)</f>
        <v/>
      </c>
      <c r="D534" s="16" t="str">
        <f>IF(B534=0,"",COUNTIFS('Extração'!Q:Q,"Sim",'Extração'!L:L,A534)/B534)</f>
        <v/>
      </c>
      <c r="E534" s="16" t="str">
        <f>IF(B534=0,"",COUNTIFS('Extração'!P:P,"Parcialmente",'Extração'!L:L,A534)/B534)</f>
        <v/>
      </c>
      <c r="F534" s="16" t="str">
        <f>IF(B534=0,"",COUNTIFS('Extração'!Q:Q,"Parcialmente",'Extração'!L:L,A534)/B534)</f>
        <v/>
      </c>
      <c r="G534" s="16" t="str">
        <f>IF(B534=0,"",COUNTIFS('Extração'!P:P,"Não",'Extração'!L:L,A534)/B534)</f>
        <v/>
      </c>
      <c r="H534" s="16" t="str">
        <f>IF(B534=0,"",COUNTIFS('Extração'!Q:Q,"Não",'Extração'!L:L,A534)/B534)</f>
        <v/>
      </c>
      <c r="I534" s="16" t="str">
        <f>IF(B534=0,"",COUNTIFS('Extração'!R:R,"Igual",'Extração'!L:L,A534)/B534)</f>
        <v/>
      </c>
    </row>
    <row r="535">
      <c r="B535" s="16">
        <f>COUNTIF('Extração'!L:L,A535)</f>
        <v>0</v>
      </c>
      <c r="C535" s="16" t="str">
        <f>IF(B535=0,"",COUNTIFS('Extração'!P:P,"Sim",'Extração'!L:L,A535)/B535)</f>
        <v/>
      </c>
      <c r="D535" s="16" t="str">
        <f>IF(B535=0,"",COUNTIFS('Extração'!Q:Q,"Sim",'Extração'!L:L,A535)/B535)</f>
        <v/>
      </c>
      <c r="E535" s="16" t="str">
        <f>IF(B535=0,"",COUNTIFS('Extração'!P:P,"Parcialmente",'Extração'!L:L,A535)/B535)</f>
        <v/>
      </c>
      <c r="F535" s="16" t="str">
        <f>IF(B535=0,"",COUNTIFS('Extração'!Q:Q,"Parcialmente",'Extração'!L:L,A535)/B535)</f>
        <v/>
      </c>
      <c r="G535" s="16" t="str">
        <f>IF(B535=0,"",COUNTIFS('Extração'!P:P,"Não",'Extração'!L:L,A535)/B535)</f>
        <v/>
      </c>
      <c r="H535" s="16" t="str">
        <f>IF(B535=0,"",COUNTIFS('Extração'!Q:Q,"Não",'Extração'!L:L,A535)/B535)</f>
        <v/>
      </c>
      <c r="I535" s="16" t="str">
        <f>IF(B535=0,"",COUNTIFS('Extração'!R:R,"Igual",'Extração'!L:L,A535)/B535)</f>
        <v/>
      </c>
    </row>
    <row r="536">
      <c r="B536" s="16">
        <f>COUNTIF('Extração'!L:L,A536)</f>
        <v>0</v>
      </c>
      <c r="C536" s="16" t="str">
        <f>IF(B536=0,"",COUNTIFS('Extração'!P:P,"Sim",'Extração'!L:L,A536)/B536)</f>
        <v/>
      </c>
      <c r="D536" s="16" t="str">
        <f>IF(B536=0,"",COUNTIFS('Extração'!Q:Q,"Sim",'Extração'!L:L,A536)/B536)</f>
        <v/>
      </c>
      <c r="E536" s="16" t="str">
        <f>IF(B536=0,"",COUNTIFS('Extração'!P:P,"Parcialmente",'Extração'!L:L,A536)/B536)</f>
        <v/>
      </c>
      <c r="F536" s="16" t="str">
        <f>IF(B536=0,"",COUNTIFS('Extração'!Q:Q,"Parcialmente",'Extração'!L:L,A536)/B536)</f>
        <v/>
      </c>
      <c r="G536" s="16" t="str">
        <f>IF(B536=0,"",COUNTIFS('Extração'!P:P,"Não",'Extração'!L:L,A536)/B536)</f>
        <v/>
      </c>
      <c r="H536" s="16" t="str">
        <f>IF(B536=0,"",COUNTIFS('Extração'!Q:Q,"Não",'Extração'!L:L,A536)/B536)</f>
        <v/>
      </c>
      <c r="I536" s="16" t="str">
        <f>IF(B536=0,"",COUNTIFS('Extração'!R:R,"Igual",'Extração'!L:L,A536)/B536)</f>
        <v/>
      </c>
    </row>
    <row r="537">
      <c r="B537" s="16">
        <f>COUNTIF('Extração'!L:L,A537)</f>
        <v>0</v>
      </c>
      <c r="C537" s="16" t="str">
        <f>IF(B537=0,"",COUNTIFS('Extração'!P:P,"Sim",'Extração'!L:L,A537)/B537)</f>
        <v/>
      </c>
      <c r="D537" s="16" t="str">
        <f>IF(B537=0,"",COUNTIFS('Extração'!Q:Q,"Sim",'Extração'!L:L,A537)/B537)</f>
        <v/>
      </c>
      <c r="E537" s="16" t="str">
        <f>IF(B537=0,"",COUNTIFS('Extração'!P:P,"Parcialmente",'Extração'!L:L,A537)/B537)</f>
        <v/>
      </c>
      <c r="F537" s="16" t="str">
        <f>IF(B537=0,"",COUNTIFS('Extração'!Q:Q,"Parcialmente",'Extração'!L:L,A537)/B537)</f>
        <v/>
      </c>
      <c r="G537" s="16" t="str">
        <f>IF(B537=0,"",COUNTIFS('Extração'!P:P,"Não",'Extração'!L:L,A537)/B537)</f>
        <v/>
      </c>
      <c r="H537" s="16" t="str">
        <f>IF(B537=0,"",COUNTIFS('Extração'!Q:Q,"Não",'Extração'!L:L,A537)/B537)</f>
        <v/>
      </c>
      <c r="I537" s="16" t="str">
        <f>IF(B537=0,"",COUNTIFS('Extração'!R:R,"Igual",'Extração'!L:L,A537)/B537)</f>
        <v/>
      </c>
    </row>
    <row r="538">
      <c r="B538" s="16">
        <f>COUNTIF('Extração'!L:L,A538)</f>
        <v>0</v>
      </c>
      <c r="C538" s="16" t="str">
        <f>IF(B538=0,"",COUNTIFS('Extração'!P:P,"Sim",'Extração'!L:L,A538)/B538)</f>
        <v/>
      </c>
      <c r="D538" s="16" t="str">
        <f>IF(B538=0,"",COUNTIFS('Extração'!Q:Q,"Sim",'Extração'!L:L,A538)/B538)</f>
        <v/>
      </c>
      <c r="E538" s="16" t="str">
        <f>IF(B538=0,"",COUNTIFS('Extração'!P:P,"Parcialmente",'Extração'!L:L,A538)/B538)</f>
        <v/>
      </c>
      <c r="F538" s="16" t="str">
        <f>IF(B538=0,"",COUNTIFS('Extração'!Q:Q,"Parcialmente",'Extração'!L:L,A538)/B538)</f>
        <v/>
      </c>
      <c r="G538" s="16" t="str">
        <f>IF(B538=0,"",COUNTIFS('Extração'!P:P,"Não",'Extração'!L:L,A538)/B538)</f>
        <v/>
      </c>
      <c r="H538" s="16" t="str">
        <f>IF(B538=0,"",COUNTIFS('Extração'!Q:Q,"Não",'Extração'!L:L,A538)/B538)</f>
        <v/>
      </c>
      <c r="I538" s="16" t="str">
        <f>IF(B538=0,"",COUNTIFS('Extração'!R:R,"Igual",'Extração'!L:L,A538)/B538)</f>
        <v/>
      </c>
    </row>
    <row r="539">
      <c r="B539" s="16">
        <f>COUNTIF('Extração'!L:L,A539)</f>
        <v>0</v>
      </c>
      <c r="C539" s="16" t="str">
        <f>IF(B539=0,"",COUNTIFS('Extração'!P:P,"Sim",'Extração'!L:L,A539)/B539)</f>
        <v/>
      </c>
      <c r="D539" s="16" t="str">
        <f>IF(B539=0,"",COUNTIFS('Extração'!Q:Q,"Sim",'Extração'!L:L,A539)/B539)</f>
        <v/>
      </c>
      <c r="E539" s="16" t="str">
        <f>IF(B539=0,"",COUNTIFS('Extração'!P:P,"Parcialmente",'Extração'!L:L,A539)/B539)</f>
        <v/>
      </c>
      <c r="F539" s="16" t="str">
        <f>IF(B539=0,"",COUNTIFS('Extração'!Q:Q,"Parcialmente",'Extração'!L:L,A539)/B539)</f>
        <v/>
      </c>
      <c r="G539" s="16" t="str">
        <f>IF(B539=0,"",COUNTIFS('Extração'!P:P,"Não",'Extração'!L:L,A539)/B539)</f>
        <v/>
      </c>
      <c r="H539" s="16" t="str">
        <f>IF(B539=0,"",COUNTIFS('Extração'!Q:Q,"Não",'Extração'!L:L,A539)/B539)</f>
        <v/>
      </c>
      <c r="I539" s="16" t="str">
        <f>IF(B539=0,"",COUNTIFS('Extração'!R:R,"Igual",'Extração'!L:L,A539)/B539)</f>
        <v/>
      </c>
    </row>
    <row r="540">
      <c r="B540" s="16">
        <f>COUNTIF('Extração'!L:L,A540)</f>
        <v>0</v>
      </c>
      <c r="C540" s="16" t="str">
        <f>IF(B540=0,"",COUNTIFS('Extração'!P:P,"Sim",'Extração'!L:L,A540)/B540)</f>
        <v/>
      </c>
      <c r="D540" s="16" t="str">
        <f>IF(B540=0,"",COUNTIFS('Extração'!Q:Q,"Sim",'Extração'!L:L,A540)/B540)</f>
        <v/>
      </c>
      <c r="E540" s="16" t="str">
        <f>IF(B540=0,"",COUNTIFS('Extração'!P:P,"Parcialmente",'Extração'!L:L,A540)/B540)</f>
        <v/>
      </c>
      <c r="F540" s="16" t="str">
        <f>IF(B540=0,"",COUNTIFS('Extração'!Q:Q,"Parcialmente",'Extração'!L:L,A540)/B540)</f>
        <v/>
      </c>
      <c r="G540" s="16" t="str">
        <f>IF(B540=0,"",COUNTIFS('Extração'!P:P,"Não",'Extração'!L:L,A540)/B540)</f>
        <v/>
      </c>
      <c r="H540" s="16" t="str">
        <f>IF(B540=0,"",COUNTIFS('Extração'!Q:Q,"Não",'Extração'!L:L,A540)/B540)</f>
        <v/>
      </c>
      <c r="I540" s="16" t="str">
        <f>IF(B540=0,"",COUNTIFS('Extração'!R:R,"Igual",'Extração'!L:L,A540)/B540)</f>
        <v/>
      </c>
    </row>
    <row r="541">
      <c r="B541" s="16">
        <f>COUNTIF('Extração'!L:L,A541)</f>
        <v>0</v>
      </c>
      <c r="C541" s="16" t="str">
        <f>IF(B541=0,"",COUNTIFS('Extração'!P:P,"Sim",'Extração'!L:L,A541)/B541)</f>
        <v/>
      </c>
      <c r="D541" s="16" t="str">
        <f>IF(B541=0,"",COUNTIFS('Extração'!Q:Q,"Sim",'Extração'!L:L,A541)/B541)</f>
        <v/>
      </c>
      <c r="E541" s="16" t="str">
        <f>IF(B541=0,"",COUNTIFS('Extração'!P:P,"Parcialmente",'Extração'!L:L,A541)/B541)</f>
        <v/>
      </c>
      <c r="F541" s="16" t="str">
        <f>IF(B541=0,"",COUNTIFS('Extração'!Q:Q,"Parcialmente",'Extração'!L:L,A541)/B541)</f>
        <v/>
      </c>
      <c r="G541" s="16" t="str">
        <f>IF(B541=0,"",COUNTIFS('Extração'!P:P,"Não",'Extração'!L:L,A541)/B541)</f>
        <v/>
      </c>
      <c r="H541" s="16" t="str">
        <f>IF(B541=0,"",COUNTIFS('Extração'!Q:Q,"Não",'Extração'!L:L,A541)/B541)</f>
        <v/>
      </c>
      <c r="I541" s="16" t="str">
        <f>IF(B541=0,"",COUNTIFS('Extração'!R:R,"Igual",'Extração'!L:L,A541)/B541)</f>
        <v/>
      </c>
    </row>
    <row r="542">
      <c r="B542" s="16">
        <f>COUNTIF('Extração'!L:L,A542)</f>
        <v>0</v>
      </c>
      <c r="C542" s="16" t="str">
        <f>IF(B542=0,"",COUNTIFS('Extração'!P:P,"Sim",'Extração'!L:L,A542)/B542)</f>
        <v/>
      </c>
      <c r="D542" s="16" t="str">
        <f>IF(B542=0,"",COUNTIFS('Extração'!Q:Q,"Sim",'Extração'!L:L,A542)/B542)</f>
        <v/>
      </c>
      <c r="E542" s="16" t="str">
        <f>IF(B542=0,"",COUNTIFS('Extração'!P:P,"Parcialmente",'Extração'!L:L,A542)/B542)</f>
        <v/>
      </c>
      <c r="F542" s="16" t="str">
        <f>IF(B542=0,"",COUNTIFS('Extração'!Q:Q,"Parcialmente",'Extração'!L:L,A542)/B542)</f>
        <v/>
      </c>
      <c r="G542" s="16" t="str">
        <f>IF(B542=0,"",COUNTIFS('Extração'!P:P,"Não",'Extração'!L:L,A542)/B542)</f>
        <v/>
      </c>
      <c r="H542" s="16" t="str">
        <f>IF(B542=0,"",COUNTIFS('Extração'!Q:Q,"Não",'Extração'!L:L,A542)/B542)</f>
        <v/>
      </c>
      <c r="I542" s="16" t="str">
        <f>IF(B542=0,"",COUNTIFS('Extração'!R:R,"Igual",'Extração'!L:L,A542)/B542)</f>
        <v/>
      </c>
    </row>
    <row r="543">
      <c r="B543" s="16">
        <f>COUNTIF('Extração'!L:L,A543)</f>
        <v>0</v>
      </c>
      <c r="C543" s="16" t="str">
        <f>IF(B543=0,"",COUNTIFS('Extração'!P:P,"Sim",'Extração'!L:L,A543)/B543)</f>
        <v/>
      </c>
      <c r="D543" s="16" t="str">
        <f>IF(B543=0,"",COUNTIFS('Extração'!Q:Q,"Sim",'Extração'!L:L,A543)/B543)</f>
        <v/>
      </c>
      <c r="E543" s="16" t="str">
        <f>IF(B543=0,"",COUNTIFS('Extração'!P:P,"Parcialmente",'Extração'!L:L,A543)/B543)</f>
        <v/>
      </c>
      <c r="F543" s="16" t="str">
        <f>IF(B543=0,"",COUNTIFS('Extração'!Q:Q,"Parcialmente",'Extração'!L:L,A543)/B543)</f>
        <v/>
      </c>
      <c r="G543" s="16" t="str">
        <f>IF(B543=0,"",COUNTIFS('Extração'!P:P,"Não",'Extração'!L:L,A543)/B543)</f>
        <v/>
      </c>
      <c r="H543" s="16" t="str">
        <f>IF(B543=0,"",COUNTIFS('Extração'!Q:Q,"Não",'Extração'!L:L,A543)/B543)</f>
        <v/>
      </c>
      <c r="I543" s="16" t="str">
        <f>IF(B543=0,"",COUNTIFS('Extração'!R:R,"Igual",'Extração'!L:L,A543)/B543)</f>
        <v/>
      </c>
    </row>
    <row r="544">
      <c r="B544" s="16">
        <f>COUNTIF('Extração'!L:L,A544)</f>
        <v>0</v>
      </c>
      <c r="C544" s="16" t="str">
        <f>IF(B544=0,"",COUNTIFS('Extração'!P:P,"Sim",'Extração'!L:L,A544)/B544)</f>
        <v/>
      </c>
      <c r="D544" s="16" t="str">
        <f>IF(B544=0,"",COUNTIFS('Extração'!Q:Q,"Sim",'Extração'!L:L,A544)/B544)</f>
        <v/>
      </c>
      <c r="E544" s="16" t="str">
        <f>IF(B544=0,"",COUNTIFS('Extração'!P:P,"Parcialmente",'Extração'!L:L,A544)/B544)</f>
        <v/>
      </c>
      <c r="F544" s="16" t="str">
        <f>IF(B544=0,"",COUNTIFS('Extração'!Q:Q,"Parcialmente",'Extração'!L:L,A544)/B544)</f>
        <v/>
      </c>
      <c r="G544" s="16" t="str">
        <f>IF(B544=0,"",COUNTIFS('Extração'!P:P,"Não",'Extração'!L:L,A544)/B544)</f>
        <v/>
      </c>
      <c r="H544" s="16" t="str">
        <f>IF(B544=0,"",COUNTIFS('Extração'!Q:Q,"Não",'Extração'!L:L,A544)/B544)</f>
        <v/>
      </c>
      <c r="I544" s="16" t="str">
        <f>IF(B544=0,"",COUNTIFS('Extração'!R:R,"Igual",'Extração'!L:L,A544)/B544)</f>
        <v/>
      </c>
    </row>
    <row r="545">
      <c r="B545" s="16">
        <f>COUNTIF('Extração'!L:L,A545)</f>
        <v>0</v>
      </c>
      <c r="C545" s="16" t="str">
        <f>IF(B545=0,"",COUNTIFS('Extração'!P:P,"Sim",'Extração'!L:L,A545)/B545)</f>
        <v/>
      </c>
      <c r="D545" s="16" t="str">
        <f>IF(B545=0,"",COUNTIFS('Extração'!Q:Q,"Sim",'Extração'!L:L,A545)/B545)</f>
        <v/>
      </c>
      <c r="E545" s="16" t="str">
        <f>IF(B545=0,"",COUNTIFS('Extração'!P:P,"Parcialmente",'Extração'!L:L,A545)/B545)</f>
        <v/>
      </c>
      <c r="F545" s="16" t="str">
        <f>IF(B545=0,"",COUNTIFS('Extração'!Q:Q,"Parcialmente",'Extração'!L:L,A545)/B545)</f>
        <v/>
      </c>
      <c r="G545" s="16" t="str">
        <f>IF(B545=0,"",COUNTIFS('Extração'!P:P,"Não",'Extração'!L:L,A545)/B545)</f>
        <v/>
      </c>
      <c r="H545" s="16" t="str">
        <f>IF(B545=0,"",COUNTIFS('Extração'!Q:Q,"Não",'Extração'!L:L,A545)/B545)</f>
        <v/>
      </c>
      <c r="I545" s="16" t="str">
        <f>IF(B545=0,"",COUNTIFS('Extração'!R:R,"Igual",'Extração'!L:L,A545)/B545)</f>
        <v/>
      </c>
    </row>
    <row r="546">
      <c r="B546" s="16">
        <f>COUNTIF('Extração'!L:L,A546)</f>
        <v>0</v>
      </c>
      <c r="C546" s="16" t="str">
        <f>IF(B546=0,"",COUNTIFS('Extração'!P:P,"Sim",'Extração'!L:L,A546)/B546)</f>
        <v/>
      </c>
      <c r="D546" s="16" t="str">
        <f>IF(B546=0,"",COUNTIFS('Extração'!Q:Q,"Sim",'Extração'!L:L,A546)/B546)</f>
        <v/>
      </c>
      <c r="E546" s="16" t="str">
        <f>IF(B546=0,"",COUNTIFS('Extração'!P:P,"Parcialmente",'Extração'!L:L,A546)/B546)</f>
        <v/>
      </c>
      <c r="F546" s="16" t="str">
        <f>IF(B546=0,"",COUNTIFS('Extração'!Q:Q,"Parcialmente",'Extração'!L:L,A546)/B546)</f>
        <v/>
      </c>
      <c r="G546" s="16" t="str">
        <f>IF(B546=0,"",COUNTIFS('Extração'!P:P,"Não",'Extração'!L:L,A546)/B546)</f>
        <v/>
      </c>
      <c r="H546" s="16" t="str">
        <f>IF(B546=0,"",COUNTIFS('Extração'!Q:Q,"Não",'Extração'!L:L,A546)/B546)</f>
        <v/>
      </c>
      <c r="I546" s="16" t="str">
        <f>IF(B546=0,"",COUNTIFS('Extração'!R:R,"Igual",'Extração'!L:L,A546)/B546)</f>
        <v/>
      </c>
    </row>
    <row r="547">
      <c r="B547" s="16">
        <f>COUNTIF('Extração'!L:L,A547)</f>
        <v>0</v>
      </c>
      <c r="C547" s="16" t="str">
        <f>IF(B547=0,"",COUNTIFS('Extração'!P:P,"Sim",'Extração'!L:L,A547)/B547)</f>
        <v/>
      </c>
      <c r="D547" s="16" t="str">
        <f>IF(B547=0,"",COUNTIFS('Extração'!Q:Q,"Sim",'Extração'!L:L,A547)/B547)</f>
        <v/>
      </c>
      <c r="E547" s="16" t="str">
        <f>IF(B547=0,"",COUNTIFS('Extração'!P:P,"Parcialmente",'Extração'!L:L,A547)/B547)</f>
        <v/>
      </c>
      <c r="F547" s="16" t="str">
        <f>IF(B547=0,"",COUNTIFS('Extração'!Q:Q,"Parcialmente",'Extração'!L:L,A547)/B547)</f>
        <v/>
      </c>
      <c r="G547" s="16" t="str">
        <f>IF(B547=0,"",COUNTIFS('Extração'!P:P,"Não",'Extração'!L:L,A547)/B547)</f>
        <v/>
      </c>
      <c r="H547" s="16" t="str">
        <f>IF(B547=0,"",COUNTIFS('Extração'!Q:Q,"Não",'Extração'!L:L,A547)/B547)</f>
        <v/>
      </c>
      <c r="I547" s="16" t="str">
        <f>IF(B547=0,"",COUNTIFS('Extração'!R:R,"Igual",'Extração'!L:L,A547)/B547)</f>
        <v/>
      </c>
    </row>
    <row r="548">
      <c r="B548" s="16">
        <f>COUNTIF('Extração'!L:L,A548)</f>
        <v>0</v>
      </c>
      <c r="C548" s="16" t="str">
        <f>IF(B548=0,"",COUNTIFS('Extração'!P:P,"Sim",'Extração'!L:L,A548)/B548)</f>
        <v/>
      </c>
      <c r="D548" s="16" t="str">
        <f>IF(B548=0,"",COUNTIFS('Extração'!Q:Q,"Sim",'Extração'!L:L,A548)/B548)</f>
        <v/>
      </c>
      <c r="E548" s="16" t="str">
        <f>IF(B548=0,"",COUNTIFS('Extração'!P:P,"Parcialmente",'Extração'!L:L,A548)/B548)</f>
        <v/>
      </c>
      <c r="F548" s="16" t="str">
        <f>IF(B548=0,"",COUNTIFS('Extração'!Q:Q,"Parcialmente",'Extração'!L:L,A548)/B548)</f>
        <v/>
      </c>
      <c r="G548" s="16" t="str">
        <f>IF(B548=0,"",COUNTIFS('Extração'!P:P,"Não",'Extração'!L:L,A548)/B548)</f>
        <v/>
      </c>
      <c r="H548" s="16" t="str">
        <f>IF(B548=0,"",COUNTIFS('Extração'!Q:Q,"Não",'Extração'!L:L,A548)/B548)</f>
        <v/>
      </c>
      <c r="I548" s="16" t="str">
        <f>IF(B548=0,"",COUNTIFS('Extração'!R:R,"Igual",'Extração'!L:L,A548)/B548)</f>
        <v/>
      </c>
    </row>
    <row r="549">
      <c r="B549" s="16">
        <f>COUNTIF('Extração'!L:L,A549)</f>
        <v>0</v>
      </c>
      <c r="C549" s="16" t="str">
        <f>IF(B549=0,"",COUNTIFS('Extração'!P:P,"Sim",'Extração'!L:L,A549)/B549)</f>
        <v/>
      </c>
      <c r="D549" s="16" t="str">
        <f>IF(B549=0,"",COUNTIFS('Extração'!Q:Q,"Sim",'Extração'!L:L,A549)/B549)</f>
        <v/>
      </c>
      <c r="E549" s="16" t="str">
        <f>IF(B549=0,"",COUNTIFS('Extração'!P:P,"Parcialmente",'Extração'!L:L,A549)/B549)</f>
        <v/>
      </c>
      <c r="F549" s="16" t="str">
        <f>IF(B549=0,"",COUNTIFS('Extração'!Q:Q,"Parcialmente",'Extração'!L:L,A549)/B549)</f>
        <v/>
      </c>
      <c r="G549" s="16" t="str">
        <f>IF(B549=0,"",COUNTIFS('Extração'!P:P,"Não",'Extração'!L:L,A549)/B549)</f>
        <v/>
      </c>
      <c r="H549" s="16" t="str">
        <f>IF(B549=0,"",COUNTIFS('Extração'!Q:Q,"Não",'Extração'!L:L,A549)/B549)</f>
        <v/>
      </c>
      <c r="I549" s="16" t="str">
        <f>IF(B549=0,"",COUNTIFS('Extração'!R:R,"Igual",'Extração'!L:L,A549)/B549)</f>
        <v/>
      </c>
    </row>
    <row r="550">
      <c r="B550" s="16">
        <f>COUNTIF('Extração'!L:L,A550)</f>
        <v>0</v>
      </c>
      <c r="C550" s="16" t="str">
        <f>IF(B550=0,"",COUNTIFS('Extração'!P:P,"Sim",'Extração'!L:L,A550)/B550)</f>
        <v/>
      </c>
      <c r="D550" s="16" t="str">
        <f>IF(B550=0,"",COUNTIFS('Extração'!Q:Q,"Sim",'Extração'!L:L,A550)/B550)</f>
        <v/>
      </c>
      <c r="E550" s="16" t="str">
        <f>IF(B550=0,"",COUNTIFS('Extração'!P:P,"Parcialmente",'Extração'!L:L,A550)/B550)</f>
        <v/>
      </c>
      <c r="F550" s="16" t="str">
        <f>IF(B550=0,"",COUNTIFS('Extração'!Q:Q,"Parcialmente",'Extração'!L:L,A550)/B550)</f>
        <v/>
      </c>
      <c r="G550" s="16" t="str">
        <f>IF(B550=0,"",COUNTIFS('Extração'!P:P,"Não",'Extração'!L:L,A550)/B550)</f>
        <v/>
      </c>
      <c r="H550" s="16" t="str">
        <f>IF(B550=0,"",COUNTIFS('Extração'!Q:Q,"Não",'Extração'!L:L,A550)/B550)</f>
        <v/>
      </c>
      <c r="I550" s="16" t="str">
        <f>IF(B550=0,"",COUNTIFS('Extração'!R:R,"Igual",'Extração'!L:L,A550)/B550)</f>
        <v/>
      </c>
    </row>
    <row r="551">
      <c r="B551" s="16">
        <f>COUNTIF('Extração'!L:L,A551)</f>
        <v>0</v>
      </c>
      <c r="C551" s="16" t="str">
        <f>IF(B551=0,"",COUNTIFS('Extração'!P:P,"Sim",'Extração'!L:L,A551)/B551)</f>
        <v/>
      </c>
      <c r="D551" s="16" t="str">
        <f>IF(B551=0,"",COUNTIFS('Extração'!Q:Q,"Sim",'Extração'!L:L,A551)/B551)</f>
        <v/>
      </c>
      <c r="E551" s="16" t="str">
        <f>IF(B551=0,"",COUNTIFS('Extração'!P:P,"Parcialmente",'Extração'!L:L,A551)/B551)</f>
        <v/>
      </c>
      <c r="F551" s="16" t="str">
        <f>IF(B551=0,"",COUNTIFS('Extração'!Q:Q,"Parcialmente",'Extração'!L:L,A551)/B551)</f>
        <v/>
      </c>
      <c r="G551" s="16" t="str">
        <f>IF(B551=0,"",COUNTIFS('Extração'!P:P,"Não",'Extração'!L:L,A551)/B551)</f>
        <v/>
      </c>
      <c r="H551" s="16" t="str">
        <f>IF(B551=0,"",COUNTIFS('Extração'!Q:Q,"Não",'Extração'!L:L,A551)/B551)</f>
        <v/>
      </c>
      <c r="I551" s="16" t="str">
        <f>IF(B551=0,"",COUNTIFS('Extração'!R:R,"Igual",'Extração'!L:L,A551)/B551)</f>
        <v/>
      </c>
    </row>
    <row r="552">
      <c r="B552" s="16">
        <f>COUNTIF('Extração'!L:L,A552)</f>
        <v>0</v>
      </c>
      <c r="C552" s="16" t="str">
        <f>IF(B552=0,"",COUNTIFS('Extração'!P:P,"Sim",'Extração'!L:L,A552)/B552)</f>
        <v/>
      </c>
      <c r="D552" s="16" t="str">
        <f>IF(B552=0,"",COUNTIFS('Extração'!Q:Q,"Sim",'Extração'!L:L,A552)/B552)</f>
        <v/>
      </c>
      <c r="E552" s="16" t="str">
        <f>IF(B552=0,"",COUNTIFS('Extração'!P:P,"Parcialmente",'Extração'!L:L,A552)/B552)</f>
        <v/>
      </c>
      <c r="F552" s="16" t="str">
        <f>IF(B552=0,"",COUNTIFS('Extração'!Q:Q,"Parcialmente",'Extração'!L:L,A552)/B552)</f>
        <v/>
      </c>
      <c r="G552" s="16" t="str">
        <f>IF(B552=0,"",COUNTIFS('Extração'!P:P,"Não",'Extração'!L:L,A552)/B552)</f>
        <v/>
      </c>
      <c r="H552" s="16" t="str">
        <f>IF(B552=0,"",COUNTIFS('Extração'!Q:Q,"Não",'Extração'!L:L,A552)/B552)</f>
        <v/>
      </c>
      <c r="I552" s="16" t="str">
        <f>IF(B552=0,"",COUNTIFS('Extração'!R:R,"Igual",'Extração'!L:L,A552)/B552)</f>
        <v/>
      </c>
    </row>
    <row r="553">
      <c r="B553" s="16">
        <f>COUNTIF('Extração'!L:L,A553)</f>
        <v>0</v>
      </c>
      <c r="C553" s="16" t="str">
        <f>IF(B553=0,"",COUNTIFS('Extração'!P:P,"Sim",'Extração'!L:L,A553)/B553)</f>
        <v/>
      </c>
      <c r="D553" s="16" t="str">
        <f>IF(B553=0,"",COUNTIFS('Extração'!Q:Q,"Sim",'Extração'!L:L,A553)/B553)</f>
        <v/>
      </c>
      <c r="E553" s="16" t="str">
        <f>IF(B553=0,"",COUNTIFS('Extração'!P:P,"Parcialmente",'Extração'!L:L,A553)/B553)</f>
        <v/>
      </c>
      <c r="F553" s="16" t="str">
        <f>IF(B553=0,"",COUNTIFS('Extração'!Q:Q,"Parcialmente",'Extração'!L:L,A553)/B553)</f>
        <v/>
      </c>
      <c r="G553" s="16" t="str">
        <f>IF(B553=0,"",COUNTIFS('Extração'!P:P,"Não",'Extração'!L:L,A553)/B553)</f>
        <v/>
      </c>
      <c r="H553" s="16" t="str">
        <f>IF(B553=0,"",COUNTIFS('Extração'!Q:Q,"Não",'Extração'!L:L,A553)/B553)</f>
        <v/>
      </c>
      <c r="I553" s="16" t="str">
        <f>IF(B553=0,"",COUNTIFS('Extração'!R:R,"Igual",'Extração'!L:L,A553)/B553)</f>
        <v/>
      </c>
    </row>
    <row r="554">
      <c r="B554" s="16">
        <f>COUNTIF('Extração'!L:L,A554)</f>
        <v>0</v>
      </c>
      <c r="C554" s="16" t="str">
        <f>IF(B554=0,"",COUNTIFS('Extração'!P:P,"Sim",'Extração'!L:L,A554)/B554)</f>
        <v/>
      </c>
      <c r="D554" s="16" t="str">
        <f>IF(B554=0,"",COUNTIFS('Extração'!Q:Q,"Sim",'Extração'!L:L,A554)/B554)</f>
        <v/>
      </c>
      <c r="E554" s="16" t="str">
        <f>IF(B554=0,"",COUNTIFS('Extração'!P:P,"Parcialmente",'Extração'!L:L,A554)/B554)</f>
        <v/>
      </c>
      <c r="F554" s="16" t="str">
        <f>IF(B554=0,"",COUNTIFS('Extração'!Q:Q,"Parcialmente",'Extração'!L:L,A554)/B554)</f>
        <v/>
      </c>
      <c r="G554" s="16" t="str">
        <f>IF(B554=0,"",COUNTIFS('Extração'!P:P,"Não",'Extração'!L:L,A554)/B554)</f>
        <v/>
      </c>
      <c r="H554" s="16" t="str">
        <f>IF(B554=0,"",COUNTIFS('Extração'!Q:Q,"Não",'Extração'!L:L,A554)/B554)</f>
        <v/>
      </c>
      <c r="I554" s="16" t="str">
        <f>IF(B554=0,"",COUNTIFS('Extração'!R:R,"Igual",'Extração'!L:L,A554)/B554)</f>
        <v/>
      </c>
    </row>
    <row r="555">
      <c r="B555" s="16">
        <f>COUNTIF('Extração'!L:L,A555)</f>
        <v>0</v>
      </c>
      <c r="C555" s="16" t="str">
        <f>IF(B555=0,"",COUNTIFS('Extração'!P:P,"Sim",'Extração'!L:L,A555)/B555)</f>
        <v/>
      </c>
      <c r="D555" s="16" t="str">
        <f>IF(B555=0,"",COUNTIFS('Extração'!Q:Q,"Sim",'Extração'!L:L,A555)/B555)</f>
        <v/>
      </c>
      <c r="E555" s="16" t="str">
        <f>IF(B555=0,"",COUNTIFS('Extração'!P:P,"Parcialmente",'Extração'!L:L,A555)/B555)</f>
        <v/>
      </c>
      <c r="F555" s="16" t="str">
        <f>IF(B555=0,"",COUNTIFS('Extração'!Q:Q,"Parcialmente",'Extração'!L:L,A555)/B555)</f>
        <v/>
      </c>
      <c r="G555" s="16" t="str">
        <f>IF(B555=0,"",COUNTIFS('Extração'!P:P,"Não",'Extração'!L:L,A555)/B555)</f>
        <v/>
      </c>
      <c r="H555" s="16" t="str">
        <f>IF(B555=0,"",COUNTIFS('Extração'!Q:Q,"Não",'Extração'!L:L,A555)/B555)</f>
        <v/>
      </c>
      <c r="I555" s="16" t="str">
        <f>IF(B555=0,"",COUNTIFS('Extração'!R:R,"Igual",'Extração'!L:L,A555)/B555)</f>
        <v/>
      </c>
    </row>
    <row r="556">
      <c r="B556" s="16">
        <f>COUNTIF('Extração'!L:L,A556)</f>
        <v>0</v>
      </c>
      <c r="C556" s="16" t="str">
        <f>IF(B556=0,"",COUNTIFS('Extração'!P:P,"Sim",'Extração'!L:L,A556)/B556)</f>
        <v/>
      </c>
      <c r="D556" s="16" t="str">
        <f>IF(B556=0,"",COUNTIFS('Extração'!Q:Q,"Sim",'Extração'!L:L,A556)/B556)</f>
        <v/>
      </c>
      <c r="E556" s="16" t="str">
        <f>IF(B556=0,"",COUNTIFS('Extração'!P:P,"Parcialmente",'Extração'!L:L,A556)/B556)</f>
        <v/>
      </c>
      <c r="F556" s="16" t="str">
        <f>IF(B556=0,"",COUNTIFS('Extração'!Q:Q,"Parcialmente",'Extração'!L:L,A556)/B556)</f>
        <v/>
      </c>
      <c r="G556" s="16" t="str">
        <f>IF(B556=0,"",COUNTIFS('Extração'!P:P,"Não",'Extração'!L:L,A556)/B556)</f>
        <v/>
      </c>
      <c r="H556" s="16" t="str">
        <f>IF(B556=0,"",COUNTIFS('Extração'!Q:Q,"Não",'Extração'!L:L,A556)/B556)</f>
        <v/>
      </c>
      <c r="I556" s="16" t="str">
        <f>IF(B556=0,"",COUNTIFS('Extração'!R:R,"Igual",'Extração'!L:L,A556)/B556)</f>
        <v/>
      </c>
    </row>
    <row r="557">
      <c r="B557" s="16">
        <f>COUNTIF('Extração'!L:L,A557)</f>
        <v>0</v>
      </c>
      <c r="C557" s="16" t="str">
        <f>IF(B557=0,"",COUNTIFS('Extração'!P:P,"Sim",'Extração'!L:L,A557)/B557)</f>
        <v/>
      </c>
      <c r="D557" s="16" t="str">
        <f>IF(B557=0,"",COUNTIFS('Extração'!Q:Q,"Sim",'Extração'!L:L,A557)/B557)</f>
        <v/>
      </c>
      <c r="E557" s="16" t="str">
        <f>IF(B557=0,"",COUNTIFS('Extração'!P:P,"Parcialmente",'Extração'!L:L,A557)/B557)</f>
        <v/>
      </c>
      <c r="F557" s="16" t="str">
        <f>IF(B557=0,"",COUNTIFS('Extração'!Q:Q,"Parcialmente",'Extração'!L:L,A557)/B557)</f>
        <v/>
      </c>
      <c r="G557" s="16" t="str">
        <f>IF(B557=0,"",COUNTIFS('Extração'!P:P,"Não",'Extração'!L:L,A557)/B557)</f>
        <v/>
      </c>
      <c r="H557" s="16" t="str">
        <f>IF(B557=0,"",COUNTIFS('Extração'!Q:Q,"Não",'Extração'!L:L,A557)/B557)</f>
        <v/>
      </c>
      <c r="I557" s="16" t="str">
        <f>IF(B557=0,"",COUNTIFS('Extração'!R:R,"Igual",'Extração'!L:L,A557)/B557)</f>
        <v/>
      </c>
    </row>
    <row r="558">
      <c r="B558" s="16">
        <f>COUNTIF('Extração'!L:L,A558)</f>
        <v>0</v>
      </c>
      <c r="C558" s="16" t="str">
        <f>IF(B558=0,"",COUNTIFS('Extração'!P:P,"Sim",'Extração'!L:L,A558)/B558)</f>
        <v/>
      </c>
      <c r="D558" s="16" t="str">
        <f>IF(B558=0,"",COUNTIFS('Extração'!Q:Q,"Sim",'Extração'!L:L,A558)/B558)</f>
        <v/>
      </c>
      <c r="E558" s="16" t="str">
        <f>IF(B558=0,"",COUNTIFS('Extração'!P:P,"Parcialmente",'Extração'!L:L,A558)/B558)</f>
        <v/>
      </c>
      <c r="F558" s="16" t="str">
        <f>IF(B558=0,"",COUNTIFS('Extração'!Q:Q,"Parcialmente",'Extração'!L:L,A558)/B558)</f>
        <v/>
      </c>
      <c r="G558" s="16" t="str">
        <f>IF(B558=0,"",COUNTIFS('Extração'!P:P,"Não",'Extração'!L:L,A558)/B558)</f>
        <v/>
      </c>
      <c r="H558" s="16" t="str">
        <f>IF(B558=0,"",COUNTIFS('Extração'!Q:Q,"Não",'Extração'!L:L,A558)/B558)</f>
        <v/>
      </c>
      <c r="I558" s="16" t="str">
        <f>IF(B558=0,"",COUNTIFS('Extração'!R:R,"Igual",'Extração'!L:L,A558)/B558)</f>
        <v/>
      </c>
    </row>
    <row r="559">
      <c r="B559" s="16">
        <f>COUNTIF('Extração'!L:L,A559)</f>
        <v>0</v>
      </c>
      <c r="C559" s="16" t="str">
        <f>IF(B559=0,"",COUNTIFS('Extração'!P:P,"Sim",'Extração'!L:L,A559)/B559)</f>
        <v/>
      </c>
      <c r="D559" s="16" t="str">
        <f>IF(B559=0,"",COUNTIFS('Extração'!Q:Q,"Sim",'Extração'!L:L,A559)/B559)</f>
        <v/>
      </c>
      <c r="E559" s="16" t="str">
        <f>IF(B559=0,"",COUNTIFS('Extração'!P:P,"Parcialmente",'Extração'!L:L,A559)/B559)</f>
        <v/>
      </c>
      <c r="F559" s="16" t="str">
        <f>IF(B559=0,"",COUNTIFS('Extração'!Q:Q,"Parcialmente",'Extração'!L:L,A559)/B559)</f>
        <v/>
      </c>
      <c r="G559" s="16" t="str">
        <f>IF(B559=0,"",COUNTIFS('Extração'!P:P,"Não",'Extração'!L:L,A559)/B559)</f>
        <v/>
      </c>
      <c r="H559" s="16" t="str">
        <f>IF(B559=0,"",COUNTIFS('Extração'!Q:Q,"Não",'Extração'!L:L,A559)/B559)</f>
        <v/>
      </c>
      <c r="I559" s="16" t="str">
        <f>IF(B559=0,"",COUNTIFS('Extração'!R:R,"Igual",'Extração'!L:L,A559)/B559)</f>
        <v/>
      </c>
    </row>
    <row r="560">
      <c r="B560" s="16">
        <f>COUNTIF('Extração'!L:L,A560)</f>
        <v>0</v>
      </c>
      <c r="C560" s="16" t="str">
        <f>IF(B560=0,"",COUNTIFS('Extração'!P:P,"Sim",'Extração'!L:L,A560)/B560)</f>
        <v/>
      </c>
      <c r="D560" s="16" t="str">
        <f>IF(B560=0,"",COUNTIFS('Extração'!Q:Q,"Sim",'Extração'!L:L,A560)/B560)</f>
        <v/>
      </c>
      <c r="E560" s="16" t="str">
        <f>IF(B560=0,"",COUNTIFS('Extração'!P:P,"Parcialmente",'Extração'!L:L,A560)/B560)</f>
        <v/>
      </c>
      <c r="F560" s="16" t="str">
        <f>IF(B560=0,"",COUNTIFS('Extração'!Q:Q,"Parcialmente",'Extração'!L:L,A560)/B560)</f>
        <v/>
      </c>
      <c r="G560" s="16" t="str">
        <f>IF(B560=0,"",COUNTIFS('Extração'!P:P,"Não",'Extração'!L:L,A560)/B560)</f>
        <v/>
      </c>
      <c r="H560" s="16" t="str">
        <f>IF(B560=0,"",COUNTIFS('Extração'!Q:Q,"Não",'Extração'!L:L,A560)/B560)</f>
        <v/>
      </c>
      <c r="I560" s="16" t="str">
        <f>IF(B560=0,"",COUNTIFS('Extração'!R:R,"Igual",'Extração'!L:L,A560)/B560)</f>
        <v/>
      </c>
    </row>
    <row r="561">
      <c r="B561" s="16">
        <f>COUNTIF('Extração'!L:L,A561)</f>
        <v>0</v>
      </c>
      <c r="C561" s="16" t="str">
        <f>IF(B561=0,"",COUNTIFS('Extração'!P:P,"Sim",'Extração'!L:L,A561)/B561)</f>
        <v/>
      </c>
      <c r="D561" s="16" t="str">
        <f>IF(B561=0,"",COUNTIFS('Extração'!Q:Q,"Sim",'Extração'!L:L,A561)/B561)</f>
        <v/>
      </c>
      <c r="E561" s="16" t="str">
        <f>IF(B561=0,"",COUNTIFS('Extração'!P:P,"Parcialmente",'Extração'!L:L,A561)/B561)</f>
        <v/>
      </c>
      <c r="F561" s="16" t="str">
        <f>IF(B561=0,"",COUNTIFS('Extração'!Q:Q,"Parcialmente",'Extração'!L:L,A561)/B561)</f>
        <v/>
      </c>
      <c r="G561" s="16" t="str">
        <f>IF(B561=0,"",COUNTIFS('Extração'!P:P,"Não",'Extração'!L:L,A561)/B561)</f>
        <v/>
      </c>
      <c r="H561" s="16" t="str">
        <f>IF(B561=0,"",COUNTIFS('Extração'!Q:Q,"Não",'Extração'!L:L,A561)/B561)</f>
        <v/>
      </c>
      <c r="I561" s="16" t="str">
        <f>IF(B561=0,"",COUNTIFS('Extração'!R:R,"Igual",'Extração'!L:L,A561)/B561)</f>
        <v/>
      </c>
    </row>
    <row r="562">
      <c r="B562" s="16">
        <f>COUNTIF('Extração'!L:L,A562)</f>
        <v>0</v>
      </c>
      <c r="C562" s="16" t="str">
        <f>IF(B562=0,"",COUNTIFS('Extração'!P:P,"Sim",'Extração'!L:L,A562)/B562)</f>
        <v/>
      </c>
      <c r="D562" s="16" t="str">
        <f>IF(B562=0,"",COUNTIFS('Extração'!Q:Q,"Sim",'Extração'!L:L,A562)/B562)</f>
        <v/>
      </c>
      <c r="E562" s="16" t="str">
        <f>IF(B562=0,"",COUNTIFS('Extração'!P:P,"Parcialmente",'Extração'!L:L,A562)/B562)</f>
        <v/>
      </c>
      <c r="F562" s="16" t="str">
        <f>IF(B562=0,"",COUNTIFS('Extração'!Q:Q,"Parcialmente",'Extração'!L:L,A562)/B562)</f>
        <v/>
      </c>
      <c r="G562" s="16" t="str">
        <f>IF(B562=0,"",COUNTIFS('Extração'!P:P,"Não",'Extração'!L:L,A562)/B562)</f>
        <v/>
      </c>
      <c r="H562" s="16" t="str">
        <f>IF(B562=0,"",COUNTIFS('Extração'!Q:Q,"Não",'Extração'!L:L,A562)/B562)</f>
        <v/>
      </c>
      <c r="I562" s="16" t="str">
        <f>IF(B562=0,"",COUNTIFS('Extração'!R:R,"Igual",'Extração'!L:L,A562)/B562)</f>
        <v/>
      </c>
    </row>
    <row r="563">
      <c r="B563" s="16">
        <f>COUNTIF('Extração'!L:L,A563)</f>
        <v>0</v>
      </c>
      <c r="C563" s="16" t="str">
        <f>IF(B563=0,"",COUNTIFS('Extração'!P:P,"Sim",'Extração'!L:L,A563)/B563)</f>
        <v/>
      </c>
      <c r="D563" s="16" t="str">
        <f>IF(B563=0,"",COUNTIFS('Extração'!Q:Q,"Sim",'Extração'!L:L,A563)/B563)</f>
        <v/>
      </c>
      <c r="E563" s="16" t="str">
        <f>IF(B563=0,"",COUNTIFS('Extração'!P:P,"Parcialmente",'Extração'!L:L,A563)/B563)</f>
        <v/>
      </c>
      <c r="F563" s="16" t="str">
        <f>IF(B563=0,"",COUNTIFS('Extração'!Q:Q,"Parcialmente",'Extração'!L:L,A563)/B563)</f>
        <v/>
      </c>
      <c r="G563" s="16" t="str">
        <f>IF(B563=0,"",COUNTIFS('Extração'!P:P,"Não",'Extração'!L:L,A563)/B563)</f>
        <v/>
      </c>
      <c r="H563" s="16" t="str">
        <f>IF(B563=0,"",COUNTIFS('Extração'!Q:Q,"Não",'Extração'!L:L,A563)/B563)</f>
        <v/>
      </c>
      <c r="I563" s="16" t="str">
        <f>IF(B563=0,"",COUNTIFS('Extração'!R:R,"Igual",'Extração'!L:L,A563)/B563)</f>
        <v/>
      </c>
    </row>
    <row r="564">
      <c r="B564" s="16">
        <f>COUNTIF('Extração'!L:L,A564)</f>
        <v>0</v>
      </c>
      <c r="C564" s="16" t="str">
        <f>IF(B564=0,"",COUNTIFS('Extração'!P:P,"Sim",'Extração'!L:L,A564)/B564)</f>
        <v/>
      </c>
      <c r="D564" s="16" t="str">
        <f>IF(B564=0,"",COUNTIFS('Extração'!Q:Q,"Sim",'Extração'!L:L,A564)/B564)</f>
        <v/>
      </c>
      <c r="E564" s="16" t="str">
        <f>IF(B564=0,"",COUNTIFS('Extração'!P:P,"Parcialmente",'Extração'!L:L,A564)/B564)</f>
        <v/>
      </c>
      <c r="F564" s="16" t="str">
        <f>IF(B564=0,"",COUNTIFS('Extração'!Q:Q,"Parcialmente",'Extração'!L:L,A564)/B564)</f>
        <v/>
      </c>
      <c r="G564" s="16" t="str">
        <f>IF(B564=0,"",COUNTIFS('Extração'!P:P,"Não",'Extração'!L:L,A564)/B564)</f>
        <v/>
      </c>
      <c r="H564" s="16" t="str">
        <f>IF(B564=0,"",COUNTIFS('Extração'!Q:Q,"Não",'Extração'!L:L,A564)/B564)</f>
        <v/>
      </c>
      <c r="I564" s="16" t="str">
        <f>IF(B564=0,"",COUNTIFS('Extração'!R:R,"Igual",'Extração'!L:L,A564)/B564)</f>
        <v/>
      </c>
    </row>
    <row r="565">
      <c r="B565" s="16">
        <f>COUNTIF('Extração'!L:L,A565)</f>
        <v>0</v>
      </c>
      <c r="C565" s="16" t="str">
        <f>IF(B565=0,"",COUNTIFS('Extração'!P:P,"Sim",'Extração'!L:L,A565)/B565)</f>
        <v/>
      </c>
      <c r="D565" s="16" t="str">
        <f>IF(B565=0,"",COUNTIFS('Extração'!Q:Q,"Sim",'Extração'!L:L,A565)/B565)</f>
        <v/>
      </c>
      <c r="E565" s="16" t="str">
        <f>IF(B565=0,"",COUNTIFS('Extração'!P:P,"Parcialmente",'Extração'!L:L,A565)/B565)</f>
        <v/>
      </c>
      <c r="F565" s="16" t="str">
        <f>IF(B565=0,"",COUNTIFS('Extração'!Q:Q,"Parcialmente",'Extração'!L:L,A565)/B565)</f>
        <v/>
      </c>
      <c r="G565" s="16" t="str">
        <f>IF(B565=0,"",COUNTIFS('Extração'!P:P,"Não",'Extração'!L:L,A565)/B565)</f>
        <v/>
      </c>
      <c r="H565" s="16" t="str">
        <f>IF(B565=0,"",COUNTIFS('Extração'!Q:Q,"Não",'Extração'!L:L,A565)/B565)</f>
        <v/>
      </c>
      <c r="I565" s="16" t="str">
        <f>IF(B565=0,"",COUNTIFS('Extração'!R:R,"Igual",'Extração'!L:L,A565)/B565)</f>
        <v/>
      </c>
    </row>
    <row r="566">
      <c r="B566" s="16">
        <f>COUNTIF('Extração'!L:L,A566)</f>
        <v>0</v>
      </c>
      <c r="C566" s="16" t="str">
        <f>IF(B566=0,"",COUNTIFS('Extração'!P:P,"Sim",'Extração'!L:L,A566)/B566)</f>
        <v/>
      </c>
      <c r="D566" s="16" t="str">
        <f>IF(B566=0,"",COUNTIFS('Extração'!Q:Q,"Sim",'Extração'!L:L,A566)/B566)</f>
        <v/>
      </c>
      <c r="E566" s="16" t="str">
        <f>IF(B566=0,"",COUNTIFS('Extração'!P:P,"Parcialmente",'Extração'!L:L,A566)/B566)</f>
        <v/>
      </c>
      <c r="F566" s="16" t="str">
        <f>IF(B566=0,"",COUNTIFS('Extração'!Q:Q,"Parcialmente",'Extração'!L:L,A566)/B566)</f>
        <v/>
      </c>
      <c r="G566" s="16" t="str">
        <f>IF(B566=0,"",COUNTIFS('Extração'!P:P,"Não",'Extração'!L:L,A566)/B566)</f>
        <v/>
      </c>
      <c r="H566" s="16" t="str">
        <f>IF(B566=0,"",COUNTIFS('Extração'!Q:Q,"Não",'Extração'!L:L,A566)/B566)</f>
        <v/>
      </c>
      <c r="I566" s="16" t="str">
        <f>IF(B566=0,"",COUNTIFS('Extração'!R:R,"Igual",'Extração'!L:L,A566)/B566)</f>
        <v/>
      </c>
    </row>
    <row r="567">
      <c r="B567" s="16">
        <f>COUNTIF('Extração'!L:L,A567)</f>
        <v>0</v>
      </c>
      <c r="C567" s="16" t="str">
        <f>IF(B567=0,"",COUNTIFS('Extração'!P:P,"Sim",'Extração'!L:L,A567)/B567)</f>
        <v/>
      </c>
      <c r="D567" s="16" t="str">
        <f>IF(B567=0,"",COUNTIFS('Extração'!Q:Q,"Sim",'Extração'!L:L,A567)/B567)</f>
        <v/>
      </c>
      <c r="E567" s="16" t="str">
        <f>IF(B567=0,"",COUNTIFS('Extração'!P:P,"Parcialmente",'Extração'!L:L,A567)/B567)</f>
        <v/>
      </c>
      <c r="F567" s="16" t="str">
        <f>IF(B567=0,"",COUNTIFS('Extração'!Q:Q,"Parcialmente",'Extração'!L:L,A567)/B567)</f>
        <v/>
      </c>
      <c r="G567" s="16" t="str">
        <f>IF(B567=0,"",COUNTIFS('Extração'!P:P,"Não",'Extração'!L:L,A567)/B567)</f>
        <v/>
      </c>
      <c r="H567" s="16" t="str">
        <f>IF(B567=0,"",COUNTIFS('Extração'!Q:Q,"Não",'Extração'!L:L,A567)/B567)</f>
        <v/>
      </c>
      <c r="I567" s="16" t="str">
        <f>IF(B567=0,"",COUNTIFS('Extração'!R:R,"Igual",'Extração'!L:L,A567)/B567)</f>
        <v/>
      </c>
    </row>
    <row r="568">
      <c r="B568" s="16">
        <f>COUNTIF('Extração'!L:L,A568)</f>
        <v>0</v>
      </c>
      <c r="C568" s="16" t="str">
        <f>IF(B568=0,"",COUNTIFS('Extração'!P:P,"Sim",'Extração'!L:L,A568)/B568)</f>
        <v/>
      </c>
      <c r="D568" s="16" t="str">
        <f>IF(B568=0,"",COUNTIFS('Extração'!Q:Q,"Sim",'Extração'!L:L,A568)/B568)</f>
        <v/>
      </c>
      <c r="E568" s="16" t="str">
        <f>IF(B568=0,"",COUNTIFS('Extração'!P:P,"Parcialmente",'Extração'!L:L,A568)/B568)</f>
        <v/>
      </c>
      <c r="F568" s="16" t="str">
        <f>IF(B568=0,"",COUNTIFS('Extração'!Q:Q,"Parcialmente",'Extração'!L:L,A568)/B568)</f>
        <v/>
      </c>
      <c r="G568" s="16" t="str">
        <f>IF(B568=0,"",COUNTIFS('Extração'!P:P,"Não",'Extração'!L:L,A568)/B568)</f>
        <v/>
      </c>
      <c r="H568" s="16" t="str">
        <f>IF(B568=0,"",COUNTIFS('Extração'!Q:Q,"Não",'Extração'!L:L,A568)/B568)</f>
        <v/>
      </c>
      <c r="I568" s="16" t="str">
        <f>IF(B568=0,"",COUNTIFS('Extração'!R:R,"Igual",'Extração'!L:L,A568)/B568)</f>
        <v/>
      </c>
    </row>
    <row r="569">
      <c r="B569" s="16">
        <f>COUNTIF('Extração'!L:L,A569)</f>
        <v>0</v>
      </c>
      <c r="C569" s="16" t="str">
        <f>IF(B569=0,"",COUNTIFS('Extração'!P:P,"Sim",'Extração'!L:L,A569)/B569)</f>
        <v/>
      </c>
      <c r="D569" s="16" t="str">
        <f>IF(B569=0,"",COUNTIFS('Extração'!Q:Q,"Sim",'Extração'!L:L,A569)/B569)</f>
        <v/>
      </c>
      <c r="E569" s="16" t="str">
        <f>IF(B569=0,"",COUNTIFS('Extração'!P:P,"Parcialmente",'Extração'!L:L,A569)/B569)</f>
        <v/>
      </c>
      <c r="F569" s="16" t="str">
        <f>IF(B569=0,"",COUNTIFS('Extração'!Q:Q,"Parcialmente",'Extração'!L:L,A569)/B569)</f>
        <v/>
      </c>
      <c r="G569" s="16" t="str">
        <f>IF(B569=0,"",COUNTIFS('Extração'!P:P,"Não",'Extração'!L:L,A569)/B569)</f>
        <v/>
      </c>
      <c r="H569" s="16" t="str">
        <f>IF(B569=0,"",COUNTIFS('Extração'!Q:Q,"Não",'Extração'!L:L,A569)/B569)</f>
        <v/>
      </c>
      <c r="I569" s="16" t="str">
        <f>IF(B569=0,"",COUNTIFS('Extração'!R:R,"Igual",'Extração'!L:L,A569)/B569)</f>
        <v/>
      </c>
    </row>
    <row r="570">
      <c r="B570" s="16">
        <f>COUNTIF('Extração'!L:L,A570)</f>
        <v>0</v>
      </c>
      <c r="C570" s="16" t="str">
        <f>IF(B570=0,"",COUNTIFS('Extração'!P:P,"Sim",'Extração'!L:L,A570)/B570)</f>
        <v/>
      </c>
      <c r="D570" s="16" t="str">
        <f>IF(B570=0,"",COUNTIFS('Extração'!Q:Q,"Sim",'Extração'!L:L,A570)/B570)</f>
        <v/>
      </c>
      <c r="E570" s="16" t="str">
        <f>IF(B570=0,"",COUNTIFS('Extração'!P:P,"Parcialmente",'Extração'!L:L,A570)/B570)</f>
        <v/>
      </c>
      <c r="F570" s="16" t="str">
        <f>IF(B570=0,"",COUNTIFS('Extração'!Q:Q,"Parcialmente",'Extração'!L:L,A570)/B570)</f>
        <v/>
      </c>
      <c r="G570" s="16" t="str">
        <f>IF(B570=0,"",COUNTIFS('Extração'!P:P,"Não",'Extração'!L:L,A570)/B570)</f>
        <v/>
      </c>
      <c r="H570" s="16" t="str">
        <f>IF(B570=0,"",COUNTIFS('Extração'!Q:Q,"Não",'Extração'!L:L,A570)/B570)</f>
        <v/>
      </c>
      <c r="I570" s="16" t="str">
        <f>IF(B570=0,"",COUNTIFS('Extração'!R:R,"Igual",'Extração'!L:L,A570)/B570)</f>
        <v/>
      </c>
    </row>
    <row r="571">
      <c r="B571" s="16">
        <f>COUNTIF('Extração'!L:L,A571)</f>
        <v>0</v>
      </c>
      <c r="C571" s="16" t="str">
        <f>IF(B571=0,"",COUNTIFS('Extração'!P:P,"Sim",'Extração'!L:L,A571)/B571)</f>
        <v/>
      </c>
      <c r="D571" s="16" t="str">
        <f>IF(B571=0,"",COUNTIFS('Extração'!Q:Q,"Sim",'Extração'!L:L,A571)/B571)</f>
        <v/>
      </c>
      <c r="E571" s="16" t="str">
        <f>IF(B571=0,"",COUNTIFS('Extração'!P:P,"Parcialmente",'Extração'!L:L,A571)/B571)</f>
        <v/>
      </c>
      <c r="F571" s="16" t="str">
        <f>IF(B571=0,"",COUNTIFS('Extração'!Q:Q,"Parcialmente",'Extração'!L:L,A571)/B571)</f>
        <v/>
      </c>
      <c r="G571" s="16" t="str">
        <f>IF(B571=0,"",COUNTIFS('Extração'!P:P,"Não",'Extração'!L:L,A571)/B571)</f>
        <v/>
      </c>
      <c r="H571" s="16" t="str">
        <f>IF(B571=0,"",COUNTIFS('Extração'!Q:Q,"Não",'Extração'!L:L,A571)/B571)</f>
        <v/>
      </c>
      <c r="I571" s="16" t="str">
        <f>IF(B571=0,"",COUNTIFS('Extração'!R:R,"Igual",'Extração'!L:L,A571)/B571)</f>
        <v/>
      </c>
    </row>
    <row r="572">
      <c r="B572" s="16">
        <f>COUNTIF('Extração'!L:L,A572)</f>
        <v>0</v>
      </c>
      <c r="C572" s="16" t="str">
        <f>IF(B572=0,"",COUNTIFS('Extração'!P:P,"Sim",'Extração'!L:L,A572)/B572)</f>
        <v/>
      </c>
      <c r="D572" s="16" t="str">
        <f>IF(B572=0,"",COUNTIFS('Extração'!Q:Q,"Sim",'Extração'!L:L,A572)/B572)</f>
        <v/>
      </c>
      <c r="E572" s="16" t="str">
        <f>IF(B572=0,"",COUNTIFS('Extração'!P:P,"Parcialmente",'Extração'!L:L,A572)/B572)</f>
        <v/>
      </c>
      <c r="F572" s="16" t="str">
        <f>IF(B572=0,"",COUNTIFS('Extração'!Q:Q,"Parcialmente",'Extração'!L:L,A572)/B572)</f>
        <v/>
      </c>
      <c r="G572" s="16" t="str">
        <f>IF(B572=0,"",COUNTIFS('Extração'!P:P,"Não",'Extração'!L:L,A572)/B572)</f>
        <v/>
      </c>
      <c r="H572" s="16" t="str">
        <f>IF(B572=0,"",COUNTIFS('Extração'!Q:Q,"Não",'Extração'!L:L,A572)/B572)</f>
        <v/>
      </c>
      <c r="I572" s="16" t="str">
        <f>IF(B572=0,"",COUNTIFS('Extração'!R:R,"Igual",'Extração'!L:L,A572)/B572)</f>
        <v/>
      </c>
    </row>
    <row r="573">
      <c r="B573" s="16">
        <f>COUNTIF('Extração'!L:L,A573)</f>
        <v>0</v>
      </c>
      <c r="C573" s="16" t="str">
        <f>IF(B573=0,"",COUNTIFS('Extração'!P:P,"Sim",'Extração'!L:L,A573)/B573)</f>
        <v/>
      </c>
      <c r="D573" s="16" t="str">
        <f>IF(B573=0,"",COUNTIFS('Extração'!Q:Q,"Sim",'Extração'!L:L,A573)/B573)</f>
        <v/>
      </c>
      <c r="E573" s="16" t="str">
        <f>IF(B573=0,"",COUNTIFS('Extração'!P:P,"Parcialmente",'Extração'!L:L,A573)/B573)</f>
        <v/>
      </c>
      <c r="F573" s="16" t="str">
        <f>IF(B573=0,"",COUNTIFS('Extração'!Q:Q,"Parcialmente",'Extração'!L:L,A573)/B573)</f>
        <v/>
      </c>
      <c r="G573" s="16" t="str">
        <f>IF(B573=0,"",COUNTIFS('Extração'!P:P,"Não",'Extração'!L:L,A573)/B573)</f>
        <v/>
      </c>
      <c r="H573" s="16" t="str">
        <f>IF(B573=0,"",COUNTIFS('Extração'!Q:Q,"Não",'Extração'!L:L,A573)/B573)</f>
        <v/>
      </c>
      <c r="I573" s="16" t="str">
        <f>IF(B573=0,"",COUNTIFS('Extração'!R:R,"Igual",'Extração'!L:L,A573)/B573)</f>
        <v/>
      </c>
    </row>
    <row r="574">
      <c r="B574" s="16">
        <f>COUNTIF('Extração'!L:L,A574)</f>
        <v>0</v>
      </c>
      <c r="C574" s="16" t="str">
        <f>IF(B574=0,"",COUNTIFS('Extração'!P:P,"Sim",'Extração'!L:L,A574)/B574)</f>
        <v/>
      </c>
      <c r="D574" s="16" t="str">
        <f>IF(B574=0,"",COUNTIFS('Extração'!Q:Q,"Sim",'Extração'!L:L,A574)/B574)</f>
        <v/>
      </c>
      <c r="E574" s="16" t="str">
        <f>IF(B574=0,"",COUNTIFS('Extração'!P:P,"Parcialmente",'Extração'!L:L,A574)/B574)</f>
        <v/>
      </c>
      <c r="F574" s="16" t="str">
        <f>IF(B574=0,"",COUNTIFS('Extração'!Q:Q,"Parcialmente",'Extração'!L:L,A574)/B574)</f>
        <v/>
      </c>
      <c r="G574" s="16" t="str">
        <f>IF(B574=0,"",COUNTIFS('Extração'!P:P,"Não",'Extração'!L:L,A574)/B574)</f>
        <v/>
      </c>
      <c r="H574" s="16" t="str">
        <f>IF(B574=0,"",COUNTIFS('Extração'!Q:Q,"Não",'Extração'!L:L,A574)/B574)</f>
        <v/>
      </c>
      <c r="I574" s="16" t="str">
        <f>IF(B574=0,"",COUNTIFS('Extração'!R:R,"Igual",'Extração'!L:L,A574)/B574)</f>
        <v/>
      </c>
    </row>
    <row r="575">
      <c r="B575" s="16">
        <f>COUNTIF('Extração'!L:L,A575)</f>
        <v>0</v>
      </c>
      <c r="C575" s="16" t="str">
        <f>IF(B575=0,"",COUNTIFS('Extração'!P:P,"Sim",'Extração'!L:L,A575)/B575)</f>
        <v/>
      </c>
      <c r="D575" s="16" t="str">
        <f>IF(B575=0,"",COUNTIFS('Extração'!Q:Q,"Sim",'Extração'!L:L,A575)/B575)</f>
        <v/>
      </c>
      <c r="E575" s="16" t="str">
        <f>IF(B575=0,"",COUNTIFS('Extração'!P:P,"Parcialmente",'Extração'!L:L,A575)/B575)</f>
        <v/>
      </c>
      <c r="F575" s="16" t="str">
        <f>IF(B575=0,"",COUNTIFS('Extração'!Q:Q,"Parcialmente",'Extração'!L:L,A575)/B575)</f>
        <v/>
      </c>
      <c r="G575" s="16" t="str">
        <f>IF(B575=0,"",COUNTIFS('Extração'!P:P,"Não",'Extração'!L:L,A575)/B575)</f>
        <v/>
      </c>
      <c r="H575" s="16" t="str">
        <f>IF(B575=0,"",COUNTIFS('Extração'!Q:Q,"Não",'Extração'!L:L,A575)/B575)</f>
        <v/>
      </c>
      <c r="I575" s="16" t="str">
        <f>IF(B575=0,"",COUNTIFS('Extração'!R:R,"Igual",'Extração'!L:L,A575)/B575)</f>
        <v/>
      </c>
    </row>
    <row r="576">
      <c r="B576" s="16">
        <f>COUNTIF('Extração'!L:L,A576)</f>
        <v>0</v>
      </c>
      <c r="C576" s="16" t="str">
        <f>IF(B576=0,"",COUNTIFS('Extração'!P:P,"Sim",'Extração'!L:L,A576)/B576)</f>
        <v/>
      </c>
      <c r="D576" s="16" t="str">
        <f>IF(B576=0,"",COUNTIFS('Extração'!Q:Q,"Sim",'Extração'!L:L,A576)/B576)</f>
        <v/>
      </c>
      <c r="E576" s="16" t="str">
        <f>IF(B576=0,"",COUNTIFS('Extração'!P:P,"Parcialmente",'Extração'!L:L,A576)/B576)</f>
        <v/>
      </c>
      <c r="F576" s="16" t="str">
        <f>IF(B576=0,"",COUNTIFS('Extração'!Q:Q,"Parcialmente",'Extração'!L:L,A576)/B576)</f>
        <v/>
      </c>
      <c r="G576" s="16" t="str">
        <f>IF(B576=0,"",COUNTIFS('Extração'!P:P,"Não",'Extração'!L:L,A576)/B576)</f>
        <v/>
      </c>
      <c r="H576" s="16" t="str">
        <f>IF(B576=0,"",COUNTIFS('Extração'!Q:Q,"Não",'Extração'!L:L,A576)/B576)</f>
        <v/>
      </c>
      <c r="I576" s="16" t="str">
        <f>IF(B576=0,"",COUNTIFS('Extração'!R:R,"Igual",'Extração'!L:L,A576)/B576)</f>
        <v/>
      </c>
    </row>
    <row r="577">
      <c r="B577" s="16">
        <f>COUNTIF('Extração'!L:L,A577)</f>
        <v>0</v>
      </c>
      <c r="C577" s="16" t="str">
        <f>IF(B577=0,"",COUNTIFS('Extração'!P:P,"Sim",'Extração'!L:L,A577)/B577)</f>
        <v/>
      </c>
      <c r="D577" s="16" t="str">
        <f>IF(B577=0,"",COUNTIFS('Extração'!Q:Q,"Sim",'Extração'!L:L,A577)/B577)</f>
        <v/>
      </c>
      <c r="E577" s="16" t="str">
        <f>IF(B577=0,"",COUNTIFS('Extração'!P:P,"Parcialmente",'Extração'!L:L,A577)/B577)</f>
        <v/>
      </c>
      <c r="F577" s="16" t="str">
        <f>IF(B577=0,"",COUNTIFS('Extração'!Q:Q,"Parcialmente",'Extração'!L:L,A577)/B577)</f>
        <v/>
      </c>
      <c r="G577" s="16" t="str">
        <f>IF(B577=0,"",COUNTIFS('Extração'!P:P,"Não",'Extração'!L:L,A577)/B577)</f>
        <v/>
      </c>
      <c r="H577" s="16" t="str">
        <f>IF(B577=0,"",COUNTIFS('Extração'!Q:Q,"Não",'Extração'!L:L,A577)/B577)</f>
        <v/>
      </c>
      <c r="I577" s="16" t="str">
        <f>IF(B577=0,"",COUNTIFS('Extração'!R:R,"Igual",'Extração'!L:L,A577)/B577)</f>
        <v/>
      </c>
    </row>
    <row r="578">
      <c r="B578" s="16">
        <f>COUNTIF('Extração'!L:L,A578)</f>
        <v>0</v>
      </c>
      <c r="C578" s="16" t="str">
        <f>IF(B578=0,"",COUNTIFS('Extração'!P:P,"Sim",'Extração'!L:L,A578)/B578)</f>
        <v/>
      </c>
      <c r="D578" s="16" t="str">
        <f>IF(B578=0,"",COUNTIFS('Extração'!Q:Q,"Sim",'Extração'!L:L,A578)/B578)</f>
        <v/>
      </c>
      <c r="E578" s="16" t="str">
        <f>IF(B578=0,"",COUNTIFS('Extração'!P:P,"Parcialmente",'Extração'!L:L,A578)/B578)</f>
        <v/>
      </c>
      <c r="F578" s="16" t="str">
        <f>IF(B578=0,"",COUNTIFS('Extração'!Q:Q,"Parcialmente",'Extração'!L:L,A578)/B578)</f>
        <v/>
      </c>
      <c r="G578" s="16" t="str">
        <f>IF(B578=0,"",COUNTIFS('Extração'!P:P,"Não",'Extração'!L:L,A578)/B578)</f>
        <v/>
      </c>
      <c r="H578" s="16" t="str">
        <f>IF(B578=0,"",COUNTIFS('Extração'!Q:Q,"Não",'Extração'!L:L,A578)/B578)</f>
        <v/>
      </c>
      <c r="I578" s="16" t="str">
        <f>IF(B578=0,"",COUNTIFS('Extração'!R:R,"Igual",'Extração'!L:L,A578)/B578)</f>
        <v/>
      </c>
    </row>
    <row r="579">
      <c r="B579" s="16">
        <f>COUNTIF('Extração'!L:L,A579)</f>
        <v>0</v>
      </c>
      <c r="C579" s="16" t="str">
        <f>IF(B579=0,"",COUNTIFS('Extração'!P:P,"Sim",'Extração'!L:L,A579)/B579)</f>
        <v/>
      </c>
      <c r="D579" s="16" t="str">
        <f>IF(B579=0,"",COUNTIFS('Extração'!Q:Q,"Sim",'Extração'!L:L,A579)/B579)</f>
        <v/>
      </c>
      <c r="E579" s="16" t="str">
        <f>IF(B579=0,"",COUNTIFS('Extração'!P:P,"Parcialmente",'Extração'!L:L,A579)/B579)</f>
        <v/>
      </c>
      <c r="F579" s="16" t="str">
        <f>IF(B579=0,"",COUNTIFS('Extração'!Q:Q,"Parcialmente",'Extração'!L:L,A579)/B579)</f>
        <v/>
      </c>
      <c r="G579" s="16" t="str">
        <f>IF(B579=0,"",COUNTIFS('Extração'!P:P,"Não",'Extração'!L:L,A579)/B579)</f>
        <v/>
      </c>
      <c r="H579" s="16" t="str">
        <f>IF(B579=0,"",COUNTIFS('Extração'!Q:Q,"Não",'Extração'!L:L,A579)/B579)</f>
        <v/>
      </c>
      <c r="I579" s="16" t="str">
        <f>IF(B579=0,"",COUNTIFS('Extração'!R:R,"Igual",'Extração'!L:L,A579)/B579)</f>
        <v/>
      </c>
    </row>
    <row r="580">
      <c r="B580" s="16">
        <f>COUNTIF('Extração'!L:L,A580)</f>
        <v>0</v>
      </c>
      <c r="C580" s="16" t="str">
        <f>IF(B580=0,"",COUNTIFS('Extração'!P:P,"Sim",'Extração'!L:L,A580)/B580)</f>
        <v/>
      </c>
      <c r="D580" s="16" t="str">
        <f>IF(B580=0,"",COUNTIFS('Extração'!Q:Q,"Sim",'Extração'!L:L,A580)/B580)</f>
        <v/>
      </c>
      <c r="E580" s="16" t="str">
        <f>IF(B580=0,"",COUNTIFS('Extração'!P:P,"Parcialmente",'Extração'!L:L,A580)/B580)</f>
        <v/>
      </c>
      <c r="F580" s="16" t="str">
        <f>IF(B580=0,"",COUNTIFS('Extração'!Q:Q,"Parcialmente",'Extração'!L:L,A580)/B580)</f>
        <v/>
      </c>
      <c r="G580" s="16" t="str">
        <f>IF(B580=0,"",COUNTIFS('Extração'!P:P,"Não",'Extração'!L:L,A580)/B580)</f>
        <v/>
      </c>
      <c r="H580" s="16" t="str">
        <f>IF(B580=0,"",COUNTIFS('Extração'!Q:Q,"Não",'Extração'!L:L,A580)/B580)</f>
        <v/>
      </c>
      <c r="I580" s="16" t="str">
        <f>IF(B580=0,"",COUNTIFS('Extração'!R:R,"Igual",'Extração'!L:L,A580)/B580)</f>
        <v/>
      </c>
    </row>
    <row r="581">
      <c r="B581" s="16">
        <f>COUNTIF('Extração'!L:L,A581)</f>
        <v>0</v>
      </c>
      <c r="C581" s="16" t="str">
        <f>IF(B581=0,"",COUNTIFS('Extração'!P:P,"Sim",'Extração'!L:L,A581)/B581)</f>
        <v/>
      </c>
      <c r="D581" s="16" t="str">
        <f>IF(B581=0,"",COUNTIFS('Extração'!Q:Q,"Sim",'Extração'!L:L,A581)/B581)</f>
        <v/>
      </c>
      <c r="E581" s="16" t="str">
        <f>IF(B581=0,"",COUNTIFS('Extração'!P:P,"Parcialmente",'Extração'!L:L,A581)/B581)</f>
        <v/>
      </c>
      <c r="F581" s="16" t="str">
        <f>IF(B581=0,"",COUNTIFS('Extração'!Q:Q,"Parcialmente",'Extração'!L:L,A581)/B581)</f>
        <v/>
      </c>
      <c r="G581" s="16" t="str">
        <f>IF(B581=0,"",COUNTIFS('Extração'!P:P,"Não",'Extração'!L:L,A581)/B581)</f>
        <v/>
      </c>
      <c r="H581" s="16" t="str">
        <f>IF(B581=0,"",COUNTIFS('Extração'!Q:Q,"Não",'Extração'!L:L,A581)/B581)</f>
        <v/>
      </c>
      <c r="I581" s="16" t="str">
        <f>IF(B581=0,"",COUNTIFS('Extração'!R:R,"Igual",'Extração'!L:L,A581)/B581)</f>
        <v/>
      </c>
    </row>
    <row r="582">
      <c r="B582" s="16">
        <f>COUNTIF('Extração'!L:L,A582)</f>
        <v>0</v>
      </c>
      <c r="C582" s="16" t="str">
        <f>IF(B582=0,"",COUNTIFS('Extração'!P:P,"Sim",'Extração'!L:L,A582)/B582)</f>
        <v/>
      </c>
      <c r="D582" s="16" t="str">
        <f>IF(B582=0,"",COUNTIFS('Extração'!Q:Q,"Sim",'Extração'!L:L,A582)/B582)</f>
        <v/>
      </c>
      <c r="E582" s="16" t="str">
        <f>IF(B582=0,"",COUNTIFS('Extração'!P:P,"Parcialmente",'Extração'!L:L,A582)/B582)</f>
        <v/>
      </c>
      <c r="F582" s="16" t="str">
        <f>IF(B582=0,"",COUNTIFS('Extração'!Q:Q,"Parcialmente",'Extração'!L:L,A582)/B582)</f>
        <v/>
      </c>
      <c r="G582" s="16" t="str">
        <f>IF(B582=0,"",COUNTIFS('Extração'!P:P,"Não",'Extração'!L:L,A582)/B582)</f>
        <v/>
      </c>
      <c r="H582" s="16" t="str">
        <f>IF(B582=0,"",COUNTIFS('Extração'!Q:Q,"Não",'Extração'!L:L,A582)/B582)</f>
        <v/>
      </c>
      <c r="I582" s="16" t="str">
        <f>IF(B582=0,"",COUNTIFS('Extração'!R:R,"Igual",'Extração'!L:L,A582)/B582)</f>
        <v/>
      </c>
    </row>
    <row r="583">
      <c r="B583" s="16">
        <f>COUNTIF('Extração'!L:L,A583)</f>
        <v>0</v>
      </c>
      <c r="C583" s="16" t="str">
        <f>IF(B583=0,"",COUNTIFS('Extração'!P:P,"Sim",'Extração'!L:L,A583)/B583)</f>
        <v/>
      </c>
      <c r="D583" s="16" t="str">
        <f>IF(B583=0,"",COUNTIFS('Extração'!Q:Q,"Sim",'Extração'!L:L,A583)/B583)</f>
        <v/>
      </c>
      <c r="E583" s="16" t="str">
        <f>IF(B583=0,"",COUNTIFS('Extração'!P:P,"Parcialmente",'Extração'!L:L,A583)/B583)</f>
        <v/>
      </c>
      <c r="F583" s="16" t="str">
        <f>IF(B583=0,"",COUNTIFS('Extração'!Q:Q,"Parcialmente",'Extração'!L:L,A583)/B583)</f>
        <v/>
      </c>
      <c r="G583" s="16" t="str">
        <f>IF(B583=0,"",COUNTIFS('Extração'!P:P,"Não",'Extração'!L:L,A583)/B583)</f>
        <v/>
      </c>
      <c r="H583" s="16" t="str">
        <f>IF(B583=0,"",COUNTIFS('Extração'!Q:Q,"Não",'Extração'!L:L,A583)/B583)</f>
        <v/>
      </c>
      <c r="I583" s="16" t="str">
        <f>IF(B583=0,"",COUNTIFS('Extração'!R:R,"Igual",'Extração'!L:L,A583)/B583)</f>
        <v/>
      </c>
    </row>
    <row r="584">
      <c r="B584" s="16">
        <f>COUNTIF('Extração'!L:L,A584)</f>
        <v>0</v>
      </c>
      <c r="C584" s="16" t="str">
        <f>IF(B584=0,"",COUNTIFS('Extração'!P:P,"Sim",'Extração'!L:L,A584)/B584)</f>
        <v/>
      </c>
      <c r="D584" s="16" t="str">
        <f>IF(B584=0,"",COUNTIFS('Extração'!Q:Q,"Sim",'Extração'!L:L,A584)/B584)</f>
        <v/>
      </c>
      <c r="E584" s="16" t="str">
        <f>IF(B584=0,"",COUNTIFS('Extração'!P:P,"Parcialmente",'Extração'!L:L,A584)/B584)</f>
        <v/>
      </c>
      <c r="F584" s="16" t="str">
        <f>IF(B584=0,"",COUNTIFS('Extração'!Q:Q,"Parcialmente",'Extração'!L:L,A584)/B584)</f>
        <v/>
      </c>
      <c r="G584" s="16" t="str">
        <f>IF(B584=0,"",COUNTIFS('Extração'!P:P,"Não",'Extração'!L:L,A584)/B584)</f>
        <v/>
      </c>
      <c r="H584" s="16" t="str">
        <f>IF(B584=0,"",COUNTIFS('Extração'!Q:Q,"Não",'Extração'!L:L,A584)/B584)</f>
        <v/>
      </c>
      <c r="I584" s="16" t="str">
        <f>IF(B584=0,"",COUNTIFS('Extração'!R:R,"Igual",'Extração'!L:L,A584)/B584)</f>
        <v/>
      </c>
    </row>
    <row r="585">
      <c r="B585" s="16">
        <f>COUNTIF('Extração'!L:L,A585)</f>
        <v>0</v>
      </c>
      <c r="C585" s="16" t="str">
        <f>IF(B585=0,"",COUNTIFS('Extração'!P:P,"Sim",'Extração'!L:L,A585)/B585)</f>
        <v/>
      </c>
      <c r="D585" s="16" t="str">
        <f>IF(B585=0,"",COUNTIFS('Extração'!Q:Q,"Sim",'Extração'!L:L,A585)/B585)</f>
        <v/>
      </c>
      <c r="E585" s="16" t="str">
        <f>IF(B585=0,"",COUNTIFS('Extração'!P:P,"Parcialmente",'Extração'!L:L,A585)/B585)</f>
        <v/>
      </c>
      <c r="F585" s="16" t="str">
        <f>IF(B585=0,"",COUNTIFS('Extração'!Q:Q,"Parcialmente",'Extração'!L:L,A585)/B585)</f>
        <v/>
      </c>
      <c r="G585" s="16" t="str">
        <f>IF(B585=0,"",COUNTIFS('Extração'!P:P,"Não",'Extração'!L:L,A585)/B585)</f>
        <v/>
      </c>
      <c r="H585" s="16" t="str">
        <f>IF(B585=0,"",COUNTIFS('Extração'!Q:Q,"Não",'Extração'!L:L,A585)/B585)</f>
        <v/>
      </c>
      <c r="I585" s="16" t="str">
        <f>IF(B585=0,"",COUNTIFS('Extração'!R:R,"Igual",'Extração'!L:L,A585)/B585)</f>
        <v/>
      </c>
    </row>
    <row r="586">
      <c r="B586" s="16">
        <f>COUNTIF('Extração'!L:L,A586)</f>
        <v>0</v>
      </c>
      <c r="C586" s="16" t="str">
        <f>IF(B586=0,"",COUNTIFS('Extração'!P:P,"Sim",'Extração'!L:L,A586)/B586)</f>
        <v/>
      </c>
      <c r="D586" s="16" t="str">
        <f>IF(B586=0,"",COUNTIFS('Extração'!Q:Q,"Sim",'Extração'!L:L,A586)/B586)</f>
        <v/>
      </c>
      <c r="E586" s="16" t="str">
        <f>IF(B586=0,"",COUNTIFS('Extração'!P:P,"Parcialmente",'Extração'!L:L,A586)/B586)</f>
        <v/>
      </c>
      <c r="F586" s="16" t="str">
        <f>IF(B586=0,"",COUNTIFS('Extração'!Q:Q,"Parcialmente",'Extração'!L:L,A586)/B586)</f>
        <v/>
      </c>
      <c r="G586" s="16" t="str">
        <f>IF(B586=0,"",COUNTIFS('Extração'!P:P,"Não",'Extração'!L:L,A586)/B586)</f>
        <v/>
      </c>
      <c r="H586" s="16" t="str">
        <f>IF(B586=0,"",COUNTIFS('Extração'!Q:Q,"Não",'Extração'!L:L,A586)/B586)</f>
        <v/>
      </c>
      <c r="I586" s="16" t="str">
        <f>IF(B586=0,"",COUNTIFS('Extração'!R:R,"Igual",'Extração'!L:L,A586)/B586)</f>
        <v/>
      </c>
    </row>
    <row r="587">
      <c r="B587" s="16">
        <f>COUNTIF('Extração'!L:L,A587)</f>
        <v>0</v>
      </c>
      <c r="C587" s="16" t="str">
        <f>IF(B587=0,"",COUNTIFS('Extração'!P:P,"Sim",'Extração'!L:L,A587)/B587)</f>
        <v/>
      </c>
      <c r="D587" s="16" t="str">
        <f>IF(B587=0,"",COUNTIFS('Extração'!Q:Q,"Sim",'Extração'!L:L,A587)/B587)</f>
        <v/>
      </c>
      <c r="E587" s="16" t="str">
        <f>IF(B587=0,"",COUNTIFS('Extração'!P:P,"Parcialmente",'Extração'!L:L,A587)/B587)</f>
        <v/>
      </c>
      <c r="F587" s="16" t="str">
        <f>IF(B587=0,"",COUNTIFS('Extração'!Q:Q,"Parcialmente",'Extração'!L:L,A587)/B587)</f>
        <v/>
      </c>
      <c r="G587" s="16" t="str">
        <f>IF(B587=0,"",COUNTIFS('Extração'!P:P,"Não",'Extração'!L:L,A587)/B587)</f>
        <v/>
      </c>
      <c r="H587" s="16" t="str">
        <f>IF(B587=0,"",COUNTIFS('Extração'!Q:Q,"Não",'Extração'!L:L,A587)/B587)</f>
        <v/>
      </c>
      <c r="I587" s="16" t="str">
        <f>IF(B587=0,"",COUNTIFS('Extração'!R:R,"Igual",'Extração'!L:L,A587)/B587)</f>
        <v/>
      </c>
    </row>
    <row r="588">
      <c r="B588" s="16">
        <f>COUNTIF('Extração'!L:L,A588)</f>
        <v>0</v>
      </c>
      <c r="C588" s="16" t="str">
        <f>IF(B588=0,"",COUNTIFS('Extração'!P:P,"Sim",'Extração'!L:L,A588)/B588)</f>
        <v/>
      </c>
      <c r="D588" s="16" t="str">
        <f>IF(B588=0,"",COUNTIFS('Extração'!Q:Q,"Sim",'Extração'!L:L,A588)/B588)</f>
        <v/>
      </c>
      <c r="E588" s="16" t="str">
        <f>IF(B588=0,"",COUNTIFS('Extração'!P:P,"Parcialmente",'Extração'!L:L,A588)/B588)</f>
        <v/>
      </c>
      <c r="F588" s="16" t="str">
        <f>IF(B588=0,"",COUNTIFS('Extração'!Q:Q,"Parcialmente",'Extração'!L:L,A588)/B588)</f>
        <v/>
      </c>
      <c r="G588" s="16" t="str">
        <f>IF(B588=0,"",COUNTIFS('Extração'!P:P,"Não",'Extração'!L:L,A588)/B588)</f>
        <v/>
      </c>
      <c r="H588" s="16" t="str">
        <f>IF(B588=0,"",COUNTIFS('Extração'!Q:Q,"Não",'Extração'!L:L,A588)/B588)</f>
        <v/>
      </c>
      <c r="I588" s="16" t="str">
        <f>IF(B588=0,"",COUNTIFS('Extração'!R:R,"Igual",'Extração'!L:L,A588)/B588)</f>
        <v/>
      </c>
    </row>
    <row r="589">
      <c r="B589" s="16">
        <f>COUNTIF('Extração'!L:L,A589)</f>
        <v>0</v>
      </c>
      <c r="C589" s="16" t="str">
        <f>IF(B589=0,"",COUNTIFS('Extração'!P:P,"Sim",'Extração'!L:L,A589)/B589)</f>
        <v/>
      </c>
      <c r="D589" s="16" t="str">
        <f>IF(B589=0,"",COUNTIFS('Extração'!Q:Q,"Sim",'Extração'!L:L,A589)/B589)</f>
        <v/>
      </c>
      <c r="E589" s="16" t="str">
        <f>IF(B589=0,"",COUNTIFS('Extração'!P:P,"Parcialmente",'Extração'!L:L,A589)/B589)</f>
        <v/>
      </c>
      <c r="F589" s="16" t="str">
        <f>IF(B589=0,"",COUNTIFS('Extração'!Q:Q,"Parcialmente",'Extração'!L:L,A589)/B589)</f>
        <v/>
      </c>
      <c r="G589" s="16" t="str">
        <f>IF(B589=0,"",COUNTIFS('Extração'!P:P,"Não",'Extração'!L:L,A589)/B589)</f>
        <v/>
      </c>
      <c r="H589" s="16" t="str">
        <f>IF(B589=0,"",COUNTIFS('Extração'!Q:Q,"Não",'Extração'!L:L,A589)/B589)</f>
        <v/>
      </c>
      <c r="I589" s="16" t="str">
        <f>IF(B589=0,"",COUNTIFS('Extração'!R:R,"Igual",'Extração'!L:L,A589)/B589)</f>
        <v/>
      </c>
    </row>
    <row r="590">
      <c r="B590" s="16">
        <f>COUNTIF('Extração'!L:L,A590)</f>
        <v>0</v>
      </c>
      <c r="C590" s="16" t="str">
        <f>IF(B590=0,"",COUNTIFS('Extração'!P:P,"Sim",'Extração'!L:L,A590)/B590)</f>
        <v/>
      </c>
      <c r="D590" s="16" t="str">
        <f>IF(B590=0,"",COUNTIFS('Extração'!Q:Q,"Sim",'Extração'!L:L,A590)/B590)</f>
        <v/>
      </c>
      <c r="E590" s="16" t="str">
        <f>IF(B590=0,"",COUNTIFS('Extração'!P:P,"Parcialmente",'Extração'!L:L,A590)/B590)</f>
        <v/>
      </c>
      <c r="F590" s="16" t="str">
        <f>IF(B590=0,"",COUNTIFS('Extração'!Q:Q,"Parcialmente",'Extração'!L:L,A590)/B590)</f>
        <v/>
      </c>
      <c r="G590" s="16" t="str">
        <f>IF(B590=0,"",COUNTIFS('Extração'!P:P,"Não",'Extração'!L:L,A590)/B590)</f>
        <v/>
      </c>
      <c r="H590" s="16" t="str">
        <f>IF(B590=0,"",COUNTIFS('Extração'!Q:Q,"Não",'Extração'!L:L,A590)/B590)</f>
        <v/>
      </c>
      <c r="I590" s="16" t="str">
        <f>IF(B590=0,"",COUNTIFS('Extração'!R:R,"Igual",'Extração'!L:L,A590)/B590)</f>
        <v/>
      </c>
    </row>
    <row r="591">
      <c r="B591" s="16">
        <f>COUNTIF('Extração'!L:L,A591)</f>
        <v>0</v>
      </c>
      <c r="C591" s="16" t="str">
        <f>IF(B591=0,"",COUNTIFS('Extração'!P:P,"Sim",'Extração'!L:L,A591)/B591)</f>
        <v/>
      </c>
      <c r="D591" s="16" t="str">
        <f>IF(B591=0,"",COUNTIFS('Extração'!Q:Q,"Sim",'Extração'!L:L,A591)/B591)</f>
        <v/>
      </c>
      <c r="E591" s="16" t="str">
        <f>IF(B591=0,"",COUNTIFS('Extração'!P:P,"Parcialmente",'Extração'!L:L,A591)/B591)</f>
        <v/>
      </c>
      <c r="F591" s="16" t="str">
        <f>IF(B591=0,"",COUNTIFS('Extração'!Q:Q,"Parcialmente",'Extração'!L:L,A591)/B591)</f>
        <v/>
      </c>
      <c r="G591" s="16" t="str">
        <f>IF(B591=0,"",COUNTIFS('Extração'!P:P,"Não",'Extração'!L:L,A591)/B591)</f>
        <v/>
      </c>
      <c r="H591" s="16" t="str">
        <f>IF(B591=0,"",COUNTIFS('Extração'!Q:Q,"Não",'Extração'!L:L,A591)/B591)</f>
        <v/>
      </c>
      <c r="I591" s="16" t="str">
        <f>IF(B591=0,"",COUNTIFS('Extração'!R:R,"Igual",'Extração'!L:L,A591)/B591)</f>
        <v/>
      </c>
    </row>
    <row r="592">
      <c r="B592" s="16">
        <f>COUNTIF('Extração'!L:L,A592)</f>
        <v>0</v>
      </c>
      <c r="C592" s="16" t="str">
        <f>IF(B592=0,"",COUNTIFS('Extração'!P:P,"Sim",'Extração'!L:L,A592)/B592)</f>
        <v/>
      </c>
      <c r="D592" s="16" t="str">
        <f>IF(B592=0,"",COUNTIFS('Extração'!Q:Q,"Sim",'Extração'!L:L,A592)/B592)</f>
        <v/>
      </c>
      <c r="E592" s="16" t="str">
        <f>IF(B592=0,"",COUNTIFS('Extração'!P:P,"Parcialmente",'Extração'!L:L,A592)/B592)</f>
        <v/>
      </c>
      <c r="F592" s="16" t="str">
        <f>IF(B592=0,"",COUNTIFS('Extração'!Q:Q,"Parcialmente",'Extração'!L:L,A592)/B592)</f>
        <v/>
      </c>
      <c r="G592" s="16" t="str">
        <f>IF(B592=0,"",COUNTIFS('Extração'!P:P,"Não",'Extração'!L:L,A592)/B592)</f>
        <v/>
      </c>
      <c r="H592" s="16" t="str">
        <f>IF(B592=0,"",COUNTIFS('Extração'!Q:Q,"Não",'Extração'!L:L,A592)/B592)</f>
        <v/>
      </c>
      <c r="I592" s="16" t="str">
        <f>IF(B592=0,"",COUNTIFS('Extração'!R:R,"Igual",'Extração'!L:L,A592)/B592)</f>
        <v/>
      </c>
    </row>
    <row r="593">
      <c r="B593" s="16">
        <f>COUNTIF('Extração'!L:L,A593)</f>
        <v>0</v>
      </c>
      <c r="C593" s="16" t="str">
        <f>IF(B593=0,"",COUNTIFS('Extração'!P:P,"Sim",'Extração'!L:L,A593)/B593)</f>
        <v/>
      </c>
      <c r="D593" s="16" t="str">
        <f>IF(B593=0,"",COUNTIFS('Extração'!Q:Q,"Sim",'Extração'!L:L,A593)/B593)</f>
        <v/>
      </c>
      <c r="E593" s="16" t="str">
        <f>IF(B593=0,"",COUNTIFS('Extração'!P:P,"Parcialmente",'Extração'!L:L,A593)/B593)</f>
        <v/>
      </c>
      <c r="F593" s="16" t="str">
        <f>IF(B593=0,"",COUNTIFS('Extração'!Q:Q,"Parcialmente",'Extração'!L:L,A593)/B593)</f>
        <v/>
      </c>
      <c r="G593" s="16" t="str">
        <f>IF(B593=0,"",COUNTIFS('Extração'!P:P,"Não",'Extração'!L:L,A593)/B593)</f>
        <v/>
      </c>
      <c r="H593" s="16" t="str">
        <f>IF(B593=0,"",COUNTIFS('Extração'!Q:Q,"Não",'Extração'!L:L,A593)/B593)</f>
        <v/>
      </c>
      <c r="I593" s="16" t="str">
        <f>IF(B593=0,"",COUNTIFS('Extração'!R:R,"Igual",'Extração'!L:L,A593)/B593)</f>
        <v/>
      </c>
    </row>
    <row r="594">
      <c r="B594" s="16">
        <f>COUNTIF('Extração'!L:L,A594)</f>
        <v>0</v>
      </c>
      <c r="C594" s="16" t="str">
        <f>IF(B594=0,"",COUNTIFS('Extração'!P:P,"Sim",'Extração'!L:L,A594)/B594)</f>
        <v/>
      </c>
      <c r="D594" s="16" t="str">
        <f>IF(B594=0,"",COUNTIFS('Extração'!Q:Q,"Sim",'Extração'!L:L,A594)/B594)</f>
        <v/>
      </c>
      <c r="E594" s="16" t="str">
        <f>IF(B594=0,"",COUNTIFS('Extração'!P:P,"Parcialmente",'Extração'!L:L,A594)/B594)</f>
        <v/>
      </c>
      <c r="F594" s="16" t="str">
        <f>IF(B594=0,"",COUNTIFS('Extração'!Q:Q,"Parcialmente",'Extração'!L:L,A594)/B594)</f>
        <v/>
      </c>
      <c r="G594" s="16" t="str">
        <f>IF(B594=0,"",COUNTIFS('Extração'!P:P,"Não",'Extração'!L:L,A594)/B594)</f>
        <v/>
      </c>
      <c r="H594" s="16" t="str">
        <f>IF(B594=0,"",COUNTIFS('Extração'!Q:Q,"Não",'Extração'!L:L,A594)/B594)</f>
        <v/>
      </c>
      <c r="I594" s="16" t="str">
        <f>IF(B594=0,"",COUNTIFS('Extração'!R:R,"Igual",'Extração'!L:L,A594)/B594)</f>
        <v/>
      </c>
    </row>
    <row r="595">
      <c r="B595" s="16">
        <f>COUNTIF('Extração'!L:L,A595)</f>
        <v>0</v>
      </c>
      <c r="C595" s="16" t="str">
        <f>IF(B595=0,"",COUNTIFS('Extração'!P:P,"Sim",'Extração'!L:L,A595)/B595)</f>
        <v/>
      </c>
      <c r="D595" s="16" t="str">
        <f>IF(B595=0,"",COUNTIFS('Extração'!Q:Q,"Sim",'Extração'!L:L,A595)/B595)</f>
        <v/>
      </c>
      <c r="E595" s="16" t="str">
        <f>IF(B595=0,"",COUNTIFS('Extração'!P:P,"Parcialmente",'Extração'!L:L,A595)/B595)</f>
        <v/>
      </c>
      <c r="F595" s="16" t="str">
        <f>IF(B595=0,"",COUNTIFS('Extração'!Q:Q,"Parcialmente",'Extração'!L:L,A595)/B595)</f>
        <v/>
      </c>
      <c r="G595" s="16" t="str">
        <f>IF(B595=0,"",COUNTIFS('Extração'!P:P,"Não",'Extração'!L:L,A595)/B595)</f>
        <v/>
      </c>
      <c r="H595" s="16" t="str">
        <f>IF(B595=0,"",COUNTIFS('Extração'!Q:Q,"Não",'Extração'!L:L,A595)/B595)</f>
        <v/>
      </c>
      <c r="I595" s="16" t="str">
        <f>IF(B595=0,"",COUNTIFS('Extração'!R:R,"Igual",'Extração'!L:L,A595)/B595)</f>
        <v/>
      </c>
    </row>
    <row r="596">
      <c r="B596" s="16">
        <f>COUNTIF('Extração'!L:L,A596)</f>
        <v>0</v>
      </c>
      <c r="C596" s="16" t="str">
        <f>IF(B596=0,"",COUNTIFS('Extração'!P:P,"Sim",'Extração'!L:L,A596)/B596)</f>
        <v/>
      </c>
      <c r="D596" s="16" t="str">
        <f>IF(B596=0,"",COUNTIFS('Extração'!Q:Q,"Sim",'Extração'!L:L,A596)/B596)</f>
        <v/>
      </c>
      <c r="E596" s="16" t="str">
        <f>IF(B596=0,"",COUNTIFS('Extração'!P:P,"Parcialmente",'Extração'!L:L,A596)/B596)</f>
        <v/>
      </c>
      <c r="F596" s="16" t="str">
        <f>IF(B596=0,"",COUNTIFS('Extração'!Q:Q,"Parcialmente",'Extração'!L:L,A596)/B596)</f>
        <v/>
      </c>
      <c r="G596" s="16" t="str">
        <f>IF(B596=0,"",COUNTIFS('Extração'!P:P,"Não",'Extração'!L:L,A596)/B596)</f>
        <v/>
      </c>
      <c r="H596" s="16" t="str">
        <f>IF(B596=0,"",COUNTIFS('Extração'!Q:Q,"Não",'Extração'!L:L,A596)/B596)</f>
        <v/>
      </c>
      <c r="I596" s="16" t="str">
        <f>IF(B596=0,"",COUNTIFS('Extração'!R:R,"Igual",'Extração'!L:L,A596)/B596)</f>
        <v/>
      </c>
    </row>
    <row r="597">
      <c r="B597" s="16">
        <f>COUNTIF('Extração'!L:L,A597)</f>
        <v>0</v>
      </c>
      <c r="C597" s="16" t="str">
        <f>IF(B597=0,"",COUNTIFS('Extração'!P:P,"Sim",'Extração'!L:L,A597)/B597)</f>
        <v/>
      </c>
      <c r="D597" s="16" t="str">
        <f>IF(B597=0,"",COUNTIFS('Extração'!Q:Q,"Sim",'Extração'!L:L,A597)/B597)</f>
        <v/>
      </c>
      <c r="E597" s="16" t="str">
        <f>IF(B597=0,"",COUNTIFS('Extração'!P:P,"Parcialmente",'Extração'!L:L,A597)/B597)</f>
        <v/>
      </c>
      <c r="F597" s="16" t="str">
        <f>IF(B597=0,"",COUNTIFS('Extração'!Q:Q,"Parcialmente",'Extração'!L:L,A597)/B597)</f>
        <v/>
      </c>
      <c r="G597" s="16" t="str">
        <f>IF(B597=0,"",COUNTIFS('Extração'!P:P,"Não",'Extração'!L:L,A597)/B597)</f>
        <v/>
      </c>
      <c r="H597" s="16" t="str">
        <f>IF(B597=0,"",COUNTIFS('Extração'!Q:Q,"Não",'Extração'!L:L,A597)/B597)</f>
        <v/>
      </c>
      <c r="I597" s="16" t="str">
        <f>IF(B597=0,"",COUNTIFS('Extração'!R:R,"Igual",'Extração'!L:L,A597)/B597)</f>
        <v/>
      </c>
    </row>
    <row r="598">
      <c r="B598" s="16">
        <f>COUNTIF('Extração'!L:L,A598)</f>
        <v>0</v>
      </c>
      <c r="C598" s="16" t="str">
        <f>IF(B598=0,"",COUNTIFS('Extração'!P:P,"Sim",'Extração'!L:L,A598)/B598)</f>
        <v/>
      </c>
      <c r="D598" s="16" t="str">
        <f>IF(B598=0,"",COUNTIFS('Extração'!Q:Q,"Sim",'Extração'!L:L,A598)/B598)</f>
        <v/>
      </c>
      <c r="E598" s="16" t="str">
        <f>IF(B598=0,"",COUNTIFS('Extração'!P:P,"Parcialmente",'Extração'!L:L,A598)/B598)</f>
        <v/>
      </c>
      <c r="F598" s="16" t="str">
        <f>IF(B598=0,"",COUNTIFS('Extração'!Q:Q,"Parcialmente",'Extração'!L:L,A598)/B598)</f>
        <v/>
      </c>
      <c r="G598" s="16" t="str">
        <f>IF(B598=0,"",COUNTIFS('Extração'!P:P,"Não",'Extração'!L:L,A598)/B598)</f>
        <v/>
      </c>
      <c r="H598" s="16" t="str">
        <f>IF(B598=0,"",COUNTIFS('Extração'!Q:Q,"Não",'Extração'!L:L,A598)/B598)</f>
        <v/>
      </c>
      <c r="I598" s="16" t="str">
        <f>IF(B598=0,"",COUNTIFS('Extração'!R:R,"Igual",'Extração'!L:L,A598)/B598)</f>
        <v/>
      </c>
    </row>
    <row r="599">
      <c r="B599" s="16">
        <f>COUNTIF('Extração'!L:L,A599)</f>
        <v>0</v>
      </c>
      <c r="C599" s="16" t="str">
        <f>IF(B599=0,"",COUNTIFS('Extração'!P:P,"Sim",'Extração'!L:L,A599)/B599)</f>
        <v/>
      </c>
      <c r="D599" s="16" t="str">
        <f>IF(B599=0,"",COUNTIFS('Extração'!Q:Q,"Sim",'Extração'!L:L,A599)/B599)</f>
        <v/>
      </c>
      <c r="E599" s="16" t="str">
        <f>IF(B599=0,"",COUNTIFS('Extração'!P:P,"Parcialmente",'Extração'!L:L,A599)/B599)</f>
        <v/>
      </c>
      <c r="F599" s="16" t="str">
        <f>IF(B599=0,"",COUNTIFS('Extração'!Q:Q,"Parcialmente",'Extração'!L:L,A599)/B599)</f>
        <v/>
      </c>
      <c r="G599" s="16" t="str">
        <f>IF(B599=0,"",COUNTIFS('Extração'!P:P,"Não",'Extração'!L:L,A599)/B599)</f>
        <v/>
      </c>
      <c r="H599" s="16" t="str">
        <f>IF(B599=0,"",COUNTIFS('Extração'!Q:Q,"Não",'Extração'!L:L,A599)/B599)</f>
        <v/>
      </c>
      <c r="I599" s="16" t="str">
        <f>IF(B599=0,"",COUNTIFS('Extração'!R:R,"Igual",'Extração'!L:L,A599)/B599)</f>
        <v/>
      </c>
    </row>
    <row r="600">
      <c r="B600" s="16">
        <f>COUNTIF('Extração'!L:L,A600)</f>
        <v>0</v>
      </c>
      <c r="C600" s="16" t="str">
        <f>IF(B600=0,"",COUNTIFS('Extração'!P:P,"Sim",'Extração'!L:L,A600)/B600)</f>
        <v/>
      </c>
      <c r="D600" s="16" t="str">
        <f>IF(B600=0,"",COUNTIFS('Extração'!Q:Q,"Sim",'Extração'!L:L,A600)/B600)</f>
        <v/>
      </c>
      <c r="E600" s="16" t="str">
        <f>IF(B600=0,"",COUNTIFS('Extração'!P:P,"Parcialmente",'Extração'!L:L,A600)/B600)</f>
        <v/>
      </c>
      <c r="F600" s="16" t="str">
        <f>IF(B600=0,"",COUNTIFS('Extração'!Q:Q,"Parcialmente",'Extração'!L:L,A600)/B600)</f>
        <v/>
      </c>
      <c r="G600" s="16" t="str">
        <f>IF(B600=0,"",COUNTIFS('Extração'!P:P,"Não",'Extração'!L:L,A600)/B600)</f>
        <v/>
      </c>
      <c r="H600" s="16" t="str">
        <f>IF(B600=0,"",COUNTIFS('Extração'!Q:Q,"Não",'Extração'!L:L,A600)/B600)</f>
        <v/>
      </c>
      <c r="I600" s="16" t="str">
        <f>IF(B600=0,"",COUNTIFS('Extração'!R:R,"Igual",'Extração'!L:L,A600)/B600)</f>
        <v/>
      </c>
    </row>
    <row r="601">
      <c r="B601" s="16">
        <f>COUNTIF('Extração'!L:L,A601)</f>
        <v>0</v>
      </c>
      <c r="C601" s="16" t="str">
        <f>IF(B601=0,"",COUNTIFS('Extração'!P:P,"Sim",'Extração'!L:L,A601)/B601)</f>
        <v/>
      </c>
      <c r="D601" s="16" t="str">
        <f>IF(B601=0,"",COUNTIFS('Extração'!Q:Q,"Sim",'Extração'!L:L,A601)/B601)</f>
        <v/>
      </c>
      <c r="E601" s="16" t="str">
        <f>IF(B601=0,"",COUNTIFS('Extração'!P:P,"Parcialmente",'Extração'!L:L,A601)/B601)</f>
        <v/>
      </c>
      <c r="F601" s="16" t="str">
        <f>IF(B601=0,"",COUNTIFS('Extração'!Q:Q,"Parcialmente",'Extração'!L:L,A601)/B601)</f>
        <v/>
      </c>
      <c r="G601" s="16" t="str">
        <f>IF(B601=0,"",COUNTIFS('Extração'!P:P,"Não",'Extração'!L:L,A601)/B601)</f>
        <v/>
      </c>
      <c r="H601" s="16" t="str">
        <f>IF(B601=0,"",COUNTIFS('Extração'!Q:Q,"Não",'Extração'!L:L,A601)/B601)</f>
        <v/>
      </c>
      <c r="I601" s="16" t="str">
        <f>IF(B601=0,"",COUNTIFS('Extração'!R:R,"Igual",'Extração'!L:L,A601)/B601)</f>
        <v/>
      </c>
    </row>
    <row r="602">
      <c r="B602" s="16">
        <f>COUNTIF('Extração'!L:L,A602)</f>
        <v>0</v>
      </c>
      <c r="C602" s="16" t="str">
        <f>IF(B602=0,"",COUNTIFS('Extração'!P:P,"Sim",'Extração'!L:L,A602)/B602)</f>
        <v/>
      </c>
      <c r="D602" s="16" t="str">
        <f>IF(B602=0,"",COUNTIFS('Extração'!Q:Q,"Sim",'Extração'!L:L,A602)/B602)</f>
        <v/>
      </c>
      <c r="E602" s="16" t="str">
        <f>IF(B602=0,"",COUNTIFS('Extração'!P:P,"Parcialmente",'Extração'!L:L,A602)/B602)</f>
        <v/>
      </c>
      <c r="F602" s="16" t="str">
        <f>IF(B602=0,"",COUNTIFS('Extração'!Q:Q,"Parcialmente",'Extração'!L:L,A602)/B602)</f>
        <v/>
      </c>
      <c r="G602" s="16" t="str">
        <f>IF(B602=0,"",COUNTIFS('Extração'!P:P,"Não",'Extração'!L:L,A602)/B602)</f>
        <v/>
      </c>
      <c r="H602" s="16" t="str">
        <f>IF(B602=0,"",COUNTIFS('Extração'!Q:Q,"Não",'Extração'!L:L,A602)/B602)</f>
        <v/>
      </c>
      <c r="I602" s="16" t="str">
        <f>IF(B602=0,"",COUNTIFS('Extração'!R:R,"Igual",'Extração'!L:L,A602)/B602)</f>
        <v/>
      </c>
    </row>
    <row r="603">
      <c r="B603" s="16">
        <f>COUNTIF('Extração'!L:L,A603)</f>
        <v>0</v>
      </c>
      <c r="C603" s="16" t="str">
        <f>IF(B603=0,"",COUNTIFS('Extração'!P:P,"Sim",'Extração'!L:L,A603)/B603)</f>
        <v/>
      </c>
      <c r="D603" s="16" t="str">
        <f>IF(B603=0,"",COUNTIFS('Extração'!Q:Q,"Sim",'Extração'!L:L,A603)/B603)</f>
        <v/>
      </c>
      <c r="E603" s="16" t="str">
        <f>IF(B603=0,"",COUNTIFS('Extração'!P:P,"Parcialmente",'Extração'!L:L,A603)/B603)</f>
        <v/>
      </c>
      <c r="F603" s="16" t="str">
        <f>IF(B603=0,"",COUNTIFS('Extração'!Q:Q,"Parcialmente",'Extração'!L:L,A603)/B603)</f>
        <v/>
      </c>
      <c r="G603" s="16" t="str">
        <f>IF(B603=0,"",COUNTIFS('Extração'!P:P,"Não",'Extração'!L:L,A603)/B603)</f>
        <v/>
      </c>
      <c r="H603" s="16" t="str">
        <f>IF(B603=0,"",COUNTIFS('Extração'!Q:Q,"Não",'Extração'!L:L,A603)/B603)</f>
        <v/>
      </c>
      <c r="I603" s="16" t="str">
        <f>IF(B603=0,"",COUNTIFS('Extração'!R:R,"Igual",'Extração'!L:L,A603)/B603)</f>
        <v/>
      </c>
    </row>
    <row r="604">
      <c r="B604" s="16">
        <f>COUNTIF('Extração'!L:L,A604)</f>
        <v>0</v>
      </c>
      <c r="C604" s="16" t="str">
        <f>IF(B604=0,"",COUNTIFS('Extração'!P:P,"Sim",'Extração'!L:L,A604)/B604)</f>
        <v/>
      </c>
      <c r="D604" s="16" t="str">
        <f>IF(B604=0,"",COUNTIFS('Extração'!Q:Q,"Sim",'Extração'!L:L,A604)/B604)</f>
        <v/>
      </c>
      <c r="E604" s="16" t="str">
        <f>IF(B604=0,"",COUNTIFS('Extração'!P:P,"Parcialmente",'Extração'!L:L,A604)/B604)</f>
        <v/>
      </c>
      <c r="F604" s="16" t="str">
        <f>IF(B604=0,"",COUNTIFS('Extração'!Q:Q,"Parcialmente",'Extração'!L:L,A604)/B604)</f>
        <v/>
      </c>
      <c r="G604" s="16" t="str">
        <f>IF(B604=0,"",COUNTIFS('Extração'!P:P,"Não",'Extração'!L:L,A604)/B604)</f>
        <v/>
      </c>
      <c r="H604" s="16" t="str">
        <f>IF(B604=0,"",COUNTIFS('Extração'!Q:Q,"Não",'Extração'!L:L,A604)/B604)</f>
        <v/>
      </c>
      <c r="I604" s="16" t="str">
        <f>IF(B604=0,"",COUNTIFS('Extração'!R:R,"Igual",'Extração'!L:L,A604)/B604)</f>
        <v/>
      </c>
    </row>
    <row r="605">
      <c r="B605" s="16">
        <f>COUNTIF('Extração'!L:L,A605)</f>
        <v>0</v>
      </c>
      <c r="C605" s="16" t="str">
        <f>IF(B605=0,"",COUNTIFS('Extração'!P:P,"Sim",'Extração'!L:L,A605)/B605)</f>
        <v/>
      </c>
      <c r="D605" s="16" t="str">
        <f>IF(B605=0,"",COUNTIFS('Extração'!Q:Q,"Sim",'Extração'!L:L,A605)/B605)</f>
        <v/>
      </c>
      <c r="E605" s="16" t="str">
        <f>IF(B605=0,"",COUNTIFS('Extração'!P:P,"Parcialmente",'Extração'!L:L,A605)/B605)</f>
        <v/>
      </c>
      <c r="F605" s="16" t="str">
        <f>IF(B605=0,"",COUNTIFS('Extração'!Q:Q,"Parcialmente",'Extração'!L:L,A605)/B605)</f>
        <v/>
      </c>
      <c r="G605" s="16" t="str">
        <f>IF(B605=0,"",COUNTIFS('Extração'!P:P,"Não",'Extração'!L:L,A605)/B605)</f>
        <v/>
      </c>
      <c r="H605" s="16" t="str">
        <f>IF(B605=0,"",COUNTIFS('Extração'!Q:Q,"Não",'Extração'!L:L,A605)/B605)</f>
        <v/>
      </c>
      <c r="I605" s="16" t="str">
        <f>IF(B605=0,"",COUNTIFS('Extração'!R:R,"Igual",'Extração'!L:L,A605)/B605)</f>
        <v/>
      </c>
    </row>
    <row r="606">
      <c r="B606" s="16">
        <f>COUNTIF('Extração'!L:L,A606)</f>
        <v>0</v>
      </c>
      <c r="C606" s="16" t="str">
        <f>IF(B606=0,"",COUNTIFS('Extração'!P:P,"Sim",'Extração'!L:L,A606)/B606)</f>
        <v/>
      </c>
      <c r="D606" s="16" t="str">
        <f>IF(B606=0,"",COUNTIFS('Extração'!Q:Q,"Sim",'Extração'!L:L,A606)/B606)</f>
        <v/>
      </c>
      <c r="E606" s="16" t="str">
        <f>IF(B606=0,"",COUNTIFS('Extração'!P:P,"Parcialmente",'Extração'!L:L,A606)/B606)</f>
        <v/>
      </c>
      <c r="F606" s="16" t="str">
        <f>IF(B606=0,"",COUNTIFS('Extração'!Q:Q,"Parcialmente",'Extração'!L:L,A606)/B606)</f>
        <v/>
      </c>
      <c r="G606" s="16" t="str">
        <f>IF(B606=0,"",COUNTIFS('Extração'!P:P,"Não",'Extração'!L:L,A606)/B606)</f>
        <v/>
      </c>
      <c r="H606" s="16" t="str">
        <f>IF(B606=0,"",COUNTIFS('Extração'!Q:Q,"Não",'Extração'!L:L,A606)/B606)</f>
        <v/>
      </c>
      <c r="I606" s="16" t="str">
        <f>IF(B606=0,"",COUNTIFS('Extração'!R:R,"Igual",'Extração'!L:L,A606)/B606)</f>
        <v/>
      </c>
    </row>
    <row r="607">
      <c r="B607" s="16">
        <f>COUNTIF('Extração'!L:L,A607)</f>
        <v>0</v>
      </c>
      <c r="C607" s="16" t="str">
        <f>IF(B607=0,"",COUNTIFS('Extração'!P:P,"Sim",'Extração'!L:L,A607)/B607)</f>
        <v/>
      </c>
      <c r="D607" s="16" t="str">
        <f>IF(B607=0,"",COUNTIFS('Extração'!Q:Q,"Sim",'Extração'!L:L,A607)/B607)</f>
        <v/>
      </c>
      <c r="E607" s="16" t="str">
        <f>IF(B607=0,"",COUNTIFS('Extração'!P:P,"Parcialmente",'Extração'!L:L,A607)/B607)</f>
        <v/>
      </c>
      <c r="F607" s="16" t="str">
        <f>IF(B607=0,"",COUNTIFS('Extração'!Q:Q,"Parcialmente",'Extração'!L:L,A607)/B607)</f>
        <v/>
      </c>
      <c r="G607" s="16" t="str">
        <f>IF(B607=0,"",COUNTIFS('Extração'!P:P,"Não",'Extração'!L:L,A607)/B607)</f>
        <v/>
      </c>
      <c r="H607" s="16" t="str">
        <f>IF(B607=0,"",COUNTIFS('Extração'!Q:Q,"Não",'Extração'!L:L,A607)/B607)</f>
        <v/>
      </c>
      <c r="I607" s="16" t="str">
        <f>IF(B607=0,"",COUNTIFS('Extração'!R:R,"Igual",'Extração'!L:L,A607)/B607)</f>
        <v/>
      </c>
    </row>
    <row r="608">
      <c r="B608" s="16">
        <f>COUNTIF('Extração'!L:L,A608)</f>
        <v>0</v>
      </c>
      <c r="C608" s="16" t="str">
        <f>IF(B608=0,"",COUNTIFS('Extração'!P:P,"Sim",'Extração'!L:L,A608)/B608)</f>
        <v/>
      </c>
      <c r="D608" s="16" t="str">
        <f>IF(B608=0,"",COUNTIFS('Extração'!Q:Q,"Sim",'Extração'!L:L,A608)/B608)</f>
        <v/>
      </c>
      <c r="E608" s="16" t="str">
        <f>IF(B608=0,"",COUNTIFS('Extração'!P:P,"Parcialmente",'Extração'!L:L,A608)/B608)</f>
        <v/>
      </c>
      <c r="F608" s="16" t="str">
        <f>IF(B608=0,"",COUNTIFS('Extração'!Q:Q,"Parcialmente",'Extração'!L:L,A608)/B608)</f>
        <v/>
      </c>
      <c r="G608" s="16" t="str">
        <f>IF(B608=0,"",COUNTIFS('Extração'!P:P,"Não",'Extração'!L:L,A608)/B608)</f>
        <v/>
      </c>
      <c r="H608" s="16" t="str">
        <f>IF(B608=0,"",COUNTIFS('Extração'!Q:Q,"Não",'Extração'!L:L,A608)/B608)</f>
        <v/>
      </c>
      <c r="I608" s="16" t="str">
        <f>IF(B608=0,"",COUNTIFS('Extração'!R:R,"Igual",'Extração'!L:L,A608)/B608)</f>
        <v/>
      </c>
    </row>
    <row r="609">
      <c r="B609" s="16">
        <f>COUNTIF('Extração'!L:L,A609)</f>
        <v>0</v>
      </c>
      <c r="C609" s="16" t="str">
        <f>IF(B609=0,"",COUNTIFS('Extração'!P:P,"Sim",'Extração'!L:L,A609)/B609)</f>
        <v/>
      </c>
      <c r="D609" s="16" t="str">
        <f>IF(B609=0,"",COUNTIFS('Extração'!Q:Q,"Sim",'Extração'!L:L,A609)/B609)</f>
        <v/>
      </c>
      <c r="E609" s="16" t="str">
        <f>IF(B609=0,"",COUNTIFS('Extração'!P:P,"Parcialmente",'Extração'!L:L,A609)/B609)</f>
        <v/>
      </c>
      <c r="F609" s="16" t="str">
        <f>IF(B609=0,"",COUNTIFS('Extração'!Q:Q,"Parcialmente",'Extração'!L:L,A609)/B609)</f>
        <v/>
      </c>
      <c r="G609" s="16" t="str">
        <f>IF(B609=0,"",COUNTIFS('Extração'!P:P,"Não",'Extração'!L:L,A609)/B609)</f>
        <v/>
      </c>
      <c r="H609" s="16" t="str">
        <f>IF(B609=0,"",COUNTIFS('Extração'!Q:Q,"Não",'Extração'!L:L,A609)/B609)</f>
        <v/>
      </c>
      <c r="I609" s="16" t="str">
        <f>IF(B609=0,"",COUNTIFS('Extração'!R:R,"Igual",'Extração'!L:L,A609)/B609)</f>
        <v/>
      </c>
    </row>
    <row r="610">
      <c r="B610" s="16">
        <f>COUNTIF('Extração'!L:L,A610)</f>
        <v>0</v>
      </c>
      <c r="C610" s="16" t="str">
        <f>IF(B610=0,"",COUNTIFS('Extração'!P:P,"Sim",'Extração'!L:L,A610)/B610)</f>
        <v/>
      </c>
      <c r="D610" s="16" t="str">
        <f>IF(B610=0,"",COUNTIFS('Extração'!Q:Q,"Sim",'Extração'!L:L,A610)/B610)</f>
        <v/>
      </c>
      <c r="E610" s="16" t="str">
        <f>IF(B610=0,"",COUNTIFS('Extração'!P:P,"Parcialmente",'Extração'!L:L,A610)/B610)</f>
        <v/>
      </c>
      <c r="F610" s="16" t="str">
        <f>IF(B610=0,"",COUNTIFS('Extração'!Q:Q,"Parcialmente",'Extração'!L:L,A610)/B610)</f>
        <v/>
      </c>
      <c r="G610" s="16" t="str">
        <f>IF(B610=0,"",COUNTIFS('Extração'!P:P,"Não",'Extração'!L:L,A610)/B610)</f>
        <v/>
      </c>
      <c r="H610" s="16" t="str">
        <f>IF(B610=0,"",COUNTIFS('Extração'!Q:Q,"Não",'Extração'!L:L,A610)/B610)</f>
        <v/>
      </c>
      <c r="I610" s="16" t="str">
        <f>IF(B610=0,"",COUNTIFS('Extração'!R:R,"Igual",'Extração'!L:L,A610)/B610)</f>
        <v/>
      </c>
    </row>
    <row r="611">
      <c r="B611" s="16">
        <f>COUNTIF('Extração'!L:L,A611)</f>
        <v>0</v>
      </c>
      <c r="C611" s="16" t="str">
        <f>IF(B611=0,"",COUNTIFS('Extração'!P:P,"Sim",'Extração'!L:L,A611)/B611)</f>
        <v/>
      </c>
      <c r="D611" s="16" t="str">
        <f>IF(B611=0,"",COUNTIFS('Extração'!Q:Q,"Sim",'Extração'!L:L,A611)/B611)</f>
        <v/>
      </c>
      <c r="E611" s="16" t="str">
        <f>IF(B611=0,"",COUNTIFS('Extração'!P:P,"Parcialmente",'Extração'!L:L,A611)/B611)</f>
        <v/>
      </c>
      <c r="F611" s="16" t="str">
        <f>IF(B611=0,"",COUNTIFS('Extração'!Q:Q,"Parcialmente",'Extração'!L:L,A611)/B611)</f>
        <v/>
      </c>
      <c r="G611" s="16" t="str">
        <f>IF(B611=0,"",COUNTIFS('Extração'!P:P,"Não",'Extração'!L:L,A611)/B611)</f>
        <v/>
      </c>
      <c r="H611" s="16" t="str">
        <f>IF(B611=0,"",COUNTIFS('Extração'!Q:Q,"Não",'Extração'!L:L,A611)/B611)</f>
        <v/>
      </c>
      <c r="I611" s="16" t="str">
        <f>IF(B611=0,"",COUNTIFS('Extração'!R:R,"Igual",'Extração'!L:L,A611)/B611)</f>
        <v/>
      </c>
    </row>
    <row r="612">
      <c r="B612" s="16">
        <f>COUNTIF('Extração'!L:L,A612)</f>
        <v>0</v>
      </c>
      <c r="C612" s="16" t="str">
        <f>IF(B612=0,"",COUNTIFS('Extração'!P:P,"Sim",'Extração'!L:L,A612)/B612)</f>
        <v/>
      </c>
      <c r="D612" s="16" t="str">
        <f>IF(B612=0,"",COUNTIFS('Extração'!Q:Q,"Sim",'Extração'!L:L,A612)/B612)</f>
        <v/>
      </c>
      <c r="E612" s="16" t="str">
        <f>IF(B612=0,"",COUNTIFS('Extração'!P:P,"Parcialmente",'Extração'!L:L,A612)/B612)</f>
        <v/>
      </c>
      <c r="F612" s="16" t="str">
        <f>IF(B612=0,"",COUNTIFS('Extração'!Q:Q,"Parcialmente",'Extração'!L:L,A612)/B612)</f>
        <v/>
      </c>
      <c r="G612" s="16" t="str">
        <f>IF(B612=0,"",COUNTIFS('Extração'!P:P,"Não",'Extração'!L:L,A612)/B612)</f>
        <v/>
      </c>
      <c r="H612" s="16" t="str">
        <f>IF(B612=0,"",COUNTIFS('Extração'!Q:Q,"Não",'Extração'!L:L,A612)/B612)</f>
        <v/>
      </c>
      <c r="I612" s="16" t="str">
        <f>IF(B612=0,"",COUNTIFS('Extração'!R:R,"Igual",'Extração'!L:L,A612)/B612)</f>
        <v/>
      </c>
    </row>
    <row r="613">
      <c r="B613" s="16">
        <f>COUNTIF('Extração'!L:L,A613)</f>
        <v>0</v>
      </c>
      <c r="C613" s="16" t="str">
        <f>IF(B613=0,"",COUNTIFS('Extração'!P:P,"Sim",'Extração'!L:L,A613)/B613)</f>
        <v/>
      </c>
      <c r="D613" s="16" t="str">
        <f>IF(B613=0,"",COUNTIFS('Extração'!Q:Q,"Sim",'Extração'!L:L,A613)/B613)</f>
        <v/>
      </c>
      <c r="E613" s="16" t="str">
        <f>IF(B613=0,"",COUNTIFS('Extração'!P:P,"Parcialmente",'Extração'!L:L,A613)/B613)</f>
        <v/>
      </c>
      <c r="F613" s="16" t="str">
        <f>IF(B613=0,"",COUNTIFS('Extração'!Q:Q,"Parcialmente",'Extração'!L:L,A613)/B613)</f>
        <v/>
      </c>
      <c r="G613" s="16" t="str">
        <f>IF(B613=0,"",COUNTIFS('Extração'!P:P,"Não",'Extração'!L:L,A613)/B613)</f>
        <v/>
      </c>
      <c r="H613" s="16" t="str">
        <f>IF(B613=0,"",COUNTIFS('Extração'!Q:Q,"Não",'Extração'!L:L,A613)/B613)</f>
        <v/>
      </c>
      <c r="I613" s="16" t="str">
        <f>IF(B613=0,"",COUNTIFS('Extração'!R:R,"Igual",'Extração'!L:L,A613)/B613)</f>
        <v/>
      </c>
    </row>
    <row r="614">
      <c r="B614" s="16">
        <f>COUNTIF('Extração'!L:L,A614)</f>
        <v>0</v>
      </c>
      <c r="C614" s="16" t="str">
        <f>IF(B614=0,"",COUNTIFS('Extração'!P:P,"Sim",'Extração'!L:L,A614)/B614)</f>
        <v/>
      </c>
      <c r="D614" s="16" t="str">
        <f>IF(B614=0,"",COUNTIFS('Extração'!Q:Q,"Sim",'Extração'!L:L,A614)/B614)</f>
        <v/>
      </c>
      <c r="E614" s="16" t="str">
        <f>IF(B614=0,"",COUNTIFS('Extração'!P:P,"Parcialmente",'Extração'!L:L,A614)/B614)</f>
        <v/>
      </c>
      <c r="F614" s="16" t="str">
        <f>IF(B614=0,"",COUNTIFS('Extração'!Q:Q,"Parcialmente",'Extração'!L:L,A614)/B614)</f>
        <v/>
      </c>
      <c r="G614" s="16" t="str">
        <f>IF(B614=0,"",COUNTIFS('Extração'!P:P,"Não",'Extração'!L:L,A614)/B614)</f>
        <v/>
      </c>
      <c r="H614" s="16" t="str">
        <f>IF(B614=0,"",COUNTIFS('Extração'!Q:Q,"Não",'Extração'!L:L,A614)/B614)</f>
        <v/>
      </c>
      <c r="I614" s="16" t="str">
        <f>IF(B614=0,"",COUNTIFS('Extração'!R:R,"Igual",'Extração'!L:L,A614)/B614)</f>
        <v/>
      </c>
    </row>
    <row r="615">
      <c r="B615" s="16">
        <f>COUNTIF('Extração'!L:L,A615)</f>
        <v>0</v>
      </c>
      <c r="C615" s="16" t="str">
        <f>IF(B615=0,"",COUNTIFS('Extração'!P:P,"Sim",'Extração'!L:L,A615)/B615)</f>
        <v/>
      </c>
      <c r="D615" s="16" t="str">
        <f>IF(B615=0,"",COUNTIFS('Extração'!Q:Q,"Sim",'Extração'!L:L,A615)/B615)</f>
        <v/>
      </c>
      <c r="E615" s="16" t="str">
        <f>IF(B615=0,"",COUNTIFS('Extração'!P:P,"Parcialmente",'Extração'!L:L,A615)/B615)</f>
        <v/>
      </c>
      <c r="F615" s="16" t="str">
        <f>IF(B615=0,"",COUNTIFS('Extração'!Q:Q,"Parcialmente",'Extração'!L:L,A615)/B615)</f>
        <v/>
      </c>
      <c r="G615" s="16" t="str">
        <f>IF(B615=0,"",COUNTIFS('Extração'!P:P,"Não",'Extração'!L:L,A615)/B615)</f>
        <v/>
      </c>
      <c r="H615" s="16" t="str">
        <f>IF(B615=0,"",COUNTIFS('Extração'!Q:Q,"Não",'Extração'!L:L,A615)/B615)</f>
        <v/>
      </c>
      <c r="I615" s="16" t="str">
        <f>IF(B615=0,"",COUNTIFS('Extração'!R:R,"Igual",'Extração'!L:L,A615)/B615)</f>
        <v/>
      </c>
    </row>
    <row r="616">
      <c r="B616" s="16">
        <f>COUNTIF('Extração'!L:L,A616)</f>
        <v>0</v>
      </c>
      <c r="C616" s="16" t="str">
        <f>IF(B616=0,"",COUNTIFS('Extração'!P:P,"Sim",'Extração'!L:L,A616)/B616)</f>
        <v/>
      </c>
      <c r="D616" s="16" t="str">
        <f>IF(B616=0,"",COUNTIFS('Extração'!Q:Q,"Sim",'Extração'!L:L,A616)/B616)</f>
        <v/>
      </c>
      <c r="E616" s="16" t="str">
        <f>IF(B616=0,"",COUNTIFS('Extração'!P:P,"Parcialmente",'Extração'!L:L,A616)/B616)</f>
        <v/>
      </c>
      <c r="F616" s="16" t="str">
        <f>IF(B616=0,"",COUNTIFS('Extração'!Q:Q,"Parcialmente",'Extração'!L:L,A616)/B616)</f>
        <v/>
      </c>
      <c r="G616" s="16" t="str">
        <f>IF(B616=0,"",COUNTIFS('Extração'!P:P,"Não",'Extração'!L:L,A616)/B616)</f>
        <v/>
      </c>
      <c r="H616" s="16" t="str">
        <f>IF(B616=0,"",COUNTIFS('Extração'!Q:Q,"Não",'Extração'!L:L,A616)/B616)</f>
        <v/>
      </c>
      <c r="I616" s="16" t="str">
        <f>IF(B616=0,"",COUNTIFS('Extração'!R:R,"Igual",'Extração'!L:L,A616)/B616)</f>
        <v/>
      </c>
    </row>
    <row r="617">
      <c r="B617" s="16">
        <f>COUNTIF('Extração'!L:L,A617)</f>
        <v>0</v>
      </c>
      <c r="C617" s="16" t="str">
        <f>IF(B617=0,"",COUNTIFS('Extração'!P:P,"Sim",'Extração'!L:L,A617)/B617)</f>
        <v/>
      </c>
      <c r="D617" s="16" t="str">
        <f>IF(B617=0,"",COUNTIFS('Extração'!Q:Q,"Sim",'Extração'!L:L,A617)/B617)</f>
        <v/>
      </c>
      <c r="E617" s="16" t="str">
        <f>IF(B617=0,"",COUNTIFS('Extração'!P:P,"Parcialmente",'Extração'!L:L,A617)/B617)</f>
        <v/>
      </c>
      <c r="F617" s="16" t="str">
        <f>IF(B617=0,"",COUNTIFS('Extração'!Q:Q,"Parcialmente",'Extração'!L:L,A617)/B617)</f>
        <v/>
      </c>
      <c r="G617" s="16" t="str">
        <f>IF(B617=0,"",COUNTIFS('Extração'!P:P,"Não",'Extração'!L:L,A617)/B617)</f>
        <v/>
      </c>
      <c r="H617" s="16" t="str">
        <f>IF(B617=0,"",COUNTIFS('Extração'!Q:Q,"Não",'Extração'!L:L,A617)/B617)</f>
        <v/>
      </c>
      <c r="I617" s="16" t="str">
        <f>IF(B617=0,"",COUNTIFS('Extração'!R:R,"Igual",'Extração'!L:L,A617)/B617)</f>
        <v/>
      </c>
    </row>
    <row r="618">
      <c r="B618" s="16">
        <f>COUNTIF('Extração'!L:L,A618)</f>
        <v>0</v>
      </c>
      <c r="C618" s="16" t="str">
        <f>IF(B618=0,"",COUNTIFS('Extração'!P:P,"Sim",'Extração'!L:L,A618)/B618)</f>
        <v/>
      </c>
      <c r="D618" s="16" t="str">
        <f>IF(B618=0,"",COUNTIFS('Extração'!Q:Q,"Sim",'Extração'!L:L,A618)/B618)</f>
        <v/>
      </c>
      <c r="E618" s="16" t="str">
        <f>IF(B618=0,"",COUNTIFS('Extração'!P:P,"Parcialmente",'Extração'!L:L,A618)/B618)</f>
        <v/>
      </c>
      <c r="F618" s="16" t="str">
        <f>IF(B618=0,"",COUNTIFS('Extração'!Q:Q,"Parcialmente",'Extração'!L:L,A618)/B618)</f>
        <v/>
      </c>
      <c r="G618" s="16" t="str">
        <f>IF(B618=0,"",COUNTIFS('Extração'!P:P,"Não",'Extração'!L:L,A618)/B618)</f>
        <v/>
      </c>
      <c r="H618" s="16" t="str">
        <f>IF(B618=0,"",COUNTIFS('Extração'!Q:Q,"Não",'Extração'!L:L,A618)/B618)</f>
        <v/>
      </c>
      <c r="I618" s="16" t="str">
        <f>IF(B618=0,"",COUNTIFS('Extração'!R:R,"Igual",'Extração'!L:L,A618)/B618)</f>
        <v/>
      </c>
    </row>
    <row r="619">
      <c r="B619" s="16">
        <f>COUNTIF('Extração'!L:L,A619)</f>
        <v>0</v>
      </c>
      <c r="C619" s="16" t="str">
        <f>IF(B619=0,"",COUNTIFS('Extração'!P:P,"Sim",'Extração'!L:L,A619)/B619)</f>
        <v/>
      </c>
      <c r="D619" s="16" t="str">
        <f>IF(B619=0,"",COUNTIFS('Extração'!Q:Q,"Sim",'Extração'!L:L,A619)/B619)</f>
        <v/>
      </c>
      <c r="E619" s="16" t="str">
        <f>IF(B619=0,"",COUNTIFS('Extração'!P:P,"Parcialmente",'Extração'!L:L,A619)/B619)</f>
        <v/>
      </c>
      <c r="F619" s="16" t="str">
        <f>IF(B619=0,"",COUNTIFS('Extração'!Q:Q,"Parcialmente",'Extração'!L:L,A619)/B619)</f>
        <v/>
      </c>
      <c r="G619" s="16" t="str">
        <f>IF(B619=0,"",COUNTIFS('Extração'!P:P,"Não",'Extração'!L:L,A619)/B619)</f>
        <v/>
      </c>
      <c r="H619" s="16" t="str">
        <f>IF(B619=0,"",COUNTIFS('Extração'!Q:Q,"Não",'Extração'!L:L,A619)/B619)</f>
        <v/>
      </c>
      <c r="I619" s="16" t="str">
        <f>IF(B619=0,"",COUNTIFS('Extração'!R:R,"Igual",'Extração'!L:L,A619)/B619)</f>
        <v/>
      </c>
    </row>
    <row r="620">
      <c r="B620" s="16">
        <f>COUNTIF('Extração'!L:L,A620)</f>
        <v>0</v>
      </c>
      <c r="C620" s="16" t="str">
        <f>IF(B620=0,"",COUNTIFS('Extração'!P:P,"Sim",'Extração'!L:L,A620)/B620)</f>
        <v/>
      </c>
      <c r="D620" s="16" t="str">
        <f>IF(B620=0,"",COUNTIFS('Extração'!Q:Q,"Sim",'Extração'!L:L,A620)/B620)</f>
        <v/>
      </c>
      <c r="E620" s="16" t="str">
        <f>IF(B620=0,"",COUNTIFS('Extração'!P:P,"Parcialmente",'Extração'!L:L,A620)/B620)</f>
        <v/>
      </c>
      <c r="F620" s="16" t="str">
        <f>IF(B620=0,"",COUNTIFS('Extração'!Q:Q,"Parcialmente",'Extração'!L:L,A620)/B620)</f>
        <v/>
      </c>
      <c r="G620" s="16" t="str">
        <f>IF(B620=0,"",COUNTIFS('Extração'!P:P,"Não",'Extração'!L:L,A620)/B620)</f>
        <v/>
      </c>
      <c r="H620" s="16" t="str">
        <f>IF(B620=0,"",COUNTIFS('Extração'!Q:Q,"Não",'Extração'!L:L,A620)/B620)</f>
        <v/>
      </c>
      <c r="I620" s="16" t="str">
        <f>IF(B620=0,"",COUNTIFS('Extração'!R:R,"Igual",'Extração'!L:L,A620)/B620)</f>
        <v/>
      </c>
    </row>
    <row r="621">
      <c r="B621" s="16">
        <f>COUNTIF('Extração'!L:L,A621)</f>
        <v>0</v>
      </c>
      <c r="C621" s="16" t="str">
        <f>IF(B621=0,"",COUNTIFS('Extração'!P:P,"Sim",'Extração'!L:L,A621)/B621)</f>
        <v/>
      </c>
      <c r="D621" s="16" t="str">
        <f>IF(B621=0,"",COUNTIFS('Extração'!Q:Q,"Sim",'Extração'!L:L,A621)/B621)</f>
        <v/>
      </c>
      <c r="E621" s="16" t="str">
        <f>IF(B621=0,"",COUNTIFS('Extração'!P:P,"Parcialmente",'Extração'!L:L,A621)/B621)</f>
        <v/>
      </c>
      <c r="F621" s="16" t="str">
        <f>IF(B621=0,"",COUNTIFS('Extração'!Q:Q,"Parcialmente",'Extração'!L:L,A621)/B621)</f>
        <v/>
      </c>
      <c r="G621" s="16" t="str">
        <f>IF(B621=0,"",COUNTIFS('Extração'!P:P,"Não",'Extração'!L:L,A621)/B621)</f>
        <v/>
      </c>
      <c r="H621" s="16" t="str">
        <f>IF(B621=0,"",COUNTIFS('Extração'!Q:Q,"Não",'Extração'!L:L,A621)/B621)</f>
        <v/>
      </c>
      <c r="I621" s="16" t="str">
        <f>IF(B621=0,"",COUNTIFS('Extração'!R:R,"Igual",'Extração'!L:L,A621)/B621)</f>
        <v/>
      </c>
    </row>
    <row r="622">
      <c r="B622" s="16">
        <f>COUNTIF('Extração'!L:L,A622)</f>
        <v>0</v>
      </c>
      <c r="C622" s="16" t="str">
        <f>IF(B622=0,"",COUNTIFS('Extração'!P:P,"Sim",'Extração'!L:L,A622)/B622)</f>
        <v/>
      </c>
      <c r="D622" s="16" t="str">
        <f>IF(B622=0,"",COUNTIFS('Extração'!Q:Q,"Sim",'Extração'!L:L,A622)/B622)</f>
        <v/>
      </c>
      <c r="E622" s="16" t="str">
        <f>IF(B622=0,"",COUNTIFS('Extração'!P:P,"Parcialmente",'Extração'!L:L,A622)/B622)</f>
        <v/>
      </c>
      <c r="F622" s="16" t="str">
        <f>IF(B622=0,"",COUNTIFS('Extração'!Q:Q,"Parcialmente",'Extração'!L:L,A622)/B622)</f>
        <v/>
      </c>
      <c r="G622" s="16" t="str">
        <f>IF(B622=0,"",COUNTIFS('Extração'!P:P,"Não",'Extração'!L:L,A622)/B622)</f>
        <v/>
      </c>
      <c r="H622" s="16" t="str">
        <f>IF(B622=0,"",COUNTIFS('Extração'!Q:Q,"Não",'Extração'!L:L,A622)/B622)</f>
        <v/>
      </c>
      <c r="I622" s="16" t="str">
        <f>IF(B622=0,"",COUNTIFS('Extração'!R:R,"Igual",'Extração'!L:L,A622)/B622)</f>
        <v/>
      </c>
    </row>
    <row r="623">
      <c r="B623" s="16">
        <f>COUNTIF('Extração'!L:L,A623)</f>
        <v>0</v>
      </c>
      <c r="C623" s="16" t="str">
        <f>IF(B623=0,"",COUNTIFS('Extração'!P:P,"Sim",'Extração'!L:L,A623)/B623)</f>
        <v/>
      </c>
      <c r="D623" s="16" t="str">
        <f>IF(B623=0,"",COUNTIFS('Extração'!Q:Q,"Sim",'Extração'!L:L,A623)/B623)</f>
        <v/>
      </c>
      <c r="E623" s="16" t="str">
        <f>IF(B623=0,"",COUNTIFS('Extração'!P:P,"Parcialmente",'Extração'!L:L,A623)/B623)</f>
        <v/>
      </c>
      <c r="F623" s="16" t="str">
        <f>IF(B623=0,"",COUNTIFS('Extração'!Q:Q,"Parcialmente",'Extração'!L:L,A623)/B623)</f>
        <v/>
      </c>
      <c r="G623" s="16" t="str">
        <f>IF(B623=0,"",COUNTIFS('Extração'!P:P,"Não",'Extração'!L:L,A623)/B623)</f>
        <v/>
      </c>
      <c r="H623" s="16" t="str">
        <f>IF(B623=0,"",COUNTIFS('Extração'!Q:Q,"Não",'Extração'!L:L,A623)/B623)</f>
        <v/>
      </c>
      <c r="I623" s="16" t="str">
        <f>IF(B623=0,"",COUNTIFS('Extração'!R:R,"Igual",'Extração'!L:L,A623)/B623)</f>
        <v/>
      </c>
    </row>
    <row r="624">
      <c r="B624" s="16">
        <f>COUNTIF('Extração'!L:L,A624)</f>
        <v>0</v>
      </c>
      <c r="C624" s="16" t="str">
        <f>IF(B624=0,"",COUNTIFS('Extração'!P:P,"Sim",'Extração'!L:L,A624)/B624)</f>
        <v/>
      </c>
      <c r="D624" s="16" t="str">
        <f>IF(B624=0,"",COUNTIFS('Extração'!Q:Q,"Sim",'Extração'!L:L,A624)/B624)</f>
        <v/>
      </c>
      <c r="E624" s="16" t="str">
        <f>IF(B624=0,"",COUNTIFS('Extração'!P:P,"Parcialmente",'Extração'!L:L,A624)/B624)</f>
        <v/>
      </c>
      <c r="F624" s="16" t="str">
        <f>IF(B624=0,"",COUNTIFS('Extração'!Q:Q,"Parcialmente",'Extração'!L:L,A624)/B624)</f>
        <v/>
      </c>
      <c r="G624" s="16" t="str">
        <f>IF(B624=0,"",COUNTIFS('Extração'!P:P,"Não",'Extração'!L:L,A624)/B624)</f>
        <v/>
      </c>
      <c r="H624" s="16" t="str">
        <f>IF(B624=0,"",COUNTIFS('Extração'!Q:Q,"Não",'Extração'!L:L,A624)/B624)</f>
        <v/>
      </c>
      <c r="I624" s="16" t="str">
        <f>IF(B624=0,"",COUNTIFS('Extração'!R:R,"Igual",'Extração'!L:L,A624)/B624)</f>
        <v/>
      </c>
    </row>
    <row r="625">
      <c r="B625" s="16">
        <f>COUNTIF('Extração'!L:L,A625)</f>
        <v>0</v>
      </c>
      <c r="C625" s="16" t="str">
        <f>IF(B625=0,"",COUNTIFS('Extração'!P:P,"Sim",'Extração'!L:L,A625)/B625)</f>
        <v/>
      </c>
      <c r="D625" s="16" t="str">
        <f>IF(B625=0,"",COUNTIFS('Extração'!Q:Q,"Sim",'Extração'!L:L,A625)/B625)</f>
        <v/>
      </c>
      <c r="E625" s="16" t="str">
        <f>IF(B625=0,"",COUNTIFS('Extração'!P:P,"Parcialmente",'Extração'!L:L,A625)/B625)</f>
        <v/>
      </c>
      <c r="F625" s="16" t="str">
        <f>IF(B625=0,"",COUNTIFS('Extração'!Q:Q,"Parcialmente",'Extração'!L:L,A625)/B625)</f>
        <v/>
      </c>
      <c r="G625" s="16" t="str">
        <f>IF(B625=0,"",COUNTIFS('Extração'!P:P,"Não",'Extração'!L:L,A625)/B625)</f>
        <v/>
      </c>
      <c r="H625" s="16" t="str">
        <f>IF(B625=0,"",COUNTIFS('Extração'!Q:Q,"Não",'Extração'!L:L,A625)/B625)</f>
        <v/>
      </c>
      <c r="I625" s="16" t="str">
        <f>IF(B625=0,"",COUNTIFS('Extração'!R:R,"Igual",'Extração'!L:L,A625)/B625)</f>
        <v/>
      </c>
    </row>
    <row r="626">
      <c r="B626" s="16">
        <f>COUNTIF('Extração'!L:L,A626)</f>
        <v>0</v>
      </c>
      <c r="C626" s="16" t="str">
        <f>IF(B626=0,"",COUNTIFS('Extração'!P:P,"Sim",'Extração'!L:L,A626)/B626)</f>
        <v/>
      </c>
      <c r="D626" s="16" t="str">
        <f>IF(B626=0,"",COUNTIFS('Extração'!Q:Q,"Sim",'Extração'!L:L,A626)/B626)</f>
        <v/>
      </c>
      <c r="E626" s="16" t="str">
        <f>IF(B626=0,"",COUNTIFS('Extração'!P:P,"Parcialmente",'Extração'!L:L,A626)/B626)</f>
        <v/>
      </c>
      <c r="F626" s="16" t="str">
        <f>IF(B626=0,"",COUNTIFS('Extração'!Q:Q,"Parcialmente",'Extração'!L:L,A626)/B626)</f>
        <v/>
      </c>
      <c r="G626" s="16" t="str">
        <f>IF(B626=0,"",COUNTIFS('Extração'!P:P,"Não",'Extração'!L:L,A626)/B626)</f>
        <v/>
      </c>
      <c r="H626" s="16" t="str">
        <f>IF(B626=0,"",COUNTIFS('Extração'!Q:Q,"Não",'Extração'!L:L,A626)/B626)</f>
        <v/>
      </c>
      <c r="I626" s="16" t="str">
        <f>IF(B626=0,"",COUNTIFS('Extração'!R:R,"Igual",'Extração'!L:L,A626)/B626)</f>
        <v/>
      </c>
    </row>
    <row r="627">
      <c r="B627" s="16">
        <f>COUNTIF('Extração'!L:L,A627)</f>
        <v>0</v>
      </c>
      <c r="C627" s="16" t="str">
        <f>IF(B627=0,"",COUNTIFS('Extração'!P:P,"Sim",'Extração'!L:L,A627)/B627)</f>
        <v/>
      </c>
      <c r="D627" s="16" t="str">
        <f>IF(B627=0,"",COUNTIFS('Extração'!Q:Q,"Sim",'Extração'!L:L,A627)/B627)</f>
        <v/>
      </c>
      <c r="E627" s="16" t="str">
        <f>IF(B627=0,"",COUNTIFS('Extração'!P:P,"Parcialmente",'Extração'!L:L,A627)/B627)</f>
        <v/>
      </c>
      <c r="F627" s="16" t="str">
        <f>IF(B627=0,"",COUNTIFS('Extração'!Q:Q,"Parcialmente",'Extração'!L:L,A627)/B627)</f>
        <v/>
      </c>
      <c r="G627" s="16" t="str">
        <f>IF(B627=0,"",COUNTIFS('Extração'!P:P,"Não",'Extração'!L:L,A627)/B627)</f>
        <v/>
      </c>
      <c r="H627" s="16" t="str">
        <f>IF(B627=0,"",COUNTIFS('Extração'!Q:Q,"Não",'Extração'!L:L,A627)/B627)</f>
        <v/>
      </c>
      <c r="I627" s="16" t="str">
        <f>IF(B627=0,"",COUNTIFS('Extração'!R:R,"Igual",'Extração'!L:L,A627)/B627)</f>
        <v/>
      </c>
    </row>
    <row r="628">
      <c r="B628" s="16">
        <f>COUNTIF('Extração'!L:L,A628)</f>
        <v>0</v>
      </c>
      <c r="C628" s="16" t="str">
        <f>IF(B628=0,"",COUNTIFS('Extração'!P:P,"Sim",'Extração'!L:L,A628)/B628)</f>
        <v/>
      </c>
      <c r="D628" s="16" t="str">
        <f>IF(B628=0,"",COUNTIFS('Extração'!Q:Q,"Sim",'Extração'!L:L,A628)/B628)</f>
        <v/>
      </c>
      <c r="E628" s="16" t="str">
        <f>IF(B628=0,"",COUNTIFS('Extração'!P:P,"Parcialmente",'Extração'!L:L,A628)/B628)</f>
        <v/>
      </c>
      <c r="F628" s="16" t="str">
        <f>IF(B628=0,"",COUNTIFS('Extração'!Q:Q,"Parcialmente",'Extração'!L:L,A628)/B628)</f>
        <v/>
      </c>
      <c r="G628" s="16" t="str">
        <f>IF(B628=0,"",COUNTIFS('Extração'!P:P,"Não",'Extração'!L:L,A628)/B628)</f>
        <v/>
      </c>
      <c r="H628" s="16" t="str">
        <f>IF(B628=0,"",COUNTIFS('Extração'!Q:Q,"Não",'Extração'!L:L,A628)/B628)</f>
        <v/>
      </c>
      <c r="I628" s="16" t="str">
        <f>IF(B628=0,"",COUNTIFS('Extração'!R:R,"Igual",'Extração'!L:L,A628)/B628)</f>
        <v/>
      </c>
    </row>
    <row r="629">
      <c r="B629" s="16">
        <f>COUNTIF('Extração'!L:L,A629)</f>
        <v>0</v>
      </c>
      <c r="C629" s="16" t="str">
        <f>IF(B629=0,"",COUNTIFS('Extração'!P:P,"Sim",'Extração'!L:L,A629)/B629)</f>
        <v/>
      </c>
      <c r="D629" s="16" t="str">
        <f>IF(B629=0,"",COUNTIFS('Extração'!Q:Q,"Sim",'Extração'!L:L,A629)/B629)</f>
        <v/>
      </c>
      <c r="E629" s="16" t="str">
        <f>IF(B629=0,"",COUNTIFS('Extração'!P:P,"Parcialmente",'Extração'!L:L,A629)/B629)</f>
        <v/>
      </c>
      <c r="F629" s="16" t="str">
        <f>IF(B629=0,"",COUNTIFS('Extração'!Q:Q,"Parcialmente",'Extração'!L:L,A629)/B629)</f>
        <v/>
      </c>
      <c r="G629" s="16" t="str">
        <f>IF(B629=0,"",COUNTIFS('Extração'!P:P,"Não",'Extração'!L:L,A629)/B629)</f>
        <v/>
      </c>
      <c r="H629" s="16" t="str">
        <f>IF(B629=0,"",COUNTIFS('Extração'!Q:Q,"Não",'Extração'!L:L,A629)/B629)</f>
        <v/>
      </c>
      <c r="I629" s="16" t="str">
        <f>IF(B629=0,"",COUNTIFS('Extração'!R:R,"Igual",'Extração'!L:L,A629)/B629)</f>
        <v/>
      </c>
    </row>
    <row r="630">
      <c r="B630" s="16">
        <f>COUNTIF('Extração'!L:L,A630)</f>
        <v>0</v>
      </c>
      <c r="C630" s="16" t="str">
        <f>IF(B630=0,"",COUNTIFS('Extração'!P:P,"Sim",'Extração'!L:L,A630)/B630)</f>
        <v/>
      </c>
      <c r="D630" s="16" t="str">
        <f>IF(B630=0,"",COUNTIFS('Extração'!Q:Q,"Sim",'Extração'!L:L,A630)/B630)</f>
        <v/>
      </c>
      <c r="E630" s="16" t="str">
        <f>IF(B630=0,"",COUNTIFS('Extração'!P:P,"Parcialmente",'Extração'!L:L,A630)/B630)</f>
        <v/>
      </c>
      <c r="F630" s="16" t="str">
        <f>IF(B630=0,"",COUNTIFS('Extração'!Q:Q,"Parcialmente",'Extração'!L:L,A630)/B630)</f>
        <v/>
      </c>
      <c r="G630" s="16" t="str">
        <f>IF(B630=0,"",COUNTIFS('Extração'!P:P,"Não",'Extração'!L:L,A630)/B630)</f>
        <v/>
      </c>
      <c r="H630" s="16" t="str">
        <f>IF(B630=0,"",COUNTIFS('Extração'!Q:Q,"Não",'Extração'!L:L,A630)/B630)</f>
        <v/>
      </c>
      <c r="I630" s="16" t="str">
        <f>IF(B630=0,"",COUNTIFS('Extração'!R:R,"Igual",'Extração'!L:L,A630)/B630)</f>
        <v/>
      </c>
    </row>
    <row r="631">
      <c r="B631" s="16">
        <f>COUNTIF('Extração'!L:L,A631)</f>
        <v>0</v>
      </c>
      <c r="C631" s="16" t="str">
        <f>IF(B631=0,"",COUNTIFS('Extração'!P:P,"Sim",'Extração'!L:L,A631)/B631)</f>
        <v/>
      </c>
      <c r="D631" s="16" t="str">
        <f>IF(B631=0,"",COUNTIFS('Extração'!Q:Q,"Sim",'Extração'!L:L,A631)/B631)</f>
        <v/>
      </c>
      <c r="E631" s="16" t="str">
        <f>IF(B631=0,"",COUNTIFS('Extração'!P:P,"Parcialmente",'Extração'!L:L,A631)/B631)</f>
        <v/>
      </c>
      <c r="F631" s="16" t="str">
        <f>IF(B631=0,"",COUNTIFS('Extração'!Q:Q,"Parcialmente",'Extração'!L:L,A631)/B631)</f>
        <v/>
      </c>
      <c r="G631" s="16" t="str">
        <f>IF(B631=0,"",COUNTIFS('Extração'!P:P,"Não",'Extração'!L:L,A631)/B631)</f>
        <v/>
      </c>
      <c r="H631" s="16" t="str">
        <f>IF(B631=0,"",COUNTIFS('Extração'!Q:Q,"Não",'Extração'!L:L,A631)/B631)</f>
        <v/>
      </c>
      <c r="I631" s="16" t="str">
        <f>IF(B631=0,"",COUNTIFS('Extração'!R:R,"Igual",'Extração'!L:L,A631)/B631)</f>
        <v/>
      </c>
    </row>
    <row r="632">
      <c r="B632" s="16">
        <f>COUNTIF('Extração'!L:L,A632)</f>
        <v>0</v>
      </c>
      <c r="C632" s="16" t="str">
        <f>IF(B632=0,"",COUNTIFS('Extração'!P:P,"Sim",'Extração'!L:L,A632)/B632)</f>
        <v/>
      </c>
      <c r="D632" s="16" t="str">
        <f>IF(B632=0,"",COUNTIFS('Extração'!Q:Q,"Sim",'Extração'!L:L,A632)/B632)</f>
        <v/>
      </c>
      <c r="E632" s="16" t="str">
        <f>IF(B632=0,"",COUNTIFS('Extração'!P:P,"Parcialmente",'Extração'!L:L,A632)/B632)</f>
        <v/>
      </c>
      <c r="F632" s="16" t="str">
        <f>IF(B632=0,"",COUNTIFS('Extração'!Q:Q,"Parcialmente",'Extração'!L:L,A632)/B632)</f>
        <v/>
      </c>
      <c r="G632" s="16" t="str">
        <f>IF(B632=0,"",COUNTIFS('Extração'!P:P,"Não",'Extração'!L:L,A632)/B632)</f>
        <v/>
      </c>
      <c r="H632" s="16" t="str">
        <f>IF(B632=0,"",COUNTIFS('Extração'!Q:Q,"Não",'Extração'!L:L,A632)/B632)</f>
        <v/>
      </c>
      <c r="I632" s="16" t="str">
        <f>IF(B632=0,"",COUNTIFS('Extração'!R:R,"Igual",'Extração'!L:L,A632)/B632)</f>
        <v/>
      </c>
    </row>
    <row r="633">
      <c r="B633" s="16">
        <f>COUNTIF('Extração'!L:L,A633)</f>
        <v>0</v>
      </c>
      <c r="C633" s="16" t="str">
        <f>IF(B633=0,"",COUNTIFS('Extração'!P:P,"Sim",'Extração'!L:L,A633)/B633)</f>
        <v/>
      </c>
      <c r="D633" s="16" t="str">
        <f>IF(B633=0,"",COUNTIFS('Extração'!Q:Q,"Sim",'Extração'!L:L,A633)/B633)</f>
        <v/>
      </c>
      <c r="E633" s="16" t="str">
        <f>IF(B633=0,"",COUNTIFS('Extração'!P:P,"Parcialmente",'Extração'!L:L,A633)/B633)</f>
        <v/>
      </c>
      <c r="F633" s="16" t="str">
        <f>IF(B633=0,"",COUNTIFS('Extração'!Q:Q,"Parcialmente",'Extração'!L:L,A633)/B633)</f>
        <v/>
      </c>
      <c r="G633" s="16" t="str">
        <f>IF(B633=0,"",COUNTIFS('Extração'!P:P,"Não",'Extração'!L:L,A633)/B633)</f>
        <v/>
      </c>
      <c r="H633" s="16" t="str">
        <f>IF(B633=0,"",COUNTIFS('Extração'!Q:Q,"Não",'Extração'!L:L,A633)/B633)</f>
        <v/>
      </c>
      <c r="I633" s="16" t="str">
        <f>IF(B633=0,"",COUNTIFS('Extração'!R:R,"Igual",'Extração'!L:L,A633)/B633)</f>
        <v/>
      </c>
    </row>
    <row r="634">
      <c r="B634" s="16">
        <f>COUNTIF('Extração'!L:L,A634)</f>
        <v>0</v>
      </c>
      <c r="C634" s="16" t="str">
        <f>IF(B634=0,"",COUNTIFS('Extração'!P:P,"Sim",'Extração'!L:L,A634)/B634)</f>
        <v/>
      </c>
      <c r="D634" s="16" t="str">
        <f>IF(B634=0,"",COUNTIFS('Extração'!Q:Q,"Sim",'Extração'!L:L,A634)/B634)</f>
        <v/>
      </c>
      <c r="E634" s="16" t="str">
        <f>IF(B634=0,"",COUNTIFS('Extração'!P:P,"Parcialmente",'Extração'!L:L,A634)/B634)</f>
        <v/>
      </c>
      <c r="F634" s="16" t="str">
        <f>IF(B634=0,"",COUNTIFS('Extração'!Q:Q,"Parcialmente",'Extração'!L:L,A634)/B634)</f>
        <v/>
      </c>
      <c r="G634" s="16" t="str">
        <f>IF(B634=0,"",COUNTIFS('Extração'!P:P,"Não",'Extração'!L:L,A634)/B634)</f>
        <v/>
      </c>
      <c r="H634" s="16" t="str">
        <f>IF(B634=0,"",COUNTIFS('Extração'!Q:Q,"Não",'Extração'!L:L,A634)/B634)</f>
        <v/>
      </c>
      <c r="I634" s="16" t="str">
        <f>IF(B634=0,"",COUNTIFS('Extração'!R:R,"Igual",'Extração'!L:L,A634)/B634)</f>
        <v/>
      </c>
    </row>
    <row r="635">
      <c r="B635" s="16">
        <f>COUNTIF('Extração'!L:L,A635)</f>
        <v>0</v>
      </c>
      <c r="C635" s="16" t="str">
        <f>IF(B635=0,"",COUNTIFS('Extração'!P:P,"Sim",'Extração'!L:L,A635)/B635)</f>
        <v/>
      </c>
      <c r="D635" s="16" t="str">
        <f>IF(B635=0,"",COUNTIFS('Extração'!Q:Q,"Sim",'Extração'!L:L,A635)/B635)</f>
        <v/>
      </c>
      <c r="E635" s="16" t="str">
        <f>IF(B635=0,"",COUNTIFS('Extração'!P:P,"Parcialmente",'Extração'!L:L,A635)/B635)</f>
        <v/>
      </c>
      <c r="F635" s="16" t="str">
        <f>IF(B635=0,"",COUNTIFS('Extração'!Q:Q,"Parcialmente",'Extração'!L:L,A635)/B635)</f>
        <v/>
      </c>
      <c r="G635" s="16" t="str">
        <f>IF(B635=0,"",COUNTIFS('Extração'!P:P,"Não",'Extração'!L:L,A635)/B635)</f>
        <v/>
      </c>
      <c r="H635" s="16" t="str">
        <f>IF(B635=0,"",COUNTIFS('Extração'!Q:Q,"Não",'Extração'!L:L,A635)/B635)</f>
        <v/>
      </c>
      <c r="I635" s="16" t="str">
        <f>IF(B635=0,"",COUNTIFS('Extração'!R:R,"Igual",'Extração'!L:L,A635)/B635)</f>
        <v/>
      </c>
    </row>
    <row r="636">
      <c r="B636" s="16">
        <f>COUNTIF('Extração'!L:L,A636)</f>
        <v>0</v>
      </c>
      <c r="C636" s="16" t="str">
        <f>IF(B636=0,"",COUNTIFS('Extração'!P:P,"Sim",'Extração'!L:L,A636)/B636)</f>
        <v/>
      </c>
      <c r="D636" s="16" t="str">
        <f>IF(B636=0,"",COUNTIFS('Extração'!Q:Q,"Sim",'Extração'!L:L,A636)/B636)</f>
        <v/>
      </c>
      <c r="E636" s="16" t="str">
        <f>IF(B636=0,"",COUNTIFS('Extração'!P:P,"Parcialmente",'Extração'!L:L,A636)/B636)</f>
        <v/>
      </c>
      <c r="F636" s="16" t="str">
        <f>IF(B636=0,"",COUNTIFS('Extração'!Q:Q,"Parcialmente",'Extração'!L:L,A636)/B636)</f>
        <v/>
      </c>
      <c r="G636" s="16" t="str">
        <f>IF(B636=0,"",COUNTIFS('Extração'!P:P,"Não",'Extração'!L:L,A636)/B636)</f>
        <v/>
      </c>
      <c r="H636" s="16" t="str">
        <f>IF(B636=0,"",COUNTIFS('Extração'!Q:Q,"Não",'Extração'!L:L,A636)/B636)</f>
        <v/>
      </c>
      <c r="I636" s="16" t="str">
        <f>IF(B636=0,"",COUNTIFS('Extração'!R:R,"Igual",'Extração'!L:L,A636)/B636)</f>
        <v/>
      </c>
    </row>
    <row r="637">
      <c r="B637" s="16">
        <f>COUNTIF('Extração'!L:L,A637)</f>
        <v>0</v>
      </c>
      <c r="C637" s="16" t="str">
        <f>IF(B637=0,"",COUNTIFS('Extração'!P:P,"Sim",'Extração'!L:L,A637)/B637)</f>
        <v/>
      </c>
      <c r="D637" s="16" t="str">
        <f>IF(B637=0,"",COUNTIFS('Extração'!Q:Q,"Sim",'Extração'!L:L,A637)/B637)</f>
        <v/>
      </c>
      <c r="E637" s="16" t="str">
        <f>IF(B637=0,"",COUNTIFS('Extração'!P:P,"Parcialmente",'Extração'!L:L,A637)/B637)</f>
        <v/>
      </c>
      <c r="F637" s="16" t="str">
        <f>IF(B637=0,"",COUNTIFS('Extração'!Q:Q,"Parcialmente",'Extração'!L:L,A637)/B637)</f>
        <v/>
      </c>
      <c r="G637" s="16" t="str">
        <f>IF(B637=0,"",COUNTIFS('Extração'!P:P,"Não",'Extração'!L:L,A637)/B637)</f>
        <v/>
      </c>
      <c r="H637" s="16" t="str">
        <f>IF(B637=0,"",COUNTIFS('Extração'!Q:Q,"Não",'Extração'!L:L,A637)/B637)</f>
        <v/>
      </c>
      <c r="I637" s="16" t="str">
        <f>IF(B637=0,"",COUNTIFS('Extração'!R:R,"Igual",'Extração'!L:L,A637)/B637)</f>
        <v/>
      </c>
    </row>
    <row r="638">
      <c r="B638" s="16">
        <f>COUNTIF('Extração'!L:L,A638)</f>
        <v>0</v>
      </c>
      <c r="C638" s="16" t="str">
        <f>IF(B638=0,"",COUNTIFS('Extração'!P:P,"Sim",'Extração'!L:L,A638)/B638)</f>
        <v/>
      </c>
      <c r="D638" s="16" t="str">
        <f>IF(B638=0,"",COUNTIFS('Extração'!Q:Q,"Sim",'Extração'!L:L,A638)/B638)</f>
        <v/>
      </c>
      <c r="E638" s="16" t="str">
        <f>IF(B638=0,"",COUNTIFS('Extração'!P:P,"Parcialmente",'Extração'!L:L,A638)/B638)</f>
        <v/>
      </c>
      <c r="F638" s="16" t="str">
        <f>IF(B638=0,"",COUNTIFS('Extração'!Q:Q,"Parcialmente",'Extração'!L:L,A638)/B638)</f>
        <v/>
      </c>
      <c r="G638" s="16" t="str">
        <f>IF(B638=0,"",COUNTIFS('Extração'!P:P,"Não",'Extração'!L:L,A638)/B638)</f>
        <v/>
      </c>
      <c r="H638" s="16" t="str">
        <f>IF(B638=0,"",COUNTIFS('Extração'!Q:Q,"Não",'Extração'!L:L,A638)/B638)</f>
        <v/>
      </c>
      <c r="I638" s="16" t="str">
        <f>IF(B638=0,"",COUNTIFS('Extração'!R:R,"Igual",'Extração'!L:L,A638)/B638)</f>
        <v/>
      </c>
    </row>
    <row r="639">
      <c r="B639" s="16">
        <f>COUNTIF('Extração'!L:L,A639)</f>
        <v>0</v>
      </c>
      <c r="C639" s="16" t="str">
        <f>IF(B639=0,"",COUNTIFS('Extração'!P:P,"Sim",'Extração'!L:L,A639)/B639)</f>
        <v/>
      </c>
      <c r="D639" s="16" t="str">
        <f>IF(B639=0,"",COUNTIFS('Extração'!Q:Q,"Sim",'Extração'!L:L,A639)/B639)</f>
        <v/>
      </c>
      <c r="E639" s="16" t="str">
        <f>IF(B639=0,"",COUNTIFS('Extração'!P:P,"Parcialmente",'Extração'!L:L,A639)/B639)</f>
        <v/>
      </c>
      <c r="F639" s="16" t="str">
        <f>IF(B639=0,"",COUNTIFS('Extração'!Q:Q,"Parcialmente",'Extração'!L:L,A639)/B639)</f>
        <v/>
      </c>
      <c r="G639" s="16" t="str">
        <f>IF(B639=0,"",COUNTIFS('Extração'!P:P,"Não",'Extração'!L:L,A639)/B639)</f>
        <v/>
      </c>
      <c r="H639" s="16" t="str">
        <f>IF(B639=0,"",COUNTIFS('Extração'!Q:Q,"Não",'Extração'!L:L,A639)/B639)</f>
        <v/>
      </c>
      <c r="I639" s="16" t="str">
        <f>IF(B639=0,"",COUNTIFS('Extração'!R:R,"Igual",'Extração'!L:L,A639)/B639)</f>
        <v/>
      </c>
    </row>
    <row r="640">
      <c r="B640" s="16">
        <f>COUNTIF('Extração'!L:L,A640)</f>
        <v>0</v>
      </c>
      <c r="C640" s="16" t="str">
        <f>IF(B640=0,"",COUNTIFS('Extração'!P:P,"Sim",'Extração'!L:L,A640)/B640)</f>
        <v/>
      </c>
      <c r="D640" s="16" t="str">
        <f>IF(B640=0,"",COUNTIFS('Extração'!Q:Q,"Sim",'Extração'!L:L,A640)/B640)</f>
        <v/>
      </c>
      <c r="E640" s="16" t="str">
        <f>IF(B640=0,"",COUNTIFS('Extração'!P:P,"Parcialmente",'Extração'!L:L,A640)/B640)</f>
        <v/>
      </c>
      <c r="F640" s="16" t="str">
        <f>IF(B640=0,"",COUNTIFS('Extração'!Q:Q,"Parcialmente",'Extração'!L:L,A640)/B640)</f>
        <v/>
      </c>
      <c r="G640" s="16" t="str">
        <f>IF(B640=0,"",COUNTIFS('Extração'!P:P,"Não",'Extração'!L:L,A640)/B640)</f>
        <v/>
      </c>
      <c r="H640" s="16" t="str">
        <f>IF(B640=0,"",COUNTIFS('Extração'!Q:Q,"Não",'Extração'!L:L,A640)/B640)</f>
        <v/>
      </c>
      <c r="I640" s="16" t="str">
        <f>IF(B640=0,"",COUNTIFS('Extração'!R:R,"Igual",'Extração'!L:L,A640)/B640)</f>
        <v/>
      </c>
    </row>
    <row r="641">
      <c r="B641" s="16">
        <f>COUNTIF('Extração'!L:L,A641)</f>
        <v>0</v>
      </c>
      <c r="C641" s="16" t="str">
        <f>IF(B641=0,"",COUNTIFS('Extração'!P:P,"Sim",'Extração'!L:L,A641)/B641)</f>
        <v/>
      </c>
      <c r="D641" s="16" t="str">
        <f>IF(B641=0,"",COUNTIFS('Extração'!Q:Q,"Sim",'Extração'!L:L,A641)/B641)</f>
        <v/>
      </c>
      <c r="E641" s="16" t="str">
        <f>IF(B641=0,"",COUNTIFS('Extração'!P:P,"Parcialmente",'Extração'!L:L,A641)/B641)</f>
        <v/>
      </c>
      <c r="F641" s="16" t="str">
        <f>IF(B641=0,"",COUNTIFS('Extração'!Q:Q,"Parcialmente",'Extração'!L:L,A641)/B641)</f>
        <v/>
      </c>
      <c r="G641" s="16" t="str">
        <f>IF(B641=0,"",COUNTIFS('Extração'!P:P,"Não",'Extração'!L:L,A641)/B641)</f>
        <v/>
      </c>
      <c r="H641" s="16" t="str">
        <f>IF(B641=0,"",COUNTIFS('Extração'!Q:Q,"Não",'Extração'!L:L,A641)/B641)</f>
        <v/>
      </c>
      <c r="I641" s="16" t="str">
        <f>IF(B641=0,"",COUNTIFS('Extração'!R:R,"Igual",'Extração'!L:L,A641)/B641)</f>
        <v/>
      </c>
    </row>
    <row r="642">
      <c r="B642" s="16">
        <f>COUNTIF('Extração'!L:L,A642)</f>
        <v>0</v>
      </c>
      <c r="C642" s="16" t="str">
        <f>IF(B642=0,"",COUNTIFS('Extração'!P:P,"Sim",'Extração'!L:L,A642)/B642)</f>
        <v/>
      </c>
      <c r="D642" s="16" t="str">
        <f>IF(B642=0,"",COUNTIFS('Extração'!Q:Q,"Sim",'Extração'!L:L,A642)/B642)</f>
        <v/>
      </c>
      <c r="E642" s="16" t="str">
        <f>IF(B642=0,"",COUNTIFS('Extração'!P:P,"Parcialmente",'Extração'!L:L,A642)/B642)</f>
        <v/>
      </c>
      <c r="F642" s="16" t="str">
        <f>IF(B642=0,"",COUNTIFS('Extração'!Q:Q,"Parcialmente",'Extração'!L:L,A642)/B642)</f>
        <v/>
      </c>
      <c r="G642" s="16" t="str">
        <f>IF(B642=0,"",COUNTIFS('Extração'!P:P,"Não",'Extração'!L:L,A642)/B642)</f>
        <v/>
      </c>
      <c r="H642" s="16" t="str">
        <f>IF(B642=0,"",COUNTIFS('Extração'!Q:Q,"Não",'Extração'!L:L,A642)/B642)</f>
        <v/>
      </c>
      <c r="I642" s="16" t="str">
        <f>IF(B642=0,"",COUNTIFS('Extração'!R:R,"Igual",'Extração'!L:L,A642)/B642)</f>
        <v/>
      </c>
    </row>
    <row r="643">
      <c r="B643" s="16">
        <f>COUNTIF('Extração'!L:L,A643)</f>
        <v>0</v>
      </c>
      <c r="C643" s="16" t="str">
        <f>IF(B643=0,"",COUNTIFS('Extração'!P:P,"Sim",'Extração'!L:L,A643)/B643)</f>
        <v/>
      </c>
      <c r="D643" s="16" t="str">
        <f>IF(B643=0,"",COUNTIFS('Extração'!Q:Q,"Sim",'Extração'!L:L,A643)/B643)</f>
        <v/>
      </c>
      <c r="E643" s="16" t="str">
        <f>IF(B643=0,"",COUNTIFS('Extração'!P:P,"Parcialmente",'Extração'!L:L,A643)/B643)</f>
        <v/>
      </c>
      <c r="F643" s="16" t="str">
        <f>IF(B643=0,"",COUNTIFS('Extração'!Q:Q,"Parcialmente",'Extração'!L:L,A643)/B643)</f>
        <v/>
      </c>
      <c r="G643" s="16" t="str">
        <f>IF(B643=0,"",COUNTIFS('Extração'!P:P,"Não",'Extração'!L:L,A643)/B643)</f>
        <v/>
      </c>
      <c r="H643" s="16" t="str">
        <f>IF(B643=0,"",COUNTIFS('Extração'!Q:Q,"Não",'Extração'!L:L,A643)/B643)</f>
        <v/>
      </c>
      <c r="I643" s="16" t="str">
        <f>IF(B643=0,"",COUNTIFS('Extração'!R:R,"Igual",'Extração'!L:L,A643)/B643)</f>
        <v/>
      </c>
    </row>
    <row r="644">
      <c r="B644" s="16">
        <f>COUNTIF('Extração'!L:L,A644)</f>
        <v>0</v>
      </c>
      <c r="C644" s="16" t="str">
        <f>IF(B644=0,"",COUNTIFS('Extração'!P:P,"Sim",'Extração'!L:L,A644)/B644)</f>
        <v/>
      </c>
      <c r="D644" s="16" t="str">
        <f>IF(B644=0,"",COUNTIFS('Extração'!Q:Q,"Sim",'Extração'!L:L,A644)/B644)</f>
        <v/>
      </c>
      <c r="E644" s="16" t="str">
        <f>IF(B644=0,"",COUNTIFS('Extração'!P:P,"Parcialmente",'Extração'!L:L,A644)/B644)</f>
        <v/>
      </c>
      <c r="F644" s="16" t="str">
        <f>IF(B644=0,"",COUNTIFS('Extração'!Q:Q,"Parcialmente",'Extração'!L:L,A644)/B644)</f>
        <v/>
      </c>
      <c r="G644" s="16" t="str">
        <f>IF(B644=0,"",COUNTIFS('Extração'!P:P,"Não",'Extração'!L:L,A644)/B644)</f>
        <v/>
      </c>
      <c r="H644" s="16" t="str">
        <f>IF(B644=0,"",COUNTIFS('Extração'!Q:Q,"Não",'Extração'!L:L,A644)/B644)</f>
        <v/>
      </c>
      <c r="I644" s="16" t="str">
        <f>IF(B644=0,"",COUNTIFS('Extração'!R:R,"Igual",'Extração'!L:L,A644)/B644)</f>
        <v/>
      </c>
    </row>
    <row r="645">
      <c r="B645" s="16">
        <f>COUNTIF('Extração'!L:L,A645)</f>
        <v>0</v>
      </c>
      <c r="C645" s="16" t="str">
        <f>IF(B645=0,"",COUNTIFS('Extração'!P:P,"Sim",'Extração'!L:L,A645)/B645)</f>
        <v/>
      </c>
      <c r="D645" s="16" t="str">
        <f>IF(B645=0,"",COUNTIFS('Extração'!Q:Q,"Sim",'Extração'!L:L,A645)/B645)</f>
        <v/>
      </c>
      <c r="E645" s="16" t="str">
        <f>IF(B645=0,"",COUNTIFS('Extração'!P:P,"Parcialmente",'Extração'!L:L,A645)/B645)</f>
        <v/>
      </c>
      <c r="F645" s="16" t="str">
        <f>IF(B645=0,"",COUNTIFS('Extração'!Q:Q,"Parcialmente",'Extração'!L:L,A645)/B645)</f>
        <v/>
      </c>
      <c r="G645" s="16" t="str">
        <f>IF(B645=0,"",COUNTIFS('Extração'!P:P,"Não",'Extração'!L:L,A645)/B645)</f>
        <v/>
      </c>
      <c r="H645" s="16" t="str">
        <f>IF(B645=0,"",COUNTIFS('Extração'!Q:Q,"Não",'Extração'!L:L,A645)/B645)</f>
        <v/>
      </c>
      <c r="I645" s="16" t="str">
        <f>IF(B645=0,"",COUNTIFS('Extração'!R:R,"Igual",'Extração'!L:L,A645)/B645)</f>
        <v/>
      </c>
    </row>
    <row r="646">
      <c r="B646" s="16">
        <f>COUNTIF('Extração'!L:L,A646)</f>
        <v>0</v>
      </c>
      <c r="C646" s="16" t="str">
        <f>IF(B646=0,"",COUNTIFS('Extração'!P:P,"Sim",'Extração'!L:L,A646)/B646)</f>
        <v/>
      </c>
      <c r="D646" s="16" t="str">
        <f>IF(B646=0,"",COUNTIFS('Extração'!Q:Q,"Sim",'Extração'!L:L,A646)/B646)</f>
        <v/>
      </c>
      <c r="E646" s="16" t="str">
        <f>IF(B646=0,"",COUNTIFS('Extração'!P:P,"Parcialmente",'Extração'!L:L,A646)/B646)</f>
        <v/>
      </c>
      <c r="F646" s="16" t="str">
        <f>IF(B646=0,"",COUNTIFS('Extração'!Q:Q,"Parcialmente",'Extração'!L:L,A646)/B646)</f>
        <v/>
      </c>
      <c r="G646" s="16" t="str">
        <f>IF(B646=0,"",COUNTIFS('Extração'!P:P,"Não",'Extração'!L:L,A646)/B646)</f>
        <v/>
      </c>
      <c r="H646" s="16" t="str">
        <f>IF(B646=0,"",COUNTIFS('Extração'!Q:Q,"Não",'Extração'!L:L,A646)/B646)</f>
        <v/>
      </c>
      <c r="I646" s="16" t="str">
        <f>IF(B646=0,"",COUNTIFS('Extração'!R:R,"Igual",'Extração'!L:L,A646)/B646)</f>
        <v/>
      </c>
    </row>
    <row r="647">
      <c r="B647" s="16">
        <f>COUNTIF('Extração'!L:L,A647)</f>
        <v>0</v>
      </c>
      <c r="C647" s="16" t="str">
        <f>IF(B647=0,"",COUNTIFS('Extração'!P:P,"Sim",'Extração'!L:L,A647)/B647)</f>
        <v/>
      </c>
      <c r="D647" s="16" t="str">
        <f>IF(B647=0,"",COUNTIFS('Extração'!Q:Q,"Sim",'Extração'!L:L,A647)/B647)</f>
        <v/>
      </c>
      <c r="E647" s="16" t="str">
        <f>IF(B647=0,"",COUNTIFS('Extração'!P:P,"Parcialmente",'Extração'!L:L,A647)/B647)</f>
        <v/>
      </c>
      <c r="F647" s="16" t="str">
        <f>IF(B647=0,"",COUNTIFS('Extração'!Q:Q,"Parcialmente",'Extração'!L:L,A647)/B647)</f>
        <v/>
      </c>
      <c r="G647" s="16" t="str">
        <f>IF(B647=0,"",COUNTIFS('Extração'!P:P,"Não",'Extração'!L:L,A647)/B647)</f>
        <v/>
      </c>
      <c r="H647" s="16" t="str">
        <f>IF(B647=0,"",COUNTIFS('Extração'!Q:Q,"Não",'Extração'!L:L,A647)/B647)</f>
        <v/>
      </c>
      <c r="I647" s="16" t="str">
        <f>IF(B647=0,"",COUNTIFS('Extração'!R:R,"Igual",'Extração'!L:L,A647)/B647)</f>
        <v/>
      </c>
    </row>
    <row r="648">
      <c r="B648" s="16">
        <f>COUNTIF('Extração'!L:L,A648)</f>
        <v>0</v>
      </c>
      <c r="C648" s="16" t="str">
        <f>IF(B648=0,"",COUNTIFS('Extração'!P:P,"Sim",'Extração'!L:L,A648)/B648)</f>
        <v/>
      </c>
      <c r="D648" s="16" t="str">
        <f>IF(B648=0,"",COUNTIFS('Extração'!Q:Q,"Sim",'Extração'!L:L,A648)/B648)</f>
        <v/>
      </c>
      <c r="E648" s="16" t="str">
        <f>IF(B648=0,"",COUNTIFS('Extração'!P:P,"Parcialmente",'Extração'!L:L,A648)/B648)</f>
        <v/>
      </c>
      <c r="F648" s="16" t="str">
        <f>IF(B648=0,"",COUNTIFS('Extração'!Q:Q,"Parcialmente",'Extração'!L:L,A648)/B648)</f>
        <v/>
      </c>
      <c r="G648" s="16" t="str">
        <f>IF(B648=0,"",COUNTIFS('Extração'!P:P,"Não",'Extração'!L:L,A648)/B648)</f>
        <v/>
      </c>
      <c r="H648" s="16" t="str">
        <f>IF(B648=0,"",COUNTIFS('Extração'!Q:Q,"Não",'Extração'!L:L,A648)/B648)</f>
        <v/>
      </c>
      <c r="I648" s="16" t="str">
        <f>IF(B648=0,"",COUNTIFS('Extração'!R:R,"Igual",'Extração'!L:L,A648)/B648)</f>
        <v/>
      </c>
    </row>
    <row r="649">
      <c r="B649" s="16">
        <f>COUNTIF('Extração'!L:L,A649)</f>
        <v>0</v>
      </c>
      <c r="C649" s="16" t="str">
        <f>IF(B649=0,"",COUNTIFS('Extração'!P:P,"Sim",'Extração'!L:L,A649)/B649)</f>
        <v/>
      </c>
      <c r="D649" s="16" t="str">
        <f>IF(B649=0,"",COUNTIFS('Extração'!Q:Q,"Sim",'Extração'!L:L,A649)/B649)</f>
        <v/>
      </c>
      <c r="E649" s="16" t="str">
        <f>IF(B649=0,"",COUNTIFS('Extração'!P:P,"Parcialmente",'Extração'!L:L,A649)/B649)</f>
        <v/>
      </c>
      <c r="F649" s="16" t="str">
        <f>IF(B649=0,"",COUNTIFS('Extração'!Q:Q,"Parcialmente",'Extração'!L:L,A649)/B649)</f>
        <v/>
      </c>
      <c r="G649" s="16" t="str">
        <f>IF(B649=0,"",COUNTIFS('Extração'!P:P,"Não",'Extração'!L:L,A649)/B649)</f>
        <v/>
      </c>
      <c r="H649" s="16" t="str">
        <f>IF(B649=0,"",COUNTIFS('Extração'!Q:Q,"Não",'Extração'!L:L,A649)/B649)</f>
        <v/>
      </c>
      <c r="I649" s="16" t="str">
        <f>IF(B649=0,"",COUNTIFS('Extração'!R:R,"Igual",'Extração'!L:L,A649)/B649)</f>
        <v/>
      </c>
    </row>
    <row r="650">
      <c r="B650" s="16">
        <f>COUNTIF('Extração'!L:L,A650)</f>
        <v>0</v>
      </c>
      <c r="C650" s="16" t="str">
        <f>IF(B650=0,"",COUNTIFS('Extração'!P:P,"Sim",'Extração'!L:L,A650)/B650)</f>
        <v/>
      </c>
      <c r="D650" s="16" t="str">
        <f>IF(B650=0,"",COUNTIFS('Extração'!Q:Q,"Sim",'Extração'!L:L,A650)/B650)</f>
        <v/>
      </c>
      <c r="E650" s="16" t="str">
        <f>IF(B650=0,"",COUNTIFS('Extração'!P:P,"Parcialmente",'Extração'!L:L,A650)/B650)</f>
        <v/>
      </c>
      <c r="F650" s="16" t="str">
        <f>IF(B650=0,"",COUNTIFS('Extração'!Q:Q,"Parcialmente",'Extração'!L:L,A650)/B650)</f>
        <v/>
      </c>
      <c r="G650" s="16" t="str">
        <f>IF(B650=0,"",COUNTIFS('Extração'!P:P,"Não",'Extração'!L:L,A650)/B650)</f>
        <v/>
      </c>
      <c r="H650" s="16" t="str">
        <f>IF(B650=0,"",COUNTIFS('Extração'!Q:Q,"Não",'Extração'!L:L,A650)/B650)</f>
        <v/>
      </c>
      <c r="I650" s="16" t="str">
        <f>IF(B650=0,"",COUNTIFS('Extração'!R:R,"Igual",'Extração'!L:L,A650)/B650)</f>
        <v/>
      </c>
    </row>
    <row r="651">
      <c r="B651" s="16">
        <f>COUNTIF('Extração'!L:L,A651)</f>
        <v>0</v>
      </c>
      <c r="C651" s="16" t="str">
        <f>IF(B651=0,"",COUNTIFS('Extração'!P:P,"Sim",'Extração'!L:L,A651)/B651)</f>
        <v/>
      </c>
      <c r="D651" s="16" t="str">
        <f>IF(B651=0,"",COUNTIFS('Extração'!Q:Q,"Sim",'Extração'!L:L,A651)/B651)</f>
        <v/>
      </c>
      <c r="E651" s="16" t="str">
        <f>IF(B651=0,"",COUNTIFS('Extração'!P:P,"Parcialmente",'Extração'!L:L,A651)/B651)</f>
        <v/>
      </c>
      <c r="F651" s="16" t="str">
        <f>IF(B651=0,"",COUNTIFS('Extração'!Q:Q,"Parcialmente",'Extração'!L:L,A651)/B651)</f>
        <v/>
      </c>
      <c r="G651" s="16" t="str">
        <f>IF(B651=0,"",COUNTIFS('Extração'!P:P,"Não",'Extração'!L:L,A651)/B651)</f>
        <v/>
      </c>
      <c r="H651" s="16" t="str">
        <f>IF(B651=0,"",COUNTIFS('Extração'!Q:Q,"Não",'Extração'!L:L,A651)/B651)</f>
        <v/>
      </c>
      <c r="I651" s="16" t="str">
        <f>IF(B651=0,"",COUNTIFS('Extração'!R:R,"Igual",'Extração'!L:L,A651)/B651)</f>
        <v/>
      </c>
    </row>
    <row r="652">
      <c r="B652" s="16">
        <f>COUNTIF('Extração'!L:L,A652)</f>
        <v>0</v>
      </c>
      <c r="C652" s="16" t="str">
        <f>IF(B652=0,"",COUNTIFS('Extração'!P:P,"Sim",'Extração'!L:L,A652)/B652)</f>
        <v/>
      </c>
      <c r="D652" s="16" t="str">
        <f>IF(B652=0,"",COUNTIFS('Extração'!Q:Q,"Sim",'Extração'!L:L,A652)/B652)</f>
        <v/>
      </c>
      <c r="E652" s="16" t="str">
        <f>IF(B652=0,"",COUNTIFS('Extração'!P:P,"Parcialmente",'Extração'!L:L,A652)/B652)</f>
        <v/>
      </c>
      <c r="F652" s="16" t="str">
        <f>IF(B652=0,"",COUNTIFS('Extração'!Q:Q,"Parcialmente",'Extração'!L:L,A652)/B652)</f>
        <v/>
      </c>
      <c r="G652" s="16" t="str">
        <f>IF(B652=0,"",COUNTIFS('Extração'!P:P,"Não",'Extração'!L:L,A652)/B652)</f>
        <v/>
      </c>
      <c r="H652" s="16" t="str">
        <f>IF(B652=0,"",COUNTIFS('Extração'!Q:Q,"Não",'Extração'!L:L,A652)/B652)</f>
        <v/>
      </c>
      <c r="I652" s="16" t="str">
        <f>IF(B652=0,"",COUNTIFS('Extração'!R:R,"Igual",'Extração'!L:L,A652)/B652)</f>
        <v/>
      </c>
    </row>
    <row r="653">
      <c r="B653" s="16">
        <f>COUNTIF('Extração'!L:L,A653)</f>
        <v>0</v>
      </c>
      <c r="C653" s="16" t="str">
        <f>IF(B653=0,"",COUNTIFS('Extração'!P:P,"Sim",'Extração'!L:L,A653)/B653)</f>
        <v/>
      </c>
      <c r="D653" s="16" t="str">
        <f>IF(B653=0,"",COUNTIFS('Extração'!Q:Q,"Sim",'Extração'!L:L,A653)/B653)</f>
        <v/>
      </c>
      <c r="E653" s="16" t="str">
        <f>IF(B653=0,"",COUNTIFS('Extração'!P:P,"Parcialmente",'Extração'!L:L,A653)/B653)</f>
        <v/>
      </c>
      <c r="F653" s="16" t="str">
        <f>IF(B653=0,"",COUNTIFS('Extração'!Q:Q,"Parcialmente",'Extração'!L:L,A653)/B653)</f>
        <v/>
      </c>
      <c r="G653" s="16" t="str">
        <f>IF(B653=0,"",COUNTIFS('Extração'!P:P,"Não",'Extração'!L:L,A653)/B653)</f>
        <v/>
      </c>
      <c r="H653" s="16" t="str">
        <f>IF(B653=0,"",COUNTIFS('Extração'!Q:Q,"Não",'Extração'!L:L,A653)/B653)</f>
        <v/>
      </c>
      <c r="I653" s="16" t="str">
        <f>IF(B653=0,"",COUNTIFS('Extração'!R:R,"Igual",'Extração'!L:L,A653)/B653)</f>
        <v/>
      </c>
    </row>
    <row r="654">
      <c r="B654" s="16">
        <f>COUNTIF('Extração'!L:L,A654)</f>
        <v>0</v>
      </c>
      <c r="C654" s="16" t="str">
        <f>IF(B654=0,"",COUNTIFS('Extração'!P:P,"Sim",'Extração'!L:L,A654)/B654)</f>
        <v/>
      </c>
      <c r="D654" s="16" t="str">
        <f>IF(B654=0,"",COUNTIFS('Extração'!Q:Q,"Sim",'Extração'!L:L,A654)/B654)</f>
        <v/>
      </c>
      <c r="E654" s="16" t="str">
        <f>IF(B654=0,"",COUNTIFS('Extração'!P:P,"Parcialmente",'Extração'!L:L,A654)/B654)</f>
        <v/>
      </c>
      <c r="F654" s="16" t="str">
        <f>IF(B654=0,"",COUNTIFS('Extração'!Q:Q,"Parcialmente",'Extração'!L:L,A654)/B654)</f>
        <v/>
      </c>
      <c r="G654" s="16" t="str">
        <f>IF(B654=0,"",COUNTIFS('Extração'!P:P,"Não",'Extração'!L:L,A654)/B654)</f>
        <v/>
      </c>
      <c r="H654" s="16" t="str">
        <f>IF(B654=0,"",COUNTIFS('Extração'!Q:Q,"Não",'Extração'!L:L,A654)/B654)</f>
        <v/>
      </c>
      <c r="I654" s="16" t="str">
        <f>IF(B654=0,"",COUNTIFS('Extração'!R:R,"Igual",'Extração'!L:L,A654)/B654)</f>
        <v/>
      </c>
    </row>
    <row r="655">
      <c r="B655" s="16">
        <f>COUNTIF('Extração'!L:L,A655)</f>
        <v>0</v>
      </c>
      <c r="C655" s="16" t="str">
        <f>IF(B655=0,"",COUNTIFS('Extração'!P:P,"Sim",'Extração'!L:L,A655)/B655)</f>
        <v/>
      </c>
      <c r="D655" s="16" t="str">
        <f>IF(B655=0,"",COUNTIFS('Extração'!Q:Q,"Sim",'Extração'!L:L,A655)/B655)</f>
        <v/>
      </c>
      <c r="E655" s="16" t="str">
        <f>IF(B655=0,"",COUNTIFS('Extração'!P:P,"Parcialmente",'Extração'!L:L,A655)/B655)</f>
        <v/>
      </c>
      <c r="F655" s="16" t="str">
        <f>IF(B655=0,"",COUNTIFS('Extração'!Q:Q,"Parcialmente",'Extração'!L:L,A655)/B655)</f>
        <v/>
      </c>
      <c r="G655" s="16" t="str">
        <f>IF(B655=0,"",COUNTIFS('Extração'!P:P,"Não",'Extração'!L:L,A655)/B655)</f>
        <v/>
      </c>
      <c r="H655" s="16" t="str">
        <f>IF(B655=0,"",COUNTIFS('Extração'!Q:Q,"Não",'Extração'!L:L,A655)/B655)</f>
        <v/>
      </c>
      <c r="I655" s="16" t="str">
        <f>IF(B655=0,"",COUNTIFS('Extração'!R:R,"Igual",'Extração'!L:L,A655)/B655)</f>
        <v/>
      </c>
    </row>
    <row r="656">
      <c r="B656" s="16">
        <f>COUNTIF('Extração'!L:L,A656)</f>
        <v>0</v>
      </c>
      <c r="C656" s="16" t="str">
        <f>IF(B656=0,"",COUNTIFS('Extração'!P:P,"Sim",'Extração'!L:L,A656)/B656)</f>
        <v/>
      </c>
      <c r="D656" s="16" t="str">
        <f>IF(B656=0,"",COUNTIFS('Extração'!Q:Q,"Sim",'Extração'!L:L,A656)/B656)</f>
        <v/>
      </c>
      <c r="E656" s="16" t="str">
        <f>IF(B656=0,"",COUNTIFS('Extração'!P:P,"Parcialmente",'Extração'!L:L,A656)/B656)</f>
        <v/>
      </c>
      <c r="F656" s="16" t="str">
        <f>IF(B656=0,"",COUNTIFS('Extração'!Q:Q,"Parcialmente",'Extração'!L:L,A656)/B656)</f>
        <v/>
      </c>
      <c r="G656" s="16" t="str">
        <f>IF(B656=0,"",COUNTIFS('Extração'!P:P,"Não",'Extração'!L:L,A656)/B656)</f>
        <v/>
      </c>
      <c r="H656" s="16" t="str">
        <f>IF(B656=0,"",COUNTIFS('Extração'!Q:Q,"Não",'Extração'!L:L,A656)/B656)</f>
        <v/>
      </c>
      <c r="I656" s="16" t="str">
        <f>IF(B656=0,"",COUNTIFS('Extração'!R:R,"Igual",'Extração'!L:L,A656)/B656)</f>
        <v/>
      </c>
    </row>
    <row r="657">
      <c r="B657" s="16">
        <f>COUNTIF('Extração'!L:L,A657)</f>
        <v>0</v>
      </c>
      <c r="C657" s="16" t="str">
        <f>IF(B657=0,"",COUNTIFS('Extração'!P:P,"Sim",'Extração'!L:L,A657)/B657)</f>
        <v/>
      </c>
      <c r="D657" s="16" t="str">
        <f>IF(B657=0,"",COUNTIFS('Extração'!Q:Q,"Sim",'Extração'!L:L,A657)/B657)</f>
        <v/>
      </c>
      <c r="E657" s="16" t="str">
        <f>IF(B657=0,"",COUNTIFS('Extração'!P:P,"Parcialmente",'Extração'!L:L,A657)/B657)</f>
        <v/>
      </c>
      <c r="F657" s="16" t="str">
        <f>IF(B657=0,"",COUNTIFS('Extração'!Q:Q,"Parcialmente",'Extração'!L:L,A657)/B657)</f>
        <v/>
      </c>
      <c r="G657" s="16" t="str">
        <f>IF(B657=0,"",COUNTIFS('Extração'!P:P,"Não",'Extração'!L:L,A657)/B657)</f>
        <v/>
      </c>
      <c r="H657" s="16" t="str">
        <f>IF(B657=0,"",COUNTIFS('Extração'!Q:Q,"Não",'Extração'!L:L,A657)/B657)</f>
        <v/>
      </c>
      <c r="I657" s="16" t="str">
        <f>IF(B657=0,"",COUNTIFS('Extração'!R:R,"Igual",'Extração'!L:L,A657)/B657)</f>
        <v/>
      </c>
    </row>
    <row r="658">
      <c r="B658" s="16">
        <f>COUNTIF('Extração'!L:L,A658)</f>
        <v>0</v>
      </c>
      <c r="C658" s="16" t="str">
        <f>IF(B658=0,"",COUNTIFS('Extração'!P:P,"Sim",'Extração'!L:L,A658)/B658)</f>
        <v/>
      </c>
      <c r="D658" s="16" t="str">
        <f>IF(B658=0,"",COUNTIFS('Extração'!Q:Q,"Sim",'Extração'!L:L,A658)/B658)</f>
        <v/>
      </c>
      <c r="E658" s="16" t="str">
        <f>IF(B658=0,"",COUNTIFS('Extração'!P:P,"Parcialmente",'Extração'!L:L,A658)/B658)</f>
        <v/>
      </c>
      <c r="F658" s="16" t="str">
        <f>IF(B658=0,"",COUNTIFS('Extração'!Q:Q,"Parcialmente",'Extração'!L:L,A658)/B658)</f>
        <v/>
      </c>
      <c r="G658" s="16" t="str">
        <f>IF(B658=0,"",COUNTIFS('Extração'!P:P,"Não",'Extração'!L:L,A658)/B658)</f>
        <v/>
      </c>
      <c r="H658" s="16" t="str">
        <f>IF(B658=0,"",COUNTIFS('Extração'!Q:Q,"Não",'Extração'!L:L,A658)/B658)</f>
        <v/>
      </c>
      <c r="I658" s="16" t="str">
        <f>IF(B658=0,"",COUNTIFS('Extração'!R:R,"Igual",'Extração'!L:L,A658)/B658)</f>
        <v/>
      </c>
    </row>
    <row r="659">
      <c r="B659" s="16">
        <f>COUNTIF('Extração'!L:L,A659)</f>
        <v>0</v>
      </c>
      <c r="C659" s="16" t="str">
        <f>IF(B659=0,"",COUNTIFS('Extração'!P:P,"Sim",'Extração'!L:L,A659)/B659)</f>
        <v/>
      </c>
      <c r="D659" s="16" t="str">
        <f>IF(B659=0,"",COUNTIFS('Extração'!Q:Q,"Sim",'Extração'!L:L,A659)/B659)</f>
        <v/>
      </c>
      <c r="E659" s="16" t="str">
        <f>IF(B659=0,"",COUNTIFS('Extração'!P:P,"Parcialmente",'Extração'!L:L,A659)/B659)</f>
        <v/>
      </c>
      <c r="F659" s="16" t="str">
        <f>IF(B659=0,"",COUNTIFS('Extração'!Q:Q,"Parcialmente",'Extração'!L:L,A659)/B659)</f>
        <v/>
      </c>
      <c r="G659" s="16" t="str">
        <f>IF(B659=0,"",COUNTIFS('Extração'!P:P,"Não",'Extração'!L:L,A659)/B659)</f>
        <v/>
      </c>
      <c r="H659" s="16" t="str">
        <f>IF(B659=0,"",COUNTIFS('Extração'!Q:Q,"Não",'Extração'!L:L,A659)/B659)</f>
        <v/>
      </c>
      <c r="I659" s="16" t="str">
        <f>IF(B659=0,"",COUNTIFS('Extração'!R:R,"Igual",'Extração'!L:L,A659)/B659)</f>
        <v/>
      </c>
    </row>
    <row r="660">
      <c r="B660" s="16">
        <f>COUNTIF('Extração'!L:L,A660)</f>
        <v>0</v>
      </c>
      <c r="C660" s="16" t="str">
        <f>IF(B660=0,"",COUNTIFS('Extração'!P:P,"Sim",'Extração'!L:L,A660)/B660)</f>
        <v/>
      </c>
      <c r="D660" s="16" t="str">
        <f>IF(B660=0,"",COUNTIFS('Extração'!Q:Q,"Sim",'Extração'!L:L,A660)/B660)</f>
        <v/>
      </c>
      <c r="E660" s="16" t="str">
        <f>IF(B660=0,"",COUNTIFS('Extração'!P:P,"Parcialmente",'Extração'!L:L,A660)/B660)</f>
        <v/>
      </c>
      <c r="F660" s="16" t="str">
        <f>IF(B660=0,"",COUNTIFS('Extração'!Q:Q,"Parcialmente",'Extração'!L:L,A660)/B660)</f>
        <v/>
      </c>
      <c r="G660" s="16" t="str">
        <f>IF(B660=0,"",COUNTIFS('Extração'!P:P,"Não",'Extração'!L:L,A660)/B660)</f>
        <v/>
      </c>
      <c r="H660" s="16" t="str">
        <f>IF(B660=0,"",COUNTIFS('Extração'!Q:Q,"Não",'Extração'!L:L,A660)/B660)</f>
        <v/>
      </c>
      <c r="I660" s="16" t="str">
        <f>IF(B660=0,"",COUNTIFS('Extração'!R:R,"Igual",'Extração'!L:L,A660)/B660)</f>
        <v/>
      </c>
    </row>
    <row r="661">
      <c r="B661" s="16">
        <f>COUNTIF('Extração'!L:L,A661)</f>
        <v>0</v>
      </c>
      <c r="C661" s="16" t="str">
        <f>IF(B661=0,"",COUNTIFS('Extração'!P:P,"Sim",'Extração'!L:L,A661)/B661)</f>
        <v/>
      </c>
      <c r="D661" s="16" t="str">
        <f>IF(B661=0,"",COUNTIFS('Extração'!Q:Q,"Sim",'Extração'!L:L,A661)/B661)</f>
        <v/>
      </c>
      <c r="E661" s="16" t="str">
        <f>IF(B661=0,"",COUNTIFS('Extração'!P:P,"Parcialmente",'Extração'!L:L,A661)/B661)</f>
        <v/>
      </c>
      <c r="F661" s="16" t="str">
        <f>IF(B661=0,"",COUNTIFS('Extração'!Q:Q,"Parcialmente",'Extração'!L:L,A661)/B661)</f>
        <v/>
      </c>
      <c r="G661" s="16" t="str">
        <f>IF(B661=0,"",COUNTIFS('Extração'!P:P,"Não",'Extração'!L:L,A661)/B661)</f>
        <v/>
      </c>
      <c r="H661" s="16" t="str">
        <f>IF(B661=0,"",COUNTIFS('Extração'!Q:Q,"Não",'Extração'!L:L,A661)/B661)</f>
        <v/>
      </c>
      <c r="I661" s="16" t="str">
        <f>IF(B661=0,"",COUNTIFS('Extração'!R:R,"Igual",'Extração'!L:L,A661)/B661)</f>
        <v/>
      </c>
    </row>
    <row r="662">
      <c r="B662" s="16">
        <f>COUNTIF('Extração'!L:L,A662)</f>
        <v>0</v>
      </c>
      <c r="C662" s="16" t="str">
        <f>IF(B662=0,"",COUNTIFS('Extração'!P:P,"Sim",'Extração'!L:L,A662)/B662)</f>
        <v/>
      </c>
      <c r="D662" s="16" t="str">
        <f>IF(B662=0,"",COUNTIFS('Extração'!Q:Q,"Sim",'Extração'!L:L,A662)/B662)</f>
        <v/>
      </c>
      <c r="E662" s="16" t="str">
        <f>IF(B662=0,"",COUNTIFS('Extração'!P:P,"Parcialmente",'Extração'!L:L,A662)/B662)</f>
        <v/>
      </c>
      <c r="F662" s="16" t="str">
        <f>IF(B662=0,"",COUNTIFS('Extração'!Q:Q,"Parcialmente",'Extração'!L:L,A662)/B662)</f>
        <v/>
      </c>
      <c r="G662" s="16" t="str">
        <f>IF(B662=0,"",COUNTIFS('Extração'!P:P,"Não",'Extração'!L:L,A662)/B662)</f>
        <v/>
      </c>
      <c r="H662" s="16" t="str">
        <f>IF(B662=0,"",COUNTIFS('Extração'!Q:Q,"Não",'Extração'!L:L,A662)/B662)</f>
        <v/>
      </c>
      <c r="I662" s="16" t="str">
        <f>IF(B662=0,"",COUNTIFS('Extração'!R:R,"Igual",'Extração'!L:L,A662)/B662)</f>
        <v/>
      </c>
    </row>
    <row r="663">
      <c r="B663" s="16">
        <f>COUNTIF('Extração'!L:L,A663)</f>
        <v>0</v>
      </c>
      <c r="C663" s="16" t="str">
        <f>IF(B663=0,"",COUNTIFS('Extração'!P:P,"Sim",'Extração'!L:L,A663)/B663)</f>
        <v/>
      </c>
      <c r="D663" s="16" t="str">
        <f>IF(B663=0,"",COUNTIFS('Extração'!Q:Q,"Sim",'Extração'!L:L,A663)/B663)</f>
        <v/>
      </c>
      <c r="E663" s="16" t="str">
        <f>IF(B663=0,"",COUNTIFS('Extração'!P:P,"Parcialmente",'Extração'!L:L,A663)/B663)</f>
        <v/>
      </c>
      <c r="F663" s="16" t="str">
        <f>IF(B663=0,"",COUNTIFS('Extração'!Q:Q,"Parcialmente",'Extração'!L:L,A663)/B663)</f>
        <v/>
      </c>
      <c r="G663" s="16" t="str">
        <f>IF(B663=0,"",COUNTIFS('Extração'!P:P,"Não",'Extração'!L:L,A663)/B663)</f>
        <v/>
      </c>
      <c r="H663" s="16" t="str">
        <f>IF(B663=0,"",COUNTIFS('Extração'!Q:Q,"Não",'Extração'!L:L,A663)/B663)</f>
        <v/>
      </c>
      <c r="I663" s="16" t="str">
        <f>IF(B663=0,"",COUNTIFS('Extração'!R:R,"Igual",'Extração'!L:L,A663)/B663)</f>
        <v/>
      </c>
    </row>
    <row r="664">
      <c r="B664" s="16">
        <f>COUNTIF('Extração'!L:L,A664)</f>
        <v>0</v>
      </c>
      <c r="C664" s="16" t="str">
        <f>IF(B664=0,"",COUNTIFS('Extração'!P:P,"Sim",'Extração'!L:L,A664)/B664)</f>
        <v/>
      </c>
      <c r="D664" s="16" t="str">
        <f>IF(B664=0,"",COUNTIFS('Extração'!Q:Q,"Sim",'Extração'!L:L,A664)/B664)</f>
        <v/>
      </c>
      <c r="E664" s="16" t="str">
        <f>IF(B664=0,"",COUNTIFS('Extração'!P:P,"Parcialmente",'Extração'!L:L,A664)/B664)</f>
        <v/>
      </c>
      <c r="F664" s="16" t="str">
        <f>IF(B664=0,"",COUNTIFS('Extração'!Q:Q,"Parcialmente",'Extração'!L:L,A664)/B664)</f>
        <v/>
      </c>
      <c r="G664" s="16" t="str">
        <f>IF(B664=0,"",COUNTIFS('Extração'!P:P,"Não",'Extração'!L:L,A664)/B664)</f>
        <v/>
      </c>
      <c r="H664" s="16" t="str">
        <f>IF(B664=0,"",COUNTIFS('Extração'!Q:Q,"Não",'Extração'!L:L,A664)/B664)</f>
        <v/>
      </c>
      <c r="I664" s="16" t="str">
        <f>IF(B664=0,"",COUNTIFS('Extração'!R:R,"Igual",'Extração'!L:L,A664)/B664)</f>
        <v/>
      </c>
    </row>
    <row r="665">
      <c r="B665" s="16">
        <f>COUNTIF('Extração'!L:L,A665)</f>
        <v>0</v>
      </c>
      <c r="C665" s="16" t="str">
        <f>IF(B665=0,"",COUNTIFS('Extração'!P:P,"Sim",'Extração'!L:L,A665)/B665)</f>
        <v/>
      </c>
      <c r="D665" s="16" t="str">
        <f>IF(B665=0,"",COUNTIFS('Extração'!Q:Q,"Sim",'Extração'!L:L,A665)/B665)</f>
        <v/>
      </c>
      <c r="E665" s="16" t="str">
        <f>IF(B665=0,"",COUNTIFS('Extração'!P:P,"Parcialmente",'Extração'!L:L,A665)/B665)</f>
        <v/>
      </c>
      <c r="F665" s="16" t="str">
        <f>IF(B665=0,"",COUNTIFS('Extração'!Q:Q,"Parcialmente",'Extração'!L:L,A665)/B665)</f>
        <v/>
      </c>
      <c r="G665" s="16" t="str">
        <f>IF(B665=0,"",COUNTIFS('Extração'!P:P,"Não",'Extração'!L:L,A665)/B665)</f>
        <v/>
      </c>
      <c r="H665" s="16" t="str">
        <f>IF(B665=0,"",COUNTIFS('Extração'!Q:Q,"Não",'Extração'!L:L,A665)/B665)</f>
        <v/>
      </c>
      <c r="I665" s="16" t="str">
        <f>IF(B665=0,"",COUNTIFS('Extração'!R:R,"Igual",'Extração'!L:L,A665)/B665)</f>
        <v/>
      </c>
    </row>
    <row r="666">
      <c r="B666" s="16">
        <f>COUNTIF('Extração'!L:L,A666)</f>
        <v>0</v>
      </c>
      <c r="C666" s="16" t="str">
        <f>IF(B666=0,"",COUNTIFS('Extração'!P:P,"Sim",'Extração'!L:L,A666)/B666)</f>
        <v/>
      </c>
      <c r="D666" s="16" t="str">
        <f>IF(B666=0,"",COUNTIFS('Extração'!Q:Q,"Sim",'Extração'!L:L,A666)/B666)</f>
        <v/>
      </c>
      <c r="E666" s="16" t="str">
        <f>IF(B666=0,"",COUNTIFS('Extração'!P:P,"Parcialmente",'Extração'!L:L,A666)/B666)</f>
        <v/>
      </c>
      <c r="F666" s="16" t="str">
        <f>IF(B666=0,"",COUNTIFS('Extração'!Q:Q,"Parcialmente",'Extração'!L:L,A666)/B666)</f>
        <v/>
      </c>
      <c r="G666" s="16" t="str">
        <f>IF(B666=0,"",COUNTIFS('Extração'!P:P,"Não",'Extração'!L:L,A666)/B666)</f>
        <v/>
      </c>
      <c r="H666" s="16" t="str">
        <f>IF(B666=0,"",COUNTIFS('Extração'!Q:Q,"Não",'Extração'!L:L,A666)/B666)</f>
        <v/>
      </c>
      <c r="I666" s="16" t="str">
        <f>IF(B666=0,"",COUNTIFS('Extração'!R:R,"Igual",'Extração'!L:L,A666)/B666)</f>
        <v/>
      </c>
    </row>
    <row r="667">
      <c r="B667" s="16">
        <f>COUNTIF('Extração'!L:L,A667)</f>
        <v>0</v>
      </c>
      <c r="C667" s="16" t="str">
        <f>IF(B667=0,"",COUNTIFS('Extração'!P:P,"Sim",'Extração'!L:L,A667)/B667)</f>
        <v/>
      </c>
      <c r="D667" s="16" t="str">
        <f>IF(B667=0,"",COUNTIFS('Extração'!Q:Q,"Sim",'Extração'!L:L,A667)/B667)</f>
        <v/>
      </c>
      <c r="E667" s="16" t="str">
        <f>IF(B667=0,"",COUNTIFS('Extração'!P:P,"Parcialmente",'Extração'!L:L,A667)/B667)</f>
        <v/>
      </c>
      <c r="F667" s="16" t="str">
        <f>IF(B667=0,"",COUNTIFS('Extração'!Q:Q,"Parcialmente",'Extração'!L:L,A667)/B667)</f>
        <v/>
      </c>
      <c r="G667" s="16" t="str">
        <f>IF(B667=0,"",COUNTIFS('Extração'!P:P,"Não",'Extração'!L:L,A667)/B667)</f>
        <v/>
      </c>
      <c r="H667" s="16" t="str">
        <f>IF(B667=0,"",COUNTIFS('Extração'!Q:Q,"Não",'Extração'!L:L,A667)/B667)</f>
        <v/>
      </c>
      <c r="I667" s="16" t="str">
        <f>IF(B667=0,"",COUNTIFS('Extração'!R:R,"Igual",'Extração'!L:L,A667)/B667)</f>
        <v/>
      </c>
    </row>
    <row r="668">
      <c r="B668" s="16">
        <f>COUNTIF('Extração'!L:L,A668)</f>
        <v>0</v>
      </c>
      <c r="C668" s="16" t="str">
        <f>IF(B668=0,"",COUNTIFS('Extração'!P:P,"Sim",'Extração'!L:L,A668)/B668)</f>
        <v/>
      </c>
      <c r="D668" s="16" t="str">
        <f>IF(B668=0,"",COUNTIFS('Extração'!Q:Q,"Sim",'Extração'!L:L,A668)/B668)</f>
        <v/>
      </c>
      <c r="E668" s="16" t="str">
        <f>IF(B668=0,"",COUNTIFS('Extração'!P:P,"Parcialmente",'Extração'!L:L,A668)/B668)</f>
        <v/>
      </c>
      <c r="F668" s="16" t="str">
        <f>IF(B668=0,"",COUNTIFS('Extração'!Q:Q,"Parcialmente",'Extração'!L:L,A668)/B668)</f>
        <v/>
      </c>
      <c r="G668" s="16" t="str">
        <f>IF(B668=0,"",COUNTIFS('Extração'!P:P,"Não",'Extração'!L:L,A668)/B668)</f>
        <v/>
      </c>
      <c r="H668" s="16" t="str">
        <f>IF(B668=0,"",COUNTIFS('Extração'!Q:Q,"Não",'Extração'!L:L,A668)/B668)</f>
        <v/>
      </c>
      <c r="I668" s="16" t="str">
        <f>IF(B668=0,"",COUNTIFS('Extração'!R:R,"Igual",'Extração'!L:L,A668)/B668)</f>
        <v/>
      </c>
    </row>
    <row r="669">
      <c r="B669" s="16">
        <f>COUNTIF('Extração'!L:L,A669)</f>
        <v>0</v>
      </c>
      <c r="C669" s="16" t="str">
        <f>IF(B669=0,"",COUNTIFS('Extração'!P:P,"Sim",'Extração'!L:L,A669)/B669)</f>
        <v/>
      </c>
      <c r="D669" s="16" t="str">
        <f>IF(B669=0,"",COUNTIFS('Extração'!Q:Q,"Sim",'Extração'!L:L,A669)/B669)</f>
        <v/>
      </c>
      <c r="E669" s="16" t="str">
        <f>IF(B669=0,"",COUNTIFS('Extração'!P:P,"Parcialmente",'Extração'!L:L,A669)/B669)</f>
        <v/>
      </c>
      <c r="F669" s="16" t="str">
        <f>IF(B669=0,"",COUNTIFS('Extração'!Q:Q,"Parcialmente",'Extração'!L:L,A669)/B669)</f>
        <v/>
      </c>
      <c r="G669" s="16" t="str">
        <f>IF(B669=0,"",COUNTIFS('Extração'!P:P,"Não",'Extração'!L:L,A669)/B669)</f>
        <v/>
      </c>
      <c r="H669" s="16" t="str">
        <f>IF(B669=0,"",COUNTIFS('Extração'!Q:Q,"Não",'Extração'!L:L,A669)/B669)</f>
        <v/>
      </c>
      <c r="I669" s="16" t="str">
        <f>IF(B669=0,"",COUNTIFS('Extração'!R:R,"Igual",'Extração'!L:L,A669)/B669)</f>
        <v/>
      </c>
    </row>
    <row r="670">
      <c r="B670" s="16">
        <f>COUNTIF('Extração'!L:L,A670)</f>
        <v>0</v>
      </c>
      <c r="C670" s="16" t="str">
        <f>IF(B670=0,"",COUNTIFS('Extração'!P:P,"Sim",'Extração'!L:L,A670)/B670)</f>
        <v/>
      </c>
      <c r="D670" s="16" t="str">
        <f>IF(B670=0,"",COUNTIFS('Extração'!Q:Q,"Sim",'Extração'!L:L,A670)/B670)</f>
        <v/>
      </c>
      <c r="E670" s="16" t="str">
        <f>IF(B670=0,"",COUNTIFS('Extração'!P:P,"Parcialmente",'Extração'!L:L,A670)/B670)</f>
        <v/>
      </c>
      <c r="F670" s="16" t="str">
        <f>IF(B670=0,"",COUNTIFS('Extração'!Q:Q,"Parcialmente",'Extração'!L:L,A670)/B670)</f>
        <v/>
      </c>
      <c r="G670" s="16" t="str">
        <f>IF(B670=0,"",COUNTIFS('Extração'!P:P,"Não",'Extração'!L:L,A670)/B670)</f>
        <v/>
      </c>
      <c r="H670" s="16" t="str">
        <f>IF(B670=0,"",COUNTIFS('Extração'!Q:Q,"Não",'Extração'!L:L,A670)/B670)</f>
        <v/>
      </c>
      <c r="I670" s="16" t="str">
        <f>IF(B670=0,"",COUNTIFS('Extração'!R:R,"Igual",'Extração'!L:L,A670)/B670)</f>
        <v/>
      </c>
    </row>
    <row r="671">
      <c r="B671" s="16">
        <f>COUNTIF('Extração'!L:L,A671)</f>
        <v>0</v>
      </c>
      <c r="C671" s="16" t="str">
        <f>IF(B671=0,"",COUNTIFS('Extração'!P:P,"Sim",'Extração'!L:L,A671)/B671)</f>
        <v/>
      </c>
      <c r="D671" s="16" t="str">
        <f>IF(B671=0,"",COUNTIFS('Extração'!Q:Q,"Sim",'Extração'!L:L,A671)/B671)</f>
        <v/>
      </c>
      <c r="E671" s="16" t="str">
        <f>IF(B671=0,"",COUNTIFS('Extração'!P:P,"Parcialmente",'Extração'!L:L,A671)/B671)</f>
        <v/>
      </c>
      <c r="F671" s="16" t="str">
        <f>IF(B671=0,"",COUNTIFS('Extração'!Q:Q,"Parcialmente",'Extração'!L:L,A671)/B671)</f>
        <v/>
      </c>
      <c r="G671" s="16" t="str">
        <f>IF(B671=0,"",COUNTIFS('Extração'!P:P,"Não",'Extração'!L:L,A671)/B671)</f>
        <v/>
      </c>
      <c r="H671" s="16" t="str">
        <f>IF(B671=0,"",COUNTIFS('Extração'!Q:Q,"Não",'Extração'!L:L,A671)/B671)</f>
        <v/>
      </c>
      <c r="I671" s="16" t="str">
        <f>IF(B671=0,"",COUNTIFS('Extração'!R:R,"Igual",'Extração'!L:L,A671)/B671)</f>
        <v/>
      </c>
    </row>
    <row r="672">
      <c r="B672" s="16">
        <f>COUNTIF('Extração'!L:L,A672)</f>
        <v>0</v>
      </c>
      <c r="C672" s="16" t="str">
        <f>IF(B672=0,"",COUNTIFS('Extração'!P:P,"Sim",'Extração'!L:L,A672)/B672)</f>
        <v/>
      </c>
      <c r="D672" s="16" t="str">
        <f>IF(B672=0,"",COUNTIFS('Extração'!Q:Q,"Sim",'Extração'!L:L,A672)/B672)</f>
        <v/>
      </c>
      <c r="E672" s="16" t="str">
        <f>IF(B672=0,"",COUNTIFS('Extração'!P:P,"Parcialmente",'Extração'!L:L,A672)/B672)</f>
        <v/>
      </c>
      <c r="F672" s="16" t="str">
        <f>IF(B672=0,"",COUNTIFS('Extração'!Q:Q,"Parcialmente",'Extração'!L:L,A672)/B672)</f>
        <v/>
      </c>
      <c r="G672" s="16" t="str">
        <f>IF(B672=0,"",COUNTIFS('Extração'!P:P,"Não",'Extração'!L:L,A672)/B672)</f>
        <v/>
      </c>
      <c r="H672" s="16" t="str">
        <f>IF(B672=0,"",COUNTIFS('Extração'!Q:Q,"Não",'Extração'!L:L,A672)/B672)</f>
        <v/>
      </c>
      <c r="I672" s="16" t="str">
        <f>IF(B672=0,"",COUNTIFS('Extração'!R:R,"Igual",'Extração'!L:L,A672)/B672)</f>
        <v/>
      </c>
    </row>
    <row r="673">
      <c r="B673" s="16">
        <f>COUNTIF('Extração'!L:L,A673)</f>
        <v>0</v>
      </c>
      <c r="C673" s="16" t="str">
        <f>IF(B673=0,"",COUNTIFS('Extração'!P:P,"Sim",'Extração'!L:L,A673)/B673)</f>
        <v/>
      </c>
      <c r="D673" s="16" t="str">
        <f>IF(B673=0,"",COUNTIFS('Extração'!Q:Q,"Sim",'Extração'!L:L,A673)/B673)</f>
        <v/>
      </c>
      <c r="E673" s="16" t="str">
        <f>IF(B673=0,"",COUNTIFS('Extração'!P:P,"Parcialmente",'Extração'!L:L,A673)/B673)</f>
        <v/>
      </c>
      <c r="F673" s="16" t="str">
        <f>IF(B673=0,"",COUNTIFS('Extração'!Q:Q,"Parcialmente",'Extração'!L:L,A673)/B673)</f>
        <v/>
      </c>
      <c r="G673" s="16" t="str">
        <f>IF(B673=0,"",COUNTIFS('Extração'!P:P,"Não",'Extração'!L:L,A673)/B673)</f>
        <v/>
      </c>
      <c r="H673" s="16" t="str">
        <f>IF(B673=0,"",COUNTIFS('Extração'!Q:Q,"Não",'Extração'!L:L,A673)/B673)</f>
        <v/>
      </c>
      <c r="I673" s="16" t="str">
        <f>IF(B673=0,"",COUNTIFS('Extração'!R:R,"Igual",'Extração'!L:L,A673)/B673)</f>
        <v/>
      </c>
    </row>
    <row r="674">
      <c r="B674" s="16">
        <f>COUNTIF('Extração'!L:L,A674)</f>
        <v>0</v>
      </c>
      <c r="C674" s="16" t="str">
        <f>IF(B674=0,"",COUNTIFS('Extração'!P:P,"Sim",'Extração'!L:L,A674)/B674)</f>
        <v/>
      </c>
      <c r="D674" s="16" t="str">
        <f>IF(B674=0,"",COUNTIFS('Extração'!Q:Q,"Sim",'Extração'!L:L,A674)/B674)</f>
        <v/>
      </c>
      <c r="E674" s="16" t="str">
        <f>IF(B674=0,"",COUNTIFS('Extração'!P:P,"Parcialmente",'Extração'!L:L,A674)/B674)</f>
        <v/>
      </c>
      <c r="F674" s="16" t="str">
        <f>IF(B674=0,"",COUNTIFS('Extração'!Q:Q,"Parcialmente",'Extração'!L:L,A674)/B674)</f>
        <v/>
      </c>
      <c r="G674" s="16" t="str">
        <f>IF(B674=0,"",COUNTIFS('Extração'!P:P,"Não",'Extração'!L:L,A674)/B674)</f>
        <v/>
      </c>
      <c r="H674" s="16" t="str">
        <f>IF(B674=0,"",COUNTIFS('Extração'!Q:Q,"Não",'Extração'!L:L,A674)/B674)</f>
        <v/>
      </c>
      <c r="I674" s="16" t="str">
        <f>IF(B674=0,"",COUNTIFS('Extração'!R:R,"Igual",'Extração'!L:L,A674)/B674)</f>
        <v/>
      </c>
    </row>
    <row r="675">
      <c r="B675" s="16">
        <f>COUNTIF('Extração'!L:L,A675)</f>
        <v>0</v>
      </c>
      <c r="C675" s="16" t="str">
        <f>IF(B675=0,"",COUNTIFS('Extração'!P:P,"Sim",'Extração'!L:L,A675)/B675)</f>
        <v/>
      </c>
      <c r="D675" s="16" t="str">
        <f>IF(B675=0,"",COUNTIFS('Extração'!Q:Q,"Sim",'Extração'!L:L,A675)/B675)</f>
        <v/>
      </c>
      <c r="E675" s="16" t="str">
        <f>IF(B675=0,"",COUNTIFS('Extração'!P:P,"Parcialmente",'Extração'!L:L,A675)/B675)</f>
        <v/>
      </c>
      <c r="F675" s="16" t="str">
        <f>IF(B675=0,"",COUNTIFS('Extração'!Q:Q,"Parcialmente",'Extração'!L:L,A675)/B675)</f>
        <v/>
      </c>
      <c r="G675" s="16" t="str">
        <f>IF(B675=0,"",COUNTIFS('Extração'!P:P,"Não",'Extração'!L:L,A675)/B675)</f>
        <v/>
      </c>
      <c r="H675" s="16" t="str">
        <f>IF(B675=0,"",COUNTIFS('Extração'!Q:Q,"Não",'Extração'!L:L,A675)/B675)</f>
        <v/>
      </c>
      <c r="I675" s="16" t="str">
        <f>IF(B675=0,"",COUNTIFS('Extração'!R:R,"Igual",'Extração'!L:L,A675)/B675)</f>
        <v/>
      </c>
    </row>
    <row r="676">
      <c r="B676" s="16">
        <f>COUNTIF('Extração'!L:L,A676)</f>
        <v>0</v>
      </c>
      <c r="C676" s="16" t="str">
        <f>IF(B676=0,"",COUNTIFS('Extração'!P:P,"Sim",'Extração'!L:L,A676)/B676)</f>
        <v/>
      </c>
      <c r="D676" s="16" t="str">
        <f>IF(B676=0,"",COUNTIFS('Extração'!Q:Q,"Sim",'Extração'!L:L,A676)/B676)</f>
        <v/>
      </c>
      <c r="E676" s="16" t="str">
        <f>IF(B676=0,"",COUNTIFS('Extração'!P:P,"Parcialmente",'Extração'!L:L,A676)/B676)</f>
        <v/>
      </c>
      <c r="F676" s="16" t="str">
        <f>IF(B676=0,"",COUNTIFS('Extração'!Q:Q,"Parcialmente",'Extração'!L:L,A676)/B676)</f>
        <v/>
      </c>
      <c r="G676" s="16" t="str">
        <f>IF(B676=0,"",COUNTIFS('Extração'!P:P,"Não",'Extração'!L:L,A676)/B676)</f>
        <v/>
      </c>
      <c r="H676" s="16" t="str">
        <f>IF(B676=0,"",COUNTIFS('Extração'!Q:Q,"Não",'Extração'!L:L,A676)/B676)</f>
        <v/>
      </c>
      <c r="I676" s="16" t="str">
        <f>IF(B676=0,"",COUNTIFS('Extração'!R:R,"Igual",'Extração'!L:L,A676)/B676)</f>
        <v/>
      </c>
    </row>
    <row r="677">
      <c r="B677" s="16">
        <f>COUNTIF('Extração'!L:L,A677)</f>
        <v>0</v>
      </c>
      <c r="C677" s="16" t="str">
        <f>IF(B677=0,"",COUNTIFS('Extração'!P:P,"Sim",'Extração'!L:L,A677)/B677)</f>
        <v/>
      </c>
      <c r="D677" s="16" t="str">
        <f>IF(B677=0,"",COUNTIFS('Extração'!Q:Q,"Sim",'Extração'!L:L,A677)/B677)</f>
        <v/>
      </c>
      <c r="E677" s="16" t="str">
        <f>IF(B677=0,"",COUNTIFS('Extração'!P:P,"Parcialmente",'Extração'!L:L,A677)/B677)</f>
        <v/>
      </c>
      <c r="F677" s="16" t="str">
        <f>IF(B677=0,"",COUNTIFS('Extração'!Q:Q,"Parcialmente",'Extração'!L:L,A677)/B677)</f>
        <v/>
      </c>
      <c r="G677" s="16" t="str">
        <f>IF(B677=0,"",COUNTIFS('Extração'!P:P,"Não",'Extração'!L:L,A677)/B677)</f>
        <v/>
      </c>
      <c r="H677" s="16" t="str">
        <f>IF(B677=0,"",COUNTIFS('Extração'!Q:Q,"Não",'Extração'!L:L,A677)/B677)</f>
        <v/>
      </c>
      <c r="I677" s="16" t="str">
        <f>IF(B677=0,"",COUNTIFS('Extração'!R:R,"Igual",'Extração'!L:L,A677)/B677)</f>
        <v/>
      </c>
    </row>
    <row r="678">
      <c r="B678" s="16">
        <f>COUNTIF('Extração'!L:L,A678)</f>
        <v>0</v>
      </c>
      <c r="C678" s="16" t="str">
        <f>IF(B678=0,"",COUNTIFS('Extração'!P:P,"Sim",'Extração'!L:L,A678)/B678)</f>
        <v/>
      </c>
      <c r="D678" s="16" t="str">
        <f>IF(B678=0,"",COUNTIFS('Extração'!Q:Q,"Sim",'Extração'!L:L,A678)/B678)</f>
        <v/>
      </c>
      <c r="E678" s="16" t="str">
        <f>IF(B678=0,"",COUNTIFS('Extração'!P:P,"Parcialmente",'Extração'!L:L,A678)/B678)</f>
        <v/>
      </c>
      <c r="F678" s="16" t="str">
        <f>IF(B678=0,"",COUNTIFS('Extração'!Q:Q,"Parcialmente",'Extração'!L:L,A678)/B678)</f>
        <v/>
      </c>
      <c r="G678" s="16" t="str">
        <f>IF(B678=0,"",COUNTIFS('Extração'!P:P,"Não",'Extração'!L:L,A678)/B678)</f>
        <v/>
      </c>
      <c r="H678" s="16" t="str">
        <f>IF(B678=0,"",COUNTIFS('Extração'!Q:Q,"Não",'Extração'!L:L,A678)/B678)</f>
        <v/>
      </c>
      <c r="I678" s="16" t="str">
        <f>IF(B678=0,"",COUNTIFS('Extração'!R:R,"Igual",'Extração'!L:L,A678)/B678)</f>
        <v/>
      </c>
    </row>
    <row r="679">
      <c r="B679" s="16">
        <f>COUNTIF('Extração'!L:L,A679)</f>
        <v>0</v>
      </c>
      <c r="C679" s="16" t="str">
        <f>IF(B679=0,"",COUNTIFS('Extração'!P:P,"Sim",'Extração'!L:L,A679)/B679)</f>
        <v/>
      </c>
      <c r="D679" s="16" t="str">
        <f>IF(B679=0,"",COUNTIFS('Extração'!Q:Q,"Sim",'Extração'!L:L,A679)/B679)</f>
        <v/>
      </c>
      <c r="E679" s="16" t="str">
        <f>IF(B679=0,"",COUNTIFS('Extração'!P:P,"Parcialmente",'Extração'!L:L,A679)/B679)</f>
        <v/>
      </c>
      <c r="F679" s="16" t="str">
        <f>IF(B679=0,"",COUNTIFS('Extração'!Q:Q,"Parcialmente",'Extração'!L:L,A679)/B679)</f>
        <v/>
      </c>
      <c r="G679" s="16" t="str">
        <f>IF(B679=0,"",COUNTIFS('Extração'!P:P,"Não",'Extração'!L:L,A679)/B679)</f>
        <v/>
      </c>
      <c r="H679" s="16" t="str">
        <f>IF(B679=0,"",COUNTIFS('Extração'!Q:Q,"Não",'Extração'!L:L,A679)/B679)</f>
        <v/>
      </c>
      <c r="I679" s="16" t="str">
        <f>IF(B679=0,"",COUNTIFS('Extração'!R:R,"Igual",'Extração'!L:L,A679)/B679)</f>
        <v/>
      </c>
    </row>
    <row r="680">
      <c r="B680" s="16">
        <f>COUNTIF('Extração'!L:L,A680)</f>
        <v>0</v>
      </c>
      <c r="C680" s="16" t="str">
        <f>IF(B680=0,"",COUNTIFS('Extração'!P:P,"Sim",'Extração'!L:L,A680)/B680)</f>
        <v/>
      </c>
      <c r="D680" s="16" t="str">
        <f>IF(B680=0,"",COUNTIFS('Extração'!Q:Q,"Sim",'Extração'!L:L,A680)/B680)</f>
        <v/>
      </c>
      <c r="E680" s="16" t="str">
        <f>IF(B680=0,"",COUNTIFS('Extração'!P:P,"Parcialmente",'Extração'!L:L,A680)/B680)</f>
        <v/>
      </c>
      <c r="F680" s="16" t="str">
        <f>IF(B680=0,"",COUNTIFS('Extração'!Q:Q,"Parcialmente",'Extração'!L:L,A680)/B680)</f>
        <v/>
      </c>
      <c r="G680" s="16" t="str">
        <f>IF(B680=0,"",COUNTIFS('Extração'!P:P,"Não",'Extração'!L:L,A680)/B680)</f>
        <v/>
      </c>
      <c r="H680" s="16" t="str">
        <f>IF(B680=0,"",COUNTIFS('Extração'!Q:Q,"Não",'Extração'!L:L,A680)/B680)</f>
        <v/>
      </c>
      <c r="I680" s="16" t="str">
        <f>IF(B680=0,"",COUNTIFS('Extração'!R:R,"Igual",'Extração'!L:L,A680)/B680)</f>
        <v/>
      </c>
    </row>
    <row r="681">
      <c r="B681" s="16">
        <f>COUNTIF('Extração'!L:L,A681)</f>
        <v>0</v>
      </c>
      <c r="C681" s="16" t="str">
        <f>IF(B681=0,"",COUNTIFS('Extração'!P:P,"Sim",'Extração'!L:L,A681)/B681)</f>
        <v/>
      </c>
      <c r="D681" s="16" t="str">
        <f>IF(B681=0,"",COUNTIFS('Extração'!Q:Q,"Sim",'Extração'!L:L,A681)/B681)</f>
        <v/>
      </c>
      <c r="E681" s="16" t="str">
        <f>IF(B681=0,"",COUNTIFS('Extração'!P:P,"Parcialmente",'Extração'!L:L,A681)/B681)</f>
        <v/>
      </c>
      <c r="F681" s="16" t="str">
        <f>IF(B681=0,"",COUNTIFS('Extração'!Q:Q,"Parcialmente",'Extração'!L:L,A681)/B681)</f>
        <v/>
      </c>
      <c r="G681" s="16" t="str">
        <f>IF(B681=0,"",COUNTIFS('Extração'!P:P,"Não",'Extração'!L:L,A681)/B681)</f>
        <v/>
      </c>
      <c r="H681" s="16" t="str">
        <f>IF(B681=0,"",COUNTIFS('Extração'!Q:Q,"Não",'Extração'!L:L,A681)/B681)</f>
        <v/>
      </c>
      <c r="I681" s="16" t="str">
        <f>IF(B681=0,"",COUNTIFS('Extração'!R:R,"Igual",'Extração'!L:L,A681)/B681)</f>
        <v/>
      </c>
    </row>
    <row r="682">
      <c r="B682" s="16">
        <f>COUNTIF('Extração'!L:L,A682)</f>
        <v>0</v>
      </c>
      <c r="C682" s="16" t="str">
        <f>IF(B682=0,"",COUNTIFS('Extração'!P:P,"Sim",'Extração'!L:L,A682)/B682)</f>
        <v/>
      </c>
      <c r="D682" s="16" t="str">
        <f>IF(B682=0,"",COUNTIFS('Extração'!Q:Q,"Sim",'Extração'!L:L,A682)/B682)</f>
        <v/>
      </c>
      <c r="E682" s="16" t="str">
        <f>IF(B682=0,"",COUNTIFS('Extração'!P:P,"Parcialmente",'Extração'!L:L,A682)/B682)</f>
        <v/>
      </c>
      <c r="F682" s="16" t="str">
        <f>IF(B682=0,"",COUNTIFS('Extração'!Q:Q,"Parcialmente",'Extração'!L:L,A682)/B682)</f>
        <v/>
      </c>
      <c r="G682" s="16" t="str">
        <f>IF(B682=0,"",COUNTIFS('Extração'!P:P,"Não",'Extração'!L:L,A682)/B682)</f>
        <v/>
      </c>
      <c r="H682" s="16" t="str">
        <f>IF(B682=0,"",COUNTIFS('Extração'!Q:Q,"Não",'Extração'!L:L,A682)/B682)</f>
        <v/>
      </c>
      <c r="I682" s="16" t="str">
        <f>IF(B682=0,"",COUNTIFS('Extração'!R:R,"Igual",'Extração'!L:L,A682)/B682)</f>
        <v/>
      </c>
    </row>
    <row r="683">
      <c r="B683" s="16">
        <f>COUNTIF('Extração'!L:L,A683)</f>
        <v>0</v>
      </c>
      <c r="C683" s="16" t="str">
        <f>IF(B683=0,"",COUNTIFS('Extração'!P:P,"Sim",'Extração'!L:L,A683)/B683)</f>
        <v/>
      </c>
      <c r="D683" s="16" t="str">
        <f>IF(B683=0,"",COUNTIFS('Extração'!Q:Q,"Sim",'Extração'!L:L,A683)/B683)</f>
        <v/>
      </c>
      <c r="E683" s="16" t="str">
        <f>IF(B683=0,"",COUNTIFS('Extração'!P:P,"Parcialmente",'Extração'!L:L,A683)/B683)</f>
        <v/>
      </c>
      <c r="F683" s="16" t="str">
        <f>IF(B683=0,"",COUNTIFS('Extração'!Q:Q,"Parcialmente",'Extração'!L:L,A683)/B683)</f>
        <v/>
      </c>
      <c r="G683" s="16" t="str">
        <f>IF(B683=0,"",COUNTIFS('Extração'!P:P,"Não",'Extração'!L:L,A683)/B683)</f>
        <v/>
      </c>
      <c r="H683" s="16" t="str">
        <f>IF(B683=0,"",COUNTIFS('Extração'!Q:Q,"Não",'Extração'!L:L,A683)/B683)</f>
        <v/>
      </c>
      <c r="I683" s="16" t="str">
        <f>IF(B683=0,"",COUNTIFS('Extração'!R:R,"Igual",'Extração'!L:L,A683)/B683)</f>
        <v/>
      </c>
    </row>
    <row r="684">
      <c r="B684" s="16">
        <f>COUNTIF('Extração'!L:L,A684)</f>
        <v>0</v>
      </c>
      <c r="C684" s="16" t="str">
        <f>IF(B684=0,"",COUNTIFS('Extração'!P:P,"Sim",'Extração'!L:L,A684)/B684)</f>
        <v/>
      </c>
      <c r="D684" s="16" t="str">
        <f>IF(B684=0,"",COUNTIFS('Extração'!Q:Q,"Sim",'Extração'!L:L,A684)/B684)</f>
        <v/>
      </c>
      <c r="E684" s="16" t="str">
        <f>IF(B684=0,"",COUNTIFS('Extração'!P:P,"Parcialmente",'Extração'!L:L,A684)/B684)</f>
        <v/>
      </c>
      <c r="F684" s="16" t="str">
        <f>IF(B684=0,"",COUNTIFS('Extração'!Q:Q,"Parcialmente",'Extração'!L:L,A684)/B684)</f>
        <v/>
      </c>
      <c r="G684" s="16" t="str">
        <f>IF(B684=0,"",COUNTIFS('Extração'!P:P,"Não",'Extração'!L:L,A684)/B684)</f>
        <v/>
      </c>
      <c r="H684" s="16" t="str">
        <f>IF(B684=0,"",COUNTIFS('Extração'!Q:Q,"Não",'Extração'!L:L,A684)/B684)</f>
        <v/>
      </c>
      <c r="I684" s="16" t="str">
        <f>IF(B684=0,"",COUNTIFS('Extração'!R:R,"Igual",'Extração'!L:L,A684)/B684)</f>
        <v/>
      </c>
    </row>
    <row r="685">
      <c r="B685" s="16">
        <f>COUNTIF('Extração'!L:L,A685)</f>
        <v>0</v>
      </c>
      <c r="C685" s="16" t="str">
        <f>IF(B685=0,"",COUNTIFS('Extração'!P:P,"Sim",'Extração'!L:L,A685)/B685)</f>
        <v/>
      </c>
      <c r="D685" s="16" t="str">
        <f>IF(B685=0,"",COUNTIFS('Extração'!Q:Q,"Sim",'Extração'!L:L,A685)/B685)</f>
        <v/>
      </c>
      <c r="E685" s="16" t="str">
        <f>IF(B685=0,"",COUNTIFS('Extração'!P:P,"Parcialmente",'Extração'!L:L,A685)/B685)</f>
        <v/>
      </c>
      <c r="F685" s="16" t="str">
        <f>IF(B685=0,"",COUNTIFS('Extração'!Q:Q,"Parcialmente",'Extração'!L:L,A685)/B685)</f>
        <v/>
      </c>
      <c r="G685" s="16" t="str">
        <f>IF(B685=0,"",COUNTIFS('Extração'!P:P,"Não",'Extração'!L:L,A685)/B685)</f>
        <v/>
      </c>
      <c r="H685" s="16" t="str">
        <f>IF(B685=0,"",COUNTIFS('Extração'!Q:Q,"Não",'Extração'!L:L,A685)/B685)</f>
        <v/>
      </c>
      <c r="I685" s="16" t="str">
        <f>IF(B685=0,"",COUNTIFS('Extração'!R:R,"Igual",'Extração'!L:L,A685)/B685)</f>
        <v/>
      </c>
    </row>
    <row r="686">
      <c r="B686" s="16">
        <f>COUNTIF('Extração'!L:L,A686)</f>
        <v>0</v>
      </c>
      <c r="C686" s="16" t="str">
        <f>IF(B686=0,"",COUNTIFS('Extração'!P:P,"Sim",'Extração'!L:L,A686)/B686)</f>
        <v/>
      </c>
      <c r="D686" s="16" t="str">
        <f>IF(B686=0,"",COUNTIFS('Extração'!Q:Q,"Sim",'Extração'!L:L,A686)/B686)</f>
        <v/>
      </c>
      <c r="E686" s="16" t="str">
        <f>IF(B686=0,"",COUNTIFS('Extração'!P:P,"Parcialmente",'Extração'!L:L,A686)/B686)</f>
        <v/>
      </c>
      <c r="F686" s="16" t="str">
        <f>IF(B686=0,"",COUNTIFS('Extração'!Q:Q,"Parcialmente",'Extração'!L:L,A686)/B686)</f>
        <v/>
      </c>
      <c r="G686" s="16" t="str">
        <f>IF(B686=0,"",COUNTIFS('Extração'!P:P,"Não",'Extração'!L:L,A686)/B686)</f>
        <v/>
      </c>
      <c r="H686" s="16" t="str">
        <f>IF(B686=0,"",COUNTIFS('Extração'!Q:Q,"Não",'Extração'!L:L,A686)/B686)</f>
        <v/>
      </c>
      <c r="I686" s="16" t="str">
        <f>IF(B686=0,"",COUNTIFS('Extração'!R:R,"Igual",'Extração'!L:L,A686)/B686)</f>
        <v/>
      </c>
    </row>
    <row r="687">
      <c r="B687" s="16">
        <f>COUNTIF('Extração'!L:L,A687)</f>
        <v>0</v>
      </c>
      <c r="C687" s="16" t="str">
        <f>IF(B687=0,"",COUNTIFS('Extração'!P:P,"Sim",'Extração'!L:L,A687)/B687)</f>
        <v/>
      </c>
      <c r="D687" s="16" t="str">
        <f>IF(B687=0,"",COUNTIFS('Extração'!Q:Q,"Sim",'Extração'!L:L,A687)/B687)</f>
        <v/>
      </c>
      <c r="E687" s="16" t="str">
        <f>IF(B687=0,"",COUNTIFS('Extração'!P:P,"Parcialmente",'Extração'!L:L,A687)/B687)</f>
        <v/>
      </c>
      <c r="F687" s="16" t="str">
        <f>IF(B687=0,"",COUNTIFS('Extração'!Q:Q,"Parcialmente",'Extração'!L:L,A687)/B687)</f>
        <v/>
      </c>
      <c r="G687" s="16" t="str">
        <f>IF(B687=0,"",COUNTIFS('Extração'!P:P,"Não",'Extração'!L:L,A687)/B687)</f>
        <v/>
      </c>
      <c r="H687" s="16" t="str">
        <f>IF(B687=0,"",COUNTIFS('Extração'!Q:Q,"Não",'Extração'!L:L,A687)/B687)</f>
        <v/>
      </c>
      <c r="I687" s="16" t="str">
        <f>IF(B687=0,"",COUNTIFS('Extração'!R:R,"Igual",'Extração'!L:L,A687)/B687)</f>
        <v/>
      </c>
    </row>
    <row r="688">
      <c r="B688" s="16">
        <f>COUNTIF('Extração'!L:L,A688)</f>
        <v>0</v>
      </c>
      <c r="C688" s="16" t="str">
        <f>IF(B688=0,"",COUNTIFS('Extração'!P:P,"Sim",'Extração'!L:L,A688)/B688)</f>
        <v/>
      </c>
      <c r="D688" s="16" t="str">
        <f>IF(B688=0,"",COUNTIFS('Extração'!Q:Q,"Sim",'Extração'!L:L,A688)/B688)</f>
        <v/>
      </c>
      <c r="E688" s="16" t="str">
        <f>IF(B688=0,"",COUNTIFS('Extração'!P:P,"Parcialmente",'Extração'!L:L,A688)/B688)</f>
        <v/>
      </c>
      <c r="F688" s="16" t="str">
        <f>IF(B688=0,"",COUNTIFS('Extração'!Q:Q,"Parcialmente",'Extração'!L:L,A688)/B688)</f>
        <v/>
      </c>
      <c r="G688" s="16" t="str">
        <f>IF(B688=0,"",COUNTIFS('Extração'!P:P,"Não",'Extração'!L:L,A688)/B688)</f>
        <v/>
      </c>
      <c r="H688" s="16" t="str">
        <f>IF(B688=0,"",COUNTIFS('Extração'!Q:Q,"Não",'Extração'!L:L,A688)/B688)</f>
        <v/>
      </c>
      <c r="I688" s="16" t="str">
        <f>IF(B688=0,"",COUNTIFS('Extração'!R:R,"Igual",'Extração'!L:L,A688)/B688)</f>
        <v/>
      </c>
    </row>
    <row r="689">
      <c r="B689" s="16">
        <f>COUNTIF('Extração'!L:L,A689)</f>
        <v>0</v>
      </c>
      <c r="C689" s="16" t="str">
        <f>IF(B689=0,"",COUNTIFS('Extração'!P:P,"Sim",'Extração'!L:L,A689)/B689)</f>
        <v/>
      </c>
      <c r="D689" s="16" t="str">
        <f>IF(B689=0,"",COUNTIFS('Extração'!Q:Q,"Sim",'Extração'!L:L,A689)/B689)</f>
        <v/>
      </c>
      <c r="E689" s="16" t="str">
        <f>IF(B689=0,"",COUNTIFS('Extração'!P:P,"Parcialmente",'Extração'!L:L,A689)/B689)</f>
        <v/>
      </c>
      <c r="F689" s="16" t="str">
        <f>IF(B689=0,"",COUNTIFS('Extração'!Q:Q,"Parcialmente",'Extração'!L:L,A689)/B689)</f>
        <v/>
      </c>
      <c r="G689" s="16" t="str">
        <f>IF(B689=0,"",COUNTIFS('Extração'!P:P,"Não",'Extração'!L:L,A689)/B689)</f>
        <v/>
      </c>
      <c r="H689" s="16" t="str">
        <f>IF(B689=0,"",COUNTIFS('Extração'!Q:Q,"Não",'Extração'!L:L,A689)/B689)</f>
        <v/>
      </c>
      <c r="I689" s="16" t="str">
        <f>IF(B689=0,"",COUNTIFS('Extração'!R:R,"Igual",'Extração'!L:L,A689)/B689)</f>
        <v/>
      </c>
    </row>
    <row r="690">
      <c r="B690" s="16">
        <f>COUNTIF('Extração'!L:L,A690)</f>
        <v>0</v>
      </c>
      <c r="C690" s="16" t="str">
        <f>IF(B690=0,"",COUNTIFS('Extração'!P:P,"Sim",'Extração'!L:L,A690)/B690)</f>
        <v/>
      </c>
      <c r="D690" s="16" t="str">
        <f>IF(B690=0,"",COUNTIFS('Extração'!Q:Q,"Sim",'Extração'!L:L,A690)/B690)</f>
        <v/>
      </c>
      <c r="E690" s="16" t="str">
        <f>IF(B690=0,"",COUNTIFS('Extração'!P:P,"Parcialmente",'Extração'!L:L,A690)/B690)</f>
        <v/>
      </c>
      <c r="F690" s="16" t="str">
        <f>IF(B690=0,"",COUNTIFS('Extração'!Q:Q,"Parcialmente",'Extração'!L:L,A690)/B690)</f>
        <v/>
      </c>
      <c r="G690" s="16" t="str">
        <f>IF(B690=0,"",COUNTIFS('Extração'!P:P,"Não",'Extração'!L:L,A690)/B690)</f>
        <v/>
      </c>
      <c r="H690" s="16" t="str">
        <f>IF(B690=0,"",COUNTIFS('Extração'!Q:Q,"Não",'Extração'!L:L,A690)/B690)</f>
        <v/>
      </c>
      <c r="I690" s="16" t="str">
        <f>IF(B690=0,"",COUNTIFS('Extração'!R:R,"Igual",'Extração'!L:L,A690)/B690)</f>
        <v/>
      </c>
    </row>
    <row r="691">
      <c r="B691" s="16">
        <f>COUNTIF('Extração'!L:L,A691)</f>
        <v>0</v>
      </c>
      <c r="C691" s="16" t="str">
        <f>IF(B691=0,"",COUNTIFS('Extração'!P:P,"Sim",'Extração'!L:L,A691)/B691)</f>
        <v/>
      </c>
      <c r="D691" s="16" t="str">
        <f>IF(B691=0,"",COUNTIFS('Extração'!Q:Q,"Sim",'Extração'!L:L,A691)/B691)</f>
        <v/>
      </c>
      <c r="E691" s="16" t="str">
        <f>IF(B691=0,"",COUNTIFS('Extração'!P:P,"Parcialmente",'Extração'!L:L,A691)/B691)</f>
        <v/>
      </c>
      <c r="F691" s="16" t="str">
        <f>IF(B691=0,"",COUNTIFS('Extração'!Q:Q,"Parcialmente",'Extração'!L:L,A691)/B691)</f>
        <v/>
      </c>
      <c r="G691" s="16" t="str">
        <f>IF(B691=0,"",COUNTIFS('Extração'!P:P,"Não",'Extração'!L:L,A691)/B691)</f>
        <v/>
      </c>
      <c r="H691" s="16" t="str">
        <f>IF(B691=0,"",COUNTIFS('Extração'!Q:Q,"Não",'Extração'!L:L,A691)/B691)</f>
        <v/>
      </c>
      <c r="I691" s="16" t="str">
        <f>IF(B691=0,"",COUNTIFS('Extração'!R:R,"Igual",'Extração'!L:L,A691)/B691)</f>
        <v/>
      </c>
    </row>
    <row r="692">
      <c r="B692" s="16">
        <f>COUNTIF('Extração'!L:L,A692)</f>
        <v>0</v>
      </c>
      <c r="C692" s="16" t="str">
        <f>IF(B692=0,"",COUNTIFS('Extração'!P:P,"Sim",'Extração'!L:L,A692)/B692)</f>
        <v/>
      </c>
      <c r="D692" s="16" t="str">
        <f>IF(B692=0,"",COUNTIFS('Extração'!Q:Q,"Sim",'Extração'!L:L,A692)/B692)</f>
        <v/>
      </c>
      <c r="E692" s="16" t="str">
        <f>IF(B692=0,"",COUNTIFS('Extração'!P:P,"Parcialmente",'Extração'!L:L,A692)/B692)</f>
        <v/>
      </c>
      <c r="F692" s="16" t="str">
        <f>IF(B692=0,"",COUNTIFS('Extração'!Q:Q,"Parcialmente",'Extração'!L:L,A692)/B692)</f>
        <v/>
      </c>
      <c r="G692" s="16" t="str">
        <f>IF(B692=0,"",COUNTIFS('Extração'!P:P,"Não",'Extração'!L:L,A692)/B692)</f>
        <v/>
      </c>
      <c r="H692" s="16" t="str">
        <f>IF(B692=0,"",COUNTIFS('Extração'!Q:Q,"Não",'Extração'!L:L,A692)/B692)</f>
        <v/>
      </c>
      <c r="I692" s="16" t="str">
        <f>IF(B692=0,"",COUNTIFS('Extração'!R:R,"Igual",'Extração'!L:L,A692)/B692)</f>
        <v/>
      </c>
    </row>
    <row r="693">
      <c r="B693" s="16">
        <f>COUNTIF('Extração'!L:L,A693)</f>
        <v>0</v>
      </c>
      <c r="C693" s="16" t="str">
        <f>IF(B693=0,"",COUNTIFS('Extração'!P:P,"Sim",'Extração'!L:L,A693)/B693)</f>
        <v/>
      </c>
      <c r="D693" s="16" t="str">
        <f>IF(B693=0,"",COUNTIFS('Extração'!Q:Q,"Sim",'Extração'!L:L,A693)/B693)</f>
        <v/>
      </c>
      <c r="E693" s="16" t="str">
        <f>IF(B693=0,"",COUNTIFS('Extração'!P:P,"Parcialmente",'Extração'!L:L,A693)/B693)</f>
        <v/>
      </c>
      <c r="F693" s="16" t="str">
        <f>IF(B693=0,"",COUNTIFS('Extração'!Q:Q,"Parcialmente",'Extração'!L:L,A693)/B693)</f>
        <v/>
      </c>
      <c r="G693" s="16" t="str">
        <f>IF(B693=0,"",COUNTIFS('Extração'!P:P,"Não",'Extração'!L:L,A693)/B693)</f>
        <v/>
      </c>
      <c r="H693" s="16" t="str">
        <f>IF(B693=0,"",COUNTIFS('Extração'!Q:Q,"Não",'Extração'!L:L,A693)/B693)</f>
        <v/>
      </c>
      <c r="I693" s="16" t="str">
        <f>IF(B693=0,"",COUNTIFS('Extração'!R:R,"Igual",'Extração'!L:L,A693)/B693)</f>
        <v/>
      </c>
    </row>
    <row r="694">
      <c r="B694" s="16">
        <f>COUNTIF('Extração'!L:L,A694)</f>
        <v>0</v>
      </c>
      <c r="C694" s="16" t="str">
        <f>IF(B694=0,"",COUNTIFS('Extração'!P:P,"Sim",'Extração'!L:L,A694)/B694)</f>
        <v/>
      </c>
      <c r="D694" s="16" t="str">
        <f>IF(B694=0,"",COUNTIFS('Extração'!Q:Q,"Sim",'Extração'!L:L,A694)/B694)</f>
        <v/>
      </c>
      <c r="E694" s="16" t="str">
        <f>IF(B694=0,"",COUNTIFS('Extração'!P:P,"Parcialmente",'Extração'!L:L,A694)/B694)</f>
        <v/>
      </c>
      <c r="F694" s="16" t="str">
        <f>IF(B694=0,"",COUNTIFS('Extração'!Q:Q,"Parcialmente",'Extração'!L:L,A694)/B694)</f>
        <v/>
      </c>
      <c r="G694" s="16" t="str">
        <f>IF(B694=0,"",COUNTIFS('Extração'!P:P,"Não",'Extração'!L:L,A694)/B694)</f>
        <v/>
      </c>
      <c r="H694" s="16" t="str">
        <f>IF(B694=0,"",COUNTIFS('Extração'!Q:Q,"Não",'Extração'!L:L,A694)/B694)</f>
        <v/>
      </c>
      <c r="I694" s="16" t="str">
        <f>IF(B694=0,"",COUNTIFS('Extração'!R:R,"Igual",'Extração'!L:L,A694)/B694)</f>
        <v/>
      </c>
    </row>
    <row r="695">
      <c r="B695" s="16">
        <f>COUNTIF('Extração'!L:L,A695)</f>
        <v>0</v>
      </c>
      <c r="C695" s="16" t="str">
        <f>IF(B695=0,"",COUNTIFS('Extração'!P:P,"Sim",'Extração'!L:L,A695)/B695)</f>
        <v/>
      </c>
      <c r="D695" s="16" t="str">
        <f>IF(B695=0,"",COUNTIFS('Extração'!Q:Q,"Sim",'Extração'!L:L,A695)/B695)</f>
        <v/>
      </c>
      <c r="E695" s="16" t="str">
        <f>IF(B695=0,"",COUNTIFS('Extração'!P:P,"Parcialmente",'Extração'!L:L,A695)/B695)</f>
        <v/>
      </c>
      <c r="F695" s="16" t="str">
        <f>IF(B695=0,"",COUNTIFS('Extração'!Q:Q,"Parcialmente",'Extração'!L:L,A695)/B695)</f>
        <v/>
      </c>
      <c r="G695" s="16" t="str">
        <f>IF(B695=0,"",COUNTIFS('Extração'!P:P,"Não",'Extração'!L:L,A695)/B695)</f>
        <v/>
      </c>
      <c r="H695" s="16" t="str">
        <f>IF(B695=0,"",COUNTIFS('Extração'!Q:Q,"Não",'Extração'!L:L,A695)/B695)</f>
        <v/>
      </c>
      <c r="I695" s="16" t="str">
        <f>IF(B695=0,"",COUNTIFS('Extração'!R:R,"Igual",'Extração'!L:L,A695)/B695)</f>
        <v/>
      </c>
    </row>
    <row r="696">
      <c r="B696" s="16">
        <f>COUNTIF('Extração'!L:L,A696)</f>
        <v>0</v>
      </c>
      <c r="C696" s="16" t="str">
        <f>IF(B696=0,"",COUNTIFS('Extração'!P:P,"Sim",'Extração'!L:L,A696)/B696)</f>
        <v/>
      </c>
      <c r="D696" s="16" t="str">
        <f>IF(B696=0,"",COUNTIFS('Extração'!Q:Q,"Sim",'Extração'!L:L,A696)/B696)</f>
        <v/>
      </c>
      <c r="E696" s="16" t="str">
        <f>IF(B696=0,"",COUNTIFS('Extração'!P:P,"Parcialmente",'Extração'!L:L,A696)/B696)</f>
        <v/>
      </c>
      <c r="F696" s="16" t="str">
        <f>IF(B696=0,"",COUNTIFS('Extração'!Q:Q,"Parcialmente",'Extração'!L:L,A696)/B696)</f>
        <v/>
      </c>
      <c r="G696" s="16" t="str">
        <f>IF(B696=0,"",COUNTIFS('Extração'!P:P,"Não",'Extração'!L:L,A696)/B696)</f>
        <v/>
      </c>
      <c r="H696" s="16" t="str">
        <f>IF(B696=0,"",COUNTIFS('Extração'!Q:Q,"Não",'Extração'!L:L,A696)/B696)</f>
        <v/>
      </c>
      <c r="I696" s="16" t="str">
        <f>IF(B696=0,"",COUNTIFS('Extração'!R:R,"Igual",'Extração'!L:L,A696)/B696)</f>
        <v/>
      </c>
    </row>
    <row r="697">
      <c r="B697" s="16">
        <f>COUNTIF('Extração'!L:L,A697)</f>
        <v>0</v>
      </c>
      <c r="C697" s="16" t="str">
        <f>IF(B697=0,"",COUNTIFS('Extração'!P:P,"Sim",'Extração'!L:L,A697)/B697)</f>
        <v/>
      </c>
      <c r="D697" s="16" t="str">
        <f>IF(B697=0,"",COUNTIFS('Extração'!Q:Q,"Sim",'Extração'!L:L,A697)/B697)</f>
        <v/>
      </c>
      <c r="E697" s="16" t="str">
        <f>IF(B697=0,"",COUNTIFS('Extração'!P:P,"Parcialmente",'Extração'!L:L,A697)/B697)</f>
        <v/>
      </c>
      <c r="F697" s="16" t="str">
        <f>IF(B697=0,"",COUNTIFS('Extração'!Q:Q,"Parcialmente",'Extração'!L:L,A697)/B697)</f>
        <v/>
      </c>
      <c r="G697" s="16" t="str">
        <f>IF(B697=0,"",COUNTIFS('Extração'!P:P,"Não",'Extração'!L:L,A697)/B697)</f>
        <v/>
      </c>
      <c r="H697" s="16" t="str">
        <f>IF(B697=0,"",COUNTIFS('Extração'!Q:Q,"Não",'Extração'!L:L,A697)/B697)</f>
        <v/>
      </c>
      <c r="I697" s="16" t="str">
        <f>IF(B697=0,"",COUNTIFS('Extração'!R:R,"Igual",'Extração'!L:L,A697)/B697)</f>
        <v/>
      </c>
    </row>
    <row r="698">
      <c r="B698" s="16">
        <f>COUNTIF('Extração'!L:L,A698)</f>
        <v>0</v>
      </c>
      <c r="C698" s="16" t="str">
        <f>IF(B698=0,"",COUNTIFS('Extração'!P:P,"Sim",'Extração'!L:L,A698)/B698)</f>
        <v/>
      </c>
      <c r="D698" s="16" t="str">
        <f>IF(B698=0,"",COUNTIFS('Extração'!Q:Q,"Sim",'Extração'!L:L,A698)/B698)</f>
        <v/>
      </c>
      <c r="E698" s="16" t="str">
        <f>IF(B698=0,"",COUNTIFS('Extração'!P:P,"Parcialmente",'Extração'!L:L,A698)/B698)</f>
        <v/>
      </c>
      <c r="F698" s="16" t="str">
        <f>IF(B698=0,"",COUNTIFS('Extração'!Q:Q,"Parcialmente",'Extração'!L:L,A698)/B698)</f>
        <v/>
      </c>
      <c r="G698" s="16" t="str">
        <f>IF(B698=0,"",COUNTIFS('Extração'!P:P,"Não",'Extração'!L:L,A698)/B698)</f>
        <v/>
      </c>
      <c r="H698" s="16" t="str">
        <f>IF(B698=0,"",COUNTIFS('Extração'!Q:Q,"Não",'Extração'!L:L,A698)/B698)</f>
        <v/>
      </c>
      <c r="I698" s="16" t="str">
        <f>IF(B698=0,"",COUNTIFS('Extração'!R:R,"Igual",'Extração'!L:L,A698)/B698)</f>
        <v/>
      </c>
    </row>
    <row r="699">
      <c r="B699" s="16">
        <f>COUNTIF('Extração'!L:L,A699)</f>
        <v>0</v>
      </c>
      <c r="C699" s="16" t="str">
        <f>IF(B699=0,"",COUNTIFS('Extração'!P:P,"Sim",'Extração'!L:L,A699)/B699)</f>
        <v/>
      </c>
      <c r="D699" s="16" t="str">
        <f>IF(B699=0,"",COUNTIFS('Extração'!Q:Q,"Sim",'Extração'!L:L,A699)/B699)</f>
        <v/>
      </c>
      <c r="E699" s="16" t="str">
        <f>IF(B699=0,"",COUNTIFS('Extração'!P:P,"Parcialmente",'Extração'!L:L,A699)/B699)</f>
        <v/>
      </c>
      <c r="F699" s="16" t="str">
        <f>IF(B699=0,"",COUNTIFS('Extração'!Q:Q,"Parcialmente",'Extração'!L:L,A699)/B699)</f>
        <v/>
      </c>
      <c r="G699" s="16" t="str">
        <f>IF(B699=0,"",COUNTIFS('Extração'!P:P,"Não",'Extração'!L:L,A699)/B699)</f>
        <v/>
      </c>
      <c r="H699" s="16" t="str">
        <f>IF(B699=0,"",COUNTIFS('Extração'!Q:Q,"Não",'Extração'!L:L,A699)/B699)</f>
        <v/>
      </c>
      <c r="I699" s="16" t="str">
        <f>IF(B699=0,"",COUNTIFS('Extração'!R:R,"Igual",'Extração'!L:L,A699)/B699)</f>
        <v/>
      </c>
    </row>
    <row r="700">
      <c r="B700" s="16">
        <f>COUNTIF('Extração'!L:L,A700)</f>
        <v>0</v>
      </c>
      <c r="C700" s="16" t="str">
        <f>IF(B700=0,"",COUNTIFS('Extração'!P:P,"Sim",'Extração'!L:L,A700)/B700)</f>
        <v/>
      </c>
      <c r="D700" s="16" t="str">
        <f>IF(B700=0,"",COUNTIFS('Extração'!Q:Q,"Sim",'Extração'!L:L,A700)/B700)</f>
        <v/>
      </c>
      <c r="E700" s="16" t="str">
        <f>IF(B700=0,"",COUNTIFS('Extração'!P:P,"Parcialmente",'Extração'!L:L,A700)/B700)</f>
        <v/>
      </c>
      <c r="F700" s="16" t="str">
        <f>IF(B700=0,"",COUNTIFS('Extração'!Q:Q,"Parcialmente",'Extração'!L:L,A700)/B700)</f>
        <v/>
      </c>
      <c r="G700" s="16" t="str">
        <f>IF(B700=0,"",COUNTIFS('Extração'!P:P,"Não",'Extração'!L:L,A700)/B700)</f>
        <v/>
      </c>
      <c r="H700" s="16" t="str">
        <f>IF(B700=0,"",COUNTIFS('Extração'!Q:Q,"Não",'Extração'!L:L,A700)/B700)</f>
        <v/>
      </c>
      <c r="I700" s="16" t="str">
        <f>IF(B700=0,"",COUNTIFS('Extração'!R:R,"Igual",'Extração'!L:L,A700)/B700)</f>
        <v/>
      </c>
    </row>
    <row r="701">
      <c r="B701" s="16">
        <f>COUNTIF('Extração'!L:L,A701)</f>
        <v>0</v>
      </c>
      <c r="C701" s="16" t="str">
        <f>IF(B701=0,"",COUNTIFS('Extração'!P:P,"Sim",'Extração'!L:L,A701)/B701)</f>
        <v/>
      </c>
      <c r="D701" s="16" t="str">
        <f>IF(B701=0,"",COUNTIFS('Extração'!Q:Q,"Sim",'Extração'!L:L,A701)/B701)</f>
        <v/>
      </c>
      <c r="E701" s="16" t="str">
        <f>IF(B701=0,"",COUNTIFS('Extração'!P:P,"Parcialmente",'Extração'!L:L,A701)/B701)</f>
        <v/>
      </c>
      <c r="F701" s="16" t="str">
        <f>IF(B701=0,"",COUNTIFS('Extração'!Q:Q,"Parcialmente",'Extração'!L:L,A701)/B701)</f>
        <v/>
      </c>
      <c r="G701" s="16" t="str">
        <f>IF(B701=0,"",COUNTIFS('Extração'!P:P,"Não",'Extração'!L:L,A701)/B701)</f>
        <v/>
      </c>
      <c r="H701" s="16" t="str">
        <f>IF(B701=0,"",COUNTIFS('Extração'!Q:Q,"Não",'Extração'!L:L,A701)/B701)</f>
        <v/>
      </c>
      <c r="I701" s="16" t="str">
        <f>IF(B701=0,"",COUNTIFS('Extração'!R:R,"Igual",'Extração'!L:L,A701)/B701)</f>
        <v/>
      </c>
    </row>
    <row r="702">
      <c r="B702" s="16">
        <f>COUNTIF('Extração'!L:L,A702)</f>
        <v>0</v>
      </c>
      <c r="C702" s="16" t="str">
        <f>IF(B702=0,"",COUNTIFS('Extração'!P:P,"Sim",'Extração'!L:L,A702)/B702)</f>
        <v/>
      </c>
      <c r="D702" s="16" t="str">
        <f>IF(B702=0,"",COUNTIFS('Extração'!Q:Q,"Sim",'Extração'!L:L,A702)/B702)</f>
        <v/>
      </c>
      <c r="E702" s="16" t="str">
        <f>IF(B702=0,"",COUNTIFS('Extração'!P:P,"Parcialmente",'Extração'!L:L,A702)/B702)</f>
        <v/>
      </c>
      <c r="F702" s="16" t="str">
        <f>IF(B702=0,"",COUNTIFS('Extração'!Q:Q,"Parcialmente",'Extração'!L:L,A702)/B702)</f>
        <v/>
      </c>
      <c r="G702" s="16" t="str">
        <f>IF(B702=0,"",COUNTIFS('Extração'!P:P,"Não",'Extração'!L:L,A702)/B702)</f>
        <v/>
      </c>
      <c r="H702" s="16" t="str">
        <f>IF(B702=0,"",COUNTIFS('Extração'!Q:Q,"Não",'Extração'!L:L,A702)/B702)</f>
        <v/>
      </c>
      <c r="I702" s="16" t="str">
        <f>IF(B702=0,"",COUNTIFS('Extração'!R:R,"Igual",'Extração'!L:L,A702)/B702)</f>
        <v/>
      </c>
    </row>
    <row r="703">
      <c r="B703" s="16">
        <f>COUNTIF('Extração'!L:L,A703)</f>
        <v>0</v>
      </c>
      <c r="C703" s="16" t="str">
        <f>IF(B703=0,"",COUNTIFS('Extração'!P:P,"Sim",'Extração'!L:L,A703)/B703)</f>
        <v/>
      </c>
      <c r="D703" s="16" t="str">
        <f>IF(B703=0,"",COUNTIFS('Extração'!Q:Q,"Sim",'Extração'!L:L,A703)/B703)</f>
        <v/>
      </c>
      <c r="E703" s="16" t="str">
        <f>IF(B703=0,"",COUNTIFS('Extração'!P:P,"Parcialmente",'Extração'!L:L,A703)/B703)</f>
        <v/>
      </c>
      <c r="F703" s="16" t="str">
        <f>IF(B703=0,"",COUNTIFS('Extração'!Q:Q,"Parcialmente",'Extração'!L:L,A703)/B703)</f>
        <v/>
      </c>
      <c r="G703" s="16" t="str">
        <f>IF(B703=0,"",COUNTIFS('Extração'!P:P,"Não",'Extração'!L:L,A703)/B703)</f>
        <v/>
      </c>
      <c r="H703" s="16" t="str">
        <f>IF(B703=0,"",COUNTIFS('Extração'!Q:Q,"Não",'Extração'!L:L,A703)/B703)</f>
        <v/>
      </c>
      <c r="I703" s="16" t="str">
        <f>IF(B703=0,"",COUNTIFS('Extração'!R:R,"Igual",'Extração'!L:L,A703)/B703)</f>
        <v/>
      </c>
    </row>
    <row r="704">
      <c r="B704" s="16">
        <f>COUNTIF('Extração'!L:L,A704)</f>
        <v>0</v>
      </c>
      <c r="C704" s="16" t="str">
        <f>IF(B704=0,"",COUNTIFS('Extração'!P:P,"Sim",'Extração'!L:L,A704)/B704)</f>
        <v/>
      </c>
      <c r="D704" s="16" t="str">
        <f>IF(B704=0,"",COUNTIFS('Extração'!Q:Q,"Sim",'Extração'!L:L,A704)/B704)</f>
        <v/>
      </c>
      <c r="E704" s="16" t="str">
        <f>IF(B704=0,"",COUNTIFS('Extração'!P:P,"Parcialmente",'Extração'!L:L,A704)/B704)</f>
        <v/>
      </c>
      <c r="F704" s="16" t="str">
        <f>IF(B704=0,"",COUNTIFS('Extração'!Q:Q,"Parcialmente",'Extração'!L:L,A704)/B704)</f>
        <v/>
      </c>
      <c r="G704" s="16" t="str">
        <f>IF(B704=0,"",COUNTIFS('Extração'!P:P,"Não",'Extração'!L:L,A704)/B704)</f>
        <v/>
      </c>
      <c r="H704" s="16" t="str">
        <f>IF(B704=0,"",COUNTIFS('Extração'!Q:Q,"Não",'Extração'!L:L,A704)/B704)</f>
        <v/>
      </c>
      <c r="I704" s="16" t="str">
        <f>IF(B704=0,"",COUNTIFS('Extração'!R:R,"Igual",'Extração'!L:L,A704)/B704)</f>
        <v/>
      </c>
    </row>
    <row r="705">
      <c r="B705" s="16">
        <f>COUNTIF('Extração'!L:L,A705)</f>
        <v>0</v>
      </c>
      <c r="C705" s="16" t="str">
        <f>IF(B705=0,"",COUNTIFS('Extração'!P:P,"Sim",'Extração'!L:L,A705)/B705)</f>
        <v/>
      </c>
      <c r="D705" s="16" t="str">
        <f>IF(B705=0,"",COUNTIFS('Extração'!Q:Q,"Sim",'Extração'!L:L,A705)/B705)</f>
        <v/>
      </c>
      <c r="E705" s="16" t="str">
        <f>IF(B705=0,"",COUNTIFS('Extração'!P:P,"Parcialmente",'Extração'!L:L,A705)/B705)</f>
        <v/>
      </c>
      <c r="F705" s="16" t="str">
        <f>IF(B705=0,"",COUNTIFS('Extração'!Q:Q,"Parcialmente",'Extração'!L:L,A705)/B705)</f>
        <v/>
      </c>
      <c r="G705" s="16" t="str">
        <f>IF(B705=0,"",COUNTIFS('Extração'!P:P,"Não",'Extração'!L:L,A705)/B705)</f>
        <v/>
      </c>
      <c r="H705" s="16" t="str">
        <f>IF(B705=0,"",COUNTIFS('Extração'!Q:Q,"Não",'Extração'!L:L,A705)/B705)</f>
        <v/>
      </c>
      <c r="I705" s="16" t="str">
        <f>IF(B705=0,"",COUNTIFS('Extração'!R:R,"Igual",'Extração'!L:L,A705)/B705)</f>
        <v/>
      </c>
    </row>
    <row r="706">
      <c r="B706" s="16">
        <f>COUNTIF('Extração'!L:L,A706)</f>
        <v>0</v>
      </c>
      <c r="C706" s="16" t="str">
        <f>IF(B706=0,"",COUNTIFS('Extração'!P:P,"Sim",'Extração'!L:L,A706)/B706)</f>
        <v/>
      </c>
      <c r="D706" s="16" t="str">
        <f>IF(B706=0,"",COUNTIFS('Extração'!Q:Q,"Sim",'Extração'!L:L,A706)/B706)</f>
        <v/>
      </c>
      <c r="E706" s="16" t="str">
        <f>IF(B706=0,"",COUNTIFS('Extração'!P:P,"Parcialmente",'Extração'!L:L,A706)/B706)</f>
        <v/>
      </c>
      <c r="F706" s="16" t="str">
        <f>IF(B706=0,"",COUNTIFS('Extração'!Q:Q,"Parcialmente",'Extração'!L:L,A706)/B706)</f>
        <v/>
      </c>
      <c r="G706" s="16" t="str">
        <f>IF(B706=0,"",COUNTIFS('Extração'!P:P,"Não",'Extração'!L:L,A706)/B706)</f>
        <v/>
      </c>
      <c r="H706" s="16" t="str">
        <f>IF(B706=0,"",COUNTIFS('Extração'!Q:Q,"Não",'Extração'!L:L,A706)/B706)</f>
        <v/>
      </c>
      <c r="I706" s="16" t="str">
        <f>IF(B706=0,"",COUNTIFS('Extração'!R:R,"Igual",'Extração'!L:L,A706)/B706)</f>
        <v/>
      </c>
    </row>
    <row r="707">
      <c r="B707" s="16">
        <f>COUNTIF('Extração'!L:L,A707)</f>
        <v>0</v>
      </c>
      <c r="C707" s="16" t="str">
        <f>IF(B707=0,"",COUNTIFS('Extração'!P:P,"Sim",'Extração'!L:L,A707)/B707)</f>
        <v/>
      </c>
      <c r="D707" s="16" t="str">
        <f>IF(B707=0,"",COUNTIFS('Extração'!Q:Q,"Sim",'Extração'!L:L,A707)/B707)</f>
        <v/>
      </c>
      <c r="E707" s="16" t="str">
        <f>IF(B707=0,"",COUNTIFS('Extração'!P:P,"Parcialmente",'Extração'!L:L,A707)/B707)</f>
        <v/>
      </c>
      <c r="F707" s="16" t="str">
        <f>IF(B707=0,"",COUNTIFS('Extração'!Q:Q,"Parcialmente",'Extração'!L:L,A707)/B707)</f>
        <v/>
      </c>
      <c r="G707" s="16" t="str">
        <f>IF(B707=0,"",COUNTIFS('Extração'!P:P,"Não",'Extração'!L:L,A707)/B707)</f>
        <v/>
      </c>
      <c r="H707" s="16" t="str">
        <f>IF(B707=0,"",COUNTIFS('Extração'!Q:Q,"Não",'Extração'!L:L,A707)/B707)</f>
        <v/>
      </c>
      <c r="I707" s="16" t="str">
        <f>IF(B707=0,"",COUNTIFS('Extração'!R:R,"Igual",'Extração'!L:L,A707)/B707)</f>
        <v/>
      </c>
    </row>
    <row r="708">
      <c r="B708" s="16">
        <f>COUNTIF('Extração'!L:L,A708)</f>
        <v>0</v>
      </c>
      <c r="C708" s="16" t="str">
        <f>IF(B708=0,"",COUNTIFS('Extração'!P:P,"Sim",'Extração'!L:L,A708)/B708)</f>
        <v/>
      </c>
      <c r="D708" s="16" t="str">
        <f>IF(B708=0,"",COUNTIFS('Extração'!Q:Q,"Sim",'Extração'!L:L,A708)/B708)</f>
        <v/>
      </c>
      <c r="E708" s="16" t="str">
        <f>IF(B708=0,"",COUNTIFS('Extração'!P:P,"Parcialmente",'Extração'!L:L,A708)/B708)</f>
        <v/>
      </c>
      <c r="F708" s="16" t="str">
        <f>IF(B708=0,"",COUNTIFS('Extração'!Q:Q,"Parcialmente",'Extração'!L:L,A708)/B708)</f>
        <v/>
      </c>
      <c r="G708" s="16" t="str">
        <f>IF(B708=0,"",COUNTIFS('Extração'!P:P,"Não",'Extração'!L:L,A708)/B708)</f>
        <v/>
      </c>
      <c r="H708" s="16" t="str">
        <f>IF(B708=0,"",COUNTIFS('Extração'!Q:Q,"Não",'Extração'!L:L,A708)/B708)</f>
        <v/>
      </c>
      <c r="I708" s="16" t="str">
        <f>IF(B708=0,"",COUNTIFS('Extração'!R:R,"Igual",'Extração'!L:L,A708)/B708)</f>
        <v/>
      </c>
    </row>
    <row r="709">
      <c r="B709" s="16">
        <f>COUNTIF('Extração'!L:L,A709)</f>
        <v>0</v>
      </c>
      <c r="C709" s="16" t="str">
        <f>IF(B709=0,"",COUNTIFS('Extração'!P:P,"Sim",'Extração'!L:L,A709)/B709)</f>
        <v/>
      </c>
      <c r="D709" s="16" t="str">
        <f>IF(B709=0,"",COUNTIFS('Extração'!Q:Q,"Sim",'Extração'!L:L,A709)/B709)</f>
        <v/>
      </c>
      <c r="E709" s="16" t="str">
        <f>IF(B709=0,"",COUNTIFS('Extração'!P:P,"Parcialmente",'Extração'!L:L,A709)/B709)</f>
        <v/>
      </c>
      <c r="F709" s="16" t="str">
        <f>IF(B709=0,"",COUNTIFS('Extração'!Q:Q,"Parcialmente",'Extração'!L:L,A709)/B709)</f>
        <v/>
      </c>
      <c r="G709" s="16" t="str">
        <f>IF(B709=0,"",COUNTIFS('Extração'!P:P,"Não",'Extração'!L:L,A709)/B709)</f>
        <v/>
      </c>
      <c r="H709" s="16" t="str">
        <f>IF(B709=0,"",COUNTIFS('Extração'!Q:Q,"Não",'Extração'!L:L,A709)/B709)</f>
        <v/>
      </c>
      <c r="I709" s="16" t="str">
        <f>IF(B709=0,"",COUNTIFS('Extração'!R:R,"Igual",'Extração'!L:L,A709)/B709)</f>
        <v/>
      </c>
    </row>
    <row r="710">
      <c r="B710" s="16">
        <f>COUNTIF('Extração'!L:L,A710)</f>
        <v>0</v>
      </c>
      <c r="C710" s="16" t="str">
        <f>IF(B710=0,"",COUNTIFS('Extração'!P:P,"Sim",'Extração'!L:L,A710)/B710)</f>
        <v/>
      </c>
      <c r="D710" s="16" t="str">
        <f>IF(B710=0,"",COUNTIFS('Extração'!Q:Q,"Sim",'Extração'!L:L,A710)/B710)</f>
        <v/>
      </c>
      <c r="E710" s="16" t="str">
        <f>IF(B710=0,"",COUNTIFS('Extração'!P:P,"Parcialmente",'Extração'!L:L,A710)/B710)</f>
        <v/>
      </c>
      <c r="F710" s="16" t="str">
        <f>IF(B710=0,"",COUNTIFS('Extração'!Q:Q,"Parcialmente",'Extração'!L:L,A710)/B710)</f>
        <v/>
      </c>
      <c r="G710" s="16" t="str">
        <f>IF(B710=0,"",COUNTIFS('Extração'!P:P,"Não",'Extração'!L:L,A710)/B710)</f>
        <v/>
      </c>
      <c r="H710" s="16" t="str">
        <f>IF(B710=0,"",COUNTIFS('Extração'!Q:Q,"Não",'Extração'!L:L,A710)/B710)</f>
        <v/>
      </c>
      <c r="I710" s="16" t="str">
        <f>IF(B710=0,"",COUNTIFS('Extração'!R:R,"Igual",'Extração'!L:L,A710)/B710)</f>
        <v/>
      </c>
    </row>
    <row r="711">
      <c r="B711" s="16">
        <f>COUNTIF('Extração'!L:L,A711)</f>
        <v>0</v>
      </c>
      <c r="C711" s="16" t="str">
        <f>IF(B711=0,"",COUNTIFS('Extração'!P:P,"Sim",'Extração'!L:L,A711)/B711)</f>
        <v/>
      </c>
      <c r="D711" s="16" t="str">
        <f>IF(B711=0,"",COUNTIFS('Extração'!Q:Q,"Sim",'Extração'!L:L,A711)/B711)</f>
        <v/>
      </c>
      <c r="E711" s="16" t="str">
        <f>IF(B711=0,"",COUNTIFS('Extração'!P:P,"Parcialmente",'Extração'!L:L,A711)/B711)</f>
        <v/>
      </c>
      <c r="F711" s="16" t="str">
        <f>IF(B711=0,"",COUNTIFS('Extração'!Q:Q,"Parcialmente",'Extração'!L:L,A711)/B711)</f>
        <v/>
      </c>
      <c r="G711" s="16" t="str">
        <f>IF(B711=0,"",COUNTIFS('Extração'!P:P,"Não",'Extração'!L:L,A711)/B711)</f>
        <v/>
      </c>
      <c r="H711" s="16" t="str">
        <f>IF(B711=0,"",COUNTIFS('Extração'!Q:Q,"Não",'Extração'!L:L,A711)/B711)</f>
        <v/>
      </c>
      <c r="I711" s="16" t="str">
        <f>IF(B711=0,"",COUNTIFS('Extração'!R:R,"Igual",'Extração'!L:L,A711)/B711)</f>
        <v/>
      </c>
    </row>
    <row r="712">
      <c r="B712" s="16">
        <f>COUNTIF('Extração'!L:L,A712)</f>
        <v>0</v>
      </c>
      <c r="C712" s="16" t="str">
        <f>IF(B712=0,"",COUNTIFS('Extração'!P:P,"Sim",'Extração'!L:L,A712)/B712)</f>
        <v/>
      </c>
      <c r="D712" s="16" t="str">
        <f>IF(B712=0,"",COUNTIFS('Extração'!Q:Q,"Sim",'Extração'!L:L,A712)/B712)</f>
        <v/>
      </c>
      <c r="E712" s="16" t="str">
        <f>IF(B712=0,"",COUNTIFS('Extração'!P:P,"Parcialmente",'Extração'!L:L,A712)/B712)</f>
        <v/>
      </c>
      <c r="F712" s="16" t="str">
        <f>IF(B712=0,"",COUNTIFS('Extração'!Q:Q,"Parcialmente",'Extração'!L:L,A712)/B712)</f>
        <v/>
      </c>
      <c r="G712" s="16" t="str">
        <f>IF(B712=0,"",COUNTIFS('Extração'!P:P,"Não",'Extração'!L:L,A712)/B712)</f>
        <v/>
      </c>
      <c r="H712" s="16" t="str">
        <f>IF(B712=0,"",COUNTIFS('Extração'!Q:Q,"Não",'Extração'!L:L,A712)/B712)</f>
        <v/>
      </c>
      <c r="I712" s="16" t="str">
        <f>IF(B712=0,"",COUNTIFS('Extração'!R:R,"Igual",'Extração'!L:L,A712)/B712)</f>
        <v/>
      </c>
    </row>
    <row r="713">
      <c r="B713" s="16">
        <f>COUNTIF('Extração'!L:L,A713)</f>
        <v>0</v>
      </c>
      <c r="C713" s="16" t="str">
        <f>IF(B713=0,"",COUNTIFS('Extração'!P:P,"Sim",'Extração'!L:L,A713)/B713)</f>
        <v/>
      </c>
      <c r="D713" s="16" t="str">
        <f>IF(B713=0,"",COUNTIFS('Extração'!Q:Q,"Sim",'Extração'!L:L,A713)/B713)</f>
        <v/>
      </c>
      <c r="E713" s="16" t="str">
        <f>IF(B713=0,"",COUNTIFS('Extração'!P:P,"Parcialmente",'Extração'!L:L,A713)/B713)</f>
        <v/>
      </c>
      <c r="F713" s="16" t="str">
        <f>IF(B713=0,"",COUNTIFS('Extração'!Q:Q,"Parcialmente",'Extração'!L:L,A713)/B713)</f>
        <v/>
      </c>
      <c r="G713" s="16" t="str">
        <f>IF(B713=0,"",COUNTIFS('Extração'!P:P,"Não",'Extração'!L:L,A713)/B713)</f>
        <v/>
      </c>
      <c r="H713" s="16" t="str">
        <f>IF(B713=0,"",COUNTIFS('Extração'!Q:Q,"Não",'Extração'!L:L,A713)/B713)</f>
        <v/>
      </c>
      <c r="I713" s="16" t="str">
        <f>IF(B713=0,"",COUNTIFS('Extração'!R:R,"Igual",'Extração'!L:L,A713)/B713)</f>
        <v/>
      </c>
    </row>
    <row r="714">
      <c r="B714" s="16">
        <f>COUNTIF('Extração'!L:L,A714)</f>
        <v>0</v>
      </c>
      <c r="C714" s="16" t="str">
        <f>IF(B714=0,"",COUNTIFS('Extração'!P:P,"Sim",'Extração'!L:L,A714)/B714)</f>
        <v/>
      </c>
      <c r="D714" s="16" t="str">
        <f>IF(B714=0,"",COUNTIFS('Extração'!Q:Q,"Sim",'Extração'!L:L,A714)/B714)</f>
        <v/>
      </c>
      <c r="E714" s="16" t="str">
        <f>IF(B714=0,"",COUNTIFS('Extração'!P:P,"Parcialmente",'Extração'!L:L,A714)/B714)</f>
        <v/>
      </c>
      <c r="F714" s="16" t="str">
        <f>IF(B714=0,"",COUNTIFS('Extração'!Q:Q,"Parcialmente",'Extração'!L:L,A714)/B714)</f>
        <v/>
      </c>
      <c r="G714" s="16" t="str">
        <f>IF(B714=0,"",COUNTIFS('Extração'!P:P,"Não",'Extração'!L:L,A714)/B714)</f>
        <v/>
      </c>
      <c r="H714" s="16" t="str">
        <f>IF(B714=0,"",COUNTIFS('Extração'!Q:Q,"Não",'Extração'!L:L,A714)/B714)</f>
        <v/>
      </c>
      <c r="I714" s="16" t="str">
        <f>IF(B714=0,"",COUNTIFS('Extração'!R:R,"Igual",'Extração'!L:L,A714)/B714)</f>
        <v/>
      </c>
    </row>
    <row r="715">
      <c r="B715" s="16">
        <f>COUNTIF('Extração'!L:L,A715)</f>
        <v>0</v>
      </c>
      <c r="C715" s="16" t="str">
        <f>IF(B715=0,"",COUNTIFS('Extração'!P:P,"Sim",'Extração'!L:L,A715)/B715)</f>
        <v/>
      </c>
      <c r="D715" s="16" t="str">
        <f>IF(B715=0,"",COUNTIFS('Extração'!Q:Q,"Sim",'Extração'!L:L,A715)/B715)</f>
        <v/>
      </c>
      <c r="E715" s="16" t="str">
        <f>IF(B715=0,"",COUNTIFS('Extração'!P:P,"Parcialmente",'Extração'!L:L,A715)/B715)</f>
        <v/>
      </c>
      <c r="F715" s="16" t="str">
        <f>IF(B715=0,"",COUNTIFS('Extração'!Q:Q,"Parcialmente",'Extração'!L:L,A715)/B715)</f>
        <v/>
      </c>
      <c r="G715" s="16" t="str">
        <f>IF(B715=0,"",COUNTIFS('Extração'!P:P,"Não",'Extração'!L:L,A715)/B715)</f>
        <v/>
      </c>
      <c r="H715" s="16" t="str">
        <f>IF(B715=0,"",COUNTIFS('Extração'!Q:Q,"Não",'Extração'!L:L,A715)/B715)</f>
        <v/>
      </c>
      <c r="I715" s="16" t="str">
        <f>IF(B715=0,"",COUNTIFS('Extração'!R:R,"Igual",'Extração'!L:L,A715)/B715)</f>
        <v/>
      </c>
    </row>
    <row r="716">
      <c r="B716" s="16">
        <f>COUNTIF('Extração'!L:L,A716)</f>
        <v>0</v>
      </c>
      <c r="C716" s="16" t="str">
        <f>IF(B716=0,"",COUNTIFS('Extração'!P:P,"Sim",'Extração'!L:L,A716)/B716)</f>
        <v/>
      </c>
      <c r="D716" s="16" t="str">
        <f>IF(B716=0,"",COUNTIFS('Extração'!Q:Q,"Sim",'Extração'!L:L,A716)/B716)</f>
        <v/>
      </c>
      <c r="E716" s="16" t="str">
        <f>IF(B716=0,"",COUNTIFS('Extração'!P:P,"Parcialmente",'Extração'!L:L,A716)/B716)</f>
        <v/>
      </c>
      <c r="F716" s="16" t="str">
        <f>IF(B716=0,"",COUNTIFS('Extração'!Q:Q,"Parcialmente",'Extração'!L:L,A716)/B716)</f>
        <v/>
      </c>
      <c r="G716" s="16" t="str">
        <f>IF(B716=0,"",COUNTIFS('Extração'!P:P,"Não",'Extração'!L:L,A716)/B716)</f>
        <v/>
      </c>
      <c r="H716" s="16" t="str">
        <f>IF(B716=0,"",COUNTIFS('Extração'!Q:Q,"Não",'Extração'!L:L,A716)/B716)</f>
        <v/>
      </c>
      <c r="I716" s="16" t="str">
        <f>IF(B716=0,"",COUNTIFS('Extração'!R:R,"Igual",'Extração'!L:L,A716)/B716)</f>
        <v/>
      </c>
    </row>
    <row r="717">
      <c r="B717" s="16">
        <f>COUNTIF('Extração'!L:L,A717)</f>
        <v>0</v>
      </c>
      <c r="C717" s="16" t="str">
        <f>IF(B717=0,"",COUNTIFS('Extração'!P:P,"Sim",'Extração'!L:L,A717)/B717)</f>
        <v/>
      </c>
      <c r="D717" s="16" t="str">
        <f>IF(B717=0,"",COUNTIFS('Extração'!Q:Q,"Sim",'Extração'!L:L,A717)/B717)</f>
        <v/>
      </c>
      <c r="E717" s="16" t="str">
        <f>IF(B717=0,"",COUNTIFS('Extração'!P:P,"Parcialmente",'Extração'!L:L,A717)/B717)</f>
        <v/>
      </c>
      <c r="F717" s="16" t="str">
        <f>IF(B717=0,"",COUNTIFS('Extração'!Q:Q,"Parcialmente",'Extração'!L:L,A717)/B717)</f>
        <v/>
      </c>
      <c r="G717" s="16" t="str">
        <f>IF(B717=0,"",COUNTIFS('Extração'!P:P,"Não",'Extração'!L:L,A717)/B717)</f>
        <v/>
      </c>
      <c r="H717" s="16" t="str">
        <f>IF(B717=0,"",COUNTIFS('Extração'!Q:Q,"Não",'Extração'!L:L,A717)/B717)</f>
        <v/>
      </c>
      <c r="I717" s="16" t="str">
        <f>IF(B717=0,"",COUNTIFS('Extração'!R:R,"Igual",'Extração'!L:L,A717)/B717)</f>
        <v/>
      </c>
    </row>
    <row r="718">
      <c r="B718" s="16">
        <f>COUNTIF('Extração'!L:L,A718)</f>
        <v>0</v>
      </c>
      <c r="C718" s="16" t="str">
        <f>IF(B718=0,"",COUNTIFS('Extração'!P:P,"Sim",'Extração'!L:L,A718)/B718)</f>
        <v/>
      </c>
      <c r="D718" s="16" t="str">
        <f>IF(B718=0,"",COUNTIFS('Extração'!Q:Q,"Sim",'Extração'!L:L,A718)/B718)</f>
        <v/>
      </c>
      <c r="E718" s="16" t="str">
        <f>IF(B718=0,"",COUNTIFS('Extração'!P:P,"Parcialmente",'Extração'!L:L,A718)/B718)</f>
        <v/>
      </c>
      <c r="F718" s="16" t="str">
        <f>IF(B718=0,"",COUNTIFS('Extração'!Q:Q,"Parcialmente",'Extração'!L:L,A718)/B718)</f>
        <v/>
      </c>
      <c r="G718" s="16" t="str">
        <f>IF(B718=0,"",COUNTIFS('Extração'!P:P,"Não",'Extração'!L:L,A718)/B718)</f>
        <v/>
      </c>
      <c r="H718" s="16" t="str">
        <f>IF(B718=0,"",COUNTIFS('Extração'!Q:Q,"Não",'Extração'!L:L,A718)/B718)</f>
        <v/>
      </c>
      <c r="I718" s="16" t="str">
        <f>IF(B718=0,"",COUNTIFS('Extração'!R:R,"Igual",'Extração'!L:L,A718)/B718)</f>
        <v/>
      </c>
    </row>
    <row r="719">
      <c r="B719" s="16">
        <f>COUNTIF('Extração'!L:L,A719)</f>
        <v>0</v>
      </c>
      <c r="C719" s="16" t="str">
        <f>IF(B719=0,"",COUNTIFS('Extração'!P:P,"Sim",'Extração'!L:L,A719)/B719)</f>
        <v/>
      </c>
      <c r="D719" s="16" t="str">
        <f>IF(B719=0,"",COUNTIFS('Extração'!Q:Q,"Sim",'Extração'!L:L,A719)/B719)</f>
        <v/>
      </c>
      <c r="E719" s="16" t="str">
        <f>IF(B719=0,"",COUNTIFS('Extração'!P:P,"Parcialmente",'Extração'!L:L,A719)/B719)</f>
        <v/>
      </c>
      <c r="F719" s="16" t="str">
        <f>IF(B719=0,"",COUNTIFS('Extração'!Q:Q,"Parcialmente",'Extração'!L:L,A719)/B719)</f>
        <v/>
      </c>
      <c r="G719" s="16" t="str">
        <f>IF(B719=0,"",COUNTIFS('Extração'!P:P,"Não",'Extração'!L:L,A719)/B719)</f>
        <v/>
      </c>
      <c r="H719" s="16" t="str">
        <f>IF(B719=0,"",COUNTIFS('Extração'!Q:Q,"Não",'Extração'!L:L,A719)/B719)</f>
        <v/>
      </c>
      <c r="I719" s="16" t="str">
        <f>IF(B719=0,"",COUNTIFS('Extração'!R:R,"Igual",'Extração'!L:L,A719)/B719)</f>
        <v/>
      </c>
    </row>
    <row r="720">
      <c r="B720" s="16">
        <f>COUNTIF('Extração'!L:L,A720)</f>
        <v>0</v>
      </c>
      <c r="C720" s="16" t="str">
        <f>IF(B720=0,"",COUNTIFS('Extração'!P:P,"Sim",'Extração'!L:L,A720)/B720)</f>
        <v/>
      </c>
      <c r="D720" s="16" t="str">
        <f>IF(B720=0,"",COUNTIFS('Extração'!Q:Q,"Sim",'Extração'!L:L,A720)/B720)</f>
        <v/>
      </c>
      <c r="E720" s="16" t="str">
        <f>IF(B720=0,"",COUNTIFS('Extração'!P:P,"Parcialmente",'Extração'!L:L,A720)/B720)</f>
        <v/>
      </c>
      <c r="F720" s="16" t="str">
        <f>IF(B720=0,"",COUNTIFS('Extração'!Q:Q,"Parcialmente",'Extração'!L:L,A720)/B720)</f>
        <v/>
      </c>
      <c r="G720" s="16" t="str">
        <f>IF(B720=0,"",COUNTIFS('Extração'!P:P,"Não",'Extração'!L:L,A720)/B720)</f>
        <v/>
      </c>
      <c r="H720" s="16" t="str">
        <f>IF(B720=0,"",COUNTIFS('Extração'!Q:Q,"Não",'Extração'!L:L,A720)/B720)</f>
        <v/>
      </c>
      <c r="I720" s="16" t="str">
        <f>IF(B720=0,"",COUNTIFS('Extração'!R:R,"Igual",'Extração'!L:L,A720)/B720)</f>
        <v/>
      </c>
    </row>
    <row r="721">
      <c r="B721" s="16">
        <f>COUNTIF('Extração'!L:L,A721)</f>
        <v>0</v>
      </c>
      <c r="C721" s="16" t="str">
        <f>IF(B721=0,"",COUNTIFS('Extração'!P:P,"Sim",'Extração'!L:L,A721)/B721)</f>
        <v/>
      </c>
      <c r="D721" s="16" t="str">
        <f>IF(B721=0,"",COUNTIFS('Extração'!Q:Q,"Sim",'Extração'!L:L,A721)/B721)</f>
        <v/>
      </c>
      <c r="E721" s="16" t="str">
        <f>IF(B721=0,"",COUNTIFS('Extração'!P:P,"Parcialmente",'Extração'!L:L,A721)/B721)</f>
        <v/>
      </c>
      <c r="F721" s="16" t="str">
        <f>IF(B721=0,"",COUNTIFS('Extração'!Q:Q,"Parcialmente",'Extração'!L:L,A721)/B721)</f>
        <v/>
      </c>
      <c r="G721" s="16" t="str">
        <f>IF(B721=0,"",COUNTIFS('Extração'!P:P,"Não",'Extração'!L:L,A721)/B721)</f>
        <v/>
      </c>
      <c r="H721" s="16" t="str">
        <f>IF(B721=0,"",COUNTIFS('Extração'!Q:Q,"Não",'Extração'!L:L,A721)/B721)</f>
        <v/>
      </c>
      <c r="I721" s="16" t="str">
        <f>IF(B721=0,"",COUNTIFS('Extração'!R:R,"Igual",'Extração'!L:L,A721)/B721)</f>
        <v/>
      </c>
    </row>
    <row r="722">
      <c r="B722" s="16">
        <f>COUNTIF('Extração'!L:L,A722)</f>
        <v>0</v>
      </c>
      <c r="C722" s="16" t="str">
        <f>IF(B722=0,"",COUNTIFS('Extração'!P:P,"Sim",'Extração'!L:L,A722)/B722)</f>
        <v/>
      </c>
      <c r="D722" s="16" t="str">
        <f>IF(B722=0,"",COUNTIFS('Extração'!Q:Q,"Sim",'Extração'!L:L,A722)/B722)</f>
        <v/>
      </c>
      <c r="E722" s="16" t="str">
        <f>IF(B722=0,"",COUNTIFS('Extração'!P:P,"Parcialmente",'Extração'!L:L,A722)/B722)</f>
        <v/>
      </c>
      <c r="F722" s="16" t="str">
        <f>IF(B722=0,"",COUNTIFS('Extração'!Q:Q,"Parcialmente",'Extração'!L:L,A722)/B722)</f>
        <v/>
      </c>
      <c r="G722" s="16" t="str">
        <f>IF(B722=0,"",COUNTIFS('Extração'!P:P,"Não",'Extração'!L:L,A722)/B722)</f>
        <v/>
      </c>
      <c r="H722" s="16" t="str">
        <f>IF(B722=0,"",COUNTIFS('Extração'!Q:Q,"Não",'Extração'!L:L,A722)/B722)</f>
        <v/>
      </c>
      <c r="I722" s="16" t="str">
        <f>IF(B722=0,"",COUNTIFS('Extração'!R:R,"Igual",'Extração'!L:L,A722)/B722)</f>
        <v/>
      </c>
    </row>
    <row r="723">
      <c r="B723" s="16">
        <f>COUNTIF('Extração'!L:L,A723)</f>
        <v>0</v>
      </c>
      <c r="C723" s="16" t="str">
        <f>IF(B723=0,"",COUNTIFS('Extração'!P:P,"Sim",'Extração'!L:L,A723)/B723)</f>
        <v/>
      </c>
      <c r="D723" s="16" t="str">
        <f>IF(B723=0,"",COUNTIFS('Extração'!Q:Q,"Sim",'Extração'!L:L,A723)/B723)</f>
        <v/>
      </c>
      <c r="E723" s="16" t="str">
        <f>IF(B723=0,"",COUNTIFS('Extração'!P:P,"Parcialmente",'Extração'!L:L,A723)/B723)</f>
        <v/>
      </c>
      <c r="F723" s="16" t="str">
        <f>IF(B723=0,"",COUNTIFS('Extração'!Q:Q,"Parcialmente",'Extração'!L:L,A723)/B723)</f>
        <v/>
      </c>
      <c r="G723" s="16" t="str">
        <f>IF(B723=0,"",COUNTIFS('Extração'!P:P,"Não",'Extração'!L:L,A723)/B723)</f>
        <v/>
      </c>
      <c r="H723" s="16" t="str">
        <f>IF(B723=0,"",COUNTIFS('Extração'!Q:Q,"Não",'Extração'!L:L,A723)/B723)</f>
        <v/>
      </c>
      <c r="I723" s="16" t="str">
        <f>IF(B723=0,"",COUNTIFS('Extração'!R:R,"Igual",'Extração'!L:L,A723)/B723)</f>
        <v/>
      </c>
    </row>
    <row r="724">
      <c r="B724" s="16">
        <f>COUNTIF('Extração'!L:L,A724)</f>
        <v>0</v>
      </c>
      <c r="C724" s="16" t="str">
        <f>IF(B724=0,"",COUNTIFS('Extração'!P:P,"Sim",'Extração'!L:L,A724)/B724)</f>
        <v/>
      </c>
      <c r="D724" s="16" t="str">
        <f>IF(B724=0,"",COUNTIFS('Extração'!Q:Q,"Sim",'Extração'!L:L,A724)/B724)</f>
        <v/>
      </c>
      <c r="E724" s="16" t="str">
        <f>IF(B724=0,"",COUNTIFS('Extração'!P:P,"Parcialmente",'Extração'!L:L,A724)/B724)</f>
        <v/>
      </c>
      <c r="F724" s="16" t="str">
        <f>IF(B724=0,"",COUNTIFS('Extração'!Q:Q,"Parcialmente",'Extração'!L:L,A724)/B724)</f>
        <v/>
      </c>
      <c r="G724" s="16" t="str">
        <f>IF(B724=0,"",COUNTIFS('Extração'!P:P,"Não",'Extração'!L:L,A724)/B724)</f>
        <v/>
      </c>
      <c r="H724" s="16" t="str">
        <f>IF(B724=0,"",COUNTIFS('Extração'!Q:Q,"Não",'Extração'!L:L,A724)/B724)</f>
        <v/>
      </c>
      <c r="I724" s="16" t="str">
        <f>IF(B724=0,"",COUNTIFS('Extração'!R:R,"Igual",'Extração'!L:L,A724)/B724)</f>
        <v/>
      </c>
    </row>
    <row r="725">
      <c r="B725" s="16">
        <f>COUNTIF('Extração'!L:L,A725)</f>
        <v>0</v>
      </c>
      <c r="C725" s="16" t="str">
        <f>IF(B725=0,"",COUNTIFS('Extração'!P:P,"Sim",'Extração'!L:L,A725)/B725)</f>
        <v/>
      </c>
      <c r="D725" s="16" t="str">
        <f>IF(B725=0,"",COUNTIFS('Extração'!Q:Q,"Sim",'Extração'!L:L,A725)/B725)</f>
        <v/>
      </c>
      <c r="E725" s="16" t="str">
        <f>IF(B725=0,"",COUNTIFS('Extração'!P:P,"Parcialmente",'Extração'!L:L,A725)/B725)</f>
        <v/>
      </c>
      <c r="F725" s="16" t="str">
        <f>IF(B725=0,"",COUNTIFS('Extração'!Q:Q,"Parcialmente",'Extração'!L:L,A725)/B725)</f>
        <v/>
      </c>
      <c r="G725" s="16" t="str">
        <f>IF(B725=0,"",COUNTIFS('Extração'!P:P,"Não",'Extração'!L:L,A725)/B725)</f>
        <v/>
      </c>
      <c r="H725" s="16" t="str">
        <f>IF(B725=0,"",COUNTIFS('Extração'!Q:Q,"Não",'Extração'!L:L,A725)/B725)</f>
        <v/>
      </c>
      <c r="I725" s="16" t="str">
        <f>IF(B725=0,"",COUNTIFS('Extração'!R:R,"Igual",'Extração'!L:L,A725)/B725)</f>
        <v/>
      </c>
    </row>
    <row r="726">
      <c r="B726" s="16">
        <f>COUNTIF('Extração'!L:L,A726)</f>
        <v>0</v>
      </c>
      <c r="C726" s="16" t="str">
        <f>IF(B726=0,"",COUNTIFS('Extração'!P:P,"Sim",'Extração'!L:L,A726)/B726)</f>
        <v/>
      </c>
      <c r="D726" s="16" t="str">
        <f>IF(B726=0,"",COUNTIFS('Extração'!Q:Q,"Sim",'Extração'!L:L,A726)/B726)</f>
        <v/>
      </c>
      <c r="E726" s="16" t="str">
        <f>IF(B726=0,"",COUNTIFS('Extração'!P:P,"Parcialmente",'Extração'!L:L,A726)/B726)</f>
        <v/>
      </c>
      <c r="F726" s="16" t="str">
        <f>IF(B726=0,"",COUNTIFS('Extração'!Q:Q,"Parcialmente",'Extração'!L:L,A726)/B726)</f>
        <v/>
      </c>
      <c r="G726" s="16" t="str">
        <f>IF(B726=0,"",COUNTIFS('Extração'!P:P,"Não",'Extração'!L:L,A726)/B726)</f>
        <v/>
      </c>
      <c r="H726" s="16" t="str">
        <f>IF(B726=0,"",COUNTIFS('Extração'!Q:Q,"Não",'Extração'!L:L,A726)/B726)</f>
        <v/>
      </c>
      <c r="I726" s="16" t="str">
        <f>IF(B726=0,"",COUNTIFS('Extração'!R:R,"Igual",'Extração'!L:L,A726)/B726)</f>
        <v/>
      </c>
    </row>
    <row r="727">
      <c r="B727" s="16">
        <f>COUNTIF('Extração'!L:L,A727)</f>
        <v>0</v>
      </c>
      <c r="C727" s="16" t="str">
        <f>IF(B727=0,"",COUNTIFS('Extração'!P:P,"Sim",'Extração'!L:L,A727)/B727)</f>
        <v/>
      </c>
      <c r="D727" s="16" t="str">
        <f>IF(B727=0,"",COUNTIFS('Extração'!Q:Q,"Sim",'Extração'!L:L,A727)/B727)</f>
        <v/>
      </c>
      <c r="E727" s="16" t="str">
        <f>IF(B727=0,"",COUNTIFS('Extração'!P:P,"Parcialmente",'Extração'!L:L,A727)/B727)</f>
        <v/>
      </c>
      <c r="F727" s="16" t="str">
        <f>IF(B727=0,"",COUNTIFS('Extração'!Q:Q,"Parcialmente",'Extração'!L:L,A727)/B727)</f>
        <v/>
      </c>
      <c r="G727" s="16" t="str">
        <f>IF(B727=0,"",COUNTIFS('Extração'!P:P,"Não",'Extração'!L:L,A727)/B727)</f>
        <v/>
      </c>
      <c r="H727" s="16" t="str">
        <f>IF(B727=0,"",COUNTIFS('Extração'!Q:Q,"Não",'Extração'!L:L,A727)/B727)</f>
        <v/>
      </c>
      <c r="I727" s="16" t="str">
        <f>IF(B727=0,"",COUNTIFS('Extração'!R:R,"Igual",'Extração'!L:L,A727)/B727)</f>
        <v/>
      </c>
    </row>
    <row r="728">
      <c r="B728" s="16">
        <f>COUNTIF('Extração'!L:L,A728)</f>
        <v>0</v>
      </c>
      <c r="C728" s="16" t="str">
        <f>IF(B728=0,"",COUNTIFS('Extração'!P:P,"Sim",'Extração'!L:L,A728)/B728)</f>
        <v/>
      </c>
      <c r="D728" s="16" t="str">
        <f>IF(B728=0,"",COUNTIFS('Extração'!Q:Q,"Sim",'Extração'!L:L,A728)/B728)</f>
        <v/>
      </c>
      <c r="E728" s="16" t="str">
        <f>IF(B728=0,"",COUNTIFS('Extração'!P:P,"Parcialmente",'Extração'!L:L,A728)/B728)</f>
        <v/>
      </c>
      <c r="F728" s="16" t="str">
        <f>IF(B728=0,"",COUNTIFS('Extração'!Q:Q,"Parcialmente",'Extração'!L:L,A728)/B728)</f>
        <v/>
      </c>
      <c r="G728" s="16" t="str">
        <f>IF(B728=0,"",COUNTIFS('Extração'!P:P,"Não",'Extração'!L:L,A728)/B728)</f>
        <v/>
      </c>
      <c r="H728" s="16" t="str">
        <f>IF(B728=0,"",COUNTIFS('Extração'!Q:Q,"Não",'Extração'!L:L,A728)/B728)</f>
        <v/>
      </c>
      <c r="I728" s="16" t="str">
        <f>IF(B728=0,"",COUNTIFS('Extração'!R:R,"Igual",'Extração'!L:L,A728)/B728)</f>
        <v/>
      </c>
    </row>
    <row r="729">
      <c r="B729" s="16">
        <f>COUNTIF('Extração'!L:L,A729)</f>
        <v>0</v>
      </c>
      <c r="C729" s="16" t="str">
        <f>IF(B729=0,"",COUNTIFS('Extração'!P:P,"Sim",'Extração'!L:L,A729)/B729)</f>
        <v/>
      </c>
      <c r="D729" s="16" t="str">
        <f>IF(B729=0,"",COUNTIFS('Extração'!Q:Q,"Sim",'Extração'!L:L,A729)/B729)</f>
        <v/>
      </c>
      <c r="E729" s="16" t="str">
        <f>IF(B729=0,"",COUNTIFS('Extração'!P:P,"Parcialmente",'Extração'!L:L,A729)/B729)</f>
        <v/>
      </c>
      <c r="F729" s="16" t="str">
        <f>IF(B729=0,"",COUNTIFS('Extração'!Q:Q,"Parcialmente",'Extração'!L:L,A729)/B729)</f>
        <v/>
      </c>
      <c r="G729" s="16" t="str">
        <f>IF(B729=0,"",COUNTIFS('Extração'!P:P,"Não",'Extração'!L:L,A729)/B729)</f>
        <v/>
      </c>
      <c r="H729" s="16" t="str">
        <f>IF(B729=0,"",COUNTIFS('Extração'!Q:Q,"Não",'Extração'!L:L,A729)/B729)</f>
        <v/>
      </c>
      <c r="I729" s="16" t="str">
        <f>IF(B729=0,"",COUNTIFS('Extração'!R:R,"Igual",'Extração'!L:L,A729)/B729)</f>
        <v/>
      </c>
    </row>
    <row r="730">
      <c r="B730" s="16">
        <f>COUNTIF('Extração'!L:L,A730)</f>
        <v>0</v>
      </c>
      <c r="C730" s="16" t="str">
        <f>IF(B730=0,"",COUNTIFS('Extração'!P:P,"Sim",'Extração'!L:L,A730)/B730)</f>
        <v/>
      </c>
      <c r="D730" s="16" t="str">
        <f>IF(B730=0,"",COUNTIFS('Extração'!Q:Q,"Sim",'Extração'!L:L,A730)/B730)</f>
        <v/>
      </c>
      <c r="E730" s="16" t="str">
        <f>IF(B730=0,"",COUNTIFS('Extração'!P:P,"Parcialmente",'Extração'!L:L,A730)/B730)</f>
        <v/>
      </c>
      <c r="F730" s="16" t="str">
        <f>IF(B730=0,"",COUNTIFS('Extração'!Q:Q,"Parcialmente",'Extração'!L:L,A730)/B730)</f>
        <v/>
      </c>
      <c r="G730" s="16" t="str">
        <f>IF(B730=0,"",COUNTIFS('Extração'!P:P,"Não",'Extração'!L:L,A730)/B730)</f>
        <v/>
      </c>
      <c r="H730" s="16" t="str">
        <f>IF(B730=0,"",COUNTIFS('Extração'!Q:Q,"Não",'Extração'!L:L,A730)/B730)</f>
        <v/>
      </c>
      <c r="I730" s="16" t="str">
        <f>IF(B730=0,"",COUNTIFS('Extração'!R:R,"Igual",'Extração'!L:L,A730)/B730)</f>
        <v/>
      </c>
    </row>
    <row r="731">
      <c r="B731" s="16">
        <f>COUNTIF('Extração'!L:L,A731)</f>
        <v>0</v>
      </c>
      <c r="C731" s="16" t="str">
        <f>IF(B731=0,"",COUNTIFS('Extração'!P:P,"Sim",'Extração'!L:L,A731)/B731)</f>
        <v/>
      </c>
      <c r="D731" s="16" t="str">
        <f>IF(B731=0,"",COUNTIFS('Extração'!Q:Q,"Sim",'Extração'!L:L,A731)/B731)</f>
        <v/>
      </c>
      <c r="E731" s="16" t="str">
        <f>IF(B731=0,"",COUNTIFS('Extração'!P:P,"Parcialmente",'Extração'!L:L,A731)/B731)</f>
        <v/>
      </c>
      <c r="F731" s="16" t="str">
        <f>IF(B731=0,"",COUNTIFS('Extração'!Q:Q,"Parcialmente",'Extração'!L:L,A731)/B731)</f>
        <v/>
      </c>
      <c r="G731" s="16" t="str">
        <f>IF(B731=0,"",COUNTIFS('Extração'!P:P,"Não",'Extração'!L:L,A731)/B731)</f>
        <v/>
      </c>
      <c r="H731" s="16" t="str">
        <f>IF(B731=0,"",COUNTIFS('Extração'!Q:Q,"Não",'Extração'!L:L,A731)/B731)</f>
        <v/>
      </c>
      <c r="I731" s="16" t="str">
        <f>IF(B731=0,"",COUNTIFS('Extração'!R:R,"Igual",'Extração'!L:L,A731)/B731)</f>
        <v/>
      </c>
    </row>
    <row r="732">
      <c r="B732" s="16">
        <f>COUNTIF('Extração'!L:L,A732)</f>
        <v>0</v>
      </c>
      <c r="C732" s="16" t="str">
        <f>IF(B732=0,"",COUNTIFS('Extração'!P:P,"Sim",'Extração'!L:L,A732)/B732)</f>
        <v/>
      </c>
      <c r="D732" s="16" t="str">
        <f>IF(B732=0,"",COUNTIFS('Extração'!Q:Q,"Sim",'Extração'!L:L,A732)/B732)</f>
        <v/>
      </c>
      <c r="E732" s="16" t="str">
        <f>IF(B732=0,"",COUNTIFS('Extração'!P:P,"Parcialmente",'Extração'!L:L,A732)/B732)</f>
        <v/>
      </c>
      <c r="F732" s="16" t="str">
        <f>IF(B732=0,"",COUNTIFS('Extração'!Q:Q,"Parcialmente",'Extração'!L:L,A732)/B732)</f>
        <v/>
      </c>
      <c r="G732" s="16" t="str">
        <f>IF(B732=0,"",COUNTIFS('Extração'!P:P,"Não",'Extração'!L:L,A732)/B732)</f>
        <v/>
      </c>
      <c r="H732" s="16" t="str">
        <f>IF(B732=0,"",COUNTIFS('Extração'!Q:Q,"Não",'Extração'!L:L,A732)/B732)</f>
        <v/>
      </c>
      <c r="I732" s="16" t="str">
        <f>IF(B732=0,"",COUNTIFS('Extração'!R:R,"Igual",'Extração'!L:L,A732)/B732)</f>
        <v/>
      </c>
    </row>
    <row r="733">
      <c r="B733" s="16">
        <f>COUNTIF('Extração'!L:L,A733)</f>
        <v>0</v>
      </c>
      <c r="C733" s="16" t="str">
        <f>IF(B733=0,"",COUNTIFS('Extração'!P:P,"Sim",'Extração'!L:L,A733)/B733)</f>
        <v/>
      </c>
      <c r="D733" s="16" t="str">
        <f>IF(B733=0,"",COUNTIFS('Extração'!Q:Q,"Sim",'Extração'!L:L,A733)/B733)</f>
        <v/>
      </c>
      <c r="E733" s="16" t="str">
        <f>IF(B733=0,"",COUNTIFS('Extração'!P:P,"Parcialmente",'Extração'!L:L,A733)/B733)</f>
        <v/>
      </c>
      <c r="F733" s="16" t="str">
        <f>IF(B733=0,"",COUNTIFS('Extração'!Q:Q,"Parcialmente",'Extração'!L:L,A733)/B733)</f>
        <v/>
      </c>
      <c r="G733" s="16" t="str">
        <f>IF(B733=0,"",COUNTIFS('Extração'!P:P,"Não",'Extração'!L:L,A733)/B733)</f>
        <v/>
      </c>
      <c r="H733" s="16" t="str">
        <f>IF(B733=0,"",COUNTIFS('Extração'!Q:Q,"Não",'Extração'!L:L,A733)/B733)</f>
        <v/>
      </c>
      <c r="I733" s="16" t="str">
        <f>IF(B733=0,"",COUNTIFS('Extração'!R:R,"Igual",'Extração'!L:L,A733)/B733)</f>
        <v/>
      </c>
    </row>
    <row r="734">
      <c r="B734" s="16">
        <f>COUNTIF('Extração'!L:L,A734)</f>
        <v>0</v>
      </c>
      <c r="C734" s="16" t="str">
        <f>IF(B734=0,"",COUNTIFS('Extração'!P:P,"Sim",'Extração'!L:L,A734)/B734)</f>
        <v/>
      </c>
      <c r="D734" s="16" t="str">
        <f>IF(B734=0,"",COUNTIFS('Extração'!Q:Q,"Sim",'Extração'!L:L,A734)/B734)</f>
        <v/>
      </c>
      <c r="E734" s="16" t="str">
        <f>IF(B734=0,"",COUNTIFS('Extração'!P:P,"Parcialmente",'Extração'!L:L,A734)/B734)</f>
        <v/>
      </c>
      <c r="F734" s="16" t="str">
        <f>IF(B734=0,"",COUNTIFS('Extração'!Q:Q,"Parcialmente",'Extração'!L:L,A734)/B734)</f>
        <v/>
      </c>
      <c r="G734" s="16" t="str">
        <f>IF(B734=0,"",COUNTIFS('Extração'!P:P,"Não",'Extração'!L:L,A734)/B734)</f>
        <v/>
      </c>
      <c r="H734" s="16" t="str">
        <f>IF(B734=0,"",COUNTIFS('Extração'!Q:Q,"Não",'Extração'!L:L,A734)/B734)</f>
        <v/>
      </c>
      <c r="I734" s="16" t="str">
        <f>IF(B734=0,"",COUNTIFS('Extração'!R:R,"Igual",'Extração'!L:L,A734)/B734)</f>
        <v/>
      </c>
    </row>
    <row r="735">
      <c r="B735" s="16">
        <f>COUNTIF('Extração'!L:L,A735)</f>
        <v>0</v>
      </c>
      <c r="C735" s="16" t="str">
        <f>IF(B735=0,"",COUNTIFS('Extração'!P:P,"Sim",'Extração'!L:L,A735)/B735)</f>
        <v/>
      </c>
      <c r="D735" s="16" t="str">
        <f>IF(B735=0,"",COUNTIFS('Extração'!Q:Q,"Sim",'Extração'!L:L,A735)/B735)</f>
        <v/>
      </c>
      <c r="E735" s="16" t="str">
        <f>IF(B735=0,"",COUNTIFS('Extração'!P:P,"Parcialmente",'Extração'!L:L,A735)/B735)</f>
        <v/>
      </c>
      <c r="F735" s="16" t="str">
        <f>IF(B735=0,"",COUNTIFS('Extração'!Q:Q,"Parcialmente",'Extração'!L:L,A735)/B735)</f>
        <v/>
      </c>
      <c r="G735" s="16" t="str">
        <f>IF(B735=0,"",COUNTIFS('Extração'!P:P,"Não",'Extração'!L:L,A735)/B735)</f>
        <v/>
      </c>
      <c r="H735" s="16" t="str">
        <f>IF(B735=0,"",COUNTIFS('Extração'!Q:Q,"Não",'Extração'!L:L,A735)/B735)</f>
        <v/>
      </c>
      <c r="I735" s="16" t="str">
        <f>IF(B735=0,"",COUNTIFS('Extração'!R:R,"Igual",'Extração'!L:L,A735)/B735)</f>
        <v/>
      </c>
    </row>
    <row r="736">
      <c r="B736" s="16">
        <f>COUNTIF('Extração'!L:L,A736)</f>
        <v>0</v>
      </c>
      <c r="C736" s="16" t="str">
        <f>IF(B736=0,"",COUNTIFS('Extração'!P:P,"Sim",'Extração'!L:L,A736)/B736)</f>
        <v/>
      </c>
      <c r="D736" s="16" t="str">
        <f>IF(B736=0,"",COUNTIFS('Extração'!Q:Q,"Sim",'Extração'!L:L,A736)/B736)</f>
        <v/>
      </c>
      <c r="E736" s="16" t="str">
        <f>IF(B736=0,"",COUNTIFS('Extração'!P:P,"Parcialmente",'Extração'!L:L,A736)/B736)</f>
        <v/>
      </c>
      <c r="F736" s="16" t="str">
        <f>IF(B736=0,"",COUNTIFS('Extração'!Q:Q,"Parcialmente",'Extração'!L:L,A736)/B736)</f>
        <v/>
      </c>
      <c r="G736" s="16" t="str">
        <f>IF(B736=0,"",COUNTIFS('Extração'!P:P,"Não",'Extração'!L:L,A736)/B736)</f>
        <v/>
      </c>
      <c r="H736" s="16" t="str">
        <f>IF(B736=0,"",COUNTIFS('Extração'!Q:Q,"Não",'Extração'!L:L,A736)/B736)</f>
        <v/>
      </c>
      <c r="I736" s="16" t="str">
        <f>IF(B736=0,"",COUNTIFS('Extração'!R:R,"Igual",'Extração'!L:L,A736)/B736)</f>
        <v/>
      </c>
    </row>
    <row r="737">
      <c r="B737" s="16">
        <f>COUNTIF('Extração'!L:L,A737)</f>
        <v>0</v>
      </c>
      <c r="C737" s="16" t="str">
        <f>IF(B737=0,"",COUNTIFS('Extração'!P:P,"Sim",'Extração'!L:L,A737)/B737)</f>
        <v/>
      </c>
      <c r="D737" s="16" t="str">
        <f>IF(B737=0,"",COUNTIFS('Extração'!Q:Q,"Sim",'Extração'!L:L,A737)/B737)</f>
        <v/>
      </c>
      <c r="E737" s="16" t="str">
        <f>IF(B737=0,"",COUNTIFS('Extração'!P:P,"Parcialmente",'Extração'!L:L,A737)/B737)</f>
        <v/>
      </c>
      <c r="F737" s="16" t="str">
        <f>IF(B737=0,"",COUNTIFS('Extração'!Q:Q,"Parcialmente",'Extração'!L:L,A737)/B737)</f>
        <v/>
      </c>
      <c r="G737" s="16" t="str">
        <f>IF(B737=0,"",COUNTIFS('Extração'!P:P,"Não",'Extração'!L:L,A737)/B737)</f>
        <v/>
      </c>
      <c r="H737" s="16" t="str">
        <f>IF(B737=0,"",COUNTIFS('Extração'!Q:Q,"Não",'Extração'!L:L,A737)/B737)</f>
        <v/>
      </c>
      <c r="I737" s="16" t="str">
        <f>IF(B737=0,"",COUNTIFS('Extração'!R:R,"Igual",'Extração'!L:L,A737)/B737)</f>
        <v/>
      </c>
    </row>
    <row r="738">
      <c r="B738" s="16">
        <f>COUNTIF('Extração'!L:L,A738)</f>
        <v>0</v>
      </c>
      <c r="C738" s="16" t="str">
        <f>IF(B738=0,"",COUNTIFS('Extração'!P:P,"Sim",'Extração'!L:L,A738)/B738)</f>
        <v/>
      </c>
      <c r="D738" s="16" t="str">
        <f>IF(B738=0,"",COUNTIFS('Extração'!Q:Q,"Sim",'Extração'!L:L,A738)/B738)</f>
        <v/>
      </c>
      <c r="E738" s="16" t="str">
        <f>IF(B738=0,"",COUNTIFS('Extração'!P:P,"Parcialmente",'Extração'!L:L,A738)/B738)</f>
        <v/>
      </c>
      <c r="F738" s="16" t="str">
        <f>IF(B738=0,"",COUNTIFS('Extração'!Q:Q,"Parcialmente",'Extração'!L:L,A738)/B738)</f>
        <v/>
      </c>
      <c r="G738" s="16" t="str">
        <f>IF(B738=0,"",COUNTIFS('Extração'!P:P,"Não",'Extração'!L:L,A738)/B738)</f>
        <v/>
      </c>
      <c r="H738" s="16" t="str">
        <f>IF(B738=0,"",COUNTIFS('Extração'!Q:Q,"Não",'Extração'!L:L,A738)/B738)</f>
        <v/>
      </c>
      <c r="I738" s="16" t="str">
        <f>IF(B738=0,"",COUNTIFS('Extração'!R:R,"Igual",'Extração'!L:L,A738)/B738)</f>
        <v/>
      </c>
    </row>
    <row r="739">
      <c r="B739" s="16">
        <f>COUNTIF('Extração'!L:L,A739)</f>
        <v>0</v>
      </c>
      <c r="C739" s="16" t="str">
        <f>IF(B739=0,"",COUNTIFS('Extração'!P:P,"Sim",'Extração'!L:L,A739)/B739)</f>
        <v/>
      </c>
      <c r="D739" s="16" t="str">
        <f>IF(B739=0,"",COUNTIFS('Extração'!Q:Q,"Sim",'Extração'!L:L,A739)/B739)</f>
        <v/>
      </c>
      <c r="E739" s="16" t="str">
        <f>IF(B739=0,"",COUNTIFS('Extração'!P:P,"Parcialmente",'Extração'!L:L,A739)/B739)</f>
        <v/>
      </c>
      <c r="F739" s="16" t="str">
        <f>IF(B739=0,"",COUNTIFS('Extração'!Q:Q,"Parcialmente",'Extração'!L:L,A739)/B739)</f>
        <v/>
      </c>
      <c r="G739" s="16" t="str">
        <f>IF(B739=0,"",COUNTIFS('Extração'!P:P,"Não",'Extração'!L:L,A739)/B739)</f>
        <v/>
      </c>
      <c r="H739" s="16" t="str">
        <f>IF(B739=0,"",COUNTIFS('Extração'!Q:Q,"Não",'Extração'!L:L,A739)/B739)</f>
        <v/>
      </c>
      <c r="I739" s="16" t="str">
        <f>IF(B739=0,"",COUNTIFS('Extração'!R:R,"Igual",'Extração'!L:L,A739)/B739)</f>
        <v/>
      </c>
    </row>
    <row r="740">
      <c r="B740" s="16">
        <f>COUNTIF('Extração'!L:L,A740)</f>
        <v>0</v>
      </c>
      <c r="C740" s="16" t="str">
        <f>IF(B740=0,"",COUNTIFS('Extração'!P:P,"Sim",'Extração'!L:L,A740)/B740)</f>
        <v/>
      </c>
      <c r="D740" s="16" t="str">
        <f>IF(B740=0,"",COUNTIFS('Extração'!Q:Q,"Sim",'Extração'!L:L,A740)/B740)</f>
        <v/>
      </c>
      <c r="E740" s="16" t="str">
        <f>IF(B740=0,"",COUNTIFS('Extração'!P:P,"Parcialmente",'Extração'!L:L,A740)/B740)</f>
        <v/>
      </c>
      <c r="F740" s="16" t="str">
        <f>IF(B740=0,"",COUNTIFS('Extração'!Q:Q,"Parcialmente",'Extração'!L:L,A740)/B740)</f>
        <v/>
      </c>
      <c r="G740" s="16" t="str">
        <f>IF(B740=0,"",COUNTIFS('Extração'!P:P,"Não",'Extração'!L:L,A740)/B740)</f>
        <v/>
      </c>
      <c r="H740" s="16" t="str">
        <f>IF(B740=0,"",COUNTIFS('Extração'!Q:Q,"Não",'Extração'!L:L,A740)/B740)</f>
        <v/>
      </c>
      <c r="I740" s="16" t="str">
        <f>IF(B740=0,"",COUNTIFS('Extração'!R:R,"Igual",'Extração'!L:L,A740)/B740)</f>
        <v/>
      </c>
    </row>
    <row r="741">
      <c r="B741" s="16">
        <f>COUNTIF('Extração'!L:L,A741)</f>
        <v>0</v>
      </c>
      <c r="C741" s="16" t="str">
        <f>IF(B741=0,"",COUNTIFS('Extração'!P:P,"Sim",'Extração'!L:L,A741)/B741)</f>
        <v/>
      </c>
      <c r="D741" s="16" t="str">
        <f>IF(B741=0,"",COUNTIFS('Extração'!Q:Q,"Sim",'Extração'!L:L,A741)/B741)</f>
        <v/>
      </c>
      <c r="E741" s="16" t="str">
        <f>IF(B741=0,"",COUNTIFS('Extração'!P:P,"Parcialmente",'Extração'!L:L,A741)/B741)</f>
        <v/>
      </c>
      <c r="F741" s="16" t="str">
        <f>IF(B741=0,"",COUNTIFS('Extração'!Q:Q,"Parcialmente",'Extração'!L:L,A741)/B741)</f>
        <v/>
      </c>
      <c r="G741" s="16" t="str">
        <f>IF(B741=0,"",COUNTIFS('Extração'!P:P,"Não",'Extração'!L:L,A741)/B741)</f>
        <v/>
      </c>
      <c r="H741" s="16" t="str">
        <f>IF(B741=0,"",COUNTIFS('Extração'!Q:Q,"Não",'Extração'!L:L,A741)/B741)</f>
        <v/>
      </c>
      <c r="I741" s="16" t="str">
        <f>IF(B741=0,"",COUNTIFS('Extração'!R:R,"Igual",'Extração'!L:L,A741)/B741)</f>
        <v/>
      </c>
    </row>
    <row r="742">
      <c r="B742" s="16">
        <f>COUNTIF('Extração'!L:L,A742)</f>
        <v>0</v>
      </c>
      <c r="C742" s="16" t="str">
        <f>IF(B742=0,"",COUNTIFS('Extração'!P:P,"Sim",'Extração'!L:L,A742)/B742)</f>
        <v/>
      </c>
      <c r="D742" s="16" t="str">
        <f>IF(B742=0,"",COUNTIFS('Extração'!Q:Q,"Sim",'Extração'!L:L,A742)/B742)</f>
        <v/>
      </c>
      <c r="E742" s="16" t="str">
        <f>IF(B742=0,"",COUNTIFS('Extração'!P:P,"Parcialmente",'Extração'!L:L,A742)/B742)</f>
        <v/>
      </c>
      <c r="F742" s="16" t="str">
        <f>IF(B742=0,"",COUNTIFS('Extração'!Q:Q,"Parcialmente",'Extração'!L:L,A742)/B742)</f>
        <v/>
      </c>
      <c r="G742" s="16" t="str">
        <f>IF(B742=0,"",COUNTIFS('Extração'!P:P,"Não",'Extração'!L:L,A742)/B742)</f>
        <v/>
      </c>
      <c r="H742" s="16" t="str">
        <f>IF(B742=0,"",COUNTIFS('Extração'!Q:Q,"Não",'Extração'!L:L,A742)/B742)</f>
        <v/>
      </c>
      <c r="I742" s="16" t="str">
        <f>IF(B742=0,"",COUNTIFS('Extração'!R:R,"Igual",'Extração'!L:L,A742)/B742)</f>
        <v/>
      </c>
    </row>
    <row r="743">
      <c r="B743" s="16">
        <f>COUNTIF('Extração'!L:L,A743)</f>
        <v>0</v>
      </c>
      <c r="C743" s="16" t="str">
        <f>IF(B743=0,"",COUNTIFS('Extração'!P:P,"Sim",'Extração'!L:L,A743)/B743)</f>
        <v/>
      </c>
      <c r="D743" s="16" t="str">
        <f>IF(B743=0,"",COUNTIFS('Extração'!Q:Q,"Sim",'Extração'!L:L,A743)/B743)</f>
        <v/>
      </c>
      <c r="E743" s="16" t="str">
        <f>IF(B743=0,"",COUNTIFS('Extração'!P:P,"Parcialmente",'Extração'!L:L,A743)/B743)</f>
        <v/>
      </c>
      <c r="F743" s="16" t="str">
        <f>IF(B743=0,"",COUNTIFS('Extração'!Q:Q,"Parcialmente",'Extração'!L:L,A743)/B743)</f>
        <v/>
      </c>
      <c r="G743" s="16" t="str">
        <f>IF(B743=0,"",COUNTIFS('Extração'!P:P,"Não",'Extração'!L:L,A743)/B743)</f>
        <v/>
      </c>
      <c r="H743" s="16" t="str">
        <f>IF(B743=0,"",COUNTIFS('Extração'!Q:Q,"Não",'Extração'!L:L,A743)/B743)</f>
        <v/>
      </c>
      <c r="I743" s="16" t="str">
        <f>IF(B743=0,"",COUNTIFS('Extração'!R:R,"Igual",'Extração'!L:L,A743)/B743)</f>
        <v/>
      </c>
    </row>
    <row r="744">
      <c r="B744" s="16">
        <f>COUNTIF('Extração'!L:L,A744)</f>
        <v>0</v>
      </c>
      <c r="C744" s="16" t="str">
        <f>IF(B744=0,"",COUNTIFS('Extração'!P:P,"Sim",'Extração'!L:L,A744)/B744)</f>
        <v/>
      </c>
      <c r="D744" s="16" t="str">
        <f>IF(B744=0,"",COUNTIFS('Extração'!Q:Q,"Sim",'Extração'!L:L,A744)/B744)</f>
        <v/>
      </c>
      <c r="E744" s="16" t="str">
        <f>IF(B744=0,"",COUNTIFS('Extração'!P:P,"Parcialmente",'Extração'!L:L,A744)/B744)</f>
        <v/>
      </c>
      <c r="F744" s="16" t="str">
        <f>IF(B744=0,"",COUNTIFS('Extração'!Q:Q,"Parcialmente",'Extração'!L:L,A744)/B744)</f>
        <v/>
      </c>
      <c r="G744" s="16" t="str">
        <f>IF(B744=0,"",COUNTIFS('Extração'!P:P,"Não",'Extração'!L:L,A744)/B744)</f>
        <v/>
      </c>
      <c r="H744" s="16" t="str">
        <f>IF(B744=0,"",COUNTIFS('Extração'!Q:Q,"Não",'Extração'!L:L,A744)/B744)</f>
        <v/>
      </c>
      <c r="I744" s="16" t="str">
        <f>IF(B744=0,"",COUNTIFS('Extração'!R:R,"Igual",'Extração'!L:L,A744)/B744)</f>
        <v/>
      </c>
    </row>
    <row r="745">
      <c r="B745" s="16">
        <f>COUNTIF('Extração'!L:L,A745)</f>
        <v>0</v>
      </c>
      <c r="C745" s="16" t="str">
        <f>IF(B745=0,"",COUNTIFS('Extração'!P:P,"Sim",'Extração'!L:L,A745)/B745)</f>
        <v/>
      </c>
      <c r="D745" s="16" t="str">
        <f>IF(B745=0,"",COUNTIFS('Extração'!Q:Q,"Sim",'Extração'!L:L,A745)/B745)</f>
        <v/>
      </c>
      <c r="E745" s="16" t="str">
        <f>IF(B745=0,"",COUNTIFS('Extração'!P:P,"Parcialmente",'Extração'!L:L,A745)/B745)</f>
        <v/>
      </c>
      <c r="F745" s="16" t="str">
        <f>IF(B745=0,"",COUNTIFS('Extração'!Q:Q,"Parcialmente",'Extração'!L:L,A745)/B745)</f>
        <v/>
      </c>
      <c r="G745" s="16" t="str">
        <f>IF(B745=0,"",COUNTIFS('Extração'!P:P,"Não",'Extração'!L:L,A745)/B745)</f>
        <v/>
      </c>
      <c r="H745" s="16" t="str">
        <f>IF(B745=0,"",COUNTIFS('Extração'!Q:Q,"Não",'Extração'!L:L,A745)/B745)</f>
        <v/>
      </c>
      <c r="I745" s="16" t="str">
        <f>IF(B745=0,"",COUNTIFS('Extração'!R:R,"Igual",'Extração'!L:L,A745)/B745)</f>
        <v/>
      </c>
    </row>
    <row r="746">
      <c r="B746" s="16">
        <f>COUNTIF('Extração'!L:L,A746)</f>
        <v>0</v>
      </c>
      <c r="C746" s="16" t="str">
        <f>IF(B746=0,"",COUNTIFS('Extração'!P:P,"Sim",'Extração'!L:L,A746)/B746)</f>
        <v/>
      </c>
      <c r="D746" s="16" t="str">
        <f>IF(B746=0,"",COUNTIFS('Extração'!Q:Q,"Sim",'Extração'!L:L,A746)/B746)</f>
        <v/>
      </c>
      <c r="E746" s="16" t="str">
        <f>IF(B746=0,"",COUNTIFS('Extração'!P:P,"Parcialmente",'Extração'!L:L,A746)/B746)</f>
        <v/>
      </c>
      <c r="F746" s="16" t="str">
        <f>IF(B746=0,"",COUNTIFS('Extração'!Q:Q,"Parcialmente",'Extração'!L:L,A746)/B746)</f>
        <v/>
      </c>
      <c r="G746" s="16" t="str">
        <f>IF(B746=0,"",COUNTIFS('Extração'!P:P,"Não",'Extração'!L:L,A746)/B746)</f>
        <v/>
      </c>
      <c r="H746" s="16" t="str">
        <f>IF(B746=0,"",COUNTIFS('Extração'!Q:Q,"Não",'Extração'!L:L,A746)/B746)</f>
        <v/>
      </c>
      <c r="I746" s="16" t="str">
        <f>IF(B746=0,"",COUNTIFS('Extração'!R:R,"Igual",'Extração'!L:L,A746)/B746)</f>
        <v/>
      </c>
    </row>
    <row r="747">
      <c r="B747" s="16">
        <f>COUNTIF('Extração'!L:L,A747)</f>
        <v>0</v>
      </c>
      <c r="C747" s="16" t="str">
        <f>IF(B747=0,"",COUNTIFS('Extração'!P:P,"Sim",'Extração'!L:L,A747)/B747)</f>
        <v/>
      </c>
      <c r="D747" s="16" t="str">
        <f>IF(B747=0,"",COUNTIFS('Extração'!Q:Q,"Sim",'Extração'!L:L,A747)/B747)</f>
        <v/>
      </c>
      <c r="E747" s="16" t="str">
        <f>IF(B747=0,"",COUNTIFS('Extração'!P:P,"Parcialmente",'Extração'!L:L,A747)/B747)</f>
        <v/>
      </c>
      <c r="F747" s="16" t="str">
        <f>IF(B747=0,"",COUNTIFS('Extração'!Q:Q,"Parcialmente",'Extração'!L:L,A747)/B747)</f>
        <v/>
      </c>
      <c r="G747" s="16" t="str">
        <f>IF(B747=0,"",COUNTIFS('Extração'!P:P,"Não",'Extração'!L:L,A747)/B747)</f>
        <v/>
      </c>
      <c r="H747" s="16" t="str">
        <f>IF(B747=0,"",COUNTIFS('Extração'!Q:Q,"Não",'Extração'!L:L,A747)/B747)</f>
        <v/>
      </c>
      <c r="I747" s="16" t="str">
        <f>IF(B747=0,"",COUNTIFS('Extração'!R:R,"Igual",'Extração'!L:L,A747)/B747)</f>
        <v/>
      </c>
    </row>
    <row r="748">
      <c r="B748" s="16">
        <f>COUNTIF('Extração'!L:L,A748)</f>
        <v>0</v>
      </c>
      <c r="C748" s="16" t="str">
        <f>IF(B748=0,"",COUNTIFS('Extração'!P:P,"Sim",'Extração'!L:L,A748)/B748)</f>
        <v/>
      </c>
      <c r="D748" s="16" t="str">
        <f>IF(B748=0,"",COUNTIFS('Extração'!Q:Q,"Sim",'Extração'!L:L,A748)/B748)</f>
        <v/>
      </c>
      <c r="E748" s="16" t="str">
        <f>IF(B748=0,"",COUNTIFS('Extração'!P:P,"Parcialmente",'Extração'!L:L,A748)/B748)</f>
        <v/>
      </c>
      <c r="F748" s="16" t="str">
        <f>IF(B748=0,"",COUNTIFS('Extração'!Q:Q,"Parcialmente",'Extração'!L:L,A748)/B748)</f>
        <v/>
      </c>
      <c r="G748" s="16" t="str">
        <f>IF(B748=0,"",COUNTIFS('Extração'!P:P,"Não",'Extração'!L:L,A748)/B748)</f>
        <v/>
      </c>
      <c r="H748" s="16" t="str">
        <f>IF(B748=0,"",COUNTIFS('Extração'!Q:Q,"Não",'Extração'!L:L,A748)/B748)</f>
        <v/>
      </c>
      <c r="I748" s="16" t="str">
        <f>IF(B748=0,"",COUNTIFS('Extração'!R:R,"Igual",'Extração'!L:L,A748)/B748)</f>
        <v/>
      </c>
    </row>
    <row r="749">
      <c r="B749" s="16">
        <f>COUNTIF('Extração'!L:L,A749)</f>
        <v>0</v>
      </c>
      <c r="C749" s="16" t="str">
        <f>IF(B749=0,"",COUNTIFS('Extração'!P:P,"Sim",'Extração'!L:L,A749)/B749)</f>
        <v/>
      </c>
      <c r="D749" s="16" t="str">
        <f>IF(B749=0,"",COUNTIFS('Extração'!Q:Q,"Sim",'Extração'!L:L,A749)/B749)</f>
        <v/>
      </c>
      <c r="E749" s="16" t="str">
        <f>IF(B749=0,"",COUNTIFS('Extração'!P:P,"Parcialmente",'Extração'!L:L,A749)/B749)</f>
        <v/>
      </c>
      <c r="F749" s="16" t="str">
        <f>IF(B749=0,"",COUNTIFS('Extração'!Q:Q,"Parcialmente",'Extração'!L:L,A749)/B749)</f>
        <v/>
      </c>
      <c r="G749" s="16" t="str">
        <f>IF(B749=0,"",COUNTIFS('Extração'!P:P,"Não",'Extração'!L:L,A749)/B749)</f>
        <v/>
      </c>
      <c r="H749" s="16" t="str">
        <f>IF(B749=0,"",COUNTIFS('Extração'!Q:Q,"Não",'Extração'!L:L,A749)/B749)</f>
        <v/>
      </c>
      <c r="I749" s="16" t="str">
        <f>IF(B749=0,"",COUNTIFS('Extração'!R:R,"Igual",'Extração'!L:L,A749)/B749)</f>
        <v/>
      </c>
    </row>
    <row r="750">
      <c r="B750" s="16">
        <f>COUNTIF('Extração'!L:L,A750)</f>
        <v>0</v>
      </c>
      <c r="C750" s="16" t="str">
        <f>IF(B750=0,"",COUNTIFS('Extração'!P:P,"Sim",'Extração'!L:L,A750)/B750)</f>
        <v/>
      </c>
      <c r="D750" s="16" t="str">
        <f>IF(B750=0,"",COUNTIFS('Extração'!Q:Q,"Sim",'Extração'!L:L,A750)/B750)</f>
        <v/>
      </c>
      <c r="E750" s="16" t="str">
        <f>IF(B750=0,"",COUNTIFS('Extração'!P:P,"Parcialmente",'Extração'!L:L,A750)/B750)</f>
        <v/>
      </c>
      <c r="F750" s="16" t="str">
        <f>IF(B750=0,"",COUNTIFS('Extração'!Q:Q,"Parcialmente",'Extração'!L:L,A750)/B750)</f>
        <v/>
      </c>
      <c r="G750" s="16" t="str">
        <f>IF(B750=0,"",COUNTIFS('Extração'!P:P,"Não",'Extração'!L:L,A750)/B750)</f>
        <v/>
      </c>
      <c r="H750" s="16" t="str">
        <f>IF(B750=0,"",COUNTIFS('Extração'!Q:Q,"Não",'Extração'!L:L,A750)/B750)</f>
        <v/>
      </c>
      <c r="I750" s="16" t="str">
        <f>IF(B750=0,"",COUNTIFS('Extração'!R:R,"Igual",'Extração'!L:L,A750)/B750)</f>
        <v/>
      </c>
    </row>
    <row r="751">
      <c r="B751" s="16">
        <f>COUNTIF('Extração'!L:L,A751)</f>
        <v>0</v>
      </c>
      <c r="C751" s="16" t="str">
        <f>IF(B751=0,"",COUNTIFS('Extração'!P:P,"Sim",'Extração'!L:L,A751)/B751)</f>
        <v/>
      </c>
      <c r="D751" s="16" t="str">
        <f>IF(B751=0,"",COUNTIFS('Extração'!Q:Q,"Sim",'Extração'!L:L,A751)/B751)</f>
        <v/>
      </c>
      <c r="E751" s="16" t="str">
        <f>IF(B751=0,"",COUNTIFS('Extração'!P:P,"Parcialmente",'Extração'!L:L,A751)/B751)</f>
        <v/>
      </c>
      <c r="F751" s="16" t="str">
        <f>IF(B751=0,"",COUNTIFS('Extração'!Q:Q,"Parcialmente",'Extração'!L:L,A751)/B751)</f>
        <v/>
      </c>
      <c r="G751" s="16" t="str">
        <f>IF(B751=0,"",COUNTIFS('Extração'!P:P,"Não",'Extração'!L:L,A751)/B751)</f>
        <v/>
      </c>
      <c r="H751" s="16" t="str">
        <f>IF(B751=0,"",COUNTIFS('Extração'!Q:Q,"Não",'Extração'!L:L,A751)/B751)</f>
        <v/>
      </c>
      <c r="I751" s="16" t="str">
        <f>IF(B751=0,"",COUNTIFS('Extração'!R:R,"Igual",'Extração'!L:L,A751)/B751)</f>
        <v/>
      </c>
    </row>
    <row r="752">
      <c r="B752" s="16">
        <f>COUNTIF('Extração'!L:L,A752)</f>
        <v>0</v>
      </c>
      <c r="C752" s="16" t="str">
        <f>IF(B752=0,"",COUNTIFS('Extração'!P:P,"Sim",'Extração'!L:L,A752)/B752)</f>
        <v/>
      </c>
      <c r="D752" s="16" t="str">
        <f>IF(B752=0,"",COUNTIFS('Extração'!Q:Q,"Sim",'Extração'!L:L,A752)/B752)</f>
        <v/>
      </c>
      <c r="E752" s="16" t="str">
        <f>IF(B752=0,"",COUNTIFS('Extração'!P:P,"Parcialmente",'Extração'!L:L,A752)/B752)</f>
        <v/>
      </c>
      <c r="F752" s="16" t="str">
        <f>IF(B752=0,"",COUNTIFS('Extração'!Q:Q,"Parcialmente",'Extração'!L:L,A752)/B752)</f>
        <v/>
      </c>
      <c r="G752" s="16" t="str">
        <f>IF(B752=0,"",COUNTIFS('Extração'!P:P,"Não",'Extração'!L:L,A752)/B752)</f>
        <v/>
      </c>
      <c r="H752" s="16" t="str">
        <f>IF(B752=0,"",COUNTIFS('Extração'!Q:Q,"Não",'Extração'!L:L,A752)/B752)</f>
        <v/>
      </c>
      <c r="I752" s="16" t="str">
        <f>IF(B752=0,"",COUNTIFS('Extração'!R:R,"Igual",'Extração'!L:L,A752)/B752)</f>
        <v/>
      </c>
    </row>
    <row r="753">
      <c r="B753" s="16">
        <f>COUNTIF('Extração'!L:L,A753)</f>
        <v>0</v>
      </c>
      <c r="C753" s="16" t="str">
        <f>IF(B753=0,"",COUNTIFS('Extração'!P:P,"Sim",'Extração'!L:L,A753)/B753)</f>
        <v/>
      </c>
      <c r="D753" s="16" t="str">
        <f>IF(B753=0,"",COUNTIFS('Extração'!Q:Q,"Sim",'Extração'!L:L,A753)/B753)</f>
        <v/>
      </c>
      <c r="E753" s="16" t="str">
        <f>IF(B753=0,"",COUNTIFS('Extração'!P:P,"Parcialmente",'Extração'!L:L,A753)/B753)</f>
        <v/>
      </c>
      <c r="F753" s="16" t="str">
        <f>IF(B753=0,"",COUNTIFS('Extração'!Q:Q,"Parcialmente",'Extração'!L:L,A753)/B753)</f>
        <v/>
      </c>
      <c r="G753" s="16" t="str">
        <f>IF(B753=0,"",COUNTIFS('Extração'!P:P,"Não",'Extração'!L:L,A753)/B753)</f>
        <v/>
      </c>
      <c r="H753" s="16" t="str">
        <f>IF(B753=0,"",COUNTIFS('Extração'!Q:Q,"Não",'Extração'!L:L,A753)/B753)</f>
        <v/>
      </c>
      <c r="I753" s="16" t="str">
        <f>IF(B753=0,"",COUNTIFS('Extração'!R:R,"Igual",'Extração'!L:L,A753)/B753)</f>
        <v/>
      </c>
    </row>
    <row r="754">
      <c r="B754" s="16">
        <f>COUNTIF('Extração'!L:L,A754)</f>
        <v>0</v>
      </c>
      <c r="C754" s="16" t="str">
        <f>IF(B754=0,"",COUNTIFS('Extração'!P:P,"Sim",'Extração'!L:L,A754)/B754)</f>
        <v/>
      </c>
      <c r="D754" s="16" t="str">
        <f>IF(B754=0,"",COUNTIFS('Extração'!Q:Q,"Sim",'Extração'!L:L,A754)/B754)</f>
        <v/>
      </c>
      <c r="E754" s="16" t="str">
        <f>IF(B754=0,"",COUNTIFS('Extração'!P:P,"Parcialmente",'Extração'!L:L,A754)/B754)</f>
        <v/>
      </c>
      <c r="F754" s="16" t="str">
        <f>IF(B754=0,"",COUNTIFS('Extração'!Q:Q,"Parcialmente",'Extração'!L:L,A754)/B754)</f>
        <v/>
      </c>
      <c r="G754" s="16" t="str">
        <f>IF(B754=0,"",COUNTIFS('Extração'!P:P,"Não",'Extração'!L:L,A754)/B754)</f>
        <v/>
      </c>
      <c r="H754" s="16" t="str">
        <f>IF(B754=0,"",COUNTIFS('Extração'!Q:Q,"Não",'Extração'!L:L,A754)/B754)</f>
        <v/>
      </c>
      <c r="I754" s="16" t="str">
        <f>IF(B754=0,"",COUNTIFS('Extração'!R:R,"Igual",'Extração'!L:L,A754)/B754)</f>
        <v/>
      </c>
    </row>
    <row r="755">
      <c r="B755" s="16">
        <f>COUNTIF('Extração'!L:L,A755)</f>
        <v>0</v>
      </c>
      <c r="C755" s="16" t="str">
        <f>IF(B755=0,"",COUNTIFS('Extração'!P:P,"Sim",'Extração'!L:L,A755)/B755)</f>
        <v/>
      </c>
      <c r="D755" s="16" t="str">
        <f>IF(B755=0,"",COUNTIFS('Extração'!Q:Q,"Sim",'Extração'!L:L,A755)/B755)</f>
        <v/>
      </c>
      <c r="E755" s="16" t="str">
        <f>IF(B755=0,"",COUNTIFS('Extração'!P:P,"Parcialmente",'Extração'!L:L,A755)/B755)</f>
        <v/>
      </c>
      <c r="F755" s="16" t="str">
        <f>IF(B755=0,"",COUNTIFS('Extração'!Q:Q,"Parcialmente",'Extração'!L:L,A755)/B755)</f>
        <v/>
      </c>
      <c r="G755" s="16" t="str">
        <f>IF(B755=0,"",COUNTIFS('Extração'!P:P,"Não",'Extração'!L:L,A755)/B755)</f>
        <v/>
      </c>
      <c r="H755" s="16" t="str">
        <f>IF(B755=0,"",COUNTIFS('Extração'!Q:Q,"Não",'Extração'!L:L,A755)/B755)</f>
        <v/>
      </c>
      <c r="I755" s="16" t="str">
        <f>IF(B755=0,"",COUNTIFS('Extração'!R:R,"Igual",'Extração'!L:L,A755)/B755)</f>
        <v/>
      </c>
    </row>
    <row r="756">
      <c r="B756" s="16">
        <f>COUNTIF('Extração'!L:L,A756)</f>
        <v>0</v>
      </c>
      <c r="C756" s="16" t="str">
        <f>IF(B756=0,"",COUNTIFS('Extração'!P:P,"Sim",'Extração'!L:L,A756)/B756)</f>
        <v/>
      </c>
      <c r="D756" s="16" t="str">
        <f>IF(B756=0,"",COUNTIFS('Extração'!Q:Q,"Sim",'Extração'!L:L,A756)/B756)</f>
        <v/>
      </c>
      <c r="E756" s="16" t="str">
        <f>IF(B756=0,"",COUNTIFS('Extração'!P:P,"Parcialmente",'Extração'!L:L,A756)/B756)</f>
        <v/>
      </c>
      <c r="F756" s="16" t="str">
        <f>IF(B756=0,"",COUNTIFS('Extração'!Q:Q,"Parcialmente",'Extração'!L:L,A756)/B756)</f>
        <v/>
      </c>
      <c r="G756" s="16" t="str">
        <f>IF(B756=0,"",COUNTIFS('Extração'!P:P,"Não",'Extração'!L:L,A756)/B756)</f>
        <v/>
      </c>
      <c r="H756" s="16" t="str">
        <f>IF(B756=0,"",COUNTIFS('Extração'!Q:Q,"Não",'Extração'!L:L,A756)/B756)</f>
        <v/>
      </c>
      <c r="I756" s="16" t="str">
        <f>IF(B756=0,"",COUNTIFS('Extração'!R:R,"Igual",'Extração'!L:L,A756)/B756)</f>
        <v/>
      </c>
    </row>
    <row r="757">
      <c r="B757" s="16">
        <f>COUNTIF('Extração'!L:L,A757)</f>
        <v>0</v>
      </c>
      <c r="C757" s="16" t="str">
        <f>IF(B757=0,"",COUNTIFS('Extração'!P:P,"Sim",'Extração'!L:L,A757)/B757)</f>
        <v/>
      </c>
      <c r="D757" s="16" t="str">
        <f>IF(B757=0,"",COUNTIFS('Extração'!Q:Q,"Sim",'Extração'!L:L,A757)/B757)</f>
        <v/>
      </c>
      <c r="E757" s="16" t="str">
        <f>IF(B757=0,"",COUNTIFS('Extração'!P:P,"Parcialmente",'Extração'!L:L,A757)/B757)</f>
        <v/>
      </c>
      <c r="F757" s="16" t="str">
        <f>IF(B757=0,"",COUNTIFS('Extração'!Q:Q,"Parcialmente",'Extração'!L:L,A757)/B757)</f>
        <v/>
      </c>
      <c r="G757" s="16" t="str">
        <f>IF(B757=0,"",COUNTIFS('Extração'!P:P,"Não",'Extração'!L:L,A757)/B757)</f>
        <v/>
      </c>
      <c r="H757" s="16" t="str">
        <f>IF(B757=0,"",COUNTIFS('Extração'!Q:Q,"Não",'Extração'!L:L,A757)/B757)</f>
        <v/>
      </c>
      <c r="I757" s="16" t="str">
        <f>IF(B757=0,"",COUNTIFS('Extração'!R:R,"Igual",'Extração'!L:L,A757)/B757)</f>
        <v/>
      </c>
    </row>
    <row r="758">
      <c r="B758" s="16">
        <f>COUNTIF('Extração'!L:L,A758)</f>
        <v>0</v>
      </c>
      <c r="C758" s="16" t="str">
        <f>IF(B758=0,"",COUNTIFS('Extração'!P:P,"Sim",'Extração'!L:L,A758)/B758)</f>
        <v/>
      </c>
      <c r="D758" s="16" t="str">
        <f>IF(B758=0,"",COUNTIFS('Extração'!Q:Q,"Sim",'Extração'!L:L,A758)/B758)</f>
        <v/>
      </c>
      <c r="E758" s="16" t="str">
        <f>IF(B758=0,"",COUNTIFS('Extração'!P:P,"Parcialmente",'Extração'!L:L,A758)/B758)</f>
        <v/>
      </c>
      <c r="F758" s="16" t="str">
        <f>IF(B758=0,"",COUNTIFS('Extração'!Q:Q,"Parcialmente",'Extração'!L:L,A758)/B758)</f>
        <v/>
      </c>
      <c r="G758" s="16" t="str">
        <f>IF(B758=0,"",COUNTIFS('Extração'!P:P,"Não",'Extração'!L:L,A758)/B758)</f>
        <v/>
      </c>
      <c r="H758" s="16" t="str">
        <f>IF(B758=0,"",COUNTIFS('Extração'!Q:Q,"Não",'Extração'!L:L,A758)/B758)</f>
        <v/>
      </c>
      <c r="I758" s="16" t="str">
        <f>IF(B758=0,"",COUNTIFS('Extração'!R:R,"Igual",'Extração'!L:L,A758)/B758)</f>
        <v/>
      </c>
    </row>
    <row r="759">
      <c r="B759" s="16">
        <f>COUNTIF('Extração'!L:L,A759)</f>
        <v>0</v>
      </c>
      <c r="C759" s="16" t="str">
        <f>IF(B759=0,"",COUNTIFS('Extração'!P:P,"Sim",'Extração'!L:L,A759)/B759)</f>
        <v/>
      </c>
      <c r="D759" s="16" t="str">
        <f>IF(B759=0,"",COUNTIFS('Extração'!Q:Q,"Sim",'Extração'!L:L,A759)/B759)</f>
        <v/>
      </c>
      <c r="E759" s="16" t="str">
        <f>IF(B759=0,"",COUNTIFS('Extração'!P:P,"Parcialmente",'Extração'!L:L,A759)/B759)</f>
        <v/>
      </c>
      <c r="F759" s="16" t="str">
        <f>IF(B759=0,"",COUNTIFS('Extração'!Q:Q,"Parcialmente",'Extração'!L:L,A759)/B759)</f>
        <v/>
      </c>
      <c r="G759" s="16" t="str">
        <f>IF(B759=0,"",COUNTIFS('Extração'!P:P,"Não",'Extração'!L:L,A759)/B759)</f>
        <v/>
      </c>
      <c r="H759" s="16" t="str">
        <f>IF(B759=0,"",COUNTIFS('Extração'!Q:Q,"Não",'Extração'!L:L,A759)/B759)</f>
        <v/>
      </c>
      <c r="I759" s="16" t="str">
        <f>IF(B759=0,"",COUNTIFS('Extração'!R:R,"Igual",'Extração'!L:L,A759)/B759)</f>
        <v/>
      </c>
    </row>
    <row r="760">
      <c r="B760" s="16">
        <f>COUNTIF('Extração'!L:L,A760)</f>
        <v>0</v>
      </c>
      <c r="C760" s="16" t="str">
        <f>IF(B760=0,"",COUNTIFS('Extração'!P:P,"Sim",'Extração'!L:L,A760)/B760)</f>
        <v/>
      </c>
      <c r="D760" s="16" t="str">
        <f>IF(B760=0,"",COUNTIFS('Extração'!Q:Q,"Sim",'Extração'!L:L,A760)/B760)</f>
        <v/>
      </c>
      <c r="E760" s="16" t="str">
        <f>IF(B760=0,"",COUNTIFS('Extração'!P:P,"Parcialmente",'Extração'!L:L,A760)/B760)</f>
        <v/>
      </c>
      <c r="F760" s="16" t="str">
        <f>IF(B760=0,"",COUNTIFS('Extração'!Q:Q,"Parcialmente",'Extração'!L:L,A760)/B760)</f>
        <v/>
      </c>
      <c r="G760" s="16" t="str">
        <f>IF(B760=0,"",COUNTIFS('Extração'!P:P,"Não",'Extração'!L:L,A760)/B760)</f>
        <v/>
      </c>
      <c r="H760" s="16" t="str">
        <f>IF(B760=0,"",COUNTIFS('Extração'!Q:Q,"Não",'Extração'!L:L,A760)/B760)</f>
        <v/>
      </c>
      <c r="I760" s="16" t="str">
        <f>IF(B760=0,"",COUNTIFS('Extração'!R:R,"Igual",'Extração'!L:L,A760)/B760)</f>
        <v/>
      </c>
    </row>
    <row r="761">
      <c r="B761" s="16">
        <f>COUNTIF('Extração'!L:L,A761)</f>
        <v>0</v>
      </c>
      <c r="C761" s="16" t="str">
        <f>IF(B761=0,"",COUNTIFS('Extração'!P:P,"Sim",'Extração'!L:L,A761)/B761)</f>
        <v/>
      </c>
      <c r="D761" s="16" t="str">
        <f>IF(B761=0,"",COUNTIFS('Extração'!Q:Q,"Sim",'Extração'!L:L,A761)/B761)</f>
        <v/>
      </c>
      <c r="E761" s="16" t="str">
        <f>IF(B761=0,"",COUNTIFS('Extração'!P:P,"Parcialmente",'Extração'!L:L,A761)/B761)</f>
        <v/>
      </c>
      <c r="F761" s="16" t="str">
        <f>IF(B761=0,"",COUNTIFS('Extração'!Q:Q,"Parcialmente",'Extração'!L:L,A761)/B761)</f>
        <v/>
      </c>
      <c r="G761" s="16" t="str">
        <f>IF(B761=0,"",COUNTIFS('Extração'!P:P,"Não",'Extração'!L:L,A761)/B761)</f>
        <v/>
      </c>
      <c r="H761" s="16" t="str">
        <f>IF(B761=0,"",COUNTIFS('Extração'!Q:Q,"Não",'Extração'!L:L,A761)/B761)</f>
        <v/>
      </c>
      <c r="I761" s="16" t="str">
        <f>IF(B761=0,"",COUNTIFS('Extração'!R:R,"Igual",'Extração'!L:L,A761)/B761)</f>
        <v/>
      </c>
    </row>
    <row r="762">
      <c r="B762" s="16">
        <f>COUNTIF('Extração'!L:L,A762)</f>
        <v>0</v>
      </c>
      <c r="C762" s="16" t="str">
        <f>IF(B762=0,"",COUNTIFS('Extração'!P:P,"Sim",'Extração'!L:L,A762)/B762)</f>
        <v/>
      </c>
      <c r="D762" s="16" t="str">
        <f>IF(B762=0,"",COUNTIFS('Extração'!Q:Q,"Sim",'Extração'!L:L,A762)/B762)</f>
        <v/>
      </c>
      <c r="E762" s="16" t="str">
        <f>IF(B762=0,"",COUNTIFS('Extração'!P:P,"Parcialmente",'Extração'!L:L,A762)/B762)</f>
        <v/>
      </c>
      <c r="F762" s="16" t="str">
        <f>IF(B762=0,"",COUNTIFS('Extração'!Q:Q,"Parcialmente",'Extração'!L:L,A762)/B762)</f>
        <v/>
      </c>
      <c r="G762" s="16" t="str">
        <f>IF(B762=0,"",COUNTIFS('Extração'!P:P,"Não",'Extração'!L:L,A762)/B762)</f>
        <v/>
      </c>
      <c r="H762" s="16" t="str">
        <f>IF(B762=0,"",COUNTIFS('Extração'!Q:Q,"Não",'Extração'!L:L,A762)/B762)</f>
        <v/>
      </c>
      <c r="I762" s="16" t="str">
        <f>IF(B762=0,"",COUNTIFS('Extração'!R:R,"Igual",'Extração'!L:L,A762)/B762)</f>
        <v/>
      </c>
    </row>
    <row r="763">
      <c r="B763" s="16">
        <f>COUNTIF('Extração'!L:L,A763)</f>
        <v>0</v>
      </c>
      <c r="C763" s="16" t="str">
        <f>IF(B763=0,"",COUNTIFS('Extração'!P:P,"Sim",'Extração'!L:L,A763)/B763)</f>
        <v/>
      </c>
      <c r="D763" s="16" t="str">
        <f>IF(B763=0,"",COUNTIFS('Extração'!Q:Q,"Sim",'Extração'!L:L,A763)/B763)</f>
        <v/>
      </c>
      <c r="E763" s="16" t="str">
        <f>IF(B763=0,"",COUNTIFS('Extração'!P:P,"Parcialmente",'Extração'!L:L,A763)/B763)</f>
        <v/>
      </c>
      <c r="F763" s="16" t="str">
        <f>IF(B763=0,"",COUNTIFS('Extração'!Q:Q,"Parcialmente",'Extração'!L:L,A763)/B763)</f>
        <v/>
      </c>
      <c r="G763" s="16" t="str">
        <f>IF(B763=0,"",COUNTIFS('Extração'!P:P,"Não",'Extração'!L:L,A763)/B763)</f>
        <v/>
      </c>
      <c r="H763" s="16" t="str">
        <f>IF(B763=0,"",COUNTIFS('Extração'!Q:Q,"Não",'Extração'!L:L,A763)/B763)</f>
        <v/>
      </c>
      <c r="I763" s="16" t="str">
        <f>IF(B763=0,"",COUNTIFS('Extração'!R:R,"Igual",'Extração'!L:L,A763)/B763)</f>
        <v/>
      </c>
    </row>
    <row r="764">
      <c r="B764" s="16">
        <f>COUNTIF('Extração'!L:L,A764)</f>
        <v>0</v>
      </c>
      <c r="C764" s="16" t="str">
        <f>IF(B764=0,"",COUNTIFS('Extração'!P:P,"Sim",'Extração'!L:L,A764)/B764)</f>
        <v/>
      </c>
      <c r="D764" s="16" t="str">
        <f>IF(B764=0,"",COUNTIFS('Extração'!Q:Q,"Sim",'Extração'!L:L,A764)/B764)</f>
        <v/>
      </c>
      <c r="E764" s="16" t="str">
        <f>IF(B764=0,"",COUNTIFS('Extração'!P:P,"Parcialmente",'Extração'!L:L,A764)/B764)</f>
        <v/>
      </c>
      <c r="F764" s="16" t="str">
        <f>IF(B764=0,"",COUNTIFS('Extração'!Q:Q,"Parcialmente",'Extração'!L:L,A764)/B764)</f>
        <v/>
      </c>
      <c r="G764" s="16" t="str">
        <f>IF(B764=0,"",COUNTIFS('Extração'!P:P,"Não",'Extração'!L:L,A764)/B764)</f>
        <v/>
      </c>
      <c r="H764" s="16" t="str">
        <f>IF(B764=0,"",COUNTIFS('Extração'!Q:Q,"Não",'Extração'!L:L,A764)/B764)</f>
        <v/>
      </c>
      <c r="I764" s="16" t="str">
        <f>IF(B764=0,"",COUNTIFS('Extração'!R:R,"Igual",'Extração'!L:L,A764)/B764)</f>
        <v/>
      </c>
    </row>
    <row r="765">
      <c r="B765" s="16">
        <f>COUNTIF('Extração'!L:L,A765)</f>
        <v>0</v>
      </c>
      <c r="C765" s="16" t="str">
        <f>IF(B765=0,"",COUNTIFS('Extração'!P:P,"Sim",'Extração'!L:L,A765)/B765)</f>
        <v/>
      </c>
      <c r="D765" s="16" t="str">
        <f>IF(B765=0,"",COUNTIFS('Extração'!Q:Q,"Sim",'Extração'!L:L,A765)/B765)</f>
        <v/>
      </c>
      <c r="E765" s="16" t="str">
        <f>IF(B765=0,"",COUNTIFS('Extração'!P:P,"Parcialmente",'Extração'!L:L,A765)/B765)</f>
        <v/>
      </c>
      <c r="F765" s="16" t="str">
        <f>IF(B765=0,"",COUNTIFS('Extração'!Q:Q,"Parcialmente",'Extração'!L:L,A765)/B765)</f>
        <v/>
      </c>
      <c r="G765" s="16" t="str">
        <f>IF(B765=0,"",COUNTIFS('Extração'!P:P,"Não",'Extração'!L:L,A765)/B765)</f>
        <v/>
      </c>
      <c r="H765" s="16" t="str">
        <f>IF(B765=0,"",COUNTIFS('Extração'!Q:Q,"Não",'Extração'!L:L,A765)/B765)</f>
        <v/>
      </c>
      <c r="I765" s="16" t="str">
        <f>IF(B765=0,"",COUNTIFS('Extração'!R:R,"Igual",'Extração'!L:L,A765)/B765)</f>
        <v/>
      </c>
    </row>
    <row r="766">
      <c r="B766" s="16">
        <f>COUNTIF('Extração'!L:L,A766)</f>
        <v>0</v>
      </c>
      <c r="C766" s="16" t="str">
        <f>IF(B766=0,"",COUNTIFS('Extração'!P:P,"Sim",'Extração'!L:L,A766)/B766)</f>
        <v/>
      </c>
      <c r="D766" s="16" t="str">
        <f>IF(B766=0,"",COUNTIFS('Extração'!Q:Q,"Sim",'Extração'!L:L,A766)/B766)</f>
        <v/>
      </c>
      <c r="E766" s="16" t="str">
        <f>IF(B766=0,"",COUNTIFS('Extração'!P:P,"Parcialmente",'Extração'!L:L,A766)/B766)</f>
        <v/>
      </c>
      <c r="F766" s="16" t="str">
        <f>IF(B766=0,"",COUNTIFS('Extração'!Q:Q,"Parcialmente",'Extração'!L:L,A766)/B766)</f>
        <v/>
      </c>
      <c r="G766" s="16" t="str">
        <f>IF(B766=0,"",COUNTIFS('Extração'!P:P,"Não",'Extração'!L:L,A766)/B766)</f>
        <v/>
      </c>
      <c r="H766" s="16" t="str">
        <f>IF(B766=0,"",COUNTIFS('Extração'!Q:Q,"Não",'Extração'!L:L,A766)/B766)</f>
        <v/>
      </c>
      <c r="I766" s="16" t="str">
        <f>IF(B766=0,"",COUNTIFS('Extração'!R:R,"Igual",'Extração'!L:L,A766)/B766)</f>
        <v/>
      </c>
    </row>
    <row r="767">
      <c r="B767" s="16">
        <f>COUNTIF('Extração'!L:L,A767)</f>
        <v>0</v>
      </c>
      <c r="C767" s="16" t="str">
        <f>IF(B767=0,"",COUNTIFS('Extração'!P:P,"Sim",'Extração'!L:L,A767)/B767)</f>
        <v/>
      </c>
      <c r="D767" s="16" t="str">
        <f>IF(B767=0,"",COUNTIFS('Extração'!Q:Q,"Sim",'Extração'!L:L,A767)/B767)</f>
        <v/>
      </c>
      <c r="E767" s="16" t="str">
        <f>IF(B767=0,"",COUNTIFS('Extração'!P:P,"Parcialmente",'Extração'!L:L,A767)/B767)</f>
        <v/>
      </c>
      <c r="F767" s="16" t="str">
        <f>IF(B767=0,"",COUNTIFS('Extração'!Q:Q,"Parcialmente",'Extração'!L:L,A767)/B767)</f>
        <v/>
      </c>
      <c r="G767" s="16" t="str">
        <f>IF(B767=0,"",COUNTIFS('Extração'!P:P,"Não",'Extração'!L:L,A767)/B767)</f>
        <v/>
      </c>
      <c r="H767" s="16" t="str">
        <f>IF(B767=0,"",COUNTIFS('Extração'!Q:Q,"Não",'Extração'!L:L,A767)/B767)</f>
        <v/>
      </c>
      <c r="I767" s="16" t="str">
        <f>IF(B767=0,"",COUNTIFS('Extração'!R:R,"Igual",'Extração'!L:L,A767)/B767)</f>
        <v/>
      </c>
    </row>
    <row r="768">
      <c r="B768" s="16">
        <f>COUNTIF('Extração'!L:L,A768)</f>
        <v>0</v>
      </c>
      <c r="C768" s="16" t="str">
        <f>IF(B768=0,"",COUNTIFS('Extração'!P:P,"Sim",'Extração'!L:L,A768)/B768)</f>
        <v/>
      </c>
      <c r="D768" s="16" t="str">
        <f>IF(B768=0,"",COUNTIFS('Extração'!Q:Q,"Sim",'Extração'!L:L,A768)/B768)</f>
        <v/>
      </c>
      <c r="E768" s="16" t="str">
        <f>IF(B768=0,"",COUNTIFS('Extração'!P:P,"Parcialmente",'Extração'!L:L,A768)/B768)</f>
        <v/>
      </c>
      <c r="F768" s="16" t="str">
        <f>IF(B768=0,"",COUNTIFS('Extração'!Q:Q,"Parcialmente",'Extração'!L:L,A768)/B768)</f>
        <v/>
      </c>
      <c r="G768" s="16" t="str">
        <f>IF(B768=0,"",COUNTIFS('Extração'!P:P,"Não",'Extração'!L:L,A768)/B768)</f>
        <v/>
      </c>
      <c r="H768" s="16" t="str">
        <f>IF(B768=0,"",COUNTIFS('Extração'!Q:Q,"Não",'Extração'!L:L,A768)/B768)</f>
        <v/>
      </c>
      <c r="I768" s="16" t="str">
        <f>IF(B768=0,"",COUNTIFS('Extração'!R:R,"Igual",'Extração'!L:L,A768)/B768)</f>
        <v/>
      </c>
    </row>
    <row r="769">
      <c r="B769" s="16">
        <f>COUNTIF('Extração'!L:L,A769)</f>
        <v>0</v>
      </c>
      <c r="C769" s="16" t="str">
        <f>IF(B769=0,"",COUNTIFS('Extração'!P:P,"Sim",'Extração'!L:L,A769)/B769)</f>
        <v/>
      </c>
      <c r="D769" s="16" t="str">
        <f>IF(B769=0,"",COUNTIFS('Extração'!Q:Q,"Sim",'Extração'!L:L,A769)/B769)</f>
        <v/>
      </c>
      <c r="E769" s="16" t="str">
        <f>IF(B769=0,"",COUNTIFS('Extração'!P:P,"Parcialmente",'Extração'!L:L,A769)/B769)</f>
        <v/>
      </c>
      <c r="F769" s="16" t="str">
        <f>IF(B769=0,"",COUNTIFS('Extração'!Q:Q,"Parcialmente",'Extração'!L:L,A769)/B769)</f>
        <v/>
      </c>
      <c r="G769" s="16" t="str">
        <f>IF(B769=0,"",COUNTIFS('Extração'!P:P,"Não",'Extração'!L:L,A769)/B769)</f>
        <v/>
      </c>
      <c r="H769" s="16" t="str">
        <f>IF(B769=0,"",COUNTIFS('Extração'!Q:Q,"Não",'Extração'!L:L,A769)/B769)</f>
        <v/>
      </c>
      <c r="I769" s="16" t="str">
        <f>IF(B769=0,"",COUNTIFS('Extração'!R:R,"Igual",'Extração'!L:L,A769)/B769)</f>
        <v/>
      </c>
    </row>
    <row r="770">
      <c r="B770" s="16">
        <f>COUNTIF('Extração'!L:L,A770)</f>
        <v>0</v>
      </c>
      <c r="C770" s="16" t="str">
        <f>IF(B770=0,"",COUNTIFS('Extração'!P:P,"Sim",'Extração'!L:L,A770)/B770)</f>
        <v/>
      </c>
      <c r="D770" s="16" t="str">
        <f>IF(B770=0,"",COUNTIFS('Extração'!Q:Q,"Sim",'Extração'!L:L,A770)/B770)</f>
        <v/>
      </c>
      <c r="E770" s="16" t="str">
        <f>IF(B770=0,"",COUNTIFS('Extração'!P:P,"Parcialmente",'Extração'!L:L,A770)/B770)</f>
        <v/>
      </c>
      <c r="F770" s="16" t="str">
        <f>IF(B770=0,"",COUNTIFS('Extração'!Q:Q,"Parcialmente",'Extração'!L:L,A770)/B770)</f>
        <v/>
      </c>
      <c r="G770" s="16" t="str">
        <f>IF(B770=0,"",COUNTIFS('Extração'!P:P,"Não",'Extração'!L:L,A770)/B770)</f>
        <v/>
      </c>
      <c r="H770" s="16" t="str">
        <f>IF(B770=0,"",COUNTIFS('Extração'!Q:Q,"Não",'Extração'!L:L,A770)/B770)</f>
        <v/>
      </c>
      <c r="I770" s="16" t="str">
        <f>IF(B770=0,"",COUNTIFS('Extração'!R:R,"Igual",'Extração'!L:L,A770)/B770)</f>
        <v/>
      </c>
    </row>
    <row r="771">
      <c r="B771" s="16">
        <f>COUNTIF('Extração'!L:L,A771)</f>
        <v>0</v>
      </c>
      <c r="C771" s="16" t="str">
        <f>IF(B771=0,"",COUNTIFS('Extração'!P:P,"Sim",'Extração'!L:L,A771)/B771)</f>
        <v/>
      </c>
      <c r="D771" s="16" t="str">
        <f>IF(B771=0,"",COUNTIFS('Extração'!Q:Q,"Sim",'Extração'!L:L,A771)/B771)</f>
        <v/>
      </c>
      <c r="E771" s="16" t="str">
        <f>IF(B771=0,"",COUNTIFS('Extração'!P:P,"Parcialmente",'Extração'!L:L,A771)/B771)</f>
        <v/>
      </c>
      <c r="F771" s="16" t="str">
        <f>IF(B771=0,"",COUNTIFS('Extração'!Q:Q,"Parcialmente",'Extração'!L:L,A771)/B771)</f>
        <v/>
      </c>
      <c r="G771" s="16" t="str">
        <f>IF(B771=0,"",COUNTIFS('Extração'!P:P,"Não",'Extração'!L:L,A771)/B771)</f>
        <v/>
      </c>
      <c r="H771" s="16" t="str">
        <f>IF(B771=0,"",COUNTIFS('Extração'!Q:Q,"Não",'Extração'!L:L,A771)/B771)</f>
        <v/>
      </c>
      <c r="I771" s="16" t="str">
        <f>IF(B771=0,"",COUNTIFS('Extração'!R:R,"Igual",'Extração'!L:L,A771)/B771)</f>
        <v/>
      </c>
    </row>
    <row r="772">
      <c r="B772" s="16">
        <f>COUNTIF('Extração'!L:L,A772)</f>
        <v>0</v>
      </c>
      <c r="C772" s="16" t="str">
        <f>IF(B772=0,"",COUNTIFS('Extração'!P:P,"Sim",'Extração'!L:L,A772)/B772)</f>
        <v/>
      </c>
      <c r="D772" s="16" t="str">
        <f>IF(B772=0,"",COUNTIFS('Extração'!Q:Q,"Sim",'Extração'!L:L,A772)/B772)</f>
        <v/>
      </c>
      <c r="E772" s="16" t="str">
        <f>IF(B772=0,"",COUNTIFS('Extração'!P:P,"Parcialmente",'Extração'!L:L,A772)/B772)</f>
        <v/>
      </c>
      <c r="F772" s="16" t="str">
        <f>IF(B772=0,"",COUNTIFS('Extração'!Q:Q,"Parcialmente",'Extração'!L:L,A772)/B772)</f>
        <v/>
      </c>
      <c r="G772" s="16" t="str">
        <f>IF(B772=0,"",COUNTIFS('Extração'!P:P,"Não",'Extração'!L:L,A772)/B772)</f>
        <v/>
      </c>
      <c r="H772" s="16" t="str">
        <f>IF(B772=0,"",COUNTIFS('Extração'!Q:Q,"Não",'Extração'!L:L,A772)/B772)</f>
        <v/>
      </c>
      <c r="I772" s="16" t="str">
        <f>IF(B772=0,"",COUNTIFS('Extração'!R:R,"Igual",'Extração'!L:L,A772)/B772)</f>
        <v/>
      </c>
    </row>
    <row r="773">
      <c r="B773" s="16">
        <f>COUNTIF('Extração'!L:L,A773)</f>
        <v>0</v>
      </c>
      <c r="C773" s="16" t="str">
        <f>IF(B773=0,"",COUNTIFS('Extração'!P:P,"Sim",'Extração'!L:L,A773)/B773)</f>
        <v/>
      </c>
      <c r="D773" s="16" t="str">
        <f>IF(B773=0,"",COUNTIFS('Extração'!Q:Q,"Sim",'Extração'!L:L,A773)/B773)</f>
        <v/>
      </c>
      <c r="E773" s="16" t="str">
        <f>IF(B773=0,"",COUNTIFS('Extração'!P:P,"Parcialmente",'Extração'!L:L,A773)/B773)</f>
        <v/>
      </c>
      <c r="F773" s="16" t="str">
        <f>IF(B773=0,"",COUNTIFS('Extração'!Q:Q,"Parcialmente",'Extração'!L:L,A773)/B773)</f>
        <v/>
      </c>
      <c r="G773" s="16" t="str">
        <f>IF(B773=0,"",COUNTIFS('Extração'!P:P,"Não",'Extração'!L:L,A773)/B773)</f>
        <v/>
      </c>
      <c r="H773" s="16" t="str">
        <f>IF(B773=0,"",COUNTIFS('Extração'!Q:Q,"Não",'Extração'!L:L,A773)/B773)</f>
        <v/>
      </c>
      <c r="I773" s="16" t="str">
        <f>IF(B773=0,"",COUNTIFS('Extração'!R:R,"Igual",'Extração'!L:L,A773)/B773)</f>
        <v/>
      </c>
    </row>
    <row r="774">
      <c r="B774" s="16">
        <f>COUNTIF('Extração'!L:L,A774)</f>
        <v>0</v>
      </c>
      <c r="C774" s="16" t="str">
        <f>IF(B774=0,"",COUNTIFS('Extração'!P:P,"Sim",'Extração'!L:L,A774)/B774)</f>
        <v/>
      </c>
      <c r="D774" s="16" t="str">
        <f>IF(B774=0,"",COUNTIFS('Extração'!Q:Q,"Sim",'Extração'!L:L,A774)/B774)</f>
        <v/>
      </c>
      <c r="E774" s="16" t="str">
        <f>IF(B774=0,"",COUNTIFS('Extração'!P:P,"Parcialmente",'Extração'!L:L,A774)/B774)</f>
        <v/>
      </c>
      <c r="F774" s="16" t="str">
        <f>IF(B774=0,"",COUNTIFS('Extração'!Q:Q,"Parcialmente",'Extração'!L:L,A774)/B774)</f>
        <v/>
      </c>
      <c r="G774" s="16" t="str">
        <f>IF(B774=0,"",COUNTIFS('Extração'!P:P,"Não",'Extração'!L:L,A774)/B774)</f>
        <v/>
      </c>
      <c r="H774" s="16" t="str">
        <f>IF(B774=0,"",COUNTIFS('Extração'!Q:Q,"Não",'Extração'!L:L,A774)/B774)</f>
        <v/>
      </c>
      <c r="I774" s="16" t="str">
        <f>IF(B774=0,"",COUNTIFS('Extração'!R:R,"Igual",'Extração'!L:L,A774)/B774)</f>
        <v/>
      </c>
    </row>
    <row r="775">
      <c r="B775" s="16">
        <f>COUNTIF('Extração'!L:L,A775)</f>
        <v>0</v>
      </c>
      <c r="C775" s="16" t="str">
        <f>IF(B775=0,"",COUNTIFS('Extração'!P:P,"Sim",'Extração'!L:L,A775)/B775)</f>
        <v/>
      </c>
      <c r="D775" s="16" t="str">
        <f>IF(B775=0,"",COUNTIFS('Extração'!Q:Q,"Sim",'Extração'!L:L,A775)/B775)</f>
        <v/>
      </c>
      <c r="E775" s="16" t="str">
        <f>IF(B775=0,"",COUNTIFS('Extração'!P:P,"Parcialmente",'Extração'!L:L,A775)/B775)</f>
        <v/>
      </c>
      <c r="F775" s="16" t="str">
        <f>IF(B775=0,"",COUNTIFS('Extração'!Q:Q,"Parcialmente",'Extração'!L:L,A775)/B775)</f>
        <v/>
      </c>
      <c r="G775" s="16" t="str">
        <f>IF(B775=0,"",COUNTIFS('Extração'!P:P,"Não",'Extração'!L:L,A775)/B775)</f>
        <v/>
      </c>
      <c r="H775" s="16" t="str">
        <f>IF(B775=0,"",COUNTIFS('Extração'!Q:Q,"Não",'Extração'!L:L,A775)/B775)</f>
        <v/>
      </c>
      <c r="I775" s="16" t="str">
        <f>IF(B775=0,"",COUNTIFS('Extração'!R:R,"Igual",'Extração'!L:L,A775)/B775)</f>
        <v/>
      </c>
    </row>
    <row r="776">
      <c r="B776" s="16">
        <f>COUNTIF('Extração'!L:L,A776)</f>
        <v>0</v>
      </c>
      <c r="C776" s="16" t="str">
        <f>IF(B776=0,"",COUNTIFS('Extração'!P:P,"Sim",'Extração'!L:L,A776)/B776)</f>
        <v/>
      </c>
      <c r="D776" s="16" t="str">
        <f>IF(B776=0,"",COUNTIFS('Extração'!Q:Q,"Sim",'Extração'!L:L,A776)/B776)</f>
        <v/>
      </c>
      <c r="E776" s="16" t="str">
        <f>IF(B776=0,"",COUNTIFS('Extração'!P:P,"Parcialmente",'Extração'!L:L,A776)/B776)</f>
        <v/>
      </c>
      <c r="F776" s="16" t="str">
        <f>IF(B776=0,"",COUNTIFS('Extração'!Q:Q,"Parcialmente",'Extração'!L:L,A776)/B776)</f>
        <v/>
      </c>
      <c r="G776" s="16" t="str">
        <f>IF(B776=0,"",COUNTIFS('Extração'!P:P,"Não",'Extração'!L:L,A776)/B776)</f>
        <v/>
      </c>
      <c r="H776" s="16" t="str">
        <f>IF(B776=0,"",COUNTIFS('Extração'!Q:Q,"Não",'Extração'!L:L,A776)/B776)</f>
        <v/>
      </c>
      <c r="I776" s="16" t="str">
        <f>IF(B776=0,"",COUNTIFS('Extração'!R:R,"Igual",'Extração'!L:L,A776)/B776)</f>
        <v/>
      </c>
    </row>
    <row r="777">
      <c r="B777" s="16">
        <f>COUNTIF('Extração'!L:L,A777)</f>
        <v>0</v>
      </c>
      <c r="C777" s="16" t="str">
        <f>IF(B777=0,"",COUNTIFS('Extração'!P:P,"Sim",'Extração'!L:L,A777)/B777)</f>
        <v/>
      </c>
      <c r="D777" s="16" t="str">
        <f>IF(B777=0,"",COUNTIFS('Extração'!Q:Q,"Sim",'Extração'!L:L,A777)/B777)</f>
        <v/>
      </c>
      <c r="E777" s="16" t="str">
        <f>IF(B777=0,"",COUNTIFS('Extração'!P:P,"Parcialmente",'Extração'!L:L,A777)/B777)</f>
        <v/>
      </c>
      <c r="F777" s="16" t="str">
        <f>IF(B777=0,"",COUNTIFS('Extração'!Q:Q,"Parcialmente",'Extração'!L:L,A777)/B777)</f>
        <v/>
      </c>
      <c r="G777" s="16" t="str">
        <f>IF(B777=0,"",COUNTIFS('Extração'!P:P,"Não",'Extração'!L:L,A777)/B777)</f>
        <v/>
      </c>
      <c r="H777" s="16" t="str">
        <f>IF(B777=0,"",COUNTIFS('Extração'!Q:Q,"Não",'Extração'!L:L,A777)/B777)</f>
        <v/>
      </c>
      <c r="I777" s="16" t="str">
        <f>IF(B777=0,"",COUNTIFS('Extração'!R:R,"Igual",'Extração'!L:L,A777)/B777)</f>
        <v/>
      </c>
    </row>
    <row r="778">
      <c r="B778" s="16">
        <f>COUNTIF('Extração'!L:L,A778)</f>
        <v>0</v>
      </c>
      <c r="C778" s="16" t="str">
        <f>IF(B778=0,"",COUNTIFS('Extração'!P:P,"Sim",'Extração'!L:L,A778)/B778)</f>
        <v/>
      </c>
      <c r="D778" s="16" t="str">
        <f>IF(B778=0,"",COUNTIFS('Extração'!Q:Q,"Sim",'Extração'!L:L,A778)/B778)</f>
        <v/>
      </c>
      <c r="E778" s="16" t="str">
        <f>IF(B778=0,"",COUNTIFS('Extração'!P:P,"Parcialmente",'Extração'!L:L,A778)/B778)</f>
        <v/>
      </c>
      <c r="F778" s="16" t="str">
        <f>IF(B778=0,"",COUNTIFS('Extração'!Q:Q,"Parcialmente",'Extração'!L:L,A778)/B778)</f>
        <v/>
      </c>
      <c r="G778" s="16" t="str">
        <f>IF(B778=0,"",COUNTIFS('Extração'!P:P,"Não",'Extração'!L:L,A778)/B778)</f>
        <v/>
      </c>
      <c r="H778" s="16" t="str">
        <f>IF(B778=0,"",COUNTIFS('Extração'!Q:Q,"Não",'Extração'!L:L,A778)/B778)</f>
        <v/>
      </c>
      <c r="I778" s="16" t="str">
        <f>IF(B778=0,"",COUNTIFS('Extração'!R:R,"Igual",'Extração'!L:L,A778)/B778)</f>
        <v/>
      </c>
    </row>
    <row r="779">
      <c r="B779" s="16">
        <f>COUNTIF('Extração'!L:L,A779)</f>
        <v>0</v>
      </c>
      <c r="C779" s="16" t="str">
        <f>IF(B779=0,"",COUNTIFS('Extração'!P:P,"Sim",'Extração'!L:L,A779)/B779)</f>
        <v/>
      </c>
      <c r="D779" s="16" t="str">
        <f>IF(B779=0,"",COUNTIFS('Extração'!Q:Q,"Sim",'Extração'!L:L,A779)/B779)</f>
        <v/>
      </c>
      <c r="E779" s="16" t="str">
        <f>IF(B779=0,"",COUNTIFS('Extração'!P:P,"Parcialmente",'Extração'!L:L,A779)/B779)</f>
        <v/>
      </c>
      <c r="F779" s="16" t="str">
        <f>IF(B779=0,"",COUNTIFS('Extração'!Q:Q,"Parcialmente",'Extração'!L:L,A779)/B779)</f>
        <v/>
      </c>
      <c r="G779" s="16" t="str">
        <f>IF(B779=0,"",COUNTIFS('Extração'!P:P,"Não",'Extração'!L:L,A779)/B779)</f>
        <v/>
      </c>
      <c r="H779" s="16" t="str">
        <f>IF(B779=0,"",COUNTIFS('Extração'!Q:Q,"Não",'Extração'!L:L,A779)/B779)</f>
        <v/>
      </c>
      <c r="I779" s="16" t="str">
        <f>IF(B779=0,"",COUNTIFS('Extração'!R:R,"Igual",'Extração'!L:L,A779)/B779)</f>
        <v/>
      </c>
    </row>
    <row r="780">
      <c r="B780" s="16">
        <f>COUNTIF('Extração'!L:L,A780)</f>
        <v>0</v>
      </c>
      <c r="C780" s="16" t="str">
        <f>IF(B780=0,"",COUNTIFS('Extração'!P:P,"Sim",'Extração'!L:L,A780)/B780)</f>
        <v/>
      </c>
      <c r="D780" s="16" t="str">
        <f>IF(B780=0,"",COUNTIFS('Extração'!Q:Q,"Sim",'Extração'!L:L,A780)/B780)</f>
        <v/>
      </c>
      <c r="E780" s="16" t="str">
        <f>IF(B780=0,"",COUNTIFS('Extração'!P:P,"Parcialmente",'Extração'!L:L,A780)/B780)</f>
        <v/>
      </c>
      <c r="F780" s="16" t="str">
        <f>IF(B780=0,"",COUNTIFS('Extração'!Q:Q,"Parcialmente",'Extração'!L:L,A780)/B780)</f>
        <v/>
      </c>
      <c r="G780" s="16" t="str">
        <f>IF(B780=0,"",COUNTIFS('Extração'!P:P,"Não",'Extração'!L:L,A780)/B780)</f>
        <v/>
      </c>
      <c r="H780" s="16" t="str">
        <f>IF(B780=0,"",COUNTIFS('Extração'!Q:Q,"Não",'Extração'!L:L,A780)/B780)</f>
        <v/>
      </c>
      <c r="I780" s="16" t="str">
        <f>IF(B780=0,"",COUNTIFS('Extração'!R:R,"Igual",'Extração'!L:L,A780)/B780)</f>
        <v/>
      </c>
    </row>
    <row r="781">
      <c r="B781" s="16">
        <f>COUNTIF('Extração'!L:L,A781)</f>
        <v>0</v>
      </c>
      <c r="C781" s="16" t="str">
        <f>IF(B781=0,"",COUNTIFS('Extração'!P:P,"Sim",'Extração'!L:L,A781)/B781)</f>
        <v/>
      </c>
      <c r="D781" s="16" t="str">
        <f>IF(B781=0,"",COUNTIFS('Extração'!Q:Q,"Sim",'Extração'!L:L,A781)/B781)</f>
        <v/>
      </c>
      <c r="E781" s="16" t="str">
        <f>IF(B781=0,"",COUNTIFS('Extração'!P:P,"Parcialmente",'Extração'!L:L,A781)/B781)</f>
        <v/>
      </c>
      <c r="F781" s="16" t="str">
        <f>IF(B781=0,"",COUNTIFS('Extração'!Q:Q,"Parcialmente",'Extração'!L:L,A781)/B781)</f>
        <v/>
      </c>
      <c r="G781" s="16" t="str">
        <f>IF(B781=0,"",COUNTIFS('Extração'!P:P,"Não",'Extração'!L:L,A781)/B781)</f>
        <v/>
      </c>
      <c r="H781" s="16" t="str">
        <f>IF(B781=0,"",COUNTIFS('Extração'!Q:Q,"Não",'Extração'!L:L,A781)/B781)</f>
        <v/>
      </c>
      <c r="I781" s="16" t="str">
        <f>IF(B781=0,"",COUNTIFS('Extração'!R:R,"Igual",'Extração'!L:L,A781)/B781)</f>
        <v/>
      </c>
    </row>
    <row r="782">
      <c r="B782" s="16">
        <f>COUNTIF('Extração'!L:L,A782)</f>
        <v>0</v>
      </c>
      <c r="C782" s="16" t="str">
        <f>IF(B782=0,"",COUNTIFS('Extração'!P:P,"Sim",'Extração'!L:L,A782)/B782)</f>
        <v/>
      </c>
      <c r="D782" s="16" t="str">
        <f>IF(B782=0,"",COUNTIFS('Extração'!Q:Q,"Sim",'Extração'!L:L,A782)/B782)</f>
        <v/>
      </c>
      <c r="E782" s="16" t="str">
        <f>IF(B782=0,"",COUNTIFS('Extração'!P:P,"Parcialmente",'Extração'!L:L,A782)/B782)</f>
        <v/>
      </c>
      <c r="F782" s="16" t="str">
        <f>IF(B782=0,"",COUNTIFS('Extração'!Q:Q,"Parcialmente",'Extração'!L:L,A782)/B782)</f>
        <v/>
      </c>
      <c r="G782" s="16" t="str">
        <f>IF(B782=0,"",COUNTIFS('Extração'!P:P,"Não",'Extração'!L:L,A782)/B782)</f>
        <v/>
      </c>
      <c r="H782" s="16" t="str">
        <f>IF(B782=0,"",COUNTIFS('Extração'!Q:Q,"Não",'Extração'!L:L,A782)/B782)</f>
        <v/>
      </c>
      <c r="I782" s="16" t="str">
        <f>IF(B782=0,"",COUNTIFS('Extração'!R:R,"Igual",'Extração'!L:L,A782)/B782)</f>
        <v/>
      </c>
    </row>
    <row r="783">
      <c r="B783" s="16">
        <f>COUNTIF('Extração'!L:L,A783)</f>
        <v>0</v>
      </c>
      <c r="C783" s="16" t="str">
        <f>IF(B783=0,"",COUNTIFS('Extração'!P:P,"Sim",'Extração'!L:L,A783)/B783)</f>
        <v/>
      </c>
      <c r="D783" s="16" t="str">
        <f>IF(B783=0,"",COUNTIFS('Extração'!Q:Q,"Sim",'Extração'!L:L,A783)/B783)</f>
        <v/>
      </c>
      <c r="E783" s="16" t="str">
        <f>IF(B783=0,"",COUNTIFS('Extração'!P:P,"Parcialmente",'Extração'!L:L,A783)/B783)</f>
        <v/>
      </c>
      <c r="F783" s="16" t="str">
        <f>IF(B783=0,"",COUNTIFS('Extração'!Q:Q,"Parcialmente",'Extração'!L:L,A783)/B783)</f>
        <v/>
      </c>
      <c r="G783" s="16" t="str">
        <f>IF(B783=0,"",COUNTIFS('Extração'!P:P,"Não",'Extração'!L:L,A783)/B783)</f>
        <v/>
      </c>
      <c r="H783" s="16" t="str">
        <f>IF(B783=0,"",COUNTIFS('Extração'!Q:Q,"Não",'Extração'!L:L,A783)/B783)</f>
        <v/>
      </c>
      <c r="I783" s="16" t="str">
        <f>IF(B783=0,"",COUNTIFS('Extração'!R:R,"Igual",'Extração'!L:L,A783)/B783)</f>
        <v/>
      </c>
    </row>
    <row r="784">
      <c r="B784" s="16">
        <f>COUNTIF('Extração'!L:L,A784)</f>
        <v>0</v>
      </c>
      <c r="C784" s="16" t="str">
        <f>IF(B784=0,"",COUNTIFS('Extração'!P:P,"Sim",'Extração'!L:L,A784)/B784)</f>
        <v/>
      </c>
      <c r="D784" s="16" t="str">
        <f>IF(B784=0,"",COUNTIFS('Extração'!Q:Q,"Sim",'Extração'!L:L,A784)/B784)</f>
        <v/>
      </c>
      <c r="E784" s="16" t="str">
        <f>IF(B784=0,"",COUNTIFS('Extração'!P:P,"Parcialmente",'Extração'!L:L,A784)/B784)</f>
        <v/>
      </c>
      <c r="F784" s="16" t="str">
        <f>IF(B784=0,"",COUNTIFS('Extração'!Q:Q,"Parcialmente",'Extração'!L:L,A784)/B784)</f>
        <v/>
      </c>
      <c r="G784" s="16" t="str">
        <f>IF(B784=0,"",COUNTIFS('Extração'!P:P,"Não",'Extração'!L:L,A784)/B784)</f>
        <v/>
      </c>
      <c r="H784" s="16" t="str">
        <f>IF(B784=0,"",COUNTIFS('Extração'!Q:Q,"Não",'Extração'!L:L,A784)/B784)</f>
        <v/>
      </c>
      <c r="I784" s="16" t="str">
        <f>IF(B784=0,"",COUNTIFS('Extração'!R:R,"Igual",'Extração'!L:L,A784)/B784)</f>
        <v/>
      </c>
    </row>
    <row r="785">
      <c r="B785" s="16">
        <f>COUNTIF('Extração'!L:L,A785)</f>
        <v>0</v>
      </c>
      <c r="C785" s="16" t="str">
        <f>IF(B785=0,"",COUNTIFS('Extração'!P:P,"Sim",'Extração'!L:L,A785)/B785)</f>
        <v/>
      </c>
      <c r="D785" s="16" t="str">
        <f>IF(B785=0,"",COUNTIFS('Extração'!Q:Q,"Sim",'Extração'!L:L,A785)/B785)</f>
        <v/>
      </c>
      <c r="E785" s="16" t="str">
        <f>IF(B785=0,"",COUNTIFS('Extração'!P:P,"Parcialmente",'Extração'!L:L,A785)/B785)</f>
        <v/>
      </c>
      <c r="F785" s="16" t="str">
        <f>IF(B785=0,"",COUNTIFS('Extração'!Q:Q,"Parcialmente",'Extração'!L:L,A785)/B785)</f>
        <v/>
      </c>
      <c r="G785" s="16" t="str">
        <f>IF(B785=0,"",COUNTIFS('Extração'!P:P,"Não",'Extração'!L:L,A785)/B785)</f>
        <v/>
      </c>
      <c r="H785" s="16" t="str">
        <f>IF(B785=0,"",COUNTIFS('Extração'!Q:Q,"Não",'Extração'!L:L,A785)/B785)</f>
        <v/>
      </c>
      <c r="I785" s="16" t="str">
        <f>IF(B785=0,"",COUNTIFS('Extração'!R:R,"Igual",'Extração'!L:L,A785)/B785)</f>
        <v/>
      </c>
    </row>
    <row r="786">
      <c r="B786" s="16">
        <f>COUNTIF('Extração'!L:L,A786)</f>
        <v>0</v>
      </c>
      <c r="C786" s="16" t="str">
        <f>IF(B786=0,"",COUNTIFS('Extração'!P:P,"Sim",'Extração'!L:L,A786)/B786)</f>
        <v/>
      </c>
      <c r="D786" s="16" t="str">
        <f>IF(B786=0,"",COUNTIFS('Extração'!Q:Q,"Sim",'Extração'!L:L,A786)/B786)</f>
        <v/>
      </c>
      <c r="E786" s="16" t="str">
        <f>IF(B786=0,"",COUNTIFS('Extração'!P:P,"Parcialmente",'Extração'!L:L,A786)/B786)</f>
        <v/>
      </c>
      <c r="F786" s="16" t="str">
        <f>IF(B786=0,"",COUNTIFS('Extração'!Q:Q,"Parcialmente",'Extração'!L:L,A786)/B786)</f>
        <v/>
      </c>
      <c r="G786" s="16" t="str">
        <f>IF(B786=0,"",COUNTIFS('Extração'!P:P,"Não",'Extração'!L:L,A786)/B786)</f>
        <v/>
      </c>
      <c r="H786" s="16" t="str">
        <f>IF(B786=0,"",COUNTIFS('Extração'!Q:Q,"Não",'Extração'!L:L,A786)/B786)</f>
        <v/>
      </c>
      <c r="I786" s="16" t="str">
        <f>IF(B786=0,"",COUNTIFS('Extração'!R:R,"Igual",'Extração'!L:L,A786)/B786)</f>
        <v/>
      </c>
    </row>
    <row r="787">
      <c r="B787" s="16">
        <f>COUNTIF('Extração'!L:L,A787)</f>
        <v>0</v>
      </c>
      <c r="C787" s="16" t="str">
        <f>IF(B787=0,"",COUNTIFS('Extração'!P:P,"Sim",'Extração'!L:L,A787)/B787)</f>
        <v/>
      </c>
      <c r="D787" s="16" t="str">
        <f>IF(B787=0,"",COUNTIFS('Extração'!Q:Q,"Sim",'Extração'!L:L,A787)/B787)</f>
        <v/>
      </c>
      <c r="E787" s="16" t="str">
        <f>IF(B787=0,"",COUNTIFS('Extração'!P:P,"Parcialmente",'Extração'!L:L,A787)/B787)</f>
        <v/>
      </c>
      <c r="F787" s="16" t="str">
        <f>IF(B787=0,"",COUNTIFS('Extração'!Q:Q,"Parcialmente",'Extração'!L:L,A787)/B787)</f>
        <v/>
      </c>
      <c r="G787" s="16" t="str">
        <f>IF(B787=0,"",COUNTIFS('Extração'!P:P,"Não",'Extração'!L:L,A787)/B787)</f>
        <v/>
      </c>
      <c r="H787" s="16" t="str">
        <f>IF(B787=0,"",COUNTIFS('Extração'!Q:Q,"Não",'Extração'!L:L,A787)/B787)</f>
        <v/>
      </c>
      <c r="I787" s="16" t="str">
        <f>IF(B787=0,"",COUNTIFS('Extração'!R:R,"Igual",'Extração'!L:L,A787)/B787)</f>
        <v/>
      </c>
    </row>
    <row r="788">
      <c r="B788" s="16">
        <f>COUNTIF('Extração'!L:L,A788)</f>
        <v>0</v>
      </c>
      <c r="C788" s="16" t="str">
        <f>IF(B788=0,"",COUNTIFS('Extração'!P:P,"Sim",'Extração'!L:L,A788)/B788)</f>
        <v/>
      </c>
      <c r="D788" s="16" t="str">
        <f>IF(B788=0,"",COUNTIFS('Extração'!Q:Q,"Sim",'Extração'!L:L,A788)/B788)</f>
        <v/>
      </c>
      <c r="E788" s="16" t="str">
        <f>IF(B788=0,"",COUNTIFS('Extração'!P:P,"Parcialmente",'Extração'!L:L,A788)/B788)</f>
        <v/>
      </c>
      <c r="F788" s="16" t="str">
        <f>IF(B788=0,"",COUNTIFS('Extração'!Q:Q,"Parcialmente",'Extração'!L:L,A788)/B788)</f>
        <v/>
      </c>
      <c r="G788" s="16" t="str">
        <f>IF(B788=0,"",COUNTIFS('Extração'!P:P,"Não",'Extração'!L:L,A788)/B788)</f>
        <v/>
      </c>
      <c r="H788" s="16" t="str">
        <f>IF(B788=0,"",COUNTIFS('Extração'!Q:Q,"Não",'Extração'!L:L,A788)/B788)</f>
        <v/>
      </c>
      <c r="I788" s="16" t="str">
        <f>IF(B788=0,"",COUNTIFS('Extração'!R:R,"Igual",'Extração'!L:L,A788)/B788)</f>
        <v/>
      </c>
    </row>
    <row r="789">
      <c r="B789" s="16">
        <f>COUNTIF('Extração'!L:L,A789)</f>
        <v>0</v>
      </c>
      <c r="C789" s="16" t="str">
        <f>IF(B789=0,"",COUNTIFS('Extração'!P:P,"Sim",'Extração'!L:L,A789)/B789)</f>
        <v/>
      </c>
      <c r="D789" s="16" t="str">
        <f>IF(B789=0,"",COUNTIFS('Extração'!Q:Q,"Sim",'Extração'!L:L,A789)/B789)</f>
        <v/>
      </c>
      <c r="E789" s="16" t="str">
        <f>IF(B789=0,"",COUNTIFS('Extração'!P:P,"Parcialmente",'Extração'!L:L,A789)/B789)</f>
        <v/>
      </c>
      <c r="F789" s="16" t="str">
        <f>IF(B789=0,"",COUNTIFS('Extração'!Q:Q,"Parcialmente",'Extração'!L:L,A789)/B789)</f>
        <v/>
      </c>
      <c r="G789" s="16" t="str">
        <f>IF(B789=0,"",COUNTIFS('Extração'!P:P,"Não",'Extração'!L:L,A789)/B789)</f>
        <v/>
      </c>
      <c r="H789" s="16" t="str">
        <f>IF(B789=0,"",COUNTIFS('Extração'!Q:Q,"Não",'Extração'!L:L,A789)/B789)</f>
        <v/>
      </c>
      <c r="I789" s="16" t="str">
        <f>IF(B789=0,"",COUNTIFS('Extração'!R:R,"Igual",'Extração'!L:L,A789)/B789)</f>
        <v/>
      </c>
    </row>
    <row r="790">
      <c r="B790" s="16">
        <f>COUNTIF('Extração'!L:L,A790)</f>
        <v>0</v>
      </c>
      <c r="C790" s="16" t="str">
        <f>IF(B790=0,"",COUNTIFS('Extração'!P:P,"Sim",'Extração'!L:L,A790)/B790)</f>
        <v/>
      </c>
      <c r="D790" s="16" t="str">
        <f>IF(B790=0,"",COUNTIFS('Extração'!Q:Q,"Sim",'Extração'!L:L,A790)/B790)</f>
        <v/>
      </c>
      <c r="E790" s="16" t="str">
        <f>IF(B790=0,"",COUNTIFS('Extração'!P:P,"Parcialmente",'Extração'!L:L,A790)/B790)</f>
        <v/>
      </c>
      <c r="F790" s="16" t="str">
        <f>IF(B790=0,"",COUNTIFS('Extração'!Q:Q,"Parcialmente",'Extração'!L:L,A790)/B790)</f>
        <v/>
      </c>
      <c r="G790" s="16" t="str">
        <f>IF(B790=0,"",COUNTIFS('Extração'!P:P,"Não",'Extração'!L:L,A790)/B790)</f>
        <v/>
      </c>
      <c r="H790" s="16" t="str">
        <f>IF(B790=0,"",COUNTIFS('Extração'!Q:Q,"Não",'Extração'!L:L,A790)/B790)</f>
        <v/>
      </c>
      <c r="I790" s="16" t="str">
        <f>IF(B790=0,"",COUNTIFS('Extração'!R:R,"Igual",'Extração'!L:L,A790)/B790)</f>
        <v/>
      </c>
    </row>
    <row r="791">
      <c r="B791" s="16">
        <f>COUNTIF('Extração'!L:L,A791)</f>
        <v>0</v>
      </c>
      <c r="C791" s="16" t="str">
        <f>IF(B791=0,"",COUNTIFS('Extração'!P:P,"Sim",'Extração'!L:L,A791)/B791)</f>
        <v/>
      </c>
      <c r="D791" s="16" t="str">
        <f>IF(B791=0,"",COUNTIFS('Extração'!Q:Q,"Sim",'Extração'!L:L,A791)/B791)</f>
        <v/>
      </c>
      <c r="E791" s="16" t="str">
        <f>IF(B791=0,"",COUNTIFS('Extração'!P:P,"Parcialmente",'Extração'!L:L,A791)/B791)</f>
        <v/>
      </c>
      <c r="F791" s="16" t="str">
        <f>IF(B791=0,"",COUNTIFS('Extração'!Q:Q,"Parcialmente",'Extração'!L:L,A791)/B791)</f>
        <v/>
      </c>
      <c r="G791" s="16" t="str">
        <f>IF(B791=0,"",COUNTIFS('Extração'!P:P,"Não",'Extração'!L:L,A791)/B791)</f>
        <v/>
      </c>
      <c r="H791" s="16" t="str">
        <f>IF(B791=0,"",COUNTIFS('Extração'!Q:Q,"Não",'Extração'!L:L,A791)/B791)</f>
        <v/>
      </c>
      <c r="I791" s="16" t="str">
        <f>IF(B791=0,"",COUNTIFS('Extração'!R:R,"Igual",'Extração'!L:L,A791)/B791)</f>
        <v/>
      </c>
    </row>
    <row r="792">
      <c r="B792" s="16">
        <f>COUNTIF('Extração'!L:L,A792)</f>
        <v>0</v>
      </c>
      <c r="C792" s="16" t="str">
        <f>IF(B792=0,"",COUNTIFS('Extração'!P:P,"Sim",'Extração'!L:L,A792)/B792)</f>
        <v/>
      </c>
      <c r="D792" s="16" t="str">
        <f>IF(B792=0,"",COUNTIFS('Extração'!Q:Q,"Sim",'Extração'!L:L,A792)/B792)</f>
        <v/>
      </c>
      <c r="E792" s="16" t="str">
        <f>IF(B792=0,"",COUNTIFS('Extração'!P:P,"Parcialmente",'Extração'!L:L,A792)/B792)</f>
        <v/>
      </c>
      <c r="F792" s="16" t="str">
        <f>IF(B792=0,"",COUNTIFS('Extração'!Q:Q,"Parcialmente",'Extração'!L:L,A792)/B792)</f>
        <v/>
      </c>
      <c r="G792" s="16" t="str">
        <f>IF(B792=0,"",COUNTIFS('Extração'!P:P,"Não",'Extração'!L:L,A792)/B792)</f>
        <v/>
      </c>
      <c r="H792" s="16" t="str">
        <f>IF(B792=0,"",COUNTIFS('Extração'!Q:Q,"Não",'Extração'!L:L,A792)/B792)</f>
        <v/>
      </c>
      <c r="I792" s="16" t="str">
        <f>IF(B792=0,"",COUNTIFS('Extração'!R:R,"Igual",'Extração'!L:L,A792)/B792)</f>
        <v/>
      </c>
    </row>
    <row r="793">
      <c r="B793" s="16">
        <f>COUNTIF('Extração'!L:L,A793)</f>
        <v>0</v>
      </c>
      <c r="C793" s="16" t="str">
        <f>IF(B793=0,"",COUNTIFS('Extração'!P:P,"Sim",'Extração'!L:L,A793)/B793)</f>
        <v/>
      </c>
      <c r="D793" s="16" t="str">
        <f>IF(B793=0,"",COUNTIFS('Extração'!Q:Q,"Sim",'Extração'!L:L,A793)/B793)</f>
        <v/>
      </c>
      <c r="E793" s="16" t="str">
        <f>IF(B793=0,"",COUNTIFS('Extração'!P:P,"Parcialmente",'Extração'!L:L,A793)/B793)</f>
        <v/>
      </c>
      <c r="F793" s="16" t="str">
        <f>IF(B793=0,"",COUNTIFS('Extração'!Q:Q,"Parcialmente",'Extração'!L:L,A793)/B793)</f>
        <v/>
      </c>
      <c r="G793" s="16" t="str">
        <f>IF(B793=0,"",COUNTIFS('Extração'!P:P,"Não",'Extração'!L:L,A793)/B793)</f>
        <v/>
      </c>
      <c r="H793" s="16" t="str">
        <f>IF(B793=0,"",COUNTIFS('Extração'!Q:Q,"Não",'Extração'!L:L,A793)/B793)</f>
        <v/>
      </c>
      <c r="I793" s="16" t="str">
        <f>IF(B793=0,"",COUNTIFS('Extração'!R:R,"Igual",'Extração'!L:L,A793)/B793)</f>
        <v/>
      </c>
    </row>
    <row r="794">
      <c r="B794" s="16">
        <f>COUNTIF('Extração'!L:L,A794)</f>
        <v>0</v>
      </c>
      <c r="C794" s="16" t="str">
        <f>IF(B794=0,"",COUNTIFS('Extração'!P:P,"Sim",'Extração'!L:L,A794)/B794)</f>
        <v/>
      </c>
      <c r="D794" s="16" t="str">
        <f>IF(B794=0,"",COUNTIFS('Extração'!Q:Q,"Sim",'Extração'!L:L,A794)/B794)</f>
        <v/>
      </c>
      <c r="E794" s="16" t="str">
        <f>IF(B794=0,"",COUNTIFS('Extração'!P:P,"Parcialmente",'Extração'!L:L,A794)/B794)</f>
        <v/>
      </c>
      <c r="F794" s="16" t="str">
        <f>IF(B794=0,"",COUNTIFS('Extração'!Q:Q,"Parcialmente",'Extração'!L:L,A794)/B794)</f>
        <v/>
      </c>
      <c r="G794" s="16" t="str">
        <f>IF(B794=0,"",COUNTIFS('Extração'!P:P,"Não",'Extração'!L:L,A794)/B794)</f>
        <v/>
      </c>
      <c r="H794" s="16" t="str">
        <f>IF(B794=0,"",COUNTIFS('Extração'!Q:Q,"Não",'Extração'!L:L,A794)/B794)</f>
        <v/>
      </c>
      <c r="I794" s="16" t="str">
        <f>IF(B794=0,"",COUNTIFS('Extração'!R:R,"Igual",'Extração'!L:L,A794)/B794)</f>
        <v/>
      </c>
    </row>
    <row r="795">
      <c r="B795" s="16">
        <f>COUNTIF('Extração'!L:L,A795)</f>
        <v>0</v>
      </c>
      <c r="C795" s="16" t="str">
        <f>IF(B795=0,"",COUNTIFS('Extração'!P:P,"Sim",'Extração'!L:L,A795)/B795)</f>
        <v/>
      </c>
      <c r="D795" s="16" t="str">
        <f>IF(B795=0,"",COUNTIFS('Extração'!Q:Q,"Sim",'Extração'!L:L,A795)/B795)</f>
        <v/>
      </c>
      <c r="E795" s="16" t="str">
        <f>IF(B795=0,"",COUNTIFS('Extração'!P:P,"Parcialmente",'Extração'!L:L,A795)/B795)</f>
        <v/>
      </c>
      <c r="F795" s="16" t="str">
        <f>IF(B795=0,"",COUNTIFS('Extração'!Q:Q,"Parcialmente",'Extração'!L:L,A795)/B795)</f>
        <v/>
      </c>
      <c r="G795" s="16" t="str">
        <f>IF(B795=0,"",COUNTIFS('Extração'!P:P,"Não",'Extração'!L:L,A795)/B795)</f>
        <v/>
      </c>
      <c r="H795" s="16" t="str">
        <f>IF(B795=0,"",COUNTIFS('Extração'!Q:Q,"Não",'Extração'!L:L,A795)/B795)</f>
        <v/>
      </c>
      <c r="I795" s="16" t="str">
        <f>IF(B795=0,"",COUNTIFS('Extração'!R:R,"Igual",'Extração'!L:L,A795)/B795)</f>
        <v/>
      </c>
    </row>
    <row r="796">
      <c r="B796" s="16">
        <f>COUNTIF('Extração'!L:L,A796)</f>
        <v>0</v>
      </c>
      <c r="C796" s="16" t="str">
        <f>IF(B796=0,"",COUNTIFS('Extração'!P:P,"Sim",'Extração'!L:L,A796)/B796)</f>
        <v/>
      </c>
      <c r="D796" s="16" t="str">
        <f>IF(B796=0,"",COUNTIFS('Extração'!Q:Q,"Sim",'Extração'!L:L,A796)/B796)</f>
        <v/>
      </c>
      <c r="E796" s="16" t="str">
        <f>IF(B796=0,"",COUNTIFS('Extração'!P:P,"Parcialmente",'Extração'!L:L,A796)/B796)</f>
        <v/>
      </c>
      <c r="F796" s="16" t="str">
        <f>IF(B796=0,"",COUNTIFS('Extração'!Q:Q,"Parcialmente",'Extração'!L:L,A796)/B796)</f>
        <v/>
      </c>
      <c r="G796" s="16" t="str">
        <f>IF(B796=0,"",COUNTIFS('Extração'!P:P,"Não",'Extração'!L:L,A796)/B796)</f>
        <v/>
      </c>
      <c r="H796" s="16" t="str">
        <f>IF(B796=0,"",COUNTIFS('Extração'!Q:Q,"Não",'Extração'!L:L,A796)/B796)</f>
        <v/>
      </c>
      <c r="I796" s="16" t="str">
        <f>IF(B796=0,"",COUNTIFS('Extração'!R:R,"Igual",'Extração'!L:L,A796)/B796)</f>
        <v/>
      </c>
    </row>
    <row r="797">
      <c r="B797" s="16">
        <f>COUNTIF('Extração'!L:L,A797)</f>
        <v>0</v>
      </c>
      <c r="C797" s="16" t="str">
        <f>IF(B797=0,"",COUNTIFS('Extração'!P:P,"Sim",'Extração'!L:L,A797)/B797)</f>
        <v/>
      </c>
      <c r="D797" s="16" t="str">
        <f>IF(B797=0,"",COUNTIFS('Extração'!Q:Q,"Sim",'Extração'!L:L,A797)/B797)</f>
        <v/>
      </c>
      <c r="E797" s="16" t="str">
        <f>IF(B797=0,"",COUNTIFS('Extração'!P:P,"Parcialmente",'Extração'!L:L,A797)/B797)</f>
        <v/>
      </c>
      <c r="F797" s="16" t="str">
        <f>IF(B797=0,"",COUNTIFS('Extração'!Q:Q,"Parcialmente",'Extração'!L:L,A797)/B797)</f>
        <v/>
      </c>
      <c r="G797" s="16" t="str">
        <f>IF(B797=0,"",COUNTIFS('Extração'!P:P,"Não",'Extração'!L:L,A797)/B797)</f>
        <v/>
      </c>
      <c r="H797" s="16" t="str">
        <f>IF(B797=0,"",COUNTIFS('Extração'!Q:Q,"Não",'Extração'!L:L,A797)/B797)</f>
        <v/>
      </c>
      <c r="I797" s="16" t="str">
        <f>IF(B797=0,"",COUNTIFS('Extração'!R:R,"Igual",'Extração'!L:L,A797)/B797)</f>
        <v/>
      </c>
    </row>
    <row r="798">
      <c r="B798" s="16">
        <f>COUNTIF('Extração'!L:L,A798)</f>
        <v>0</v>
      </c>
      <c r="C798" s="16" t="str">
        <f>IF(B798=0,"",COUNTIFS('Extração'!P:P,"Sim",'Extração'!L:L,A798)/B798)</f>
        <v/>
      </c>
      <c r="D798" s="16" t="str">
        <f>IF(B798=0,"",COUNTIFS('Extração'!Q:Q,"Sim",'Extração'!L:L,A798)/B798)</f>
        <v/>
      </c>
      <c r="E798" s="16" t="str">
        <f>IF(B798=0,"",COUNTIFS('Extração'!P:P,"Parcialmente",'Extração'!L:L,A798)/B798)</f>
        <v/>
      </c>
      <c r="F798" s="16" t="str">
        <f>IF(B798=0,"",COUNTIFS('Extração'!Q:Q,"Parcialmente",'Extração'!L:L,A798)/B798)</f>
        <v/>
      </c>
      <c r="G798" s="16" t="str">
        <f>IF(B798=0,"",COUNTIFS('Extração'!P:P,"Não",'Extração'!L:L,A798)/B798)</f>
        <v/>
      </c>
      <c r="H798" s="16" t="str">
        <f>IF(B798=0,"",COUNTIFS('Extração'!Q:Q,"Não",'Extração'!L:L,A798)/B798)</f>
        <v/>
      </c>
      <c r="I798" s="16" t="str">
        <f>IF(B798=0,"",COUNTIFS('Extração'!R:R,"Igual",'Extração'!L:L,A798)/B798)</f>
        <v/>
      </c>
    </row>
    <row r="799">
      <c r="B799" s="16">
        <f>COUNTIF('Extração'!L:L,A799)</f>
        <v>0</v>
      </c>
      <c r="C799" s="16" t="str">
        <f>IF(B799=0,"",COUNTIFS('Extração'!P:P,"Sim",'Extração'!L:L,A799)/B799)</f>
        <v/>
      </c>
      <c r="D799" s="16" t="str">
        <f>IF(B799=0,"",COUNTIFS('Extração'!Q:Q,"Sim",'Extração'!L:L,A799)/B799)</f>
        <v/>
      </c>
      <c r="E799" s="16" t="str">
        <f>IF(B799=0,"",COUNTIFS('Extração'!P:P,"Parcialmente",'Extração'!L:L,A799)/B799)</f>
        <v/>
      </c>
      <c r="F799" s="16" t="str">
        <f>IF(B799=0,"",COUNTIFS('Extração'!Q:Q,"Parcialmente",'Extração'!L:L,A799)/B799)</f>
        <v/>
      </c>
      <c r="G799" s="16" t="str">
        <f>IF(B799=0,"",COUNTIFS('Extração'!P:P,"Não",'Extração'!L:L,A799)/B799)</f>
        <v/>
      </c>
      <c r="H799" s="16" t="str">
        <f>IF(B799=0,"",COUNTIFS('Extração'!Q:Q,"Não",'Extração'!L:L,A799)/B799)</f>
        <v/>
      </c>
      <c r="I799" s="16" t="str">
        <f>IF(B799=0,"",COUNTIFS('Extração'!R:R,"Igual",'Extração'!L:L,A799)/B799)</f>
        <v/>
      </c>
    </row>
    <row r="800">
      <c r="B800" s="16">
        <f>COUNTIF('Extração'!L:L,A800)</f>
        <v>0</v>
      </c>
      <c r="C800" s="16" t="str">
        <f>IF(B800=0,"",COUNTIFS('Extração'!P:P,"Sim",'Extração'!L:L,A800)/B800)</f>
        <v/>
      </c>
      <c r="D800" s="16" t="str">
        <f>IF(B800=0,"",COUNTIFS('Extração'!Q:Q,"Sim",'Extração'!L:L,A800)/B800)</f>
        <v/>
      </c>
      <c r="E800" s="16" t="str">
        <f>IF(B800=0,"",COUNTIFS('Extração'!P:P,"Parcialmente",'Extração'!L:L,A800)/B800)</f>
        <v/>
      </c>
      <c r="F800" s="16" t="str">
        <f>IF(B800=0,"",COUNTIFS('Extração'!Q:Q,"Parcialmente",'Extração'!L:L,A800)/B800)</f>
        <v/>
      </c>
      <c r="G800" s="16" t="str">
        <f>IF(B800=0,"",COUNTIFS('Extração'!P:P,"Não",'Extração'!L:L,A800)/B800)</f>
        <v/>
      </c>
      <c r="H800" s="16" t="str">
        <f>IF(B800=0,"",COUNTIFS('Extração'!Q:Q,"Não",'Extração'!L:L,A800)/B800)</f>
        <v/>
      </c>
      <c r="I800" s="16" t="str">
        <f>IF(B800=0,"",COUNTIFS('Extração'!R:R,"Igual",'Extração'!L:L,A800)/B800)</f>
        <v/>
      </c>
    </row>
    <row r="801">
      <c r="B801" s="16">
        <f>COUNTIF('Extração'!L:L,A801)</f>
        <v>0</v>
      </c>
      <c r="C801" s="16" t="str">
        <f>IF(B801=0,"",COUNTIFS('Extração'!P:P,"Sim",'Extração'!L:L,A801)/B801)</f>
        <v/>
      </c>
      <c r="D801" s="16" t="str">
        <f>IF(B801=0,"",COUNTIFS('Extração'!Q:Q,"Sim",'Extração'!L:L,A801)/B801)</f>
        <v/>
      </c>
      <c r="E801" s="16" t="str">
        <f>IF(B801=0,"",COUNTIFS('Extração'!P:P,"Parcialmente",'Extração'!L:L,A801)/B801)</f>
        <v/>
      </c>
      <c r="F801" s="16" t="str">
        <f>IF(B801=0,"",COUNTIFS('Extração'!Q:Q,"Parcialmente",'Extração'!L:L,A801)/B801)</f>
        <v/>
      </c>
      <c r="G801" s="16" t="str">
        <f>IF(B801=0,"",COUNTIFS('Extração'!P:P,"Não",'Extração'!L:L,A801)/B801)</f>
        <v/>
      </c>
      <c r="H801" s="16" t="str">
        <f>IF(B801=0,"",COUNTIFS('Extração'!Q:Q,"Não",'Extração'!L:L,A801)/B801)</f>
        <v/>
      </c>
      <c r="I801" s="16" t="str">
        <f>IF(B801=0,"",COUNTIFS('Extração'!R:R,"Igual",'Extração'!L:L,A801)/B801)</f>
        <v/>
      </c>
    </row>
    <row r="802">
      <c r="B802" s="16">
        <f>COUNTIF('Extração'!L:L,A802)</f>
        <v>0</v>
      </c>
      <c r="C802" s="16" t="str">
        <f>IF(B802=0,"",COUNTIFS('Extração'!P:P,"Sim",'Extração'!L:L,A802)/B802)</f>
        <v/>
      </c>
      <c r="D802" s="16" t="str">
        <f>IF(B802=0,"",COUNTIFS('Extração'!Q:Q,"Sim",'Extração'!L:L,A802)/B802)</f>
        <v/>
      </c>
      <c r="E802" s="16" t="str">
        <f>IF(B802=0,"",COUNTIFS('Extração'!P:P,"Parcialmente",'Extração'!L:L,A802)/B802)</f>
        <v/>
      </c>
      <c r="F802" s="16" t="str">
        <f>IF(B802=0,"",COUNTIFS('Extração'!Q:Q,"Parcialmente",'Extração'!L:L,A802)/B802)</f>
        <v/>
      </c>
      <c r="G802" s="16" t="str">
        <f>IF(B802=0,"",COUNTIFS('Extração'!P:P,"Não",'Extração'!L:L,A802)/B802)</f>
        <v/>
      </c>
      <c r="H802" s="16" t="str">
        <f>IF(B802=0,"",COUNTIFS('Extração'!Q:Q,"Não",'Extração'!L:L,A802)/B802)</f>
        <v/>
      </c>
      <c r="I802" s="16" t="str">
        <f>IF(B802=0,"",COUNTIFS('Extração'!R:R,"Igual",'Extração'!L:L,A802)/B802)</f>
        <v/>
      </c>
    </row>
    <row r="803">
      <c r="B803" s="16">
        <f>COUNTIF('Extração'!L:L,A803)</f>
        <v>0</v>
      </c>
      <c r="C803" s="16" t="str">
        <f>IF(B803=0,"",COUNTIFS('Extração'!P:P,"Sim",'Extração'!L:L,A803)/B803)</f>
        <v/>
      </c>
      <c r="D803" s="16" t="str">
        <f>IF(B803=0,"",COUNTIFS('Extração'!Q:Q,"Sim",'Extração'!L:L,A803)/B803)</f>
        <v/>
      </c>
      <c r="E803" s="16" t="str">
        <f>IF(B803=0,"",COUNTIFS('Extração'!P:P,"Parcialmente",'Extração'!L:L,A803)/B803)</f>
        <v/>
      </c>
      <c r="F803" s="16" t="str">
        <f>IF(B803=0,"",COUNTIFS('Extração'!Q:Q,"Parcialmente",'Extração'!L:L,A803)/B803)</f>
        <v/>
      </c>
      <c r="G803" s="16" t="str">
        <f>IF(B803=0,"",COUNTIFS('Extração'!P:P,"Não",'Extração'!L:L,A803)/B803)</f>
        <v/>
      </c>
      <c r="H803" s="16" t="str">
        <f>IF(B803=0,"",COUNTIFS('Extração'!Q:Q,"Não",'Extração'!L:L,A803)/B803)</f>
        <v/>
      </c>
      <c r="I803" s="16" t="str">
        <f>IF(B803=0,"",COUNTIFS('Extração'!R:R,"Igual",'Extração'!L:L,A803)/B803)</f>
        <v/>
      </c>
    </row>
    <row r="804">
      <c r="B804" s="16">
        <f>COUNTIF('Extração'!L:L,A804)</f>
        <v>0</v>
      </c>
      <c r="C804" s="16" t="str">
        <f>IF(B804=0,"",COUNTIFS('Extração'!P:P,"Sim",'Extração'!L:L,A804)/B804)</f>
        <v/>
      </c>
      <c r="D804" s="16" t="str">
        <f>IF(B804=0,"",COUNTIFS('Extração'!Q:Q,"Sim",'Extração'!L:L,A804)/B804)</f>
        <v/>
      </c>
      <c r="E804" s="16" t="str">
        <f>IF(B804=0,"",COUNTIFS('Extração'!P:P,"Parcialmente",'Extração'!L:L,A804)/B804)</f>
        <v/>
      </c>
      <c r="F804" s="16" t="str">
        <f>IF(B804=0,"",COUNTIFS('Extração'!Q:Q,"Parcialmente",'Extração'!L:L,A804)/B804)</f>
        <v/>
      </c>
      <c r="G804" s="16" t="str">
        <f>IF(B804=0,"",COUNTIFS('Extração'!P:P,"Não",'Extração'!L:L,A804)/B804)</f>
        <v/>
      </c>
      <c r="H804" s="16" t="str">
        <f>IF(B804=0,"",COUNTIFS('Extração'!Q:Q,"Não",'Extração'!L:L,A804)/B804)</f>
        <v/>
      </c>
      <c r="I804" s="16" t="str">
        <f>IF(B804=0,"",COUNTIFS('Extração'!R:R,"Igual",'Extração'!L:L,A804)/B804)</f>
        <v/>
      </c>
    </row>
    <row r="805">
      <c r="B805" s="16">
        <f>COUNTIF('Extração'!L:L,A805)</f>
        <v>0</v>
      </c>
      <c r="C805" s="16" t="str">
        <f>IF(B805=0,"",COUNTIFS('Extração'!P:P,"Sim",'Extração'!L:L,A805)/B805)</f>
        <v/>
      </c>
      <c r="D805" s="16" t="str">
        <f>IF(B805=0,"",COUNTIFS('Extração'!Q:Q,"Sim",'Extração'!L:L,A805)/B805)</f>
        <v/>
      </c>
      <c r="E805" s="16" t="str">
        <f>IF(B805=0,"",COUNTIFS('Extração'!P:P,"Parcialmente",'Extração'!L:L,A805)/B805)</f>
        <v/>
      </c>
      <c r="F805" s="16" t="str">
        <f>IF(B805=0,"",COUNTIFS('Extração'!Q:Q,"Parcialmente",'Extração'!L:L,A805)/B805)</f>
        <v/>
      </c>
      <c r="G805" s="16" t="str">
        <f>IF(B805=0,"",COUNTIFS('Extração'!P:P,"Não",'Extração'!L:L,A805)/B805)</f>
        <v/>
      </c>
      <c r="H805" s="16" t="str">
        <f>IF(B805=0,"",COUNTIFS('Extração'!Q:Q,"Não",'Extração'!L:L,A805)/B805)</f>
        <v/>
      </c>
      <c r="I805" s="16" t="str">
        <f>IF(B805=0,"",COUNTIFS('Extração'!R:R,"Igual",'Extração'!L:L,A805)/B805)</f>
        <v/>
      </c>
    </row>
    <row r="806">
      <c r="B806" s="16">
        <f>COUNTIF('Extração'!L:L,A806)</f>
        <v>0</v>
      </c>
      <c r="C806" s="16" t="str">
        <f>IF(B806=0,"",COUNTIFS('Extração'!P:P,"Sim",'Extração'!L:L,A806)/B806)</f>
        <v/>
      </c>
      <c r="D806" s="16" t="str">
        <f>IF(B806=0,"",COUNTIFS('Extração'!Q:Q,"Sim",'Extração'!L:L,A806)/B806)</f>
        <v/>
      </c>
      <c r="E806" s="16" t="str">
        <f>IF(B806=0,"",COUNTIFS('Extração'!P:P,"Parcialmente",'Extração'!L:L,A806)/B806)</f>
        <v/>
      </c>
      <c r="F806" s="16" t="str">
        <f>IF(B806=0,"",COUNTIFS('Extração'!Q:Q,"Parcialmente",'Extração'!L:L,A806)/B806)</f>
        <v/>
      </c>
      <c r="G806" s="16" t="str">
        <f>IF(B806=0,"",COUNTIFS('Extração'!P:P,"Não",'Extração'!L:L,A806)/B806)</f>
        <v/>
      </c>
      <c r="H806" s="16" t="str">
        <f>IF(B806=0,"",COUNTIFS('Extração'!Q:Q,"Não",'Extração'!L:L,A806)/B806)</f>
        <v/>
      </c>
      <c r="I806" s="16" t="str">
        <f>IF(B806=0,"",COUNTIFS('Extração'!R:R,"Igual",'Extração'!L:L,A806)/B806)</f>
        <v/>
      </c>
    </row>
    <row r="807">
      <c r="B807" s="16">
        <f>COUNTIF('Extração'!L:L,A807)</f>
        <v>0</v>
      </c>
      <c r="C807" s="16" t="str">
        <f>IF(B807=0,"",COUNTIFS('Extração'!P:P,"Sim",'Extração'!L:L,A807)/B807)</f>
        <v/>
      </c>
      <c r="D807" s="16" t="str">
        <f>IF(B807=0,"",COUNTIFS('Extração'!Q:Q,"Sim",'Extração'!L:L,A807)/B807)</f>
        <v/>
      </c>
      <c r="E807" s="16" t="str">
        <f>IF(B807=0,"",COUNTIFS('Extração'!P:P,"Parcialmente",'Extração'!L:L,A807)/B807)</f>
        <v/>
      </c>
      <c r="F807" s="16" t="str">
        <f>IF(B807=0,"",COUNTIFS('Extração'!Q:Q,"Parcialmente",'Extração'!L:L,A807)/B807)</f>
        <v/>
      </c>
      <c r="G807" s="16" t="str">
        <f>IF(B807=0,"",COUNTIFS('Extração'!P:P,"Não",'Extração'!L:L,A807)/B807)</f>
        <v/>
      </c>
      <c r="H807" s="16" t="str">
        <f>IF(B807=0,"",COUNTIFS('Extração'!Q:Q,"Não",'Extração'!L:L,A807)/B807)</f>
        <v/>
      </c>
      <c r="I807" s="16" t="str">
        <f>IF(B807=0,"",COUNTIFS('Extração'!R:R,"Igual",'Extração'!L:L,A807)/B807)</f>
        <v/>
      </c>
    </row>
    <row r="808">
      <c r="B808" s="16">
        <f>COUNTIF('Extração'!L:L,A808)</f>
        <v>0</v>
      </c>
      <c r="C808" s="16" t="str">
        <f>IF(B808=0,"",COUNTIFS('Extração'!P:P,"Sim",'Extração'!L:L,A808)/B808)</f>
        <v/>
      </c>
      <c r="D808" s="16" t="str">
        <f>IF(B808=0,"",COUNTIFS('Extração'!Q:Q,"Sim",'Extração'!L:L,A808)/B808)</f>
        <v/>
      </c>
      <c r="E808" s="16" t="str">
        <f>IF(B808=0,"",COUNTIFS('Extração'!P:P,"Parcialmente",'Extração'!L:L,A808)/B808)</f>
        <v/>
      </c>
      <c r="F808" s="16" t="str">
        <f>IF(B808=0,"",COUNTIFS('Extração'!Q:Q,"Parcialmente",'Extração'!L:L,A808)/B808)</f>
        <v/>
      </c>
      <c r="G808" s="16" t="str">
        <f>IF(B808=0,"",COUNTIFS('Extração'!P:P,"Não",'Extração'!L:L,A808)/B808)</f>
        <v/>
      </c>
      <c r="H808" s="16" t="str">
        <f>IF(B808=0,"",COUNTIFS('Extração'!Q:Q,"Não",'Extração'!L:L,A808)/B808)</f>
        <v/>
      </c>
      <c r="I808" s="16" t="str">
        <f>IF(B808=0,"",COUNTIFS('Extração'!R:R,"Igual",'Extração'!L:L,A808)/B808)</f>
        <v/>
      </c>
    </row>
    <row r="809">
      <c r="B809" s="16">
        <f>COUNTIF('Extração'!L:L,A809)</f>
        <v>0</v>
      </c>
      <c r="C809" s="16" t="str">
        <f>IF(B809=0,"",COUNTIFS('Extração'!P:P,"Sim",'Extração'!L:L,A809)/B809)</f>
        <v/>
      </c>
      <c r="D809" s="16" t="str">
        <f>IF(B809=0,"",COUNTIFS('Extração'!Q:Q,"Sim",'Extração'!L:L,A809)/B809)</f>
        <v/>
      </c>
      <c r="E809" s="16" t="str">
        <f>IF(B809=0,"",COUNTIFS('Extração'!P:P,"Parcialmente",'Extração'!L:L,A809)/B809)</f>
        <v/>
      </c>
      <c r="F809" s="16" t="str">
        <f>IF(B809=0,"",COUNTIFS('Extração'!Q:Q,"Parcialmente",'Extração'!L:L,A809)/B809)</f>
        <v/>
      </c>
      <c r="G809" s="16" t="str">
        <f>IF(B809=0,"",COUNTIFS('Extração'!P:P,"Não",'Extração'!L:L,A809)/B809)</f>
        <v/>
      </c>
      <c r="H809" s="16" t="str">
        <f>IF(B809=0,"",COUNTIFS('Extração'!Q:Q,"Não",'Extração'!L:L,A809)/B809)</f>
        <v/>
      </c>
      <c r="I809" s="16" t="str">
        <f>IF(B809=0,"",COUNTIFS('Extração'!R:R,"Igual",'Extração'!L:L,A809)/B809)</f>
        <v/>
      </c>
    </row>
    <row r="810">
      <c r="B810" s="16">
        <f>COUNTIF('Extração'!L:L,A810)</f>
        <v>0</v>
      </c>
      <c r="C810" s="16" t="str">
        <f>IF(B810=0,"",COUNTIFS('Extração'!P:P,"Sim",'Extração'!L:L,A810)/B810)</f>
        <v/>
      </c>
      <c r="D810" s="16" t="str">
        <f>IF(B810=0,"",COUNTIFS('Extração'!Q:Q,"Sim",'Extração'!L:L,A810)/B810)</f>
        <v/>
      </c>
      <c r="E810" s="16" t="str">
        <f>IF(B810=0,"",COUNTIFS('Extração'!P:P,"Parcialmente",'Extração'!L:L,A810)/B810)</f>
        <v/>
      </c>
      <c r="F810" s="16" t="str">
        <f>IF(B810=0,"",COUNTIFS('Extração'!Q:Q,"Parcialmente",'Extração'!L:L,A810)/B810)</f>
        <v/>
      </c>
      <c r="G810" s="16" t="str">
        <f>IF(B810=0,"",COUNTIFS('Extração'!P:P,"Não",'Extração'!L:L,A810)/B810)</f>
        <v/>
      </c>
      <c r="H810" s="16" t="str">
        <f>IF(B810=0,"",COUNTIFS('Extração'!Q:Q,"Não",'Extração'!L:L,A810)/B810)</f>
        <v/>
      </c>
      <c r="I810" s="16" t="str">
        <f>IF(B810=0,"",COUNTIFS('Extração'!R:R,"Igual",'Extração'!L:L,A810)/B810)</f>
        <v/>
      </c>
    </row>
    <row r="811">
      <c r="B811" s="16">
        <f>COUNTIF('Extração'!L:L,A811)</f>
        <v>0</v>
      </c>
      <c r="C811" s="16" t="str">
        <f>IF(B811=0,"",COUNTIFS('Extração'!P:P,"Sim",'Extração'!L:L,A811)/B811)</f>
        <v/>
      </c>
      <c r="D811" s="16" t="str">
        <f>IF(B811=0,"",COUNTIFS('Extração'!Q:Q,"Sim",'Extração'!L:L,A811)/B811)</f>
        <v/>
      </c>
      <c r="E811" s="16" t="str">
        <f>IF(B811=0,"",COUNTIFS('Extração'!P:P,"Parcialmente",'Extração'!L:L,A811)/B811)</f>
        <v/>
      </c>
      <c r="F811" s="16" t="str">
        <f>IF(B811=0,"",COUNTIFS('Extração'!Q:Q,"Parcialmente",'Extração'!L:L,A811)/B811)</f>
        <v/>
      </c>
      <c r="G811" s="16" t="str">
        <f>IF(B811=0,"",COUNTIFS('Extração'!P:P,"Não",'Extração'!L:L,A811)/B811)</f>
        <v/>
      </c>
      <c r="H811" s="16" t="str">
        <f>IF(B811=0,"",COUNTIFS('Extração'!Q:Q,"Não",'Extração'!L:L,A811)/B811)</f>
        <v/>
      </c>
      <c r="I811" s="16" t="str">
        <f>IF(B811=0,"",COUNTIFS('Extração'!R:R,"Igual",'Extração'!L:L,A811)/B811)</f>
        <v/>
      </c>
    </row>
    <row r="812">
      <c r="B812" s="16">
        <f>COUNTIF('Extração'!L:L,A812)</f>
        <v>0</v>
      </c>
      <c r="C812" s="16" t="str">
        <f>IF(B812=0,"",COUNTIFS('Extração'!P:P,"Sim",'Extração'!L:L,A812)/B812)</f>
        <v/>
      </c>
      <c r="D812" s="16" t="str">
        <f>IF(B812=0,"",COUNTIFS('Extração'!Q:Q,"Sim",'Extração'!L:L,A812)/B812)</f>
        <v/>
      </c>
      <c r="E812" s="16" t="str">
        <f>IF(B812=0,"",COUNTIFS('Extração'!P:P,"Parcialmente",'Extração'!L:L,A812)/B812)</f>
        <v/>
      </c>
      <c r="F812" s="16" t="str">
        <f>IF(B812=0,"",COUNTIFS('Extração'!Q:Q,"Parcialmente",'Extração'!L:L,A812)/B812)</f>
        <v/>
      </c>
      <c r="G812" s="16" t="str">
        <f>IF(B812=0,"",COUNTIFS('Extração'!P:P,"Não",'Extração'!L:L,A812)/B812)</f>
        <v/>
      </c>
      <c r="H812" s="16" t="str">
        <f>IF(B812=0,"",COUNTIFS('Extração'!Q:Q,"Não",'Extração'!L:L,A812)/B812)</f>
        <v/>
      </c>
      <c r="I812" s="16" t="str">
        <f>IF(B812=0,"",COUNTIFS('Extração'!R:R,"Igual",'Extração'!L:L,A812)/B812)</f>
        <v/>
      </c>
    </row>
    <row r="813">
      <c r="B813" s="16">
        <f>COUNTIF('Extração'!L:L,A813)</f>
        <v>0</v>
      </c>
      <c r="C813" s="16" t="str">
        <f>IF(B813=0,"",COUNTIFS('Extração'!P:P,"Sim",'Extração'!L:L,A813)/B813)</f>
        <v/>
      </c>
      <c r="D813" s="16" t="str">
        <f>IF(B813=0,"",COUNTIFS('Extração'!Q:Q,"Sim",'Extração'!L:L,A813)/B813)</f>
        <v/>
      </c>
      <c r="E813" s="16" t="str">
        <f>IF(B813=0,"",COUNTIFS('Extração'!P:P,"Parcialmente",'Extração'!L:L,A813)/B813)</f>
        <v/>
      </c>
      <c r="F813" s="16" t="str">
        <f>IF(B813=0,"",COUNTIFS('Extração'!Q:Q,"Parcialmente",'Extração'!L:L,A813)/B813)</f>
        <v/>
      </c>
      <c r="G813" s="16" t="str">
        <f>IF(B813=0,"",COUNTIFS('Extração'!P:P,"Não",'Extração'!L:L,A813)/B813)</f>
        <v/>
      </c>
      <c r="H813" s="16" t="str">
        <f>IF(B813=0,"",COUNTIFS('Extração'!Q:Q,"Não",'Extração'!L:L,A813)/B813)</f>
        <v/>
      </c>
      <c r="I813" s="16" t="str">
        <f>IF(B813=0,"",COUNTIFS('Extração'!R:R,"Igual",'Extração'!L:L,A813)/B813)</f>
        <v/>
      </c>
    </row>
    <row r="814">
      <c r="B814" s="16">
        <f>COUNTIF('Extração'!L:L,A814)</f>
        <v>0</v>
      </c>
      <c r="C814" s="16" t="str">
        <f>IF(B814=0,"",COUNTIFS('Extração'!P:P,"Sim",'Extração'!L:L,A814)/B814)</f>
        <v/>
      </c>
      <c r="D814" s="16" t="str">
        <f>IF(B814=0,"",COUNTIFS('Extração'!Q:Q,"Sim",'Extração'!L:L,A814)/B814)</f>
        <v/>
      </c>
      <c r="E814" s="16" t="str">
        <f>IF(B814=0,"",COUNTIFS('Extração'!P:P,"Parcialmente",'Extração'!L:L,A814)/B814)</f>
        <v/>
      </c>
      <c r="F814" s="16" t="str">
        <f>IF(B814=0,"",COUNTIFS('Extração'!Q:Q,"Parcialmente",'Extração'!L:L,A814)/B814)</f>
        <v/>
      </c>
      <c r="G814" s="16" t="str">
        <f>IF(B814=0,"",COUNTIFS('Extração'!P:P,"Não",'Extração'!L:L,A814)/B814)</f>
        <v/>
      </c>
      <c r="H814" s="16" t="str">
        <f>IF(B814=0,"",COUNTIFS('Extração'!Q:Q,"Não",'Extração'!L:L,A814)/B814)</f>
        <v/>
      </c>
      <c r="I814" s="16" t="str">
        <f>IF(B814=0,"",COUNTIFS('Extração'!R:R,"Igual",'Extração'!L:L,A814)/B814)</f>
        <v/>
      </c>
    </row>
    <row r="815">
      <c r="B815" s="16">
        <f>COUNTIF('Extração'!L:L,A815)</f>
        <v>0</v>
      </c>
      <c r="C815" s="16" t="str">
        <f>IF(B815=0,"",COUNTIFS('Extração'!P:P,"Sim",'Extração'!L:L,A815)/B815)</f>
        <v/>
      </c>
      <c r="D815" s="16" t="str">
        <f>IF(B815=0,"",COUNTIFS('Extração'!Q:Q,"Sim",'Extração'!L:L,A815)/B815)</f>
        <v/>
      </c>
      <c r="E815" s="16" t="str">
        <f>IF(B815=0,"",COUNTIFS('Extração'!P:P,"Parcialmente",'Extração'!L:L,A815)/B815)</f>
        <v/>
      </c>
      <c r="F815" s="16" t="str">
        <f>IF(B815=0,"",COUNTIFS('Extração'!Q:Q,"Parcialmente",'Extração'!L:L,A815)/B815)</f>
        <v/>
      </c>
      <c r="G815" s="16" t="str">
        <f>IF(B815=0,"",COUNTIFS('Extração'!P:P,"Não",'Extração'!L:L,A815)/B815)</f>
        <v/>
      </c>
      <c r="H815" s="16" t="str">
        <f>IF(B815=0,"",COUNTIFS('Extração'!Q:Q,"Não",'Extração'!L:L,A815)/B815)</f>
        <v/>
      </c>
      <c r="I815" s="16" t="str">
        <f>IF(B815=0,"",COUNTIFS('Extração'!R:R,"Igual",'Extração'!L:L,A815)/B815)</f>
        <v/>
      </c>
    </row>
    <row r="816">
      <c r="B816" s="16">
        <f>COUNTIF('Extração'!L:L,A816)</f>
        <v>0</v>
      </c>
      <c r="C816" s="16" t="str">
        <f>IF(B816=0,"",COUNTIFS('Extração'!P:P,"Sim",'Extração'!L:L,A816)/B816)</f>
        <v/>
      </c>
      <c r="D816" s="16" t="str">
        <f>IF(B816=0,"",COUNTIFS('Extração'!Q:Q,"Sim",'Extração'!L:L,A816)/B816)</f>
        <v/>
      </c>
      <c r="E816" s="16" t="str">
        <f>IF(B816=0,"",COUNTIFS('Extração'!P:P,"Parcialmente",'Extração'!L:L,A816)/B816)</f>
        <v/>
      </c>
      <c r="F816" s="16" t="str">
        <f>IF(B816=0,"",COUNTIFS('Extração'!Q:Q,"Parcialmente",'Extração'!L:L,A816)/B816)</f>
        <v/>
      </c>
      <c r="G816" s="16" t="str">
        <f>IF(B816=0,"",COUNTIFS('Extração'!P:P,"Não",'Extração'!L:L,A816)/B816)</f>
        <v/>
      </c>
      <c r="H816" s="16" t="str">
        <f>IF(B816=0,"",COUNTIFS('Extração'!Q:Q,"Não",'Extração'!L:L,A816)/B816)</f>
        <v/>
      </c>
      <c r="I816" s="16" t="str">
        <f>IF(B816=0,"",COUNTIFS('Extração'!R:R,"Igual",'Extração'!L:L,A816)/B816)</f>
        <v/>
      </c>
    </row>
    <row r="817">
      <c r="B817" s="16">
        <f>COUNTIF('Extração'!L:L,A817)</f>
        <v>0</v>
      </c>
      <c r="C817" s="16" t="str">
        <f>IF(B817=0,"",COUNTIFS('Extração'!P:P,"Sim",'Extração'!L:L,A817)/B817)</f>
        <v/>
      </c>
      <c r="D817" s="16" t="str">
        <f>IF(B817=0,"",COUNTIFS('Extração'!Q:Q,"Sim",'Extração'!L:L,A817)/B817)</f>
        <v/>
      </c>
      <c r="E817" s="16" t="str">
        <f>IF(B817=0,"",COUNTIFS('Extração'!P:P,"Parcialmente",'Extração'!L:L,A817)/B817)</f>
        <v/>
      </c>
      <c r="F817" s="16" t="str">
        <f>IF(B817=0,"",COUNTIFS('Extração'!Q:Q,"Parcialmente",'Extração'!L:L,A817)/B817)</f>
        <v/>
      </c>
      <c r="G817" s="16" t="str">
        <f>IF(B817=0,"",COUNTIFS('Extração'!P:P,"Não",'Extração'!L:L,A817)/B817)</f>
        <v/>
      </c>
      <c r="H817" s="16" t="str">
        <f>IF(B817=0,"",COUNTIFS('Extração'!Q:Q,"Não",'Extração'!L:L,A817)/B817)</f>
        <v/>
      </c>
      <c r="I817" s="16" t="str">
        <f>IF(B817=0,"",COUNTIFS('Extração'!R:R,"Igual",'Extração'!L:L,A817)/B817)</f>
        <v/>
      </c>
    </row>
    <row r="818">
      <c r="B818" s="16">
        <f>COUNTIF('Extração'!L:L,A818)</f>
        <v>0</v>
      </c>
      <c r="C818" s="16" t="str">
        <f>IF(B818=0,"",COUNTIFS('Extração'!P:P,"Sim",'Extração'!L:L,A818)/B818)</f>
        <v/>
      </c>
      <c r="D818" s="16" t="str">
        <f>IF(B818=0,"",COUNTIFS('Extração'!Q:Q,"Sim",'Extração'!L:L,A818)/B818)</f>
        <v/>
      </c>
      <c r="E818" s="16" t="str">
        <f>IF(B818=0,"",COUNTIFS('Extração'!P:P,"Parcialmente",'Extração'!L:L,A818)/B818)</f>
        <v/>
      </c>
      <c r="F818" s="16" t="str">
        <f>IF(B818=0,"",COUNTIFS('Extração'!Q:Q,"Parcialmente",'Extração'!L:L,A818)/B818)</f>
        <v/>
      </c>
      <c r="G818" s="16" t="str">
        <f>IF(B818=0,"",COUNTIFS('Extração'!P:P,"Não",'Extração'!L:L,A818)/B818)</f>
        <v/>
      </c>
      <c r="H818" s="16" t="str">
        <f>IF(B818=0,"",COUNTIFS('Extração'!Q:Q,"Não",'Extração'!L:L,A818)/B818)</f>
        <v/>
      </c>
      <c r="I818" s="16" t="str">
        <f>IF(B818=0,"",COUNTIFS('Extração'!R:R,"Igual",'Extração'!L:L,A818)/B818)</f>
        <v/>
      </c>
    </row>
    <row r="819">
      <c r="B819" s="16">
        <f>COUNTIF('Extração'!L:L,A819)</f>
        <v>0</v>
      </c>
      <c r="C819" s="16" t="str">
        <f>IF(B819=0,"",COUNTIFS('Extração'!P:P,"Sim",'Extração'!L:L,A819)/B819)</f>
        <v/>
      </c>
      <c r="D819" s="16" t="str">
        <f>IF(B819=0,"",COUNTIFS('Extração'!Q:Q,"Sim",'Extração'!L:L,A819)/B819)</f>
        <v/>
      </c>
      <c r="E819" s="16" t="str">
        <f>IF(B819=0,"",COUNTIFS('Extração'!P:P,"Parcialmente",'Extração'!L:L,A819)/B819)</f>
        <v/>
      </c>
      <c r="F819" s="16" t="str">
        <f>IF(B819=0,"",COUNTIFS('Extração'!Q:Q,"Parcialmente",'Extração'!L:L,A819)/B819)</f>
        <v/>
      </c>
      <c r="G819" s="16" t="str">
        <f>IF(B819=0,"",COUNTIFS('Extração'!P:P,"Não",'Extração'!L:L,A819)/B819)</f>
        <v/>
      </c>
      <c r="H819" s="16" t="str">
        <f>IF(B819=0,"",COUNTIFS('Extração'!Q:Q,"Não",'Extração'!L:L,A819)/B819)</f>
        <v/>
      </c>
      <c r="I819" s="16" t="str">
        <f>IF(B819=0,"",COUNTIFS('Extração'!R:R,"Igual",'Extração'!L:L,A819)/B819)</f>
        <v/>
      </c>
    </row>
    <row r="820">
      <c r="B820" s="16">
        <f>COUNTIF('Extração'!L:L,A820)</f>
        <v>0</v>
      </c>
      <c r="C820" s="16" t="str">
        <f>IF(B820=0,"",COUNTIFS('Extração'!P:P,"Sim",'Extração'!L:L,A820)/B820)</f>
        <v/>
      </c>
      <c r="D820" s="16" t="str">
        <f>IF(B820=0,"",COUNTIFS('Extração'!Q:Q,"Sim",'Extração'!L:L,A820)/B820)</f>
        <v/>
      </c>
      <c r="E820" s="16" t="str">
        <f>IF(B820=0,"",COUNTIFS('Extração'!P:P,"Parcialmente",'Extração'!L:L,A820)/B820)</f>
        <v/>
      </c>
      <c r="F820" s="16" t="str">
        <f>IF(B820=0,"",COUNTIFS('Extração'!Q:Q,"Parcialmente",'Extração'!L:L,A820)/B820)</f>
        <v/>
      </c>
      <c r="G820" s="16" t="str">
        <f>IF(B820=0,"",COUNTIFS('Extração'!P:P,"Não",'Extração'!L:L,A820)/B820)</f>
        <v/>
      </c>
      <c r="H820" s="16" t="str">
        <f>IF(B820=0,"",COUNTIFS('Extração'!Q:Q,"Não",'Extração'!L:L,A820)/B820)</f>
        <v/>
      </c>
      <c r="I820" s="16" t="str">
        <f>IF(B820=0,"",COUNTIFS('Extração'!R:R,"Igual",'Extração'!L:L,A820)/B820)</f>
        <v/>
      </c>
    </row>
    <row r="821">
      <c r="B821" s="16">
        <f>COUNTIF('Extração'!L:L,A821)</f>
        <v>0</v>
      </c>
      <c r="C821" s="16" t="str">
        <f>IF(B821=0,"",COUNTIFS('Extração'!P:P,"Sim",'Extração'!L:L,A821)/B821)</f>
        <v/>
      </c>
      <c r="D821" s="16" t="str">
        <f>IF(B821=0,"",COUNTIFS('Extração'!Q:Q,"Sim",'Extração'!L:L,A821)/B821)</f>
        <v/>
      </c>
      <c r="E821" s="16" t="str">
        <f>IF(B821=0,"",COUNTIFS('Extração'!P:P,"Parcialmente",'Extração'!L:L,A821)/B821)</f>
        <v/>
      </c>
      <c r="F821" s="16" t="str">
        <f>IF(B821=0,"",COUNTIFS('Extração'!Q:Q,"Parcialmente",'Extração'!L:L,A821)/B821)</f>
        <v/>
      </c>
      <c r="G821" s="16" t="str">
        <f>IF(B821=0,"",COUNTIFS('Extração'!P:P,"Não",'Extração'!L:L,A821)/B821)</f>
        <v/>
      </c>
      <c r="H821" s="16" t="str">
        <f>IF(B821=0,"",COUNTIFS('Extração'!Q:Q,"Não",'Extração'!L:L,A821)/B821)</f>
        <v/>
      </c>
      <c r="I821" s="16" t="str">
        <f>IF(B821=0,"",COUNTIFS('Extração'!R:R,"Igual",'Extração'!L:L,A821)/B821)</f>
        <v/>
      </c>
    </row>
    <row r="822">
      <c r="B822" s="16">
        <f>COUNTIF('Extração'!L:L,A822)</f>
        <v>0</v>
      </c>
      <c r="C822" s="16" t="str">
        <f>IF(B822=0,"",COUNTIFS('Extração'!P:P,"Sim",'Extração'!L:L,A822)/B822)</f>
        <v/>
      </c>
      <c r="D822" s="16" t="str">
        <f>IF(B822=0,"",COUNTIFS('Extração'!Q:Q,"Sim",'Extração'!L:L,A822)/B822)</f>
        <v/>
      </c>
      <c r="E822" s="16" t="str">
        <f>IF(B822=0,"",COUNTIFS('Extração'!P:P,"Parcialmente",'Extração'!L:L,A822)/B822)</f>
        <v/>
      </c>
      <c r="F822" s="16" t="str">
        <f>IF(B822=0,"",COUNTIFS('Extração'!Q:Q,"Parcialmente",'Extração'!L:L,A822)/B822)</f>
        <v/>
      </c>
      <c r="G822" s="16" t="str">
        <f>IF(B822=0,"",COUNTIFS('Extração'!P:P,"Não",'Extração'!L:L,A822)/B822)</f>
        <v/>
      </c>
      <c r="H822" s="16" t="str">
        <f>IF(B822=0,"",COUNTIFS('Extração'!Q:Q,"Não",'Extração'!L:L,A822)/B822)</f>
        <v/>
      </c>
      <c r="I822" s="16" t="str">
        <f>IF(B822=0,"",COUNTIFS('Extração'!R:R,"Igual",'Extração'!L:L,A822)/B822)</f>
        <v/>
      </c>
    </row>
    <row r="823">
      <c r="B823" s="16">
        <f>COUNTIF('Extração'!L:L,A823)</f>
        <v>0</v>
      </c>
      <c r="C823" s="16" t="str">
        <f>IF(B823=0,"",COUNTIFS('Extração'!P:P,"Sim",'Extração'!L:L,A823)/B823)</f>
        <v/>
      </c>
      <c r="D823" s="16" t="str">
        <f>IF(B823=0,"",COUNTIFS('Extração'!Q:Q,"Sim",'Extração'!L:L,A823)/B823)</f>
        <v/>
      </c>
      <c r="E823" s="16" t="str">
        <f>IF(B823=0,"",COUNTIFS('Extração'!P:P,"Parcialmente",'Extração'!L:L,A823)/B823)</f>
        <v/>
      </c>
      <c r="F823" s="16" t="str">
        <f>IF(B823=0,"",COUNTIFS('Extração'!Q:Q,"Parcialmente",'Extração'!L:L,A823)/B823)</f>
        <v/>
      </c>
      <c r="G823" s="16" t="str">
        <f>IF(B823=0,"",COUNTIFS('Extração'!P:P,"Não",'Extração'!L:L,A823)/B823)</f>
        <v/>
      </c>
      <c r="H823" s="16" t="str">
        <f>IF(B823=0,"",COUNTIFS('Extração'!Q:Q,"Não",'Extração'!L:L,A823)/B823)</f>
        <v/>
      </c>
      <c r="I823" s="16" t="str">
        <f>IF(B823=0,"",COUNTIFS('Extração'!R:R,"Igual",'Extração'!L:L,A823)/B823)</f>
        <v/>
      </c>
    </row>
    <row r="824">
      <c r="B824" s="16">
        <f>COUNTIF('Extração'!L:L,A824)</f>
        <v>0</v>
      </c>
      <c r="C824" s="16" t="str">
        <f>IF(B824=0,"",COUNTIFS('Extração'!P:P,"Sim",'Extração'!L:L,A824)/B824)</f>
        <v/>
      </c>
      <c r="D824" s="16" t="str">
        <f>IF(B824=0,"",COUNTIFS('Extração'!Q:Q,"Sim",'Extração'!L:L,A824)/B824)</f>
        <v/>
      </c>
      <c r="E824" s="16" t="str">
        <f>IF(B824=0,"",COUNTIFS('Extração'!P:P,"Parcialmente",'Extração'!L:L,A824)/B824)</f>
        <v/>
      </c>
      <c r="F824" s="16" t="str">
        <f>IF(B824=0,"",COUNTIFS('Extração'!Q:Q,"Parcialmente",'Extração'!L:L,A824)/B824)</f>
        <v/>
      </c>
      <c r="G824" s="16" t="str">
        <f>IF(B824=0,"",COUNTIFS('Extração'!P:P,"Não",'Extração'!L:L,A824)/B824)</f>
        <v/>
      </c>
      <c r="H824" s="16" t="str">
        <f>IF(B824=0,"",COUNTIFS('Extração'!Q:Q,"Não",'Extração'!L:L,A824)/B824)</f>
        <v/>
      </c>
      <c r="I824" s="16" t="str">
        <f>IF(B824=0,"",COUNTIFS('Extração'!R:R,"Igual",'Extração'!L:L,A824)/B824)</f>
        <v/>
      </c>
    </row>
    <row r="825">
      <c r="B825" s="16">
        <f>COUNTIF('Extração'!L:L,A825)</f>
        <v>0</v>
      </c>
      <c r="C825" s="16" t="str">
        <f>IF(B825=0,"",COUNTIFS('Extração'!P:P,"Sim",'Extração'!L:L,A825)/B825)</f>
        <v/>
      </c>
      <c r="D825" s="16" t="str">
        <f>IF(B825=0,"",COUNTIFS('Extração'!Q:Q,"Sim",'Extração'!L:L,A825)/B825)</f>
        <v/>
      </c>
      <c r="E825" s="16" t="str">
        <f>IF(B825=0,"",COUNTIFS('Extração'!P:P,"Parcialmente",'Extração'!L:L,A825)/B825)</f>
        <v/>
      </c>
      <c r="F825" s="16" t="str">
        <f>IF(B825=0,"",COUNTIFS('Extração'!Q:Q,"Parcialmente",'Extração'!L:L,A825)/B825)</f>
        <v/>
      </c>
      <c r="G825" s="16" t="str">
        <f>IF(B825=0,"",COUNTIFS('Extração'!P:P,"Não",'Extração'!L:L,A825)/B825)</f>
        <v/>
      </c>
      <c r="H825" s="16" t="str">
        <f>IF(B825=0,"",COUNTIFS('Extração'!Q:Q,"Não",'Extração'!L:L,A825)/B825)</f>
        <v/>
      </c>
      <c r="I825" s="16" t="str">
        <f>IF(B825=0,"",COUNTIFS('Extração'!R:R,"Igual",'Extração'!L:L,A825)/B825)</f>
        <v/>
      </c>
    </row>
    <row r="826">
      <c r="B826" s="16">
        <f>COUNTIF('Extração'!L:L,A826)</f>
        <v>0</v>
      </c>
      <c r="C826" s="16" t="str">
        <f>IF(B826=0,"",COUNTIFS('Extração'!P:P,"Sim",'Extração'!L:L,A826)/B826)</f>
        <v/>
      </c>
      <c r="D826" s="16" t="str">
        <f>IF(B826=0,"",COUNTIFS('Extração'!Q:Q,"Sim",'Extração'!L:L,A826)/B826)</f>
        <v/>
      </c>
      <c r="E826" s="16" t="str">
        <f>IF(B826=0,"",COUNTIFS('Extração'!P:P,"Parcialmente",'Extração'!L:L,A826)/B826)</f>
        <v/>
      </c>
      <c r="F826" s="16" t="str">
        <f>IF(B826=0,"",COUNTIFS('Extração'!Q:Q,"Parcialmente",'Extração'!L:L,A826)/B826)</f>
        <v/>
      </c>
      <c r="G826" s="16" t="str">
        <f>IF(B826=0,"",COUNTIFS('Extração'!P:P,"Não",'Extração'!L:L,A826)/B826)</f>
        <v/>
      </c>
      <c r="H826" s="16" t="str">
        <f>IF(B826=0,"",COUNTIFS('Extração'!Q:Q,"Não",'Extração'!L:L,A826)/B826)</f>
        <v/>
      </c>
      <c r="I826" s="16" t="str">
        <f>IF(B826=0,"",COUNTIFS('Extração'!R:R,"Igual",'Extração'!L:L,A826)/B826)</f>
        <v/>
      </c>
    </row>
    <row r="827">
      <c r="B827" s="16">
        <f>COUNTIF('Extração'!L:L,A827)</f>
        <v>0</v>
      </c>
      <c r="C827" s="16" t="str">
        <f>IF(B827=0,"",COUNTIFS('Extração'!P:P,"Sim",'Extração'!L:L,A827)/B827)</f>
        <v/>
      </c>
      <c r="D827" s="16" t="str">
        <f>IF(B827=0,"",COUNTIFS('Extração'!Q:Q,"Sim",'Extração'!L:L,A827)/B827)</f>
        <v/>
      </c>
      <c r="E827" s="16" t="str">
        <f>IF(B827=0,"",COUNTIFS('Extração'!P:P,"Parcialmente",'Extração'!L:L,A827)/B827)</f>
        <v/>
      </c>
      <c r="F827" s="16" t="str">
        <f>IF(B827=0,"",COUNTIFS('Extração'!Q:Q,"Parcialmente",'Extração'!L:L,A827)/B827)</f>
        <v/>
      </c>
      <c r="G827" s="16" t="str">
        <f>IF(B827=0,"",COUNTIFS('Extração'!P:P,"Não",'Extração'!L:L,A827)/B827)</f>
        <v/>
      </c>
      <c r="H827" s="16" t="str">
        <f>IF(B827=0,"",COUNTIFS('Extração'!Q:Q,"Não",'Extração'!L:L,A827)/B827)</f>
        <v/>
      </c>
      <c r="I827" s="16" t="str">
        <f>IF(B827=0,"",COUNTIFS('Extração'!R:R,"Igual",'Extração'!L:L,A827)/B827)</f>
        <v/>
      </c>
    </row>
    <row r="828">
      <c r="B828" s="16">
        <f>COUNTIF('Extração'!L:L,A828)</f>
        <v>0</v>
      </c>
      <c r="C828" s="16" t="str">
        <f>IF(B828=0,"",COUNTIFS('Extração'!P:P,"Sim",'Extração'!L:L,A828)/B828)</f>
        <v/>
      </c>
      <c r="D828" s="16" t="str">
        <f>IF(B828=0,"",COUNTIFS('Extração'!Q:Q,"Sim",'Extração'!L:L,A828)/B828)</f>
        <v/>
      </c>
      <c r="E828" s="16" t="str">
        <f>IF(B828=0,"",COUNTIFS('Extração'!P:P,"Parcialmente",'Extração'!L:L,A828)/B828)</f>
        <v/>
      </c>
      <c r="F828" s="16" t="str">
        <f>IF(B828=0,"",COUNTIFS('Extração'!Q:Q,"Parcialmente",'Extração'!L:L,A828)/B828)</f>
        <v/>
      </c>
      <c r="G828" s="16" t="str">
        <f>IF(B828=0,"",COUNTIFS('Extração'!P:P,"Não",'Extração'!L:L,A828)/B828)</f>
        <v/>
      </c>
      <c r="H828" s="16" t="str">
        <f>IF(B828=0,"",COUNTIFS('Extração'!Q:Q,"Não",'Extração'!L:L,A828)/B828)</f>
        <v/>
      </c>
      <c r="I828" s="16" t="str">
        <f>IF(B828=0,"",COUNTIFS('Extração'!R:R,"Igual",'Extração'!L:L,A828)/B828)</f>
        <v/>
      </c>
    </row>
    <row r="829">
      <c r="B829" s="16">
        <f>COUNTIF('Extração'!L:L,A829)</f>
        <v>0</v>
      </c>
      <c r="C829" s="16" t="str">
        <f>IF(B829=0,"",COUNTIFS('Extração'!P:P,"Sim",'Extração'!L:L,A829)/B829)</f>
        <v/>
      </c>
      <c r="D829" s="16" t="str">
        <f>IF(B829=0,"",COUNTIFS('Extração'!Q:Q,"Sim",'Extração'!L:L,A829)/B829)</f>
        <v/>
      </c>
      <c r="E829" s="16" t="str">
        <f>IF(B829=0,"",COUNTIFS('Extração'!P:P,"Parcialmente",'Extração'!L:L,A829)/B829)</f>
        <v/>
      </c>
      <c r="F829" s="16" t="str">
        <f>IF(B829=0,"",COUNTIFS('Extração'!Q:Q,"Parcialmente",'Extração'!L:L,A829)/B829)</f>
        <v/>
      </c>
      <c r="G829" s="16" t="str">
        <f>IF(B829=0,"",COUNTIFS('Extração'!P:P,"Não",'Extração'!L:L,A829)/B829)</f>
        <v/>
      </c>
      <c r="H829" s="16" t="str">
        <f>IF(B829=0,"",COUNTIFS('Extração'!Q:Q,"Não",'Extração'!L:L,A829)/B829)</f>
        <v/>
      </c>
      <c r="I829" s="16" t="str">
        <f>IF(B829=0,"",COUNTIFS('Extração'!R:R,"Igual",'Extração'!L:L,A829)/B829)</f>
        <v/>
      </c>
    </row>
    <row r="830">
      <c r="B830" s="16">
        <f>COUNTIF('Extração'!L:L,A830)</f>
        <v>0</v>
      </c>
      <c r="C830" s="16" t="str">
        <f>IF(B830=0,"",COUNTIFS('Extração'!P:P,"Sim",'Extração'!L:L,A830)/B830)</f>
        <v/>
      </c>
      <c r="D830" s="16" t="str">
        <f>IF(B830=0,"",COUNTIFS('Extração'!Q:Q,"Sim",'Extração'!L:L,A830)/B830)</f>
        <v/>
      </c>
      <c r="E830" s="16" t="str">
        <f>IF(B830=0,"",COUNTIFS('Extração'!P:P,"Parcialmente",'Extração'!L:L,A830)/B830)</f>
        <v/>
      </c>
      <c r="F830" s="16" t="str">
        <f>IF(B830=0,"",COUNTIFS('Extração'!Q:Q,"Parcialmente",'Extração'!L:L,A830)/B830)</f>
        <v/>
      </c>
      <c r="G830" s="16" t="str">
        <f>IF(B830=0,"",COUNTIFS('Extração'!P:P,"Não",'Extração'!L:L,A830)/B830)</f>
        <v/>
      </c>
      <c r="H830" s="16" t="str">
        <f>IF(B830=0,"",COUNTIFS('Extração'!Q:Q,"Não",'Extração'!L:L,A830)/B830)</f>
        <v/>
      </c>
      <c r="I830" s="16" t="str">
        <f>IF(B830=0,"",COUNTIFS('Extração'!R:R,"Igual",'Extração'!L:L,A830)/B830)</f>
        <v/>
      </c>
    </row>
    <row r="831">
      <c r="B831" s="16">
        <f>COUNTIF('Extração'!L:L,A831)</f>
        <v>0</v>
      </c>
      <c r="C831" s="16" t="str">
        <f>IF(B831=0,"",COUNTIFS('Extração'!P:P,"Sim",'Extração'!L:L,A831)/B831)</f>
        <v/>
      </c>
      <c r="D831" s="16" t="str">
        <f>IF(B831=0,"",COUNTIFS('Extração'!Q:Q,"Sim",'Extração'!L:L,A831)/B831)</f>
        <v/>
      </c>
      <c r="E831" s="16" t="str">
        <f>IF(B831=0,"",COUNTIFS('Extração'!P:P,"Parcialmente",'Extração'!L:L,A831)/B831)</f>
        <v/>
      </c>
      <c r="F831" s="16" t="str">
        <f>IF(B831=0,"",COUNTIFS('Extração'!Q:Q,"Parcialmente",'Extração'!L:L,A831)/B831)</f>
        <v/>
      </c>
      <c r="G831" s="16" t="str">
        <f>IF(B831=0,"",COUNTIFS('Extração'!P:P,"Não",'Extração'!L:L,A831)/B831)</f>
        <v/>
      </c>
      <c r="H831" s="16" t="str">
        <f>IF(B831=0,"",COUNTIFS('Extração'!Q:Q,"Não",'Extração'!L:L,A831)/B831)</f>
        <v/>
      </c>
      <c r="I831" s="16" t="str">
        <f>IF(B831=0,"",COUNTIFS('Extração'!R:R,"Igual",'Extração'!L:L,A831)/B831)</f>
        <v/>
      </c>
    </row>
    <row r="832">
      <c r="B832" s="16">
        <f>COUNTIF('Extração'!L:L,A832)</f>
        <v>0</v>
      </c>
      <c r="C832" s="16" t="str">
        <f>IF(B832=0,"",COUNTIFS('Extração'!P:P,"Sim",'Extração'!L:L,A832)/B832)</f>
        <v/>
      </c>
      <c r="D832" s="16" t="str">
        <f>IF(B832=0,"",COUNTIFS('Extração'!Q:Q,"Sim",'Extração'!L:L,A832)/B832)</f>
        <v/>
      </c>
      <c r="E832" s="16" t="str">
        <f>IF(B832=0,"",COUNTIFS('Extração'!P:P,"Parcialmente",'Extração'!L:L,A832)/B832)</f>
        <v/>
      </c>
      <c r="F832" s="16" t="str">
        <f>IF(B832=0,"",COUNTIFS('Extração'!Q:Q,"Parcialmente",'Extração'!L:L,A832)/B832)</f>
        <v/>
      </c>
      <c r="G832" s="16" t="str">
        <f>IF(B832=0,"",COUNTIFS('Extração'!P:P,"Não",'Extração'!L:L,A832)/B832)</f>
        <v/>
      </c>
      <c r="H832" s="16" t="str">
        <f>IF(B832=0,"",COUNTIFS('Extração'!Q:Q,"Não",'Extração'!L:L,A832)/B832)</f>
        <v/>
      </c>
      <c r="I832" s="16" t="str">
        <f>IF(B832=0,"",COUNTIFS('Extração'!R:R,"Igual",'Extração'!L:L,A832)/B832)</f>
        <v/>
      </c>
    </row>
    <row r="833">
      <c r="B833" s="16">
        <f>COUNTIF('Extração'!L:L,A833)</f>
        <v>0</v>
      </c>
      <c r="C833" s="16" t="str">
        <f>IF(B833=0,"",COUNTIFS('Extração'!P:P,"Sim",'Extração'!L:L,A833)/B833)</f>
        <v/>
      </c>
      <c r="D833" s="16" t="str">
        <f>IF(B833=0,"",COUNTIFS('Extração'!Q:Q,"Sim",'Extração'!L:L,A833)/B833)</f>
        <v/>
      </c>
      <c r="E833" s="16" t="str">
        <f>IF(B833=0,"",COUNTIFS('Extração'!P:P,"Parcialmente",'Extração'!L:L,A833)/B833)</f>
        <v/>
      </c>
      <c r="F833" s="16" t="str">
        <f>IF(B833=0,"",COUNTIFS('Extração'!Q:Q,"Parcialmente",'Extração'!L:L,A833)/B833)</f>
        <v/>
      </c>
      <c r="G833" s="16" t="str">
        <f>IF(B833=0,"",COUNTIFS('Extração'!P:P,"Não",'Extração'!L:L,A833)/B833)</f>
        <v/>
      </c>
      <c r="H833" s="16" t="str">
        <f>IF(B833=0,"",COUNTIFS('Extração'!Q:Q,"Não",'Extração'!L:L,A833)/B833)</f>
        <v/>
      </c>
      <c r="I833" s="16" t="str">
        <f>IF(B833=0,"",COUNTIFS('Extração'!R:R,"Igual",'Extração'!L:L,A833)/B833)</f>
        <v/>
      </c>
    </row>
    <row r="834">
      <c r="B834" s="16">
        <f>COUNTIF('Extração'!L:L,A834)</f>
        <v>0</v>
      </c>
      <c r="C834" s="16" t="str">
        <f>IF(B834=0,"",COUNTIFS('Extração'!P:P,"Sim",'Extração'!L:L,A834)/B834)</f>
        <v/>
      </c>
      <c r="D834" s="16" t="str">
        <f>IF(B834=0,"",COUNTIFS('Extração'!Q:Q,"Sim",'Extração'!L:L,A834)/B834)</f>
        <v/>
      </c>
      <c r="E834" s="16" t="str">
        <f>IF(B834=0,"",COUNTIFS('Extração'!P:P,"Parcialmente",'Extração'!L:L,A834)/B834)</f>
        <v/>
      </c>
      <c r="F834" s="16" t="str">
        <f>IF(B834=0,"",COUNTIFS('Extração'!Q:Q,"Parcialmente",'Extração'!L:L,A834)/B834)</f>
        <v/>
      </c>
      <c r="G834" s="16" t="str">
        <f>IF(B834=0,"",COUNTIFS('Extração'!P:P,"Não",'Extração'!L:L,A834)/B834)</f>
        <v/>
      </c>
      <c r="H834" s="16" t="str">
        <f>IF(B834=0,"",COUNTIFS('Extração'!Q:Q,"Não",'Extração'!L:L,A834)/B834)</f>
        <v/>
      </c>
      <c r="I834" s="16" t="str">
        <f>IF(B834=0,"",COUNTIFS('Extração'!R:R,"Igual",'Extração'!L:L,A834)/B834)</f>
        <v/>
      </c>
    </row>
    <row r="835">
      <c r="B835" s="16">
        <f>COUNTIF('Extração'!L:L,A835)</f>
        <v>0</v>
      </c>
      <c r="C835" s="16" t="str">
        <f>IF(B835=0,"",COUNTIFS('Extração'!P:P,"Sim",'Extração'!L:L,A835)/B835)</f>
        <v/>
      </c>
      <c r="D835" s="16" t="str">
        <f>IF(B835=0,"",COUNTIFS('Extração'!Q:Q,"Sim",'Extração'!L:L,A835)/B835)</f>
        <v/>
      </c>
      <c r="E835" s="16" t="str">
        <f>IF(B835=0,"",COUNTIFS('Extração'!P:P,"Parcialmente",'Extração'!L:L,A835)/B835)</f>
        <v/>
      </c>
      <c r="F835" s="16" t="str">
        <f>IF(B835=0,"",COUNTIFS('Extração'!Q:Q,"Parcialmente",'Extração'!L:L,A835)/B835)</f>
        <v/>
      </c>
      <c r="G835" s="16" t="str">
        <f>IF(B835=0,"",COUNTIFS('Extração'!P:P,"Não",'Extração'!L:L,A835)/B835)</f>
        <v/>
      </c>
      <c r="H835" s="16" t="str">
        <f>IF(B835=0,"",COUNTIFS('Extração'!Q:Q,"Não",'Extração'!L:L,A835)/B835)</f>
        <v/>
      </c>
      <c r="I835" s="16" t="str">
        <f>IF(B835=0,"",COUNTIFS('Extração'!R:R,"Igual",'Extração'!L:L,A835)/B835)</f>
        <v/>
      </c>
    </row>
    <row r="836">
      <c r="B836" s="16">
        <f>COUNTIF('Extração'!L:L,A836)</f>
        <v>0</v>
      </c>
      <c r="C836" s="16" t="str">
        <f>IF(B836=0,"",COUNTIFS('Extração'!P:P,"Sim",'Extração'!L:L,A836)/B836)</f>
        <v/>
      </c>
      <c r="D836" s="16" t="str">
        <f>IF(B836=0,"",COUNTIFS('Extração'!Q:Q,"Sim",'Extração'!L:L,A836)/B836)</f>
        <v/>
      </c>
      <c r="E836" s="16" t="str">
        <f>IF(B836=0,"",COUNTIFS('Extração'!P:P,"Parcialmente",'Extração'!L:L,A836)/B836)</f>
        <v/>
      </c>
      <c r="F836" s="16" t="str">
        <f>IF(B836=0,"",COUNTIFS('Extração'!Q:Q,"Parcialmente",'Extração'!L:L,A836)/B836)</f>
        <v/>
      </c>
      <c r="G836" s="16" t="str">
        <f>IF(B836=0,"",COUNTIFS('Extração'!P:P,"Não",'Extração'!L:L,A836)/B836)</f>
        <v/>
      </c>
      <c r="H836" s="16" t="str">
        <f>IF(B836=0,"",COUNTIFS('Extração'!Q:Q,"Não",'Extração'!L:L,A836)/B836)</f>
        <v/>
      </c>
      <c r="I836" s="16" t="str">
        <f>IF(B836=0,"",COUNTIFS('Extração'!R:R,"Igual",'Extração'!L:L,A836)/B836)</f>
        <v/>
      </c>
    </row>
    <row r="837">
      <c r="B837" s="16">
        <f>COUNTIF('Extração'!L:L,A837)</f>
        <v>0</v>
      </c>
      <c r="C837" s="16" t="str">
        <f>IF(B837=0,"",COUNTIFS('Extração'!P:P,"Sim",'Extração'!L:L,A837)/B837)</f>
        <v/>
      </c>
      <c r="D837" s="16" t="str">
        <f>IF(B837=0,"",COUNTIFS('Extração'!Q:Q,"Sim",'Extração'!L:L,A837)/B837)</f>
        <v/>
      </c>
      <c r="E837" s="16" t="str">
        <f>IF(B837=0,"",COUNTIFS('Extração'!P:P,"Parcialmente",'Extração'!L:L,A837)/B837)</f>
        <v/>
      </c>
      <c r="F837" s="16" t="str">
        <f>IF(B837=0,"",COUNTIFS('Extração'!Q:Q,"Parcialmente",'Extração'!L:L,A837)/B837)</f>
        <v/>
      </c>
      <c r="G837" s="16" t="str">
        <f>IF(B837=0,"",COUNTIFS('Extração'!P:P,"Não",'Extração'!L:L,A837)/B837)</f>
        <v/>
      </c>
      <c r="H837" s="16" t="str">
        <f>IF(B837=0,"",COUNTIFS('Extração'!Q:Q,"Não",'Extração'!L:L,A837)/B837)</f>
        <v/>
      </c>
      <c r="I837" s="16" t="str">
        <f>IF(B837=0,"",COUNTIFS('Extração'!R:R,"Igual",'Extração'!L:L,A837)/B837)</f>
        <v/>
      </c>
    </row>
    <row r="838">
      <c r="B838" s="16">
        <f>COUNTIF('Extração'!L:L,A838)</f>
        <v>0</v>
      </c>
      <c r="C838" s="16" t="str">
        <f>IF(B838=0,"",COUNTIFS('Extração'!P:P,"Sim",'Extração'!L:L,A838)/B838)</f>
        <v/>
      </c>
      <c r="D838" s="16" t="str">
        <f>IF(B838=0,"",COUNTIFS('Extração'!Q:Q,"Sim",'Extração'!L:L,A838)/B838)</f>
        <v/>
      </c>
      <c r="E838" s="16" t="str">
        <f>IF(B838=0,"",COUNTIFS('Extração'!P:P,"Parcialmente",'Extração'!L:L,A838)/B838)</f>
        <v/>
      </c>
      <c r="F838" s="16" t="str">
        <f>IF(B838=0,"",COUNTIFS('Extração'!Q:Q,"Parcialmente",'Extração'!L:L,A838)/B838)</f>
        <v/>
      </c>
      <c r="G838" s="16" t="str">
        <f>IF(B838=0,"",COUNTIFS('Extração'!P:P,"Não",'Extração'!L:L,A838)/B838)</f>
        <v/>
      </c>
      <c r="H838" s="16" t="str">
        <f>IF(B838=0,"",COUNTIFS('Extração'!Q:Q,"Não",'Extração'!L:L,A838)/B838)</f>
        <v/>
      </c>
      <c r="I838" s="16" t="str">
        <f>IF(B838=0,"",COUNTIFS('Extração'!R:R,"Igual",'Extração'!L:L,A838)/B838)</f>
        <v/>
      </c>
    </row>
    <row r="839">
      <c r="B839" s="16">
        <f>COUNTIF('Extração'!L:L,A839)</f>
        <v>0</v>
      </c>
      <c r="C839" s="16" t="str">
        <f>IF(B839=0,"",COUNTIFS('Extração'!P:P,"Sim",'Extração'!L:L,A839)/B839)</f>
        <v/>
      </c>
      <c r="D839" s="16" t="str">
        <f>IF(B839=0,"",COUNTIFS('Extração'!Q:Q,"Sim",'Extração'!L:L,A839)/B839)</f>
        <v/>
      </c>
      <c r="E839" s="16" t="str">
        <f>IF(B839=0,"",COUNTIFS('Extração'!P:P,"Parcialmente",'Extração'!L:L,A839)/B839)</f>
        <v/>
      </c>
      <c r="F839" s="16" t="str">
        <f>IF(B839=0,"",COUNTIFS('Extração'!Q:Q,"Parcialmente",'Extração'!L:L,A839)/B839)</f>
        <v/>
      </c>
      <c r="G839" s="16" t="str">
        <f>IF(B839=0,"",COUNTIFS('Extração'!P:P,"Não",'Extração'!L:L,A839)/B839)</f>
        <v/>
      </c>
      <c r="H839" s="16" t="str">
        <f>IF(B839=0,"",COUNTIFS('Extração'!Q:Q,"Não",'Extração'!L:L,A839)/B839)</f>
        <v/>
      </c>
      <c r="I839" s="16" t="str">
        <f>IF(B839=0,"",COUNTIFS('Extração'!R:R,"Igual",'Extração'!L:L,A839)/B839)</f>
        <v/>
      </c>
    </row>
    <row r="840">
      <c r="B840" s="16">
        <f>COUNTIF('Extração'!L:L,A840)</f>
        <v>0</v>
      </c>
      <c r="C840" s="16" t="str">
        <f>IF(B840=0,"",COUNTIFS('Extração'!P:P,"Sim",'Extração'!L:L,A840)/B840)</f>
        <v/>
      </c>
      <c r="D840" s="16" t="str">
        <f>IF(B840=0,"",COUNTIFS('Extração'!Q:Q,"Sim",'Extração'!L:L,A840)/B840)</f>
        <v/>
      </c>
      <c r="E840" s="16" t="str">
        <f>IF(B840=0,"",COUNTIFS('Extração'!P:P,"Parcialmente",'Extração'!L:L,A840)/B840)</f>
        <v/>
      </c>
      <c r="F840" s="16" t="str">
        <f>IF(B840=0,"",COUNTIFS('Extração'!Q:Q,"Parcialmente",'Extração'!L:L,A840)/B840)</f>
        <v/>
      </c>
      <c r="G840" s="16" t="str">
        <f>IF(B840=0,"",COUNTIFS('Extração'!P:P,"Não",'Extração'!L:L,A840)/B840)</f>
        <v/>
      </c>
      <c r="H840" s="16" t="str">
        <f>IF(B840=0,"",COUNTIFS('Extração'!Q:Q,"Não",'Extração'!L:L,A840)/B840)</f>
        <v/>
      </c>
      <c r="I840" s="16" t="str">
        <f>IF(B840=0,"",COUNTIFS('Extração'!R:R,"Igual",'Extração'!L:L,A840)/B840)</f>
        <v/>
      </c>
    </row>
    <row r="841">
      <c r="B841" s="16">
        <f>COUNTIF('Extração'!L:L,A841)</f>
        <v>0</v>
      </c>
      <c r="C841" s="16" t="str">
        <f>IF(B841=0,"",COUNTIFS('Extração'!P:P,"Sim",'Extração'!L:L,A841)/B841)</f>
        <v/>
      </c>
      <c r="D841" s="16" t="str">
        <f>IF(B841=0,"",COUNTIFS('Extração'!Q:Q,"Sim",'Extração'!L:L,A841)/B841)</f>
        <v/>
      </c>
      <c r="E841" s="16" t="str">
        <f>IF(B841=0,"",COUNTIFS('Extração'!P:P,"Parcialmente",'Extração'!L:L,A841)/B841)</f>
        <v/>
      </c>
      <c r="F841" s="16" t="str">
        <f>IF(B841=0,"",COUNTIFS('Extração'!Q:Q,"Parcialmente",'Extração'!L:L,A841)/B841)</f>
        <v/>
      </c>
      <c r="G841" s="16" t="str">
        <f>IF(B841=0,"",COUNTIFS('Extração'!P:P,"Não",'Extração'!L:L,A841)/B841)</f>
        <v/>
      </c>
      <c r="H841" s="16" t="str">
        <f>IF(B841=0,"",COUNTIFS('Extração'!Q:Q,"Não",'Extração'!L:L,A841)/B841)</f>
        <v/>
      </c>
      <c r="I841" s="16" t="str">
        <f>IF(B841=0,"",COUNTIFS('Extração'!R:R,"Igual",'Extração'!L:L,A841)/B841)</f>
        <v/>
      </c>
    </row>
    <row r="842">
      <c r="B842" s="16">
        <f>COUNTIF('Extração'!L:L,A842)</f>
        <v>0</v>
      </c>
      <c r="C842" s="16" t="str">
        <f>IF(B842=0,"",COUNTIFS('Extração'!P:P,"Sim",'Extração'!L:L,A842)/B842)</f>
        <v/>
      </c>
      <c r="D842" s="16" t="str">
        <f>IF(B842=0,"",COUNTIFS('Extração'!Q:Q,"Sim",'Extração'!L:L,A842)/B842)</f>
        <v/>
      </c>
      <c r="E842" s="16" t="str">
        <f>IF(B842=0,"",COUNTIFS('Extração'!P:P,"Parcialmente",'Extração'!L:L,A842)/B842)</f>
        <v/>
      </c>
      <c r="F842" s="16" t="str">
        <f>IF(B842=0,"",COUNTIFS('Extração'!Q:Q,"Parcialmente",'Extração'!L:L,A842)/B842)</f>
        <v/>
      </c>
      <c r="G842" s="16" t="str">
        <f>IF(B842=0,"",COUNTIFS('Extração'!P:P,"Não",'Extração'!L:L,A842)/B842)</f>
        <v/>
      </c>
      <c r="H842" s="16" t="str">
        <f>IF(B842=0,"",COUNTIFS('Extração'!Q:Q,"Não",'Extração'!L:L,A842)/B842)</f>
        <v/>
      </c>
      <c r="I842" s="16" t="str">
        <f>IF(B842=0,"",COUNTIFS('Extração'!R:R,"Igual",'Extração'!L:L,A842)/B842)</f>
        <v/>
      </c>
    </row>
    <row r="843">
      <c r="B843" s="16">
        <f>COUNTIF('Extração'!L:L,A843)</f>
        <v>0</v>
      </c>
      <c r="C843" s="16" t="str">
        <f>IF(B843=0,"",COUNTIFS('Extração'!P:P,"Sim",'Extração'!L:L,A843)/B843)</f>
        <v/>
      </c>
      <c r="D843" s="16" t="str">
        <f>IF(B843=0,"",COUNTIFS('Extração'!Q:Q,"Sim",'Extração'!L:L,A843)/B843)</f>
        <v/>
      </c>
      <c r="E843" s="16" t="str">
        <f>IF(B843=0,"",COUNTIFS('Extração'!P:P,"Parcialmente",'Extração'!L:L,A843)/B843)</f>
        <v/>
      </c>
      <c r="F843" s="16" t="str">
        <f>IF(B843=0,"",COUNTIFS('Extração'!Q:Q,"Parcialmente",'Extração'!L:L,A843)/B843)</f>
        <v/>
      </c>
      <c r="G843" s="16" t="str">
        <f>IF(B843=0,"",COUNTIFS('Extração'!P:P,"Não",'Extração'!L:L,A843)/B843)</f>
        <v/>
      </c>
      <c r="H843" s="16" t="str">
        <f>IF(B843=0,"",COUNTIFS('Extração'!Q:Q,"Não",'Extração'!L:L,A843)/B843)</f>
        <v/>
      </c>
      <c r="I843" s="16" t="str">
        <f>IF(B843=0,"",COUNTIFS('Extração'!R:R,"Igual",'Extração'!L:L,A843)/B843)</f>
        <v/>
      </c>
    </row>
    <row r="844">
      <c r="B844" s="16">
        <f>COUNTIF('Extração'!L:L,A844)</f>
        <v>0</v>
      </c>
      <c r="C844" s="16" t="str">
        <f>IF(B844=0,"",COUNTIFS('Extração'!P:P,"Sim",'Extração'!L:L,A844)/B844)</f>
        <v/>
      </c>
      <c r="D844" s="16" t="str">
        <f>IF(B844=0,"",COUNTIFS('Extração'!Q:Q,"Sim",'Extração'!L:L,A844)/B844)</f>
        <v/>
      </c>
      <c r="E844" s="16" t="str">
        <f>IF(B844=0,"",COUNTIFS('Extração'!P:P,"Parcialmente",'Extração'!L:L,A844)/B844)</f>
        <v/>
      </c>
      <c r="F844" s="16" t="str">
        <f>IF(B844=0,"",COUNTIFS('Extração'!Q:Q,"Parcialmente",'Extração'!L:L,A844)/B844)</f>
        <v/>
      </c>
      <c r="G844" s="16" t="str">
        <f>IF(B844=0,"",COUNTIFS('Extração'!P:P,"Não",'Extração'!L:L,A844)/B844)</f>
        <v/>
      </c>
      <c r="H844" s="16" t="str">
        <f>IF(B844=0,"",COUNTIFS('Extração'!Q:Q,"Não",'Extração'!L:L,A844)/B844)</f>
        <v/>
      </c>
      <c r="I844" s="16" t="str">
        <f>IF(B844=0,"",COUNTIFS('Extração'!R:R,"Igual",'Extração'!L:L,A844)/B844)</f>
        <v/>
      </c>
    </row>
    <row r="845">
      <c r="B845" s="16">
        <f>COUNTIF('Extração'!L:L,A845)</f>
        <v>0</v>
      </c>
      <c r="C845" s="16" t="str">
        <f>IF(B845=0,"",COUNTIFS('Extração'!P:P,"Sim",'Extração'!L:L,A845)/B845)</f>
        <v/>
      </c>
      <c r="D845" s="16" t="str">
        <f>IF(B845=0,"",COUNTIFS('Extração'!Q:Q,"Sim",'Extração'!L:L,A845)/B845)</f>
        <v/>
      </c>
      <c r="E845" s="16" t="str">
        <f>IF(B845=0,"",COUNTIFS('Extração'!P:P,"Parcialmente",'Extração'!L:L,A845)/B845)</f>
        <v/>
      </c>
      <c r="F845" s="16" t="str">
        <f>IF(B845=0,"",COUNTIFS('Extração'!Q:Q,"Parcialmente",'Extração'!L:L,A845)/B845)</f>
        <v/>
      </c>
      <c r="G845" s="16" t="str">
        <f>IF(B845=0,"",COUNTIFS('Extração'!P:P,"Não",'Extração'!L:L,A845)/B845)</f>
        <v/>
      </c>
      <c r="H845" s="16" t="str">
        <f>IF(B845=0,"",COUNTIFS('Extração'!Q:Q,"Não",'Extração'!L:L,A845)/B845)</f>
        <v/>
      </c>
      <c r="I845" s="16" t="str">
        <f>IF(B845=0,"",COUNTIFS('Extração'!R:R,"Igual",'Extração'!L:L,A845)/B845)</f>
        <v/>
      </c>
    </row>
    <row r="846">
      <c r="B846" s="16">
        <f>COUNTIF('Extração'!L:L,A846)</f>
        <v>0</v>
      </c>
      <c r="C846" s="16" t="str">
        <f>IF(B846=0,"",COUNTIFS('Extração'!P:P,"Sim",'Extração'!L:L,A846)/B846)</f>
        <v/>
      </c>
      <c r="D846" s="16" t="str">
        <f>IF(B846=0,"",COUNTIFS('Extração'!Q:Q,"Sim",'Extração'!L:L,A846)/B846)</f>
        <v/>
      </c>
      <c r="E846" s="16" t="str">
        <f>IF(B846=0,"",COUNTIFS('Extração'!P:P,"Parcialmente",'Extração'!L:L,A846)/B846)</f>
        <v/>
      </c>
      <c r="F846" s="16" t="str">
        <f>IF(B846=0,"",COUNTIFS('Extração'!Q:Q,"Parcialmente",'Extração'!L:L,A846)/B846)</f>
        <v/>
      </c>
      <c r="G846" s="16" t="str">
        <f>IF(B846=0,"",COUNTIFS('Extração'!P:P,"Não",'Extração'!L:L,A846)/B846)</f>
        <v/>
      </c>
      <c r="H846" s="16" t="str">
        <f>IF(B846=0,"",COUNTIFS('Extração'!Q:Q,"Não",'Extração'!L:L,A846)/B846)</f>
        <v/>
      </c>
      <c r="I846" s="16" t="str">
        <f>IF(B846=0,"",COUNTIFS('Extração'!R:R,"Igual",'Extração'!L:L,A846)/B846)</f>
        <v/>
      </c>
    </row>
    <row r="847">
      <c r="B847" s="16">
        <f>COUNTIF('Extração'!L:L,A847)</f>
        <v>0</v>
      </c>
      <c r="C847" s="16" t="str">
        <f>IF(B847=0,"",COUNTIFS('Extração'!P:P,"Sim",'Extração'!L:L,A847)/B847)</f>
        <v/>
      </c>
      <c r="D847" s="16" t="str">
        <f>IF(B847=0,"",COUNTIFS('Extração'!Q:Q,"Sim",'Extração'!L:L,A847)/B847)</f>
        <v/>
      </c>
      <c r="E847" s="16" t="str">
        <f>IF(B847=0,"",COUNTIFS('Extração'!P:P,"Parcialmente",'Extração'!L:L,A847)/B847)</f>
        <v/>
      </c>
      <c r="F847" s="16" t="str">
        <f>IF(B847=0,"",COUNTIFS('Extração'!Q:Q,"Parcialmente",'Extração'!L:L,A847)/B847)</f>
        <v/>
      </c>
      <c r="G847" s="16" t="str">
        <f>IF(B847=0,"",COUNTIFS('Extração'!P:P,"Não",'Extração'!L:L,A847)/B847)</f>
        <v/>
      </c>
      <c r="H847" s="16" t="str">
        <f>IF(B847=0,"",COUNTIFS('Extração'!Q:Q,"Não",'Extração'!L:L,A847)/B847)</f>
        <v/>
      </c>
      <c r="I847" s="16" t="str">
        <f>IF(B847=0,"",COUNTIFS('Extração'!R:R,"Igual",'Extração'!L:L,A847)/B847)</f>
        <v/>
      </c>
    </row>
    <row r="848">
      <c r="B848" s="16">
        <f>COUNTIF('Extração'!L:L,A848)</f>
        <v>0</v>
      </c>
      <c r="C848" s="16" t="str">
        <f>IF(B848=0,"",COUNTIFS('Extração'!P:P,"Sim",'Extração'!L:L,A848)/B848)</f>
        <v/>
      </c>
      <c r="D848" s="16" t="str">
        <f>IF(B848=0,"",COUNTIFS('Extração'!Q:Q,"Sim",'Extração'!L:L,A848)/B848)</f>
        <v/>
      </c>
      <c r="E848" s="16" t="str">
        <f>IF(B848=0,"",COUNTIFS('Extração'!P:P,"Parcialmente",'Extração'!L:L,A848)/B848)</f>
        <v/>
      </c>
      <c r="F848" s="16" t="str">
        <f>IF(B848=0,"",COUNTIFS('Extração'!Q:Q,"Parcialmente",'Extração'!L:L,A848)/B848)</f>
        <v/>
      </c>
      <c r="G848" s="16" t="str">
        <f>IF(B848=0,"",COUNTIFS('Extração'!P:P,"Não",'Extração'!L:L,A848)/B848)</f>
        <v/>
      </c>
      <c r="H848" s="16" t="str">
        <f>IF(B848=0,"",COUNTIFS('Extração'!Q:Q,"Não",'Extração'!L:L,A848)/B848)</f>
        <v/>
      </c>
      <c r="I848" s="16" t="str">
        <f>IF(B848=0,"",COUNTIFS('Extração'!R:R,"Igual",'Extração'!L:L,A848)/B848)</f>
        <v/>
      </c>
    </row>
    <row r="849">
      <c r="B849" s="16">
        <f>COUNTIF('Extração'!L:L,A849)</f>
        <v>0</v>
      </c>
      <c r="C849" s="16" t="str">
        <f>IF(B849=0,"",COUNTIFS('Extração'!P:P,"Sim",'Extração'!L:L,A849)/B849)</f>
        <v/>
      </c>
      <c r="D849" s="16" t="str">
        <f>IF(B849=0,"",COUNTIFS('Extração'!Q:Q,"Sim",'Extração'!L:L,A849)/B849)</f>
        <v/>
      </c>
      <c r="E849" s="16" t="str">
        <f>IF(B849=0,"",COUNTIFS('Extração'!P:P,"Parcialmente",'Extração'!L:L,A849)/B849)</f>
        <v/>
      </c>
      <c r="F849" s="16" t="str">
        <f>IF(B849=0,"",COUNTIFS('Extração'!Q:Q,"Parcialmente",'Extração'!L:L,A849)/B849)</f>
        <v/>
      </c>
      <c r="G849" s="16" t="str">
        <f>IF(B849=0,"",COUNTIFS('Extração'!P:P,"Não",'Extração'!L:L,A849)/B849)</f>
        <v/>
      </c>
      <c r="H849" s="16" t="str">
        <f>IF(B849=0,"",COUNTIFS('Extração'!Q:Q,"Não",'Extração'!L:L,A849)/B849)</f>
        <v/>
      </c>
      <c r="I849" s="16" t="str">
        <f>IF(B849=0,"",COUNTIFS('Extração'!R:R,"Igual",'Extração'!L:L,A849)/B849)</f>
        <v/>
      </c>
    </row>
    <row r="850">
      <c r="B850" s="16">
        <f>COUNTIF('Extração'!L:L,A850)</f>
        <v>0</v>
      </c>
      <c r="C850" s="16" t="str">
        <f>IF(B850=0,"",COUNTIFS('Extração'!P:P,"Sim",'Extração'!L:L,A850)/B850)</f>
        <v/>
      </c>
      <c r="D850" s="16" t="str">
        <f>IF(B850=0,"",COUNTIFS('Extração'!Q:Q,"Sim",'Extração'!L:L,A850)/B850)</f>
        <v/>
      </c>
      <c r="E850" s="16" t="str">
        <f>IF(B850=0,"",COUNTIFS('Extração'!P:P,"Parcialmente",'Extração'!L:L,A850)/B850)</f>
        <v/>
      </c>
      <c r="F850" s="16" t="str">
        <f>IF(B850=0,"",COUNTIFS('Extração'!Q:Q,"Parcialmente",'Extração'!L:L,A850)/B850)</f>
        <v/>
      </c>
      <c r="G850" s="16" t="str">
        <f>IF(B850=0,"",COUNTIFS('Extração'!P:P,"Não",'Extração'!L:L,A850)/B850)</f>
        <v/>
      </c>
      <c r="H850" s="16" t="str">
        <f>IF(B850=0,"",COUNTIFS('Extração'!Q:Q,"Não",'Extração'!L:L,A850)/B850)</f>
        <v/>
      </c>
      <c r="I850" s="16" t="str">
        <f>IF(B850=0,"",COUNTIFS('Extração'!R:R,"Igual",'Extração'!L:L,A850)/B850)</f>
        <v/>
      </c>
    </row>
    <row r="851">
      <c r="B851" s="16">
        <f>COUNTIF('Extração'!L:L,A851)</f>
        <v>0</v>
      </c>
      <c r="C851" s="16" t="str">
        <f>IF(B851=0,"",COUNTIFS('Extração'!P:P,"Sim",'Extração'!L:L,A851)/B851)</f>
        <v/>
      </c>
      <c r="D851" s="16" t="str">
        <f>IF(B851=0,"",COUNTIFS('Extração'!Q:Q,"Sim",'Extração'!L:L,A851)/B851)</f>
        <v/>
      </c>
      <c r="E851" s="16" t="str">
        <f>IF(B851=0,"",COUNTIFS('Extração'!P:P,"Parcialmente",'Extração'!L:L,A851)/B851)</f>
        <v/>
      </c>
      <c r="F851" s="16" t="str">
        <f>IF(B851=0,"",COUNTIFS('Extração'!Q:Q,"Parcialmente",'Extração'!L:L,A851)/B851)</f>
        <v/>
      </c>
      <c r="G851" s="16" t="str">
        <f>IF(B851=0,"",COUNTIFS('Extração'!P:P,"Não",'Extração'!L:L,A851)/B851)</f>
        <v/>
      </c>
      <c r="H851" s="16" t="str">
        <f>IF(B851=0,"",COUNTIFS('Extração'!Q:Q,"Não",'Extração'!L:L,A851)/B851)</f>
        <v/>
      </c>
      <c r="I851" s="16" t="str">
        <f>IF(B851=0,"",COUNTIFS('Extração'!R:R,"Igual",'Extração'!L:L,A851)/B851)</f>
        <v/>
      </c>
    </row>
    <row r="852">
      <c r="B852" s="16">
        <f>COUNTIF('Extração'!L:L,A852)</f>
        <v>0</v>
      </c>
      <c r="C852" s="16" t="str">
        <f>IF(B852=0,"",COUNTIFS('Extração'!P:P,"Sim",'Extração'!L:L,A852)/B852)</f>
        <v/>
      </c>
      <c r="D852" s="16" t="str">
        <f>IF(B852=0,"",COUNTIFS('Extração'!Q:Q,"Sim",'Extração'!L:L,A852)/B852)</f>
        <v/>
      </c>
      <c r="E852" s="16" t="str">
        <f>IF(B852=0,"",COUNTIFS('Extração'!P:P,"Parcialmente",'Extração'!L:L,A852)/B852)</f>
        <v/>
      </c>
      <c r="F852" s="16" t="str">
        <f>IF(B852=0,"",COUNTIFS('Extração'!Q:Q,"Parcialmente",'Extração'!L:L,A852)/B852)</f>
        <v/>
      </c>
      <c r="G852" s="16" t="str">
        <f>IF(B852=0,"",COUNTIFS('Extração'!P:P,"Não",'Extração'!L:L,A852)/B852)</f>
        <v/>
      </c>
      <c r="H852" s="16" t="str">
        <f>IF(B852=0,"",COUNTIFS('Extração'!Q:Q,"Não",'Extração'!L:L,A852)/B852)</f>
        <v/>
      </c>
      <c r="I852" s="16" t="str">
        <f>IF(B852=0,"",COUNTIFS('Extração'!R:R,"Igual",'Extração'!L:L,A852)/B852)</f>
        <v/>
      </c>
    </row>
    <row r="853">
      <c r="B853" s="16">
        <f>COUNTIF('Extração'!L:L,A853)</f>
        <v>0</v>
      </c>
      <c r="C853" s="16" t="str">
        <f>IF(B853=0,"",COUNTIFS('Extração'!P:P,"Sim",'Extração'!L:L,A853)/B853)</f>
        <v/>
      </c>
      <c r="D853" s="16" t="str">
        <f>IF(B853=0,"",COUNTIFS('Extração'!Q:Q,"Sim",'Extração'!L:L,A853)/B853)</f>
        <v/>
      </c>
      <c r="E853" s="16" t="str">
        <f>IF(B853=0,"",COUNTIFS('Extração'!P:P,"Parcialmente",'Extração'!L:L,A853)/B853)</f>
        <v/>
      </c>
      <c r="F853" s="16" t="str">
        <f>IF(B853=0,"",COUNTIFS('Extração'!Q:Q,"Parcialmente",'Extração'!L:L,A853)/B853)</f>
        <v/>
      </c>
      <c r="G853" s="16" t="str">
        <f>IF(B853=0,"",COUNTIFS('Extração'!P:P,"Não",'Extração'!L:L,A853)/B853)</f>
        <v/>
      </c>
      <c r="H853" s="16" t="str">
        <f>IF(B853=0,"",COUNTIFS('Extração'!Q:Q,"Não",'Extração'!L:L,A853)/B853)</f>
        <v/>
      </c>
      <c r="I853" s="16" t="str">
        <f>IF(B853=0,"",COUNTIFS('Extração'!R:R,"Igual",'Extração'!L:L,A853)/B853)</f>
        <v/>
      </c>
    </row>
    <row r="854">
      <c r="B854" s="16">
        <f>COUNTIF('Extração'!L:L,A854)</f>
        <v>0</v>
      </c>
      <c r="C854" s="16" t="str">
        <f>IF(B854=0,"",COUNTIFS('Extração'!P:P,"Sim",'Extração'!L:L,A854)/B854)</f>
        <v/>
      </c>
      <c r="D854" s="16" t="str">
        <f>IF(B854=0,"",COUNTIFS('Extração'!Q:Q,"Sim",'Extração'!L:L,A854)/B854)</f>
        <v/>
      </c>
      <c r="E854" s="16" t="str">
        <f>IF(B854=0,"",COUNTIFS('Extração'!P:P,"Parcialmente",'Extração'!L:L,A854)/B854)</f>
        <v/>
      </c>
      <c r="F854" s="16" t="str">
        <f>IF(B854=0,"",COUNTIFS('Extração'!Q:Q,"Parcialmente",'Extração'!L:L,A854)/B854)</f>
        <v/>
      </c>
      <c r="G854" s="16" t="str">
        <f>IF(B854=0,"",COUNTIFS('Extração'!P:P,"Não",'Extração'!L:L,A854)/B854)</f>
        <v/>
      </c>
      <c r="H854" s="16" t="str">
        <f>IF(B854=0,"",COUNTIFS('Extração'!Q:Q,"Não",'Extração'!L:L,A854)/B854)</f>
        <v/>
      </c>
      <c r="I854" s="16" t="str">
        <f>IF(B854=0,"",COUNTIFS('Extração'!R:R,"Igual",'Extração'!L:L,A854)/B854)</f>
        <v/>
      </c>
    </row>
    <row r="855">
      <c r="B855" s="16">
        <f>COUNTIF('Extração'!L:L,A855)</f>
        <v>0</v>
      </c>
      <c r="C855" s="16" t="str">
        <f>IF(B855=0,"",COUNTIFS('Extração'!P:P,"Sim",'Extração'!L:L,A855)/B855)</f>
        <v/>
      </c>
      <c r="D855" s="16" t="str">
        <f>IF(B855=0,"",COUNTIFS('Extração'!Q:Q,"Sim",'Extração'!L:L,A855)/B855)</f>
        <v/>
      </c>
      <c r="E855" s="16" t="str">
        <f>IF(B855=0,"",COUNTIFS('Extração'!P:P,"Parcialmente",'Extração'!L:L,A855)/B855)</f>
        <v/>
      </c>
      <c r="F855" s="16" t="str">
        <f>IF(B855=0,"",COUNTIFS('Extração'!Q:Q,"Parcialmente",'Extração'!L:L,A855)/B855)</f>
        <v/>
      </c>
      <c r="G855" s="16" t="str">
        <f>IF(B855=0,"",COUNTIFS('Extração'!P:P,"Não",'Extração'!L:L,A855)/B855)</f>
        <v/>
      </c>
      <c r="H855" s="16" t="str">
        <f>IF(B855=0,"",COUNTIFS('Extração'!Q:Q,"Não",'Extração'!L:L,A855)/B855)</f>
        <v/>
      </c>
      <c r="I855" s="16" t="str">
        <f>IF(B855=0,"",COUNTIFS('Extração'!R:R,"Igual",'Extração'!L:L,A855)/B855)</f>
        <v/>
      </c>
    </row>
    <row r="856">
      <c r="B856" s="16">
        <f>COUNTIF('Extração'!L:L,A856)</f>
        <v>0</v>
      </c>
      <c r="C856" s="16" t="str">
        <f>IF(B856=0,"",COUNTIFS('Extração'!P:P,"Sim",'Extração'!L:L,A856)/B856)</f>
        <v/>
      </c>
      <c r="D856" s="16" t="str">
        <f>IF(B856=0,"",COUNTIFS('Extração'!Q:Q,"Sim",'Extração'!L:L,A856)/B856)</f>
        <v/>
      </c>
      <c r="E856" s="16" t="str">
        <f>IF(B856=0,"",COUNTIFS('Extração'!P:P,"Parcialmente",'Extração'!L:L,A856)/B856)</f>
        <v/>
      </c>
      <c r="F856" s="16" t="str">
        <f>IF(B856=0,"",COUNTIFS('Extração'!Q:Q,"Parcialmente",'Extração'!L:L,A856)/B856)</f>
        <v/>
      </c>
      <c r="G856" s="16" t="str">
        <f>IF(B856=0,"",COUNTIFS('Extração'!P:P,"Não",'Extração'!L:L,A856)/B856)</f>
        <v/>
      </c>
      <c r="H856" s="16" t="str">
        <f>IF(B856=0,"",COUNTIFS('Extração'!Q:Q,"Não",'Extração'!L:L,A856)/B856)</f>
        <v/>
      </c>
      <c r="I856" s="16" t="str">
        <f>IF(B856=0,"",COUNTIFS('Extração'!R:R,"Igual",'Extração'!L:L,A856)/B856)</f>
        <v/>
      </c>
    </row>
    <row r="857">
      <c r="B857" s="16">
        <f>COUNTIF('Extração'!L:L,A857)</f>
        <v>0</v>
      </c>
      <c r="C857" s="16" t="str">
        <f>IF(B857=0,"",COUNTIFS('Extração'!P:P,"Sim",'Extração'!L:L,A857)/B857)</f>
        <v/>
      </c>
      <c r="D857" s="16" t="str">
        <f>IF(B857=0,"",COUNTIFS('Extração'!Q:Q,"Sim",'Extração'!L:L,A857)/B857)</f>
        <v/>
      </c>
      <c r="E857" s="16" t="str">
        <f>IF(B857=0,"",COUNTIFS('Extração'!P:P,"Parcialmente",'Extração'!L:L,A857)/B857)</f>
        <v/>
      </c>
      <c r="F857" s="16" t="str">
        <f>IF(B857=0,"",COUNTIFS('Extração'!Q:Q,"Parcialmente",'Extração'!L:L,A857)/B857)</f>
        <v/>
      </c>
      <c r="G857" s="16" t="str">
        <f>IF(B857=0,"",COUNTIFS('Extração'!P:P,"Não",'Extração'!L:L,A857)/B857)</f>
        <v/>
      </c>
      <c r="H857" s="16" t="str">
        <f>IF(B857=0,"",COUNTIFS('Extração'!Q:Q,"Não",'Extração'!L:L,A857)/B857)</f>
        <v/>
      </c>
      <c r="I857" s="16" t="str">
        <f>IF(B857=0,"",COUNTIFS('Extração'!R:R,"Igual",'Extração'!L:L,A857)/B857)</f>
        <v/>
      </c>
    </row>
    <row r="858">
      <c r="B858" s="16">
        <f>COUNTIF('Extração'!L:L,A858)</f>
        <v>0</v>
      </c>
      <c r="C858" s="16" t="str">
        <f>IF(B858=0,"",COUNTIFS('Extração'!P:P,"Sim",'Extração'!L:L,A858)/B858)</f>
        <v/>
      </c>
      <c r="D858" s="16" t="str">
        <f>IF(B858=0,"",COUNTIFS('Extração'!Q:Q,"Sim",'Extração'!L:L,A858)/B858)</f>
        <v/>
      </c>
      <c r="E858" s="16" t="str">
        <f>IF(B858=0,"",COUNTIFS('Extração'!P:P,"Parcialmente",'Extração'!L:L,A858)/B858)</f>
        <v/>
      </c>
      <c r="F858" s="16" t="str">
        <f>IF(B858=0,"",COUNTIFS('Extração'!Q:Q,"Parcialmente",'Extração'!L:L,A858)/B858)</f>
        <v/>
      </c>
      <c r="G858" s="16" t="str">
        <f>IF(B858=0,"",COUNTIFS('Extração'!P:P,"Não",'Extração'!L:L,A858)/B858)</f>
        <v/>
      </c>
      <c r="H858" s="16" t="str">
        <f>IF(B858=0,"",COUNTIFS('Extração'!Q:Q,"Não",'Extração'!L:L,A858)/B858)</f>
        <v/>
      </c>
      <c r="I858" s="16" t="str">
        <f>IF(B858=0,"",COUNTIFS('Extração'!R:R,"Igual",'Extração'!L:L,A858)/B858)</f>
        <v/>
      </c>
    </row>
    <row r="859">
      <c r="B859" s="16">
        <f>COUNTIF('Extração'!L:L,A859)</f>
        <v>0</v>
      </c>
      <c r="C859" s="16" t="str">
        <f>IF(B859=0,"",COUNTIFS('Extração'!P:P,"Sim",'Extração'!L:L,A859)/B859)</f>
        <v/>
      </c>
      <c r="D859" s="16" t="str">
        <f>IF(B859=0,"",COUNTIFS('Extração'!Q:Q,"Sim",'Extração'!L:L,A859)/B859)</f>
        <v/>
      </c>
      <c r="E859" s="16" t="str">
        <f>IF(B859=0,"",COUNTIFS('Extração'!P:P,"Parcialmente",'Extração'!L:L,A859)/B859)</f>
        <v/>
      </c>
      <c r="F859" s="16" t="str">
        <f>IF(B859=0,"",COUNTIFS('Extração'!Q:Q,"Parcialmente",'Extração'!L:L,A859)/B859)</f>
        <v/>
      </c>
      <c r="G859" s="16" t="str">
        <f>IF(B859=0,"",COUNTIFS('Extração'!P:P,"Não",'Extração'!L:L,A859)/B859)</f>
        <v/>
      </c>
      <c r="H859" s="16" t="str">
        <f>IF(B859=0,"",COUNTIFS('Extração'!Q:Q,"Não",'Extração'!L:L,A859)/B859)</f>
        <v/>
      </c>
      <c r="I859" s="16" t="str">
        <f>IF(B859=0,"",COUNTIFS('Extração'!R:R,"Igual",'Extração'!L:L,A859)/B859)</f>
        <v/>
      </c>
    </row>
    <row r="860">
      <c r="B860" s="16">
        <f>COUNTIF('Extração'!L:L,A860)</f>
        <v>0</v>
      </c>
      <c r="C860" s="16" t="str">
        <f>IF(B860=0,"",COUNTIFS('Extração'!P:P,"Sim",'Extração'!L:L,A860)/B860)</f>
        <v/>
      </c>
      <c r="D860" s="16" t="str">
        <f>IF(B860=0,"",COUNTIFS('Extração'!Q:Q,"Sim",'Extração'!L:L,A860)/B860)</f>
        <v/>
      </c>
      <c r="E860" s="16" t="str">
        <f>IF(B860=0,"",COUNTIFS('Extração'!P:P,"Parcialmente",'Extração'!L:L,A860)/B860)</f>
        <v/>
      </c>
      <c r="F860" s="16" t="str">
        <f>IF(B860=0,"",COUNTIFS('Extração'!Q:Q,"Parcialmente",'Extração'!L:L,A860)/B860)</f>
        <v/>
      </c>
      <c r="G860" s="16" t="str">
        <f>IF(B860=0,"",COUNTIFS('Extração'!P:P,"Não",'Extração'!L:L,A860)/B860)</f>
        <v/>
      </c>
      <c r="H860" s="16" t="str">
        <f>IF(B860=0,"",COUNTIFS('Extração'!Q:Q,"Não",'Extração'!L:L,A860)/B860)</f>
        <v/>
      </c>
      <c r="I860" s="16" t="str">
        <f>IF(B860=0,"",COUNTIFS('Extração'!R:R,"Igual",'Extração'!L:L,A860)/B860)</f>
        <v/>
      </c>
    </row>
    <row r="861">
      <c r="B861" s="16">
        <f>COUNTIF('Extração'!L:L,A861)</f>
        <v>0</v>
      </c>
      <c r="C861" s="16" t="str">
        <f>IF(B861=0,"",COUNTIFS('Extração'!P:P,"Sim",'Extração'!L:L,A861)/B861)</f>
        <v/>
      </c>
      <c r="D861" s="16" t="str">
        <f>IF(B861=0,"",COUNTIFS('Extração'!Q:Q,"Sim",'Extração'!L:L,A861)/B861)</f>
        <v/>
      </c>
      <c r="E861" s="16" t="str">
        <f>IF(B861=0,"",COUNTIFS('Extração'!P:P,"Parcialmente",'Extração'!L:L,A861)/B861)</f>
        <v/>
      </c>
      <c r="F861" s="16" t="str">
        <f>IF(B861=0,"",COUNTIFS('Extração'!Q:Q,"Parcialmente",'Extração'!L:L,A861)/B861)</f>
        <v/>
      </c>
      <c r="G861" s="16" t="str">
        <f>IF(B861=0,"",COUNTIFS('Extração'!P:P,"Não",'Extração'!L:L,A861)/B861)</f>
        <v/>
      </c>
      <c r="H861" s="16" t="str">
        <f>IF(B861=0,"",COUNTIFS('Extração'!Q:Q,"Não",'Extração'!L:L,A861)/B861)</f>
        <v/>
      </c>
      <c r="I861" s="16" t="str">
        <f>IF(B861=0,"",COUNTIFS('Extração'!R:R,"Igual",'Extração'!L:L,A861)/B861)</f>
        <v/>
      </c>
    </row>
    <row r="862">
      <c r="B862" s="16">
        <f>COUNTIF('Extração'!L:L,A862)</f>
        <v>0</v>
      </c>
      <c r="C862" s="16" t="str">
        <f>IF(B862=0,"",COUNTIFS('Extração'!P:P,"Sim",'Extração'!L:L,A862)/B862)</f>
        <v/>
      </c>
      <c r="D862" s="16" t="str">
        <f>IF(B862=0,"",COUNTIFS('Extração'!Q:Q,"Sim",'Extração'!L:L,A862)/B862)</f>
        <v/>
      </c>
      <c r="E862" s="16" t="str">
        <f>IF(B862=0,"",COUNTIFS('Extração'!P:P,"Parcialmente",'Extração'!L:L,A862)/B862)</f>
        <v/>
      </c>
      <c r="F862" s="16" t="str">
        <f>IF(B862=0,"",COUNTIFS('Extração'!Q:Q,"Parcialmente",'Extração'!L:L,A862)/B862)</f>
        <v/>
      </c>
      <c r="G862" s="16" t="str">
        <f>IF(B862=0,"",COUNTIFS('Extração'!P:P,"Não",'Extração'!L:L,A862)/B862)</f>
        <v/>
      </c>
      <c r="H862" s="16" t="str">
        <f>IF(B862=0,"",COUNTIFS('Extração'!Q:Q,"Não",'Extração'!L:L,A862)/B862)</f>
        <v/>
      </c>
      <c r="I862" s="16" t="str">
        <f>IF(B862=0,"",COUNTIFS('Extração'!R:R,"Igual",'Extração'!L:L,A862)/B862)</f>
        <v/>
      </c>
    </row>
    <row r="863">
      <c r="B863" s="16">
        <f>COUNTIF('Extração'!L:L,A863)</f>
        <v>0</v>
      </c>
      <c r="C863" s="16" t="str">
        <f>IF(B863=0,"",COUNTIFS('Extração'!P:P,"Sim",'Extração'!L:L,A863)/B863)</f>
        <v/>
      </c>
      <c r="D863" s="16" t="str">
        <f>IF(B863=0,"",COUNTIFS('Extração'!Q:Q,"Sim",'Extração'!L:L,A863)/B863)</f>
        <v/>
      </c>
      <c r="E863" s="16" t="str">
        <f>IF(B863=0,"",COUNTIFS('Extração'!P:P,"Parcialmente",'Extração'!L:L,A863)/B863)</f>
        <v/>
      </c>
      <c r="F863" s="16" t="str">
        <f>IF(B863=0,"",COUNTIFS('Extração'!Q:Q,"Parcialmente",'Extração'!L:L,A863)/B863)</f>
        <v/>
      </c>
      <c r="G863" s="16" t="str">
        <f>IF(B863=0,"",COUNTIFS('Extração'!P:P,"Não",'Extração'!L:L,A863)/B863)</f>
        <v/>
      </c>
      <c r="H863" s="16" t="str">
        <f>IF(B863=0,"",COUNTIFS('Extração'!Q:Q,"Não",'Extração'!L:L,A863)/B863)</f>
        <v/>
      </c>
      <c r="I863" s="16" t="str">
        <f>IF(B863=0,"",COUNTIFS('Extração'!R:R,"Igual",'Extração'!L:L,A863)/B863)</f>
        <v/>
      </c>
    </row>
    <row r="864">
      <c r="B864" s="16">
        <f>COUNTIF('Extração'!L:L,A864)</f>
        <v>0</v>
      </c>
      <c r="C864" s="16" t="str">
        <f>IF(B864=0,"",COUNTIFS('Extração'!P:P,"Sim",'Extração'!L:L,A864)/B864)</f>
        <v/>
      </c>
      <c r="D864" s="16" t="str">
        <f>IF(B864=0,"",COUNTIFS('Extração'!Q:Q,"Sim",'Extração'!L:L,A864)/B864)</f>
        <v/>
      </c>
      <c r="E864" s="16" t="str">
        <f>IF(B864=0,"",COUNTIFS('Extração'!P:P,"Parcialmente",'Extração'!L:L,A864)/B864)</f>
        <v/>
      </c>
      <c r="F864" s="16" t="str">
        <f>IF(B864=0,"",COUNTIFS('Extração'!Q:Q,"Parcialmente",'Extração'!L:L,A864)/B864)</f>
        <v/>
      </c>
      <c r="G864" s="16" t="str">
        <f>IF(B864=0,"",COUNTIFS('Extração'!P:P,"Não",'Extração'!L:L,A864)/B864)</f>
        <v/>
      </c>
      <c r="H864" s="16" t="str">
        <f>IF(B864=0,"",COUNTIFS('Extração'!Q:Q,"Não",'Extração'!L:L,A864)/B864)</f>
        <v/>
      </c>
      <c r="I864" s="16" t="str">
        <f>IF(B864=0,"",COUNTIFS('Extração'!R:R,"Igual",'Extração'!L:L,A864)/B864)</f>
        <v/>
      </c>
    </row>
    <row r="865">
      <c r="B865" s="16">
        <f>COUNTIF('Extração'!L:L,A865)</f>
        <v>0</v>
      </c>
      <c r="C865" s="16" t="str">
        <f>IF(B865=0,"",COUNTIFS('Extração'!P:P,"Sim",'Extração'!L:L,A865)/B865)</f>
        <v/>
      </c>
      <c r="D865" s="16" t="str">
        <f>IF(B865=0,"",COUNTIFS('Extração'!Q:Q,"Sim",'Extração'!L:L,A865)/B865)</f>
        <v/>
      </c>
      <c r="E865" s="16" t="str">
        <f>IF(B865=0,"",COUNTIFS('Extração'!P:P,"Parcialmente",'Extração'!L:L,A865)/B865)</f>
        <v/>
      </c>
      <c r="F865" s="16" t="str">
        <f>IF(B865=0,"",COUNTIFS('Extração'!Q:Q,"Parcialmente",'Extração'!L:L,A865)/B865)</f>
        <v/>
      </c>
      <c r="G865" s="16" t="str">
        <f>IF(B865=0,"",COUNTIFS('Extração'!P:P,"Não",'Extração'!L:L,A865)/B865)</f>
        <v/>
      </c>
      <c r="H865" s="16" t="str">
        <f>IF(B865=0,"",COUNTIFS('Extração'!Q:Q,"Não",'Extração'!L:L,A865)/B865)</f>
        <v/>
      </c>
      <c r="I865" s="16" t="str">
        <f>IF(B865=0,"",COUNTIFS('Extração'!R:R,"Igual",'Extração'!L:L,A865)/B865)</f>
        <v/>
      </c>
    </row>
    <row r="866">
      <c r="B866" s="16">
        <f>COUNTIF('Extração'!L:L,A866)</f>
        <v>0</v>
      </c>
      <c r="C866" s="16" t="str">
        <f>IF(B866=0,"",COUNTIFS('Extração'!P:P,"Sim",'Extração'!L:L,A866)/B866)</f>
        <v/>
      </c>
      <c r="D866" s="16" t="str">
        <f>IF(B866=0,"",COUNTIFS('Extração'!Q:Q,"Sim",'Extração'!L:L,A866)/B866)</f>
        <v/>
      </c>
      <c r="E866" s="16" t="str">
        <f>IF(B866=0,"",COUNTIFS('Extração'!P:P,"Parcialmente",'Extração'!L:L,A866)/B866)</f>
        <v/>
      </c>
      <c r="F866" s="16" t="str">
        <f>IF(B866=0,"",COUNTIFS('Extração'!Q:Q,"Parcialmente",'Extração'!L:L,A866)/B866)</f>
        <v/>
      </c>
      <c r="G866" s="16" t="str">
        <f>IF(B866=0,"",COUNTIFS('Extração'!P:P,"Não",'Extração'!L:L,A866)/B866)</f>
        <v/>
      </c>
      <c r="H866" s="16" t="str">
        <f>IF(B866=0,"",COUNTIFS('Extração'!Q:Q,"Não",'Extração'!L:L,A866)/B866)</f>
        <v/>
      </c>
      <c r="I866" s="16" t="str">
        <f>IF(B866=0,"",COUNTIFS('Extração'!R:R,"Igual",'Extração'!L:L,A866)/B866)</f>
        <v/>
      </c>
    </row>
    <row r="867">
      <c r="B867" s="16">
        <f>COUNTIF('Extração'!L:L,A867)</f>
        <v>0</v>
      </c>
      <c r="C867" s="16" t="str">
        <f>IF(B867=0,"",COUNTIFS('Extração'!P:P,"Sim",'Extração'!L:L,A867)/B867)</f>
        <v/>
      </c>
      <c r="D867" s="16" t="str">
        <f>IF(B867=0,"",COUNTIFS('Extração'!Q:Q,"Sim",'Extração'!L:L,A867)/B867)</f>
        <v/>
      </c>
      <c r="E867" s="16" t="str">
        <f>IF(B867=0,"",COUNTIFS('Extração'!P:P,"Parcialmente",'Extração'!L:L,A867)/B867)</f>
        <v/>
      </c>
      <c r="F867" s="16" t="str">
        <f>IF(B867=0,"",COUNTIFS('Extração'!Q:Q,"Parcialmente",'Extração'!L:L,A867)/B867)</f>
        <v/>
      </c>
      <c r="G867" s="16" t="str">
        <f>IF(B867=0,"",COUNTIFS('Extração'!P:P,"Não",'Extração'!L:L,A867)/B867)</f>
        <v/>
      </c>
      <c r="H867" s="16" t="str">
        <f>IF(B867=0,"",COUNTIFS('Extração'!Q:Q,"Não",'Extração'!L:L,A867)/B867)</f>
        <v/>
      </c>
      <c r="I867" s="16" t="str">
        <f>IF(B867=0,"",COUNTIFS('Extração'!R:R,"Igual",'Extração'!L:L,A867)/B867)</f>
        <v/>
      </c>
    </row>
    <row r="868">
      <c r="B868" s="16">
        <f>COUNTIF('Extração'!L:L,A868)</f>
        <v>0</v>
      </c>
      <c r="C868" s="16" t="str">
        <f>IF(B868=0,"",COUNTIFS('Extração'!P:P,"Sim",'Extração'!L:L,A868)/B868)</f>
        <v/>
      </c>
      <c r="D868" s="16" t="str">
        <f>IF(B868=0,"",COUNTIFS('Extração'!Q:Q,"Sim",'Extração'!L:L,A868)/B868)</f>
        <v/>
      </c>
      <c r="E868" s="16" t="str">
        <f>IF(B868=0,"",COUNTIFS('Extração'!P:P,"Parcialmente",'Extração'!L:L,A868)/B868)</f>
        <v/>
      </c>
      <c r="F868" s="16" t="str">
        <f>IF(B868=0,"",COUNTIFS('Extração'!Q:Q,"Parcialmente",'Extração'!L:L,A868)/B868)</f>
        <v/>
      </c>
      <c r="G868" s="16" t="str">
        <f>IF(B868=0,"",COUNTIFS('Extração'!P:P,"Não",'Extração'!L:L,A868)/B868)</f>
        <v/>
      </c>
      <c r="H868" s="16" t="str">
        <f>IF(B868=0,"",COUNTIFS('Extração'!Q:Q,"Não",'Extração'!L:L,A868)/B868)</f>
        <v/>
      </c>
      <c r="I868" s="16" t="str">
        <f>IF(B868=0,"",COUNTIFS('Extração'!R:R,"Igual",'Extração'!L:L,A868)/B868)</f>
        <v/>
      </c>
    </row>
    <row r="869">
      <c r="B869" s="16">
        <f>COUNTIF('Extração'!L:L,A869)</f>
        <v>0</v>
      </c>
      <c r="C869" s="16" t="str">
        <f>IF(B869=0,"",COUNTIFS('Extração'!P:P,"Sim",'Extração'!L:L,A869)/B869)</f>
        <v/>
      </c>
      <c r="D869" s="16" t="str">
        <f>IF(B869=0,"",COUNTIFS('Extração'!Q:Q,"Sim",'Extração'!L:L,A869)/B869)</f>
        <v/>
      </c>
      <c r="E869" s="16" t="str">
        <f>IF(B869=0,"",COUNTIFS('Extração'!P:P,"Parcialmente",'Extração'!L:L,A869)/B869)</f>
        <v/>
      </c>
      <c r="F869" s="16" t="str">
        <f>IF(B869=0,"",COUNTIFS('Extração'!Q:Q,"Parcialmente",'Extração'!L:L,A869)/B869)</f>
        <v/>
      </c>
      <c r="G869" s="16" t="str">
        <f>IF(B869=0,"",COUNTIFS('Extração'!P:P,"Não",'Extração'!L:L,A869)/B869)</f>
        <v/>
      </c>
      <c r="H869" s="16" t="str">
        <f>IF(B869=0,"",COUNTIFS('Extração'!Q:Q,"Não",'Extração'!L:L,A869)/B869)</f>
        <v/>
      </c>
      <c r="I869" s="16" t="str">
        <f>IF(B869=0,"",COUNTIFS('Extração'!R:R,"Igual",'Extração'!L:L,A869)/B869)</f>
        <v/>
      </c>
    </row>
    <row r="870">
      <c r="B870" s="16">
        <f>COUNTIF('Extração'!L:L,A870)</f>
        <v>0</v>
      </c>
      <c r="C870" s="16" t="str">
        <f>IF(B870=0,"",COUNTIFS('Extração'!P:P,"Sim",'Extração'!L:L,A870)/B870)</f>
        <v/>
      </c>
      <c r="D870" s="16" t="str">
        <f>IF(B870=0,"",COUNTIFS('Extração'!Q:Q,"Sim",'Extração'!L:L,A870)/B870)</f>
        <v/>
      </c>
      <c r="E870" s="16" t="str">
        <f>IF(B870=0,"",COUNTIFS('Extração'!P:P,"Parcialmente",'Extração'!L:L,A870)/B870)</f>
        <v/>
      </c>
      <c r="F870" s="16" t="str">
        <f>IF(B870=0,"",COUNTIFS('Extração'!Q:Q,"Parcialmente",'Extração'!L:L,A870)/B870)</f>
        <v/>
      </c>
      <c r="G870" s="16" t="str">
        <f>IF(B870=0,"",COUNTIFS('Extração'!P:P,"Não",'Extração'!L:L,A870)/B870)</f>
        <v/>
      </c>
      <c r="H870" s="16" t="str">
        <f>IF(B870=0,"",COUNTIFS('Extração'!Q:Q,"Não",'Extração'!L:L,A870)/B870)</f>
        <v/>
      </c>
      <c r="I870" s="16" t="str">
        <f>IF(B870=0,"",COUNTIFS('Extração'!R:R,"Igual",'Extração'!L:L,A870)/B870)</f>
        <v/>
      </c>
    </row>
    <row r="871">
      <c r="B871" s="16">
        <f>COUNTIF('Extração'!L:L,A871)</f>
        <v>0</v>
      </c>
      <c r="C871" s="16" t="str">
        <f>IF(B871=0,"",COUNTIFS('Extração'!P:P,"Sim",'Extração'!L:L,A871)/B871)</f>
        <v/>
      </c>
      <c r="D871" s="16" t="str">
        <f>IF(B871=0,"",COUNTIFS('Extração'!Q:Q,"Sim",'Extração'!L:L,A871)/B871)</f>
        <v/>
      </c>
      <c r="E871" s="16" t="str">
        <f>IF(B871=0,"",COUNTIFS('Extração'!P:P,"Parcialmente",'Extração'!L:L,A871)/B871)</f>
        <v/>
      </c>
      <c r="F871" s="16" t="str">
        <f>IF(B871=0,"",COUNTIFS('Extração'!Q:Q,"Parcialmente",'Extração'!L:L,A871)/B871)</f>
        <v/>
      </c>
      <c r="G871" s="16" t="str">
        <f>IF(B871=0,"",COUNTIFS('Extração'!P:P,"Não",'Extração'!L:L,A871)/B871)</f>
        <v/>
      </c>
      <c r="H871" s="16" t="str">
        <f>IF(B871=0,"",COUNTIFS('Extração'!Q:Q,"Não",'Extração'!L:L,A871)/B871)</f>
        <v/>
      </c>
      <c r="I871" s="16" t="str">
        <f>IF(B871=0,"",COUNTIFS('Extração'!R:R,"Igual",'Extração'!L:L,A871)/B871)</f>
        <v/>
      </c>
    </row>
    <row r="872">
      <c r="B872" s="16">
        <f>COUNTIF('Extração'!L:L,A872)</f>
        <v>0</v>
      </c>
      <c r="C872" s="16" t="str">
        <f>IF(B872=0,"",COUNTIFS('Extração'!P:P,"Sim",'Extração'!L:L,A872)/B872)</f>
        <v/>
      </c>
      <c r="D872" s="16" t="str">
        <f>IF(B872=0,"",COUNTIFS('Extração'!Q:Q,"Sim",'Extração'!L:L,A872)/B872)</f>
        <v/>
      </c>
      <c r="E872" s="16" t="str">
        <f>IF(B872=0,"",COUNTIFS('Extração'!P:P,"Parcialmente",'Extração'!L:L,A872)/B872)</f>
        <v/>
      </c>
      <c r="F872" s="16" t="str">
        <f>IF(B872=0,"",COUNTIFS('Extração'!Q:Q,"Parcialmente",'Extração'!L:L,A872)/B872)</f>
        <v/>
      </c>
      <c r="G872" s="16" t="str">
        <f>IF(B872=0,"",COUNTIFS('Extração'!P:P,"Não",'Extração'!L:L,A872)/B872)</f>
        <v/>
      </c>
      <c r="H872" s="16" t="str">
        <f>IF(B872=0,"",COUNTIFS('Extração'!Q:Q,"Não",'Extração'!L:L,A872)/B872)</f>
        <v/>
      </c>
      <c r="I872" s="16" t="str">
        <f>IF(B872=0,"",COUNTIFS('Extração'!R:R,"Igual",'Extração'!L:L,A872)/B872)</f>
        <v/>
      </c>
    </row>
    <row r="873">
      <c r="B873" s="16">
        <f>COUNTIF('Extração'!L:L,A873)</f>
        <v>0</v>
      </c>
      <c r="C873" s="16" t="str">
        <f>IF(B873=0,"",COUNTIFS('Extração'!P:P,"Sim",'Extração'!L:L,A873)/B873)</f>
        <v/>
      </c>
      <c r="D873" s="16" t="str">
        <f>IF(B873=0,"",COUNTIFS('Extração'!Q:Q,"Sim",'Extração'!L:L,A873)/B873)</f>
        <v/>
      </c>
      <c r="E873" s="16" t="str">
        <f>IF(B873=0,"",COUNTIFS('Extração'!P:P,"Parcialmente",'Extração'!L:L,A873)/B873)</f>
        <v/>
      </c>
      <c r="F873" s="16" t="str">
        <f>IF(B873=0,"",COUNTIFS('Extração'!Q:Q,"Parcialmente",'Extração'!L:L,A873)/B873)</f>
        <v/>
      </c>
      <c r="G873" s="16" t="str">
        <f>IF(B873=0,"",COUNTIFS('Extração'!P:P,"Não",'Extração'!L:L,A873)/B873)</f>
        <v/>
      </c>
      <c r="H873" s="16" t="str">
        <f>IF(B873=0,"",COUNTIFS('Extração'!Q:Q,"Não",'Extração'!L:L,A873)/B873)</f>
        <v/>
      </c>
      <c r="I873" s="16" t="str">
        <f>IF(B873=0,"",COUNTIFS('Extração'!R:R,"Igual",'Extração'!L:L,A873)/B873)</f>
        <v/>
      </c>
    </row>
    <row r="874">
      <c r="B874" s="16">
        <f>COUNTIF('Extração'!L:L,A874)</f>
        <v>0</v>
      </c>
      <c r="C874" s="16" t="str">
        <f>IF(B874=0,"",COUNTIFS('Extração'!P:P,"Sim",'Extração'!L:L,A874)/B874)</f>
        <v/>
      </c>
      <c r="D874" s="16" t="str">
        <f>IF(B874=0,"",COUNTIFS('Extração'!Q:Q,"Sim",'Extração'!L:L,A874)/B874)</f>
        <v/>
      </c>
      <c r="E874" s="16" t="str">
        <f>IF(B874=0,"",COUNTIFS('Extração'!P:P,"Parcialmente",'Extração'!L:L,A874)/B874)</f>
        <v/>
      </c>
      <c r="F874" s="16" t="str">
        <f>IF(B874=0,"",COUNTIFS('Extração'!Q:Q,"Parcialmente",'Extração'!L:L,A874)/B874)</f>
        <v/>
      </c>
      <c r="G874" s="16" t="str">
        <f>IF(B874=0,"",COUNTIFS('Extração'!P:P,"Não",'Extração'!L:L,A874)/B874)</f>
        <v/>
      </c>
      <c r="H874" s="16" t="str">
        <f>IF(B874=0,"",COUNTIFS('Extração'!Q:Q,"Não",'Extração'!L:L,A874)/B874)</f>
        <v/>
      </c>
      <c r="I874" s="16" t="str">
        <f>IF(B874=0,"",COUNTIFS('Extração'!R:R,"Igual",'Extração'!L:L,A874)/B874)</f>
        <v/>
      </c>
    </row>
    <row r="875">
      <c r="B875" s="16">
        <f>COUNTIF('Extração'!L:L,A875)</f>
        <v>0</v>
      </c>
      <c r="C875" s="16" t="str">
        <f>IF(B875=0,"",COUNTIFS('Extração'!P:P,"Sim",'Extração'!L:L,A875)/B875)</f>
        <v/>
      </c>
      <c r="D875" s="16" t="str">
        <f>IF(B875=0,"",COUNTIFS('Extração'!Q:Q,"Sim",'Extração'!L:L,A875)/B875)</f>
        <v/>
      </c>
      <c r="E875" s="16" t="str">
        <f>IF(B875=0,"",COUNTIFS('Extração'!P:P,"Parcialmente",'Extração'!L:L,A875)/B875)</f>
        <v/>
      </c>
      <c r="F875" s="16" t="str">
        <f>IF(B875=0,"",COUNTIFS('Extração'!Q:Q,"Parcialmente",'Extração'!L:L,A875)/B875)</f>
        <v/>
      </c>
      <c r="G875" s="16" t="str">
        <f>IF(B875=0,"",COUNTIFS('Extração'!P:P,"Não",'Extração'!L:L,A875)/B875)</f>
        <v/>
      </c>
      <c r="H875" s="16" t="str">
        <f>IF(B875=0,"",COUNTIFS('Extração'!Q:Q,"Não",'Extração'!L:L,A875)/B875)</f>
        <v/>
      </c>
      <c r="I875" s="16" t="str">
        <f>IF(B875=0,"",COUNTIFS('Extração'!R:R,"Igual",'Extração'!L:L,A875)/B875)</f>
        <v/>
      </c>
    </row>
    <row r="876">
      <c r="B876" s="16">
        <f>COUNTIF('Extração'!L:L,A876)</f>
        <v>0</v>
      </c>
      <c r="C876" s="16" t="str">
        <f>IF(B876=0,"",COUNTIFS('Extração'!P:P,"Sim",'Extração'!L:L,A876)/B876)</f>
        <v/>
      </c>
      <c r="D876" s="16" t="str">
        <f>IF(B876=0,"",COUNTIFS('Extração'!Q:Q,"Sim",'Extração'!L:L,A876)/B876)</f>
        <v/>
      </c>
      <c r="E876" s="16" t="str">
        <f>IF(B876=0,"",COUNTIFS('Extração'!P:P,"Parcialmente",'Extração'!L:L,A876)/B876)</f>
        <v/>
      </c>
      <c r="F876" s="16" t="str">
        <f>IF(B876=0,"",COUNTIFS('Extração'!Q:Q,"Parcialmente",'Extração'!L:L,A876)/B876)</f>
        <v/>
      </c>
      <c r="G876" s="16" t="str">
        <f>IF(B876=0,"",COUNTIFS('Extração'!P:P,"Não",'Extração'!L:L,A876)/B876)</f>
        <v/>
      </c>
      <c r="H876" s="16" t="str">
        <f>IF(B876=0,"",COUNTIFS('Extração'!Q:Q,"Não",'Extração'!L:L,A876)/B876)</f>
        <v/>
      </c>
      <c r="I876" s="16" t="str">
        <f>IF(B876=0,"",COUNTIFS('Extração'!R:R,"Igual",'Extração'!L:L,A876)/B876)</f>
        <v/>
      </c>
    </row>
    <row r="877">
      <c r="B877" s="16">
        <f>COUNTIF('Extração'!L:L,A877)</f>
        <v>0</v>
      </c>
      <c r="C877" s="16" t="str">
        <f>IF(B877=0,"",COUNTIFS('Extração'!P:P,"Sim",'Extração'!L:L,A877)/B877)</f>
        <v/>
      </c>
      <c r="D877" s="16" t="str">
        <f>IF(B877=0,"",COUNTIFS('Extração'!Q:Q,"Sim",'Extração'!L:L,A877)/B877)</f>
        <v/>
      </c>
      <c r="E877" s="16" t="str">
        <f>IF(B877=0,"",COUNTIFS('Extração'!P:P,"Parcialmente",'Extração'!L:L,A877)/B877)</f>
        <v/>
      </c>
      <c r="F877" s="16" t="str">
        <f>IF(B877=0,"",COUNTIFS('Extração'!Q:Q,"Parcialmente",'Extração'!L:L,A877)/B877)</f>
        <v/>
      </c>
      <c r="G877" s="16" t="str">
        <f>IF(B877=0,"",COUNTIFS('Extração'!P:P,"Não",'Extração'!L:L,A877)/B877)</f>
        <v/>
      </c>
      <c r="H877" s="16" t="str">
        <f>IF(B877=0,"",COUNTIFS('Extração'!Q:Q,"Não",'Extração'!L:L,A877)/B877)</f>
        <v/>
      </c>
      <c r="I877" s="16" t="str">
        <f>IF(B877=0,"",COUNTIFS('Extração'!R:R,"Igual",'Extração'!L:L,A877)/B877)</f>
        <v/>
      </c>
    </row>
    <row r="878">
      <c r="B878" s="16">
        <f>COUNTIF('Extração'!L:L,A878)</f>
        <v>0</v>
      </c>
      <c r="C878" s="16" t="str">
        <f>IF(B878=0,"",COUNTIFS('Extração'!P:P,"Sim",'Extração'!L:L,A878)/B878)</f>
        <v/>
      </c>
      <c r="D878" s="16" t="str">
        <f>IF(B878=0,"",COUNTIFS('Extração'!Q:Q,"Sim",'Extração'!L:L,A878)/B878)</f>
        <v/>
      </c>
      <c r="E878" s="16" t="str">
        <f>IF(B878=0,"",COUNTIFS('Extração'!P:P,"Parcialmente",'Extração'!L:L,A878)/B878)</f>
        <v/>
      </c>
      <c r="F878" s="16" t="str">
        <f>IF(B878=0,"",COUNTIFS('Extração'!Q:Q,"Parcialmente",'Extração'!L:L,A878)/B878)</f>
        <v/>
      </c>
      <c r="G878" s="16" t="str">
        <f>IF(B878=0,"",COUNTIFS('Extração'!P:P,"Não",'Extração'!L:L,A878)/B878)</f>
        <v/>
      </c>
      <c r="H878" s="16" t="str">
        <f>IF(B878=0,"",COUNTIFS('Extração'!Q:Q,"Não",'Extração'!L:L,A878)/B878)</f>
        <v/>
      </c>
      <c r="I878" s="16" t="str">
        <f>IF(B878=0,"",COUNTIFS('Extração'!R:R,"Igual",'Extração'!L:L,A878)/B878)</f>
        <v/>
      </c>
    </row>
    <row r="879">
      <c r="B879" s="16">
        <f>COUNTIF('Extração'!L:L,A879)</f>
        <v>0</v>
      </c>
      <c r="C879" s="16" t="str">
        <f>IF(B879=0,"",COUNTIFS('Extração'!P:P,"Sim",'Extração'!L:L,A879)/B879)</f>
        <v/>
      </c>
      <c r="D879" s="16" t="str">
        <f>IF(B879=0,"",COUNTIFS('Extração'!Q:Q,"Sim",'Extração'!L:L,A879)/B879)</f>
        <v/>
      </c>
      <c r="E879" s="16" t="str">
        <f>IF(B879=0,"",COUNTIFS('Extração'!P:P,"Parcialmente",'Extração'!L:L,A879)/B879)</f>
        <v/>
      </c>
      <c r="F879" s="16" t="str">
        <f>IF(B879=0,"",COUNTIFS('Extração'!Q:Q,"Parcialmente",'Extração'!L:L,A879)/B879)</f>
        <v/>
      </c>
      <c r="G879" s="16" t="str">
        <f>IF(B879=0,"",COUNTIFS('Extração'!P:P,"Não",'Extração'!L:L,A879)/B879)</f>
        <v/>
      </c>
      <c r="H879" s="16" t="str">
        <f>IF(B879=0,"",COUNTIFS('Extração'!Q:Q,"Não",'Extração'!L:L,A879)/B879)</f>
        <v/>
      </c>
      <c r="I879" s="16" t="str">
        <f>IF(B879=0,"",COUNTIFS('Extração'!R:R,"Igual",'Extração'!L:L,A879)/B879)</f>
        <v/>
      </c>
    </row>
    <row r="880">
      <c r="B880" s="16">
        <f>COUNTIF('Extração'!L:L,A880)</f>
        <v>0</v>
      </c>
      <c r="C880" s="16" t="str">
        <f>IF(B880=0,"",COUNTIFS('Extração'!P:P,"Sim",'Extração'!L:L,A880)/B880)</f>
        <v/>
      </c>
      <c r="D880" s="16" t="str">
        <f>IF(B880=0,"",COUNTIFS('Extração'!Q:Q,"Sim",'Extração'!L:L,A880)/B880)</f>
        <v/>
      </c>
      <c r="E880" s="16" t="str">
        <f>IF(B880=0,"",COUNTIFS('Extração'!P:P,"Parcialmente",'Extração'!L:L,A880)/B880)</f>
        <v/>
      </c>
      <c r="F880" s="16" t="str">
        <f>IF(B880=0,"",COUNTIFS('Extração'!Q:Q,"Parcialmente",'Extração'!L:L,A880)/B880)</f>
        <v/>
      </c>
      <c r="G880" s="16" t="str">
        <f>IF(B880=0,"",COUNTIFS('Extração'!P:P,"Não",'Extração'!L:L,A880)/B880)</f>
        <v/>
      </c>
      <c r="H880" s="16" t="str">
        <f>IF(B880=0,"",COUNTIFS('Extração'!Q:Q,"Não",'Extração'!L:L,A880)/B880)</f>
        <v/>
      </c>
      <c r="I880" s="16" t="str">
        <f>IF(B880=0,"",COUNTIFS('Extração'!R:R,"Igual",'Extração'!L:L,A880)/B880)</f>
        <v/>
      </c>
    </row>
    <row r="881">
      <c r="B881" s="16">
        <f>COUNTIF('Extração'!L:L,A881)</f>
        <v>0</v>
      </c>
      <c r="C881" s="16" t="str">
        <f>IF(B881=0,"",COUNTIFS('Extração'!P:P,"Sim",'Extração'!L:L,A881)/B881)</f>
        <v/>
      </c>
      <c r="D881" s="16" t="str">
        <f>IF(B881=0,"",COUNTIFS('Extração'!Q:Q,"Sim",'Extração'!L:L,A881)/B881)</f>
        <v/>
      </c>
      <c r="E881" s="16" t="str">
        <f>IF(B881=0,"",COUNTIFS('Extração'!P:P,"Parcialmente",'Extração'!L:L,A881)/B881)</f>
        <v/>
      </c>
      <c r="F881" s="16" t="str">
        <f>IF(B881=0,"",COUNTIFS('Extração'!Q:Q,"Parcialmente",'Extração'!L:L,A881)/B881)</f>
        <v/>
      </c>
      <c r="G881" s="16" t="str">
        <f>IF(B881=0,"",COUNTIFS('Extração'!P:P,"Não",'Extração'!L:L,A881)/B881)</f>
        <v/>
      </c>
      <c r="H881" s="16" t="str">
        <f>IF(B881=0,"",COUNTIFS('Extração'!Q:Q,"Não",'Extração'!L:L,A881)/B881)</f>
        <v/>
      </c>
      <c r="I881" s="16" t="str">
        <f>IF(B881=0,"",COUNTIFS('Extração'!R:R,"Igual",'Extração'!L:L,A881)/B881)</f>
        <v/>
      </c>
    </row>
    <row r="882">
      <c r="B882" s="16">
        <f>COUNTIF('Extração'!L:L,A882)</f>
        <v>0</v>
      </c>
      <c r="C882" s="16" t="str">
        <f>IF(B882=0,"",COUNTIFS('Extração'!P:P,"Sim",'Extração'!L:L,A882)/B882)</f>
        <v/>
      </c>
      <c r="D882" s="16" t="str">
        <f>IF(B882=0,"",COUNTIFS('Extração'!Q:Q,"Sim",'Extração'!L:L,A882)/B882)</f>
        <v/>
      </c>
      <c r="E882" s="16" t="str">
        <f>IF(B882=0,"",COUNTIFS('Extração'!P:P,"Parcialmente",'Extração'!L:L,A882)/B882)</f>
        <v/>
      </c>
      <c r="F882" s="16" t="str">
        <f>IF(B882=0,"",COUNTIFS('Extração'!Q:Q,"Parcialmente",'Extração'!L:L,A882)/B882)</f>
        <v/>
      </c>
      <c r="G882" s="16" t="str">
        <f>IF(B882=0,"",COUNTIFS('Extração'!P:P,"Não",'Extração'!L:L,A882)/B882)</f>
        <v/>
      </c>
      <c r="H882" s="16" t="str">
        <f>IF(B882=0,"",COUNTIFS('Extração'!Q:Q,"Não",'Extração'!L:L,A882)/B882)</f>
        <v/>
      </c>
      <c r="I882" s="16" t="str">
        <f>IF(B882=0,"",COUNTIFS('Extração'!R:R,"Igual",'Extração'!L:L,A882)/B882)</f>
        <v/>
      </c>
    </row>
    <row r="883">
      <c r="B883" s="16">
        <f>COUNTIF('Extração'!L:L,A883)</f>
        <v>0</v>
      </c>
      <c r="C883" s="16" t="str">
        <f>IF(B883=0,"",COUNTIFS('Extração'!P:P,"Sim",'Extração'!L:L,A883)/B883)</f>
        <v/>
      </c>
      <c r="D883" s="16" t="str">
        <f>IF(B883=0,"",COUNTIFS('Extração'!Q:Q,"Sim",'Extração'!L:L,A883)/B883)</f>
        <v/>
      </c>
      <c r="E883" s="16" t="str">
        <f>IF(B883=0,"",COUNTIFS('Extração'!P:P,"Parcialmente",'Extração'!L:L,A883)/B883)</f>
        <v/>
      </c>
      <c r="F883" s="16" t="str">
        <f>IF(B883=0,"",COUNTIFS('Extração'!Q:Q,"Parcialmente",'Extração'!L:L,A883)/B883)</f>
        <v/>
      </c>
      <c r="G883" s="16" t="str">
        <f>IF(B883=0,"",COUNTIFS('Extração'!P:P,"Não",'Extração'!L:L,A883)/B883)</f>
        <v/>
      </c>
      <c r="H883" s="16" t="str">
        <f>IF(B883=0,"",COUNTIFS('Extração'!Q:Q,"Não",'Extração'!L:L,A883)/B883)</f>
        <v/>
      </c>
      <c r="I883" s="16" t="str">
        <f>IF(B883=0,"",COUNTIFS('Extração'!R:R,"Igual",'Extração'!L:L,A883)/B883)</f>
        <v/>
      </c>
    </row>
    <row r="884">
      <c r="B884" s="16">
        <f>COUNTIF('Extração'!L:L,A884)</f>
        <v>0</v>
      </c>
      <c r="C884" s="16" t="str">
        <f>IF(B884=0,"",COUNTIFS('Extração'!P:P,"Sim",'Extração'!L:L,A884)/B884)</f>
        <v/>
      </c>
      <c r="D884" s="16" t="str">
        <f>IF(B884=0,"",COUNTIFS('Extração'!Q:Q,"Sim",'Extração'!L:L,A884)/B884)</f>
        <v/>
      </c>
      <c r="E884" s="16" t="str">
        <f>IF(B884=0,"",COUNTIFS('Extração'!P:P,"Parcialmente",'Extração'!L:L,A884)/B884)</f>
        <v/>
      </c>
      <c r="F884" s="16" t="str">
        <f>IF(B884=0,"",COUNTIFS('Extração'!Q:Q,"Parcialmente",'Extração'!L:L,A884)/B884)</f>
        <v/>
      </c>
      <c r="G884" s="16" t="str">
        <f>IF(B884=0,"",COUNTIFS('Extração'!P:P,"Não",'Extração'!L:L,A884)/B884)</f>
        <v/>
      </c>
      <c r="H884" s="16" t="str">
        <f>IF(B884=0,"",COUNTIFS('Extração'!Q:Q,"Não",'Extração'!L:L,A884)/B884)</f>
        <v/>
      </c>
      <c r="I884" s="16" t="str">
        <f>IF(B884=0,"",COUNTIFS('Extração'!R:R,"Igual",'Extração'!L:L,A884)/B884)</f>
        <v/>
      </c>
    </row>
    <row r="885">
      <c r="B885" s="16">
        <f>COUNTIF('Extração'!L:L,A885)</f>
        <v>0</v>
      </c>
      <c r="C885" s="16" t="str">
        <f>IF(B885=0,"",COUNTIFS('Extração'!P:P,"Sim",'Extração'!L:L,A885)/B885)</f>
        <v/>
      </c>
      <c r="D885" s="16" t="str">
        <f>IF(B885=0,"",COUNTIFS('Extração'!Q:Q,"Sim",'Extração'!L:L,A885)/B885)</f>
        <v/>
      </c>
      <c r="E885" s="16" t="str">
        <f>IF(B885=0,"",COUNTIFS('Extração'!P:P,"Parcialmente",'Extração'!L:L,A885)/B885)</f>
        <v/>
      </c>
      <c r="F885" s="16" t="str">
        <f>IF(B885=0,"",COUNTIFS('Extração'!Q:Q,"Parcialmente",'Extração'!L:L,A885)/B885)</f>
        <v/>
      </c>
      <c r="G885" s="16" t="str">
        <f>IF(B885=0,"",COUNTIFS('Extração'!P:P,"Não",'Extração'!L:L,A885)/B885)</f>
        <v/>
      </c>
      <c r="H885" s="16" t="str">
        <f>IF(B885=0,"",COUNTIFS('Extração'!Q:Q,"Não",'Extração'!L:L,A885)/B885)</f>
        <v/>
      </c>
      <c r="I885" s="16" t="str">
        <f>IF(B885=0,"",COUNTIFS('Extração'!R:R,"Igual",'Extração'!L:L,A885)/B885)</f>
        <v/>
      </c>
    </row>
    <row r="886">
      <c r="B886" s="16">
        <f>COUNTIF('Extração'!L:L,A886)</f>
        <v>0</v>
      </c>
      <c r="C886" s="16" t="str">
        <f>IF(B886=0,"",COUNTIFS('Extração'!P:P,"Sim",'Extração'!L:L,A886)/B886)</f>
        <v/>
      </c>
      <c r="D886" s="16" t="str">
        <f>IF(B886=0,"",COUNTIFS('Extração'!Q:Q,"Sim",'Extração'!L:L,A886)/B886)</f>
        <v/>
      </c>
      <c r="E886" s="16" t="str">
        <f>IF(B886=0,"",COUNTIFS('Extração'!P:P,"Parcialmente",'Extração'!L:L,A886)/B886)</f>
        <v/>
      </c>
      <c r="F886" s="16" t="str">
        <f>IF(B886=0,"",COUNTIFS('Extração'!Q:Q,"Parcialmente",'Extração'!L:L,A886)/B886)</f>
        <v/>
      </c>
      <c r="G886" s="16" t="str">
        <f>IF(B886=0,"",COUNTIFS('Extração'!P:P,"Não",'Extração'!L:L,A886)/B886)</f>
        <v/>
      </c>
      <c r="H886" s="16" t="str">
        <f>IF(B886=0,"",COUNTIFS('Extração'!Q:Q,"Não",'Extração'!L:L,A886)/B886)</f>
        <v/>
      </c>
      <c r="I886" s="16" t="str">
        <f>IF(B886=0,"",COUNTIFS('Extração'!R:R,"Igual",'Extração'!L:L,A886)/B886)</f>
        <v/>
      </c>
    </row>
    <row r="887">
      <c r="B887" s="16">
        <f>COUNTIF('Extração'!L:L,A887)</f>
        <v>0</v>
      </c>
      <c r="C887" s="16" t="str">
        <f>IF(B887=0,"",COUNTIFS('Extração'!P:P,"Sim",'Extração'!L:L,A887)/B887)</f>
        <v/>
      </c>
      <c r="D887" s="16" t="str">
        <f>IF(B887=0,"",COUNTIFS('Extração'!Q:Q,"Sim",'Extração'!L:L,A887)/B887)</f>
        <v/>
      </c>
      <c r="E887" s="16" t="str">
        <f>IF(B887=0,"",COUNTIFS('Extração'!P:P,"Parcialmente",'Extração'!L:L,A887)/B887)</f>
        <v/>
      </c>
      <c r="F887" s="16" t="str">
        <f>IF(B887=0,"",COUNTIFS('Extração'!Q:Q,"Parcialmente",'Extração'!L:L,A887)/B887)</f>
        <v/>
      </c>
      <c r="G887" s="16" t="str">
        <f>IF(B887=0,"",COUNTIFS('Extração'!P:P,"Não",'Extração'!L:L,A887)/B887)</f>
        <v/>
      </c>
      <c r="H887" s="16" t="str">
        <f>IF(B887=0,"",COUNTIFS('Extração'!Q:Q,"Não",'Extração'!L:L,A887)/B887)</f>
        <v/>
      </c>
      <c r="I887" s="16" t="str">
        <f>IF(B887=0,"",COUNTIFS('Extração'!R:R,"Igual",'Extração'!L:L,A887)/B887)</f>
        <v/>
      </c>
    </row>
    <row r="888">
      <c r="B888" s="16">
        <f>COUNTIF('Extração'!L:L,A888)</f>
        <v>0</v>
      </c>
      <c r="C888" s="16" t="str">
        <f>IF(B888=0,"",COUNTIFS('Extração'!P:P,"Sim",'Extração'!L:L,A888)/B888)</f>
        <v/>
      </c>
      <c r="D888" s="16" t="str">
        <f>IF(B888=0,"",COUNTIFS('Extração'!Q:Q,"Sim",'Extração'!L:L,A888)/B888)</f>
        <v/>
      </c>
      <c r="E888" s="16" t="str">
        <f>IF(B888=0,"",COUNTIFS('Extração'!P:P,"Parcialmente",'Extração'!L:L,A888)/B888)</f>
        <v/>
      </c>
      <c r="F888" s="16" t="str">
        <f>IF(B888=0,"",COUNTIFS('Extração'!Q:Q,"Parcialmente",'Extração'!L:L,A888)/B888)</f>
        <v/>
      </c>
      <c r="G888" s="16" t="str">
        <f>IF(B888=0,"",COUNTIFS('Extração'!P:P,"Não",'Extração'!L:L,A888)/B888)</f>
        <v/>
      </c>
      <c r="H888" s="16" t="str">
        <f>IF(B888=0,"",COUNTIFS('Extração'!Q:Q,"Não",'Extração'!L:L,A888)/B888)</f>
        <v/>
      </c>
      <c r="I888" s="16" t="str">
        <f>IF(B888=0,"",COUNTIFS('Extração'!R:R,"Igual",'Extração'!L:L,A888)/B888)</f>
        <v/>
      </c>
    </row>
    <row r="889">
      <c r="B889" s="16">
        <f>COUNTIF('Extração'!L:L,A889)</f>
        <v>0</v>
      </c>
      <c r="C889" s="16" t="str">
        <f>IF(B889=0,"",COUNTIFS('Extração'!P:P,"Sim",'Extração'!L:L,A889)/B889)</f>
        <v/>
      </c>
      <c r="D889" s="16" t="str">
        <f>IF(B889=0,"",COUNTIFS('Extração'!Q:Q,"Sim",'Extração'!L:L,A889)/B889)</f>
        <v/>
      </c>
      <c r="E889" s="16" t="str">
        <f>IF(B889=0,"",COUNTIFS('Extração'!P:P,"Parcialmente",'Extração'!L:L,A889)/B889)</f>
        <v/>
      </c>
      <c r="F889" s="16" t="str">
        <f>IF(B889=0,"",COUNTIFS('Extração'!Q:Q,"Parcialmente",'Extração'!L:L,A889)/B889)</f>
        <v/>
      </c>
      <c r="G889" s="16" t="str">
        <f>IF(B889=0,"",COUNTIFS('Extração'!P:P,"Não",'Extração'!L:L,A889)/B889)</f>
        <v/>
      </c>
      <c r="H889" s="16" t="str">
        <f>IF(B889=0,"",COUNTIFS('Extração'!Q:Q,"Não",'Extração'!L:L,A889)/B889)</f>
        <v/>
      </c>
      <c r="I889" s="16" t="str">
        <f>IF(B889=0,"",COUNTIFS('Extração'!R:R,"Igual",'Extração'!L:L,A889)/B889)</f>
        <v/>
      </c>
    </row>
    <row r="890">
      <c r="B890" s="16">
        <f>COUNTIF('Extração'!L:L,A890)</f>
        <v>0</v>
      </c>
      <c r="C890" s="16" t="str">
        <f>IF(B890=0,"",COUNTIFS('Extração'!P:P,"Sim",'Extração'!L:L,A890)/B890)</f>
        <v/>
      </c>
      <c r="D890" s="16" t="str">
        <f>IF(B890=0,"",COUNTIFS('Extração'!Q:Q,"Sim",'Extração'!L:L,A890)/B890)</f>
        <v/>
      </c>
      <c r="E890" s="16" t="str">
        <f>IF(B890=0,"",COUNTIFS('Extração'!P:P,"Parcialmente",'Extração'!L:L,A890)/B890)</f>
        <v/>
      </c>
      <c r="F890" s="16" t="str">
        <f>IF(B890=0,"",COUNTIFS('Extração'!Q:Q,"Parcialmente",'Extração'!L:L,A890)/B890)</f>
        <v/>
      </c>
      <c r="G890" s="16" t="str">
        <f>IF(B890=0,"",COUNTIFS('Extração'!P:P,"Não",'Extração'!L:L,A890)/B890)</f>
        <v/>
      </c>
      <c r="H890" s="16" t="str">
        <f>IF(B890=0,"",COUNTIFS('Extração'!Q:Q,"Não",'Extração'!L:L,A890)/B890)</f>
        <v/>
      </c>
      <c r="I890" s="16" t="str">
        <f>IF(B890=0,"",COUNTIFS('Extração'!R:R,"Igual",'Extração'!L:L,A890)/B890)</f>
        <v/>
      </c>
    </row>
    <row r="891">
      <c r="B891" s="16">
        <f>COUNTIF('Extração'!L:L,A891)</f>
        <v>0</v>
      </c>
      <c r="C891" s="16" t="str">
        <f>IF(B891=0,"",COUNTIFS('Extração'!P:P,"Sim",'Extração'!L:L,A891)/B891)</f>
        <v/>
      </c>
      <c r="D891" s="16" t="str">
        <f>IF(B891=0,"",COUNTIFS('Extração'!Q:Q,"Sim",'Extração'!L:L,A891)/B891)</f>
        <v/>
      </c>
      <c r="E891" s="16" t="str">
        <f>IF(B891=0,"",COUNTIFS('Extração'!P:P,"Parcialmente",'Extração'!L:L,A891)/B891)</f>
        <v/>
      </c>
      <c r="F891" s="16" t="str">
        <f>IF(B891=0,"",COUNTIFS('Extração'!Q:Q,"Parcialmente",'Extração'!L:L,A891)/B891)</f>
        <v/>
      </c>
      <c r="G891" s="16" t="str">
        <f>IF(B891=0,"",COUNTIFS('Extração'!P:P,"Não",'Extração'!L:L,A891)/B891)</f>
        <v/>
      </c>
      <c r="H891" s="16" t="str">
        <f>IF(B891=0,"",COUNTIFS('Extração'!Q:Q,"Não",'Extração'!L:L,A891)/B891)</f>
        <v/>
      </c>
      <c r="I891" s="16" t="str">
        <f>IF(B891=0,"",COUNTIFS('Extração'!R:R,"Igual",'Extração'!L:L,A891)/B891)</f>
        <v/>
      </c>
    </row>
    <row r="892">
      <c r="B892" s="16">
        <f>COUNTIF('Extração'!L:L,A892)</f>
        <v>0</v>
      </c>
      <c r="C892" s="16" t="str">
        <f>IF(B892=0,"",COUNTIFS('Extração'!P:P,"Sim",'Extração'!L:L,A892)/B892)</f>
        <v/>
      </c>
      <c r="D892" s="16" t="str">
        <f>IF(B892=0,"",COUNTIFS('Extração'!Q:Q,"Sim",'Extração'!L:L,A892)/B892)</f>
        <v/>
      </c>
      <c r="E892" s="16" t="str">
        <f>IF(B892=0,"",COUNTIFS('Extração'!P:P,"Parcialmente",'Extração'!L:L,A892)/B892)</f>
        <v/>
      </c>
      <c r="F892" s="16" t="str">
        <f>IF(B892=0,"",COUNTIFS('Extração'!Q:Q,"Parcialmente",'Extração'!L:L,A892)/B892)</f>
        <v/>
      </c>
      <c r="G892" s="16" t="str">
        <f>IF(B892=0,"",COUNTIFS('Extração'!P:P,"Não",'Extração'!L:L,A892)/B892)</f>
        <v/>
      </c>
      <c r="H892" s="16" t="str">
        <f>IF(B892=0,"",COUNTIFS('Extração'!Q:Q,"Não",'Extração'!L:L,A892)/B892)</f>
        <v/>
      </c>
      <c r="I892" s="16" t="str">
        <f>IF(B892=0,"",COUNTIFS('Extração'!R:R,"Igual",'Extração'!L:L,A892)/B892)</f>
        <v/>
      </c>
    </row>
    <row r="893">
      <c r="B893" s="16">
        <f>COUNTIF('Extração'!L:L,A893)</f>
        <v>0</v>
      </c>
      <c r="C893" s="16" t="str">
        <f>IF(B893=0,"",COUNTIFS('Extração'!P:P,"Sim",'Extração'!L:L,A893)/B893)</f>
        <v/>
      </c>
      <c r="D893" s="16" t="str">
        <f>IF(B893=0,"",COUNTIFS('Extração'!Q:Q,"Sim",'Extração'!L:L,A893)/B893)</f>
        <v/>
      </c>
      <c r="E893" s="16" t="str">
        <f>IF(B893=0,"",COUNTIFS('Extração'!P:P,"Parcialmente",'Extração'!L:L,A893)/B893)</f>
        <v/>
      </c>
      <c r="F893" s="16" t="str">
        <f>IF(B893=0,"",COUNTIFS('Extração'!Q:Q,"Parcialmente",'Extração'!L:L,A893)/B893)</f>
        <v/>
      </c>
      <c r="G893" s="16" t="str">
        <f>IF(B893=0,"",COUNTIFS('Extração'!P:P,"Não",'Extração'!L:L,A893)/B893)</f>
        <v/>
      </c>
      <c r="H893" s="16" t="str">
        <f>IF(B893=0,"",COUNTIFS('Extração'!Q:Q,"Não",'Extração'!L:L,A893)/B893)</f>
        <v/>
      </c>
      <c r="I893" s="16" t="str">
        <f>IF(B893=0,"",COUNTIFS('Extração'!R:R,"Igual",'Extração'!L:L,A893)/B893)</f>
        <v/>
      </c>
    </row>
    <row r="894">
      <c r="B894" s="16">
        <f>COUNTIF('Extração'!L:L,A894)</f>
        <v>0</v>
      </c>
      <c r="C894" s="16" t="str">
        <f>IF(B894=0,"",COUNTIFS('Extração'!P:P,"Sim",'Extração'!L:L,A894)/B894)</f>
        <v/>
      </c>
      <c r="D894" s="16" t="str">
        <f>IF(B894=0,"",COUNTIFS('Extração'!Q:Q,"Sim",'Extração'!L:L,A894)/B894)</f>
        <v/>
      </c>
      <c r="E894" s="16" t="str">
        <f>IF(B894=0,"",COUNTIFS('Extração'!P:P,"Parcialmente",'Extração'!L:L,A894)/B894)</f>
        <v/>
      </c>
      <c r="F894" s="16" t="str">
        <f>IF(B894=0,"",COUNTIFS('Extração'!Q:Q,"Parcialmente",'Extração'!L:L,A894)/B894)</f>
        <v/>
      </c>
      <c r="G894" s="16" t="str">
        <f>IF(B894=0,"",COUNTIFS('Extração'!P:P,"Não",'Extração'!L:L,A894)/B894)</f>
        <v/>
      </c>
      <c r="H894" s="16" t="str">
        <f>IF(B894=0,"",COUNTIFS('Extração'!Q:Q,"Não",'Extração'!L:L,A894)/B894)</f>
        <v/>
      </c>
      <c r="I894" s="16" t="str">
        <f>IF(B894=0,"",COUNTIFS('Extração'!R:R,"Igual",'Extração'!L:L,A894)/B894)</f>
        <v/>
      </c>
    </row>
    <row r="895">
      <c r="B895" s="16">
        <f>COUNTIF('Extração'!L:L,A895)</f>
        <v>0</v>
      </c>
      <c r="C895" s="16" t="str">
        <f>IF(B895=0,"",COUNTIFS('Extração'!P:P,"Sim",'Extração'!L:L,A895)/B895)</f>
        <v/>
      </c>
      <c r="D895" s="16" t="str">
        <f>IF(B895=0,"",COUNTIFS('Extração'!Q:Q,"Sim",'Extração'!L:L,A895)/B895)</f>
        <v/>
      </c>
      <c r="E895" s="16" t="str">
        <f>IF(B895=0,"",COUNTIFS('Extração'!P:P,"Parcialmente",'Extração'!L:L,A895)/B895)</f>
        <v/>
      </c>
      <c r="F895" s="16" t="str">
        <f>IF(B895=0,"",COUNTIFS('Extração'!Q:Q,"Parcialmente",'Extração'!L:L,A895)/B895)</f>
        <v/>
      </c>
      <c r="G895" s="16" t="str">
        <f>IF(B895=0,"",COUNTIFS('Extração'!P:P,"Não",'Extração'!L:L,A895)/B895)</f>
        <v/>
      </c>
      <c r="H895" s="16" t="str">
        <f>IF(B895=0,"",COUNTIFS('Extração'!Q:Q,"Não",'Extração'!L:L,A895)/B895)</f>
        <v/>
      </c>
      <c r="I895" s="16" t="str">
        <f>IF(B895=0,"",COUNTIFS('Extração'!R:R,"Igual",'Extração'!L:L,A895)/B895)</f>
        <v/>
      </c>
    </row>
    <row r="896">
      <c r="B896" s="16">
        <f>COUNTIF('Extração'!L:L,A896)</f>
        <v>0</v>
      </c>
      <c r="C896" s="16" t="str">
        <f>IF(B896=0,"",COUNTIFS('Extração'!P:P,"Sim",'Extração'!L:L,A896)/B896)</f>
        <v/>
      </c>
      <c r="D896" s="16" t="str">
        <f>IF(B896=0,"",COUNTIFS('Extração'!Q:Q,"Sim",'Extração'!L:L,A896)/B896)</f>
        <v/>
      </c>
      <c r="E896" s="16" t="str">
        <f>IF(B896=0,"",COUNTIFS('Extração'!P:P,"Parcialmente",'Extração'!L:L,A896)/B896)</f>
        <v/>
      </c>
      <c r="F896" s="16" t="str">
        <f>IF(B896=0,"",COUNTIFS('Extração'!Q:Q,"Parcialmente",'Extração'!L:L,A896)/B896)</f>
        <v/>
      </c>
      <c r="G896" s="16" t="str">
        <f>IF(B896=0,"",COUNTIFS('Extração'!P:P,"Não",'Extração'!L:L,A896)/B896)</f>
        <v/>
      </c>
      <c r="H896" s="16" t="str">
        <f>IF(B896=0,"",COUNTIFS('Extração'!Q:Q,"Não",'Extração'!L:L,A896)/B896)</f>
        <v/>
      </c>
      <c r="I896" s="16" t="str">
        <f>IF(B896=0,"",COUNTIFS('Extração'!R:R,"Igual",'Extração'!L:L,A896)/B896)</f>
        <v/>
      </c>
    </row>
    <row r="897">
      <c r="B897" s="16">
        <f>COUNTIF('Extração'!L:L,A897)</f>
        <v>0</v>
      </c>
      <c r="C897" s="16" t="str">
        <f>IF(B897=0,"",COUNTIFS('Extração'!P:P,"Sim",'Extração'!L:L,A897)/B897)</f>
        <v/>
      </c>
      <c r="D897" s="16" t="str">
        <f>IF(B897=0,"",COUNTIFS('Extração'!Q:Q,"Sim",'Extração'!L:L,A897)/B897)</f>
        <v/>
      </c>
      <c r="E897" s="16" t="str">
        <f>IF(B897=0,"",COUNTIFS('Extração'!P:P,"Parcialmente",'Extração'!L:L,A897)/B897)</f>
        <v/>
      </c>
      <c r="F897" s="16" t="str">
        <f>IF(B897=0,"",COUNTIFS('Extração'!Q:Q,"Parcialmente",'Extração'!L:L,A897)/B897)</f>
        <v/>
      </c>
      <c r="G897" s="16" t="str">
        <f>IF(B897=0,"",COUNTIFS('Extração'!P:P,"Não",'Extração'!L:L,A897)/B897)</f>
        <v/>
      </c>
      <c r="H897" s="16" t="str">
        <f>IF(B897=0,"",COUNTIFS('Extração'!Q:Q,"Não",'Extração'!L:L,A897)/B897)</f>
        <v/>
      </c>
      <c r="I897" s="16" t="str">
        <f>IF(B897=0,"",COUNTIFS('Extração'!R:R,"Igual",'Extração'!L:L,A897)/B897)</f>
        <v/>
      </c>
    </row>
    <row r="898">
      <c r="B898" s="16">
        <f>COUNTIF('Extração'!L:L,A898)</f>
        <v>0</v>
      </c>
      <c r="C898" s="16" t="str">
        <f>IF(B898=0,"",COUNTIFS('Extração'!P:P,"Sim",'Extração'!L:L,A898)/B898)</f>
        <v/>
      </c>
      <c r="D898" s="16" t="str">
        <f>IF(B898=0,"",COUNTIFS('Extração'!Q:Q,"Sim",'Extração'!L:L,A898)/B898)</f>
        <v/>
      </c>
      <c r="E898" s="16" t="str">
        <f>IF(B898=0,"",COUNTIFS('Extração'!P:P,"Parcialmente",'Extração'!L:L,A898)/B898)</f>
        <v/>
      </c>
      <c r="F898" s="16" t="str">
        <f>IF(B898=0,"",COUNTIFS('Extração'!Q:Q,"Parcialmente",'Extração'!L:L,A898)/B898)</f>
        <v/>
      </c>
      <c r="G898" s="16" t="str">
        <f>IF(B898=0,"",COUNTIFS('Extração'!P:P,"Não",'Extração'!L:L,A898)/B898)</f>
        <v/>
      </c>
      <c r="H898" s="16" t="str">
        <f>IF(B898=0,"",COUNTIFS('Extração'!Q:Q,"Não",'Extração'!L:L,A898)/B898)</f>
        <v/>
      </c>
      <c r="I898" s="16" t="str">
        <f>IF(B898=0,"",COUNTIFS('Extração'!R:R,"Igual",'Extração'!L:L,A898)/B898)</f>
        <v/>
      </c>
    </row>
    <row r="899">
      <c r="B899" s="16">
        <f>COUNTIF('Extração'!L:L,A899)</f>
        <v>0</v>
      </c>
      <c r="C899" s="16" t="str">
        <f>IF(B899=0,"",COUNTIFS('Extração'!P:P,"Sim",'Extração'!L:L,A899)/B899)</f>
        <v/>
      </c>
      <c r="D899" s="16" t="str">
        <f>IF(B899=0,"",COUNTIFS('Extração'!Q:Q,"Sim",'Extração'!L:L,A899)/B899)</f>
        <v/>
      </c>
      <c r="E899" s="16" t="str">
        <f>IF(B899=0,"",COUNTIFS('Extração'!P:P,"Parcialmente",'Extração'!L:L,A899)/B899)</f>
        <v/>
      </c>
      <c r="F899" s="16" t="str">
        <f>IF(B899=0,"",COUNTIFS('Extração'!Q:Q,"Parcialmente",'Extração'!L:L,A899)/B899)</f>
        <v/>
      </c>
      <c r="G899" s="16" t="str">
        <f>IF(B899=0,"",COUNTIFS('Extração'!P:P,"Não",'Extração'!L:L,A899)/B899)</f>
        <v/>
      </c>
      <c r="H899" s="16" t="str">
        <f>IF(B899=0,"",COUNTIFS('Extração'!Q:Q,"Não",'Extração'!L:L,A899)/B899)</f>
        <v/>
      </c>
      <c r="I899" s="16" t="str">
        <f>IF(B899=0,"",COUNTIFS('Extração'!R:R,"Igual",'Extração'!L:L,A899)/B899)</f>
        <v/>
      </c>
    </row>
    <row r="900">
      <c r="B900" s="16">
        <f>COUNTIF('Extração'!L:L,A900)</f>
        <v>0</v>
      </c>
      <c r="C900" s="16" t="str">
        <f>IF(B900=0,"",COUNTIFS('Extração'!P:P,"Sim",'Extração'!L:L,A900)/B900)</f>
        <v/>
      </c>
      <c r="D900" s="16" t="str">
        <f>IF(B900=0,"",COUNTIFS('Extração'!Q:Q,"Sim",'Extração'!L:L,A900)/B900)</f>
        <v/>
      </c>
      <c r="E900" s="16" t="str">
        <f>IF(B900=0,"",COUNTIFS('Extração'!P:P,"Parcialmente",'Extração'!L:L,A900)/B900)</f>
        <v/>
      </c>
      <c r="F900" s="16" t="str">
        <f>IF(B900=0,"",COUNTIFS('Extração'!Q:Q,"Parcialmente",'Extração'!L:L,A900)/B900)</f>
        <v/>
      </c>
      <c r="G900" s="16" t="str">
        <f>IF(B900=0,"",COUNTIFS('Extração'!P:P,"Não",'Extração'!L:L,A900)/B900)</f>
        <v/>
      </c>
      <c r="H900" s="16" t="str">
        <f>IF(B900=0,"",COUNTIFS('Extração'!Q:Q,"Não",'Extração'!L:L,A900)/B900)</f>
        <v/>
      </c>
      <c r="I900" s="16" t="str">
        <f>IF(B900=0,"",COUNTIFS('Extração'!R:R,"Igual",'Extração'!L:L,A900)/B900)</f>
        <v/>
      </c>
    </row>
    <row r="901">
      <c r="B901" s="16">
        <f>COUNTIF('Extração'!L:L,A901)</f>
        <v>0</v>
      </c>
      <c r="C901" s="16" t="str">
        <f>IF(B901=0,"",COUNTIFS('Extração'!P:P,"Sim",'Extração'!L:L,A901)/B901)</f>
        <v/>
      </c>
      <c r="D901" s="16" t="str">
        <f>IF(B901=0,"",COUNTIFS('Extração'!Q:Q,"Sim",'Extração'!L:L,A901)/B901)</f>
        <v/>
      </c>
      <c r="E901" s="16" t="str">
        <f>IF(B901=0,"",COUNTIFS('Extração'!P:P,"Parcialmente",'Extração'!L:L,A901)/B901)</f>
        <v/>
      </c>
      <c r="F901" s="16" t="str">
        <f>IF(B901=0,"",COUNTIFS('Extração'!Q:Q,"Parcialmente",'Extração'!L:L,A901)/B901)</f>
        <v/>
      </c>
      <c r="G901" s="16" t="str">
        <f>IF(B901=0,"",COUNTIFS('Extração'!P:P,"Não",'Extração'!L:L,A901)/B901)</f>
        <v/>
      </c>
      <c r="H901" s="16" t="str">
        <f>IF(B901=0,"",COUNTIFS('Extração'!Q:Q,"Não",'Extração'!L:L,A901)/B901)</f>
        <v/>
      </c>
      <c r="I901" s="16" t="str">
        <f>IF(B901=0,"",COUNTIFS('Extração'!R:R,"Igual",'Extração'!L:L,A901)/B901)</f>
        <v/>
      </c>
    </row>
    <row r="902">
      <c r="B902" s="16">
        <f>COUNTIF('Extração'!L:L,A902)</f>
        <v>0</v>
      </c>
      <c r="C902" s="16" t="str">
        <f>IF(B902=0,"",COUNTIFS('Extração'!P:P,"Sim",'Extração'!L:L,A902)/B902)</f>
        <v/>
      </c>
      <c r="D902" s="16" t="str">
        <f>IF(B902=0,"",COUNTIFS('Extração'!Q:Q,"Sim",'Extração'!L:L,A902)/B902)</f>
        <v/>
      </c>
      <c r="E902" s="16" t="str">
        <f>IF(B902=0,"",COUNTIFS('Extração'!P:P,"Parcialmente",'Extração'!L:L,A902)/B902)</f>
        <v/>
      </c>
      <c r="F902" s="16" t="str">
        <f>IF(B902=0,"",COUNTIFS('Extração'!Q:Q,"Parcialmente",'Extração'!L:L,A902)/B902)</f>
        <v/>
      </c>
      <c r="G902" s="16" t="str">
        <f>IF(B902=0,"",COUNTIFS('Extração'!P:P,"Não",'Extração'!L:L,A902)/B902)</f>
        <v/>
      </c>
      <c r="H902" s="16" t="str">
        <f>IF(B902=0,"",COUNTIFS('Extração'!Q:Q,"Não",'Extração'!L:L,A902)/B902)</f>
        <v/>
      </c>
      <c r="I902" s="16" t="str">
        <f>IF(B902=0,"",COUNTIFS('Extração'!R:R,"Igual",'Extração'!L:L,A902)/B902)</f>
        <v/>
      </c>
    </row>
    <row r="903">
      <c r="B903" s="16">
        <f>COUNTIF('Extração'!L:L,A903)</f>
        <v>0</v>
      </c>
      <c r="C903" s="16" t="str">
        <f>IF(B903=0,"",COUNTIFS('Extração'!P:P,"Sim",'Extração'!L:L,A903)/B903)</f>
        <v/>
      </c>
      <c r="D903" s="16" t="str">
        <f>IF(B903=0,"",COUNTIFS('Extração'!Q:Q,"Sim",'Extração'!L:L,A903)/B903)</f>
        <v/>
      </c>
      <c r="E903" s="16" t="str">
        <f>IF(B903=0,"",COUNTIFS('Extração'!P:P,"Parcialmente",'Extração'!L:L,A903)/B903)</f>
        <v/>
      </c>
      <c r="F903" s="16" t="str">
        <f>IF(B903=0,"",COUNTIFS('Extração'!Q:Q,"Parcialmente",'Extração'!L:L,A903)/B903)</f>
        <v/>
      </c>
      <c r="G903" s="16" t="str">
        <f>IF(B903=0,"",COUNTIFS('Extração'!P:P,"Não",'Extração'!L:L,A903)/B903)</f>
        <v/>
      </c>
      <c r="H903" s="16" t="str">
        <f>IF(B903=0,"",COUNTIFS('Extração'!Q:Q,"Não",'Extração'!L:L,A903)/B903)</f>
        <v/>
      </c>
      <c r="I903" s="16" t="str">
        <f>IF(B903=0,"",COUNTIFS('Extração'!R:R,"Igual",'Extração'!L:L,A903)/B903)</f>
        <v/>
      </c>
    </row>
    <row r="904">
      <c r="B904" s="16">
        <f>COUNTIF('Extração'!L:L,A904)</f>
        <v>0</v>
      </c>
      <c r="C904" s="16" t="str">
        <f>IF(B904=0,"",COUNTIFS('Extração'!P:P,"Sim",'Extração'!L:L,A904)/B904)</f>
        <v/>
      </c>
      <c r="D904" s="16" t="str">
        <f>IF(B904=0,"",COUNTIFS('Extração'!Q:Q,"Sim",'Extração'!L:L,A904)/B904)</f>
        <v/>
      </c>
      <c r="E904" s="16" t="str">
        <f>IF(B904=0,"",COUNTIFS('Extração'!P:P,"Parcialmente",'Extração'!L:L,A904)/B904)</f>
        <v/>
      </c>
      <c r="F904" s="16" t="str">
        <f>IF(B904=0,"",COUNTIFS('Extração'!Q:Q,"Parcialmente",'Extração'!L:L,A904)/B904)</f>
        <v/>
      </c>
      <c r="G904" s="16" t="str">
        <f>IF(B904=0,"",COUNTIFS('Extração'!P:P,"Não",'Extração'!L:L,A904)/B904)</f>
        <v/>
      </c>
      <c r="H904" s="16" t="str">
        <f>IF(B904=0,"",COUNTIFS('Extração'!Q:Q,"Não",'Extração'!L:L,A904)/B904)</f>
        <v/>
      </c>
      <c r="I904" s="16" t="str">
        <f>IF(B904=0,"",COUNTIFS('Extração'!R:R,"Igual",'Extração'!L:L,A904)/B904)</f>
        <v/>
      </c>
    </row>
    <row r="905">
      <c r="B905" s="16">
        <f>COUNTIF('Extração'!L:L,A905)</f>
        <v>0</v>
      </c>
      <c r="C905" s="16" t="str">
        <f>IF(B905=0,"",COUNTIFS('Extração'!P:P,"Sim",'Extração'!L:L,A905)/B905)</f>
        <v/>
      </c>
      <c r="D905" s="16" t="str">
        <f>IF(B905=0,"",COUNTIFS('Extração'!Q:Q,"Sim",'Extração'!L:L,A905)/B905)</f>
        <v/>
      </c>
      <c r="E905" s="16" t="str">
        <f>IF(B905=0,"",COUNTIFS('Extração'!P:P,"Parcialmente",'Extração'!L:L,A905)/B905)</f>
        <v/>
      </c>
      <c r="F905" s="16" t="str">
        <f>IF(B905=0,"",COUNTIFS('Extração'!Q:Q,"Parcialmente",'Extração'!L:L,A905)/B905)</f>
        <v/>
      </c>
      <c r="G905" s="16" t="str">
        <f>IF(B905=0,"",COUNTIFS('Extração'!P:P,"Não",'Extração'!L:L,A905)/B905)</f>
        <v/>
      </c>
      <c r="H905" s="16" t="str">
        <f>IF(B905=0,"",COUNTIFS('Extração'!Q:Q,"Não",'Extração'!L:L,A905)/B905)</f>
        <v/>
      </c>
      <c r="I905" s="16" t="str">
        <f>IF(B905=0,"",COUNTIFS('Extração'!R:R,"Igual",'Extração'!L:L,A905)/B905)</f>
        <v/>
      </c>
    </row>
    <row r="906">
      <c r="B906" s="16">
        <f>COUNTIF('Extração'!L:L,A906)</f>
        <v>0</v>
      </c>
      <c r="C906" s="16" t="str">
        <f>IF(B906=0,"",COUNTIFS('Extração'!P:P,"Sim",'Extração'!L:L,A906)/B906)</f>
        <v/>
      </c>
      <c r="D906" s="16" t="str">
        <f>IF(B906=0,"",COUNTIFS('Extração'!Q:Q,"Sim",'Extração'!L:L,A906)/B906)</f>
        <v/>
      </c>
      <c r="E906" s="16" t="str">
        <f>IF(B906=0,"",COUNTIFS('Extração'!P:P,"Parcialmente",'Extração'!L:L,A906)/B906)</f>
        <v/>
      </c>
      <c r="F906" s="16" t="str">
        <f>IF(B906=0,"",COUNTIFS('Extração'!Q:Q,"Parcialmente",'Extração'!L:L,A906)/B906)</f>
        <v/>
      </c>
      <c r="G906" s="16" t="str">
        <f>IF(B906=0,"",COUNTIFS('Extração'!P:P,"Não",'Extração'!L:L,A906)/B906)</f>
        <v/>
      </c>
      <c r="H906" s="16" t="str">
        <f>IF(B906=0,"",COUNTIFS('Extração'!Q:Q,"Não",'Extração'!L:L,A906)/B906)</f>
        <v/>
      </c>
      <c r="I906" s="16" t="str">
        <f>IF(B906=0,"",COUNTIFS('Extração'!R:R,"Igual",'Extração'!L:L,A906)/B906)</f>
        <v/>
      </c>
    </row>
    <row r="907">
      <c r="B907" s="16">
        <f>COUNTIF('Extração'!L:L,A907)</f>
        <v>0</v>
      </c>
      <c r="C907" s="16" t="str">
        <f>IF(B907=0,"",COUNTIFS('Extração'!P:P,"Sim",'Extração'!L:L,A907)/B907)</f>
        <v/>
      </c>
      <c r="D907" s="16" t="str">
        <f>IF(B907=0,"",COUNTIFS('Extração'!Q:Q,"Sim",'Extração'!L:L,A907)/B907)</f>
        <v/>
      </c>
      <c r="E907" s="16" t="str">
        <f>IF(B907=0,"",COUNTIFS('Extração'!P:P,"Parcialmente",'Extração'!L:L,A907)/B907)</f>
        <v/>
      </c>
      <c r="F907" s="16" t="str">
        <f>IF(B907=0,"",COUNTIFS('Extração'!Q:Q,"Parcialmente",'Extração'!L:L,A907)/B907)</f>
        <v/>
      </c>
      <c r="G907" s="16" t="str">
        <f>IF(B907=0,"",COUNTIFS('Extração'!P:P,"Não",'Extração'!L:L,A907)/B907)</f>
        <v/>
      </c>
      <c r="H907" s="16" t="str">
        <f>IF(B907=0,"",COUNTIFS('Extração'!Q:Q,"Não",'Extração'!L:L,A907)/B907)</f>
        <v/>
      </c>
      <c r="I907" s="16" t="str">
        <f>IF(B907=0,"",COUNTIFS('Extração'!R:R,"Igual",'Extração'!L:L,A907)/B907)</f>
        <v/>
      </c>
    </row>
    <row r="908">
      <c r="B908" s="16">
        <f>COUNTIF('Extração'!L:L,A908)</f>
        <v>0</v>
      </c>
      <c r="C908" s="16" t="str">
        <f>IF(B908=0,"",COUNTIFS('Extração'!P:P,"Sim",'Extração'!L:L,A908)/B908)</f>
        <v/>
      </c>
      <c r="D908" s="16" t="str">
        <f>IF(B908=0,"",COUNTIFS('Extração'!Q:Q,"Sim",'Extração'!L:L,A908)/B908)</f>
        <v/>
      </c>
      <c r="E908" s="16" t="str">
        <f>IF(B908=0,"",COUNTIFS('Extração'!P:P,"Parcialmente",'Extração'!L:L,A908)/B908)</f>
        <v/>
      </c>
      <c r="F908" s="16" t="str">
        <f>IF(B908=0,"",COUNTIFS('Extração'!Q:Q,"Parcialmente",'Extração'!L:L,A908)/B908)</f>
        <v/>
      </c>
      <c r="G908" s="16" t="str">
        <f>IF(B908=0,"",COUNTIFS('Extração'!P:P,"Não",'Extração'!L:L,A908)/B908)</f>
        <v/>
      </c>
      <c r="H908" s="16" t="str">
        <f>IF(B908=0,"",COUNTIFS('Extração'!Q:Q,"Não",'Extração'!L:L,A908)/B908)</f>
        <v/>
      </c>
      <c r="I908" s="16" t="str">
        <f>IF(B908=0,"",COUNTIFS('Extração'!R:R,"Igual",'Extração'!L:L,A908)/B908)</f>
        <v/>
      </c>
    </row>
    <row r="909">
      <c r="B909" s="16">
        <f>COUNTIF('Extração'!L:L,A909)</f>
        <v>0</v>
      </c>
      <c r="C909" s="16" t="str">
        <f>IF(B909=0,"",COUNTIFS('Extração'!P:P,"Sim",'Extração'!L:L,A909)/B909)</f>
        <v/>
      </c>
      <c r="D909" s="16" t="str">
        <f>IF(B909=0,"",COUNTIFS('Extração'!Q:Q,"Sim",'Extração'!L:L,A909)/B909)</f>
        <v/>
      </c>
      <c r="E909" s="16" t="str">
        <f>IF(B909=0,"",COUNTIFS('Extração'!P:P,"Parcialmente",'Extração'!L:L,A909)/B909)</f>
        <v/>
      </c>
      <c r="F909" s="16" t="str">
        <f>IF(B909=0,"",COUNTIFS('Extração'!Q:Q,"Parcialmente",'Extração'!L:L,A909)/B909)</f>
        <v/>
      </c>
      <c r="G909" s="16" t="str">
        <f>IF(B909=0,"",COUNTIFS('Extração'!P:P,"Não",'Extração'!L:L,A909)/B909)</f>
        <v/>
      </c>
      <c r="H909" s="16" t="str">
        <f>IF(B909=0,"",COUNTIFS('Extração'!Q:Q,"Não",'Extração'!L:L,A909)/B909)</f>
        <v/>
      </c>
      <c r="I909" s="16" t="str">
        <f>IF(B909=0,"",COUNTIFS('Extração'!R:R,"Igual",'Extração'!L:L,A909)/B909)</f>
        <v/>
      </c>
    </row>
    <row r="910">
      <c r="B910" s="16">
        <f>COUNTIF('Extração'!L:L,A910)</f>
        <v>0</v>
      </c>
      <c r="C910" s="16" t="str">
        <f>IF(B910=0,"",COUNTIFS('Extração'!P:P,"Sim",'Extração'!L:L,A910)/B910)</f>
        <v/>
      </c>
      <c r="D910" s="16" t="str">
        <f>IF(B910=0,"",COUNTIFS('Extração'!Q:Q,"Sim",'Extração'!L:L,A910)/B910)</f>
        <v/>
      </c>
      <c r="E910" s="16" t="str">
        <f>IF(B910=0,"",COUNTIFS('Extração'!P:P,"Parcialmente",'Extração'!L:L,A910)/B910)</f>
        <v/>
      </c>
      <c r="F910" s="16" t="str">
        <f>IF(B910=0,"",COUNTIFS('Extração'!Q:Q,"Parcialmente",'Extração'!L:L,A910)/B910)</f>
        <v/>
      </c>
      <c r="G910" s="16" t="str">
        <f>IF(B910=0,"",COUNTIFS('Extração'!P:P,"Não",'Extração'!L:L,A910)/B910)</f>
        <v/>
      </c>
      <c r="H910" s="16" t="str">
        <f>IF(B910=0,"",COUNTIFS('Extração'!Q:Q,"Não",'Extração'!L:L,A910)/B910)</f>
        <v/>
      </c>
      <c r="I910" s="16" t="str">
        <f>IF(B910=0,"",COUNTIFS('Extração'!R:R,"Igual",'Extração'!L:L,A910)/B910)</f>
        <v/>
      </c>
    </row>
    <row r="911">
      <c r="B911" s="16">
        <f>COUNTIF('Extração'!L:L,A911)</f>
        <v>0</v>
      </c>
      <c r="C911" s="16" t="str">
        <f>IF(B911=0,"",COUNTIFS('Extração'!P:P,"Sim",'Extração'!L:L,A911)/B911)</f>
        <v/>
      </c>
      <c r="D911" s="16" t="str">
        <f>IF(B911=0,"",COUNTIFS('Extração'!Q:Q,"Sim",'Extração'!L:L,A911)/B911)</f>
        <v/>
      </c>
      <c r="E911" s="16" t="str">
        <f>IF(B911=0,"",COUNTIFS('Extração'!P:P,"Parcialmente",'Extração'!L:L,A911)/B911)</f>
        <v/>
      </c>
      <c r="F911" s="16" t="str">
        <f>IF(B911=0,"",COUNTIFS('Extração'!Q:Q,"Parcialmente",'Extração'!L:L,A911)/B911)</f>
        <v/>
      </c>
      <c r="G911" s="16" t="str">
        <f>IF(B911=0,"",COUNTIFS('Extração'!P:P,"Não",'Extração'!L:L,A911)/B911)</f>
        <v/>
      </c>
      <c r="H911" s="16" t="str">
        <f>IF(B911=0,"",COUNTIFS('Extração'!Q:Q,"Não",'Extração'!L:L,A911)/B911)</f>
        <v/>
      </c>
      <c r="I911" s="16" t="str">
        <f>IF(B911=0,"",COUNTIFS('Extração'!R:R,"Igual",'Extração'!L:L,A911)/B911)</f>
        <v/>
      </c>
    </row>
    <row r="912">
      <c r="B912" s="16">
        <f>COUNTIF('Extração'!L:L,A912)</f>
        <v>0</v>
      </c>
      <c r="C912" s="16" t="str">
        <f>IF(B912=0,"",COUNTIFS('Extração'!P:P,"Sim",'Extração'!L:L,A912)/B912)</f>
        <v/>
      </c>
      <c r="D912" s="16" t="str">
        <f>IF(B912=0,"",COUNTIFS('Extração'!Q:Q,"Sim",'Extração'!L:L,A912)/B912)</f>
        <v/>
      </c>
      <c r="E912" s="16" t="str">
        <f>IF(B912=0,"",COUNTIFS('Extração'!P:P,"Parcialmente",'Extração'!L:L,A912)/B912)</f>
        <v/>
      </c>
      <c r="F912" s="16" t="str">
        <f>IF(B912=0,"",COUNTIFS('Extração'!Q:Q,"Parcialmente",'Extração'!L:L,A912)/B912)</f>
        <v/>
      </c>
      <c r="G912" s="16" t="str">
        <f>IF(B912=0,"",COUNTIFS('Extração'!P:P,"Não",'Extração'!L:L,A912)/B912)</f>
        <v/>
      </c>
      <c r="H912" s="16" t="str">
        <f>IF(B912=0,"",COUNTIFS('Extração'!Q:Q,"Não",'Extração'!L:L,A912)/B912)</f>
        <v/>
      </c>
      <c r="I912" s="16" t="str">
        <f>IF(B912=0,"",COUNTIFS('Extração'!R:R,"Igual",'Extração'!L:L,A912)/B912)</f>
        <v/>
      </c>
    </row>
    <row r="913">
      <c r="B913" s="16">
        <f>COUNTIF('Extração'!L:L,A913)</f>
        <v>0</v>
      </c>
      <c r="C913" s="16" t="str">
        <f>IF(B913=0,"",COUNTIFS('Extração'!P:P,"Sim",'Extração'!L:L,A913)/B913)</f>
        <v/>
      </c>
      <c r="D913" s="16" t="str">
        <f>IF(B913=0,"",COUNTIFS('Extração'!Q:Q,"Sim",'Extração'!L:L,A913)/B913)</f>
        <v/>
      </c>
      <c r="E913" s="16" t="str">
        <f>IF(B913=0,"",COUNTIFS('Extração'!P:P,"Parcialmente",'Extração'!L:L,A913)/B913)</f>
        <v/>
      </c>
      <c r="F913" s="16" t="str">
        <f>IF(B913=0,"",COUNTIFS('Extração'!Q:Q,"Parcialmente",'Extração'!L:L,A913)/B913)</f>
        <v/>
      </c>
      <c r="G913" s="16" t="str">
        <f>IF(B913=0,"",COUNTIFS('Extração'!P:P,"Não",'Extração'!L:L,A913)/B913)</f>
        <v/>
      </c>
      <c r="H913" s="16" t="str">
        <f>IF(B913=0,"",COUNTIFS('Extração'!Q:Q,"Não",'Extração'!L:L,A913)/B913)</f>
        <v/>
      </c>
      <c r="I913" s="16" t="str">
        <f>IF(B913=0,"",COUNTIFS('Extração'!R:R,"Igual",'Extração'!L:L,A913)/B913)</f>
        <v/>
      </c>
    </row>
    <row r="914">
      <c r="B914" s="16">
        <f>COUNTIF('Extração'!L:L,A914)</f>
        <v>0</v>
      </c>
      <c r="C914" s="16" t="str">
        <f>IF(B914=0,"",COUNTIFS('Extração'!P:P,"Sim",'Extração'!L:L,A914)/B914)</f>
        <v/>
      </c>
      <c r="D914" s="16" t="str">
        <f>IF(B914=0,"",COUNTIFS('Extração'!Q:Q,"Sim",'Extração'!L:L,A914)/B914)</f>
        <v/>
      </c>
      <c r="E914" s="16" t="str">
        <f>IF(B914=0,"",COUNTIFS('Extração'!P:P,"Parcialmente",'Extração'!L:L,A914)/B914)</f>
        <v/>
      </c>
      <c r="F914" s="16" t="str">
        <f>IF(B914=0,"",COUNTIFS('Extração'!Q:Q,"Parcialmente",'Extração'!L:L,A914)/B914)</f>
        <v/>
      </c>
      <c r="G914" s="16" t="str">
        <f>IF(B914=0,"",COUNTIFS('Extração'!P:P,"Não",'Extração'!L:L,A914)/B914)</f>
        <v/>
      </c>
      <c r="H914" s="16" t="str">
        <f>IF(B914=0,"",COUNTIFS('Extração'!Q:Q,"Não",'Extração'!L:L,A914)/B914)</f>
        <v/>
      </c>
      <c r="I914" s="16" t="str">
        <f>IF(B914=0,"",COUNTIFS('Extração'!R:R,"Igual",'Extração'!L:L,A914)/B914)</f>
        <v/>
      </c>
    </row>
    <row r="915">
      <c r="B915" s="16">
        <f>COUNTIF('Extração'!L:L,A915)</f>
        <v>0</v>
      </c>
      <c r="C915" s="16" t="str">
        <f>IF(B915=0,"",COUNTIFS('Extração'!P:P,"Sim",'Extração'!L:L,A915)/B915)</f>
        <v/>
      </c>
      <c r="D915" s="16" t="str">
        <f>IF(B915=0,"",COUNTIFS('Extração'!Q:Q,"Sim",'Extração'!L:L,A915)/B915)</f>
        <v/>
      </c>
      <c r="E915" s="16" t="str">
        <f>IF(B915=0,"",COUNTIFS('Extração'!P:P,"Parcialmente",'Extração'!L:L,A915)/B915)</f>
        <v/>
      </c>
      <c r="F915" s="16" t="str">
        <f>IF(B915=0,"",COUNTIFS('Extração'!Q:Q,"Parcialmente",'Extração'!L:L,A915)/B915)</f>
        <v/>
      </c>
      <c r="G915" s="16" t="str">
        <f>IF(B915=0,"",COUNTIFS('Extração'!P:P,"Não",'Extração'!L:L,A915)/B915)</f>
        <v/>
      </c>
      <c r="H915" s="16" t="str">
        <f>IF(B915=0,"",COUNTIFS('Extração'!Q:Q,"Não",'Extração'!L:L,A915)/B915)</f>
        <v/>
      </c>
      <c r="I915" s="16" t="str">
        <f>IF(B915=0,"",COUNTIFS('Extração'!R:R,"Igual",'Extração'!L:L,A915)/B915)</f>
        <v/>
      </c>
    </row>
    <row r="916">
      <c r="B916" s="16">
        <f>COUNTIF('Extração'!L:L,A916)</f>
        <v>0</v>
      </c>
      <c r="C916" s="16" t="str">
        <f>IF(B916=0,"",COUNTIFS('Extração'!P:P,"Sim",'Extração'!L:L,A916)/B916)</f>
        <v/>
      </c>
      <c r="D916" s="16" t="str">
        <f>IF(B916=0,"",COUNTIFS('Extração'!Q:Q,"Sim",'Extração'!L:L,A916)/B916)</f>
        <v/>
      </c>
      <c r="E916" s="16" t="str">
        <f>IF(B916=0,"",COUNTIFS('Extração'!P:P,"Parcialmente",'Extração'!L:L,A916)/B916)</f>
        <v/>
      </c>
      <c r="F916" s="16" t="str">
        <f>IF(B916=0,"",COUNTIFS('Extração'!Q:Q,"Parcialmente",'Extração'!L:L,A916)/B916)</f>
        <v/>
      </c>
      <c r="G916" s="16" t="str">
        <f>IF(B916=0,"",COUNTIFS('Extração'!P:P,"Não",'Extração'!L:L,A916)/B916)</f>
        <v/>
      </c>
      <c r="H916" s="16" t="str">
        <f>IF(B916=0,"",COUNTIFS('Extração'!Q:Q,"Não",'Extração'!L:L,A916)/B916)</f>
        <v/>
      </c>
      <c r="I916" s="16" t="str">
        <f>IF(B916=0,"",COUNTIFS('Extração'!R:R,"Igual",'Extração'!L:L,A916)/B916)</f>
        <v/>
      </c>
    </row>
    <row r="917">
      <c r="B917" s="16">
        <f>COUNTIF('Extração'!L:L,A917)</f>
        <v>0</v>
      </c>
      <c r="C917" s="16" t="str">
        <f>IF(B917=0,"",COUNTIFS('Extração'!P:P,"Sim",'Extração'!L:L,A917)/B917)</f>
        <v/>
      </c>
      <c r="D917" s="16" t="str">
        <f>IF(B917=0,"",COUNTIFS('Extração'!Q:Q,"Sim",'Extração'!L:L,A917)/B917)</f>
        <v/>
      </c>
      <c r="E917" s="16" t="str">
        <f>IF(B917=0,"",COUNTIFS('Extração'!P:P,"Parcialmente",'Extração'!L:L,A917)/B917)</f>
        <v/>
      </c>
      <c r="F917" s="16" t="str">
        <f>IF(B917=0,"",COUNTIFS('Extração'!Q:Q,"Parcialmente",'Extração'!L:L,A917)/B917)</f>
        <v/>
      </c>
      <c r="G917" s="16" t="str">
        <f>IF(B917=0,"",COUNTIFS('Extração'!P:P,"Não",'Extração'!L:L,A917)/B917)</f>
        <v/>
      </c>
      <c r="H917" s="16" t="str">
        <f>IF(B917=0,"",COUNTIFS('Extração'!Q:Q,"Não",'Extração'!L:L,A917)/B917)</f>
        <v/>
      </c>
      <c r="I917" s="16" t="str">
        <f>IF(B917=0,"",COUNTIFS('Extração'!R:R,"Igual",'Extração'!L:L,A917)/B917)</f>
        <v/>
      </c>
    </row>
    <row r="918">
      <c r="B918" s="16">
        <f>COUNTIF('Extração'!L:L,A918)</f>
        <v>0</v>
      </c>
      <c r="C918" s="16" t="str">
        <f>IF(B918=0,"",COUNTIFS('Extração'!P:P,"Sim",'Extração'!L:L,A918)/B918)</f>
        <v/>
      </c>
      <c r="D918" s="16" t="str">
        <f>IF(B918=0,"",COUNTIFS('Extração'!Q:Q,"Sim",'Extração'!L:L,A918)/B918)</f>
        <v/>
      </c>
      <c r="E918" s="16" t="str">
        <f>IF(B918=0,"",COUNTIFS('Extração'!P:P,"Parcialmente",'Extração'!L:L,A918)/B918)</f>
        <v/>
      </c>
      <c r="F918" s="16" t="str">
        <f>IF(B918=0,"",COUNTIFS('Extração'!Q:Q,"Parcialmente",'Extração'!L:L,A918)/B918)</f>
        <v/>
      </c>
      <c r="G918" s="16" t="str">
        <f>IF(B918=0,"",COUNTIFS('Extração'!P:P,"Não",'Extração'!L:L,A918)/B918)</f>
        <v/>
      </c>
      <c r="H918" s="16" t="str">
        <f>IF(B918=0,"",COUNTIFS('Extração'!Q:Q,"Não",'Extração'!L:L,A918)/B918)</f>
        <v/>
      </c>
      <c r="I918" s="16" t="str">
        <f>IF(B918=0,"",COUNTIFS('Extração'!R:R,"Igual",'Extração'!L:L,A918)/B918)</f>
        <v/>
      </c>
    </row>
    <row r="919">
      <c r="B919" s="16">
        <f>COUNTIF('Extração'!L:L,A919)</f>
        <v>0</v>
      </c>
      <c r="C919" s="16" t="str">
        <f>IF(B919=0,"",COUNTIFS('Extração'!P:P,"Sim",'Extração'!L:L,A919)/B919)</f>
        <v/>
      </c>
      <c r="D919" s="16" t="str">
        <f>IF(B919=0,"",COUNTIFS('Extração'!Q:Q,"Sim",'Extração'!L:L,A919)/B919)</f>
        <v/>
      </c>
      <c r="E919" s="16" t="str">
        <f>IF(B919=0,"",COUNTIFS('Extração'!P:P,"Parcialmente",'Extração'!L:L,A919)/B919)</f>
        <v/>
      </c>
      <c r="F919" s="16" t="str">
        <f>IF(B919=0,"",COUNTIFS('Extração'!Q:Q,"Parcialmente",'Extração'!L:L,A919)/B919)</f>
        <v/>
      </c>
      <c r="G919" s="16" t="str">
        <f>IF(B919=0,"",COUNTIFS('Extração'!P:P,"Não",'Extração'!L:L,A919)/B919)</f>
        <v/>
      </c>
      <c r="H919" s="16" t="str">
        <f>IF(B919=0,"",COUNTIFS('Extração'!Q:Q,"Não",'Extração'!L:L,A919)/B919)</f>
        <v/>
      </c>
      <c r="I919" s="16" t="str">
        <f>IF(B919=0,"",COUNTIFS('Extração'!R:R,"Igual",'Extração'!L:L,A919)/B919)</f>
        <v/>
      </c>
    </row>
    <row r="920">
      <c r="B920" s="16">
        <f>COUNTIF('Extração'!L:L,A920)</f>
        <v>0</v>
      </c>
      <c r="C920" s="16" t="str">
        <f>IF(B920=0,"",COUNTIFS('Extração'!P:P,"Sim",'Extração'!L:L,A920)/B920)</f>
        <v/>
      </c>
      <c r="D920" s="16" t="str">
        <f>IF(B920=0,"",COUNTIFS('Extração'!Q:Q,"Sim",'Extração'!L:L,A920)/B920)</f>
        <v/>
      </c>
      <c r="E920" s="16" t="str">
        <f>IF(B920=0,"",COUNTIFS('Extração'!P:P,"Parcialmente",'Extração'!L:L,A920)/B920)</f>
        <v/>
      </c>
      <c r="F920" s="16" t="str">
        <f>IF(B920=0,"",COUNTIFS('Extração'!Q:Q,"Parcialmente",'Extração'!L:L,A920)/B920)</f>
        <v/>
      </c>
      <c r="G920" s="16" t="str">
        <f>IF(B920=0,"",COUNTIFS('Extração'!P:P,"Não",'Extração'!L:L,A920)/B920)</f>
        <v/>
      </c>
      <c r="H920" s="16" t="str">
        <f>IF(B920=0,"",COUNTIFS('Extração'!Q:Q,"Não",'Extração'!L:L,A920)/B920)</f>
        <v/>
      </c>
      <c r="I920" s="16" t="str">
        <f>IF(B920=0,"",COUNTIFS('Extração'!R:R,"Igual",'Extração'!L:L,A920)/B920)</f>
        <v/>
      </c>
    </row>
    <row r="921">
      <c r="B921" s="16">
        <f>COUNTIF('Extração'!L:L,A921)</f>
        <v>0</v>
      </c>
      <c r="C921" s="16" t="str">
        <f>IF(B921=0,"",COUNTIFS('Extração'!P:P,"Sim",'Extração'!L:L,A921)/B921)</f>
        <v/>
      </c>
      <c r="D921" s="16" t="str">
        <f>IF(B921=0,"",COUNTIFS('Extração'!Q:Q,"Sim",'Extração'!L:L,A921)/B921)</f>
        <v/>
      </c>
      <c r="E921" s="16" t="str">
        <f>IF(B921=0,"",COUNTIFS('Extração'!P:P,"Parcialmente",'Extração'!L:L,A921)/B921)</f>
        <v/>
      </c>
      <c r="F921" s="16" t="str">
        <f>IF(B921=0,"",COUNTIFS('Extração'!Q:Q,"Parcialmente",'Extração'!L:L,A921)/B921)</f>
        <v/>
      </c>
      <c r="G921" s="16" t="str">
        <f>IF(B921=0,"",COUNTIFS('Extração'!P:P,"Não",'Extração'!L:L,A921)/B921)</f>
        <v/>
      </c>
      <c r="H921" s="16" t="str">
        <f>IF(B921=0,"",COUNTIFS('Extração'!Q:Q,"Não",'Extração'!L:L,A921)/B921)</f>
        <v/>
      </c>
      <c r="I921" s="16" t="str">
        <f>IF(B921=0,"",COUNTIFS('Extração'!R:R,"Igual",'Extração'!L:L,A921)/B921)</f>
        <v/>
      </c>
    </row>
    <row r="922">
      <c r="B922" s="16">
        <f>COUNTIF('Extração'!L:L,A922)</f>
        <v>0</v>
      </c>
      <c r="C922" s="16" t="str">
        <f>IF(B922=0,"",COUNTIFS('Extração'!P:P,"Sim",'Extração'!L:L,A922)/B922)</f>
        <v/>
      </c>
      <c r="D922" s="16" t="str">
        <f>IF(B922=0,"",COUNTIFS('Extração'!Q:Q,"Sim",'Extração'!L:L,A922)/B922)</f>
        <v/>
      </c>
      <c r="E922" s="16" t="str">
        <f>IF(B922=0,"",COUNTIFS('Extração'!P:P,"Parcialmente",'Extração'!L:L,A922)/B922)</f>
        <v/>
      </c>
      <c r="F922" s="16" t="str">
        <f>IF(B922=0,"",COUNTIFS('Extração'!Q:Q,"Parcialmente",'Extração'!L:L,A922)/B922)</f>
        <v/>
      </c>
      <c r="G922" s="16" t="str">
        <f>IF(B922=0,"",COUNTIFS('Extração'!P:P,"Não",'Extração'!L:L,A922)/B922)</f>
        <v/>
      </c>
      <c r="H922" s="16" t="str">
        <f>IF(B922=0,"",COUNTIFS('Extração'!Q:Q,"Não",'Extração'!L:L,A922)/B922)</f>
        <v/>
      </c>
      <c r="I922" s="16" t="str">
        <f>IF(B922=0,"",COUNTIFS('Extração'!R:R,"Igual",'Extração'!L:L,A922)/B922)</f>
        <v/>
      </c>
    </row>
    <row r="923">
      <c r="B923" s="16">
        <f>COUNTIF('Extração'!L:L,A923)</f>
        <v>0</v>
      </c>
      <c r="C923" s="16" t="str">
        <f>IF(B923=0,"",COUNTIFS('Extração'!P:P,"Sim",'Extração'!L:L,A923)/B923)</f>
        <v/>
      </c>
      <c r="D923" s="16" t="str">
        <f>IF(B923=0,"",COUNTIFS('Extração'!Q:Q,"Sim",'Extração'!L:L,A923)/B923)</f>
        <v/>
      </c>
      <c r="E923" s="16" t="str">
        <f>IF(B923=0,"",COUNTIFS('Extração'!P:P,"Parcialmente",'Extração'!L:L,A923)/B923)</f>
        <v/>
      </c>
      <c r="F923" s="16" t="str">
        <f>IF(B923=0,"",COUNTIFS('Extração'!Q:Q,"Parcialmente",'Extração'!L:L,A923)/B923)</f>
        <v/>
      </c>
      <c r="G923" s="16" t="str">
        <f>IF(B923=0,"",COUNTIFS('Extração'!P:P,"Não",'Extração'!L:L,A923)/B923)</f>
        <v/>
      </c>
      <c r="H923" s="16" t="str">
        <f>IF(B923=0,"",COUNTIFS('Extração'!Q:Q,"Não",'Extração'!L:L,A923)/B923)</f>
        <v/>
      </c>
      <c r="I923" s="16" t="str">
        <f>IF(B923=0,"",COUNTIFS('Extração'!R:R,"Igual",'Extração'!L:L,A923)/B923)</f>
        <v/>
      </c>
    </row>
    <row r="924">
      <c r="B924" s="16">
        <f>COUNTIF('Extração'!L:L,A924)</f>
        <v>0</v>
      </c>
      <c r="C924" s="16" t="str">
        <f>IF(B924=0,"",COUNTIFS('Extração'!P:P,"Sim",'Extração'!L:L,A924)/B924)</f>
        <v/>
      </c>
      <c r="D924" s="16" t="str">
        <f>IF(B924=0,"",COUNTIFS('Extração'!Q:Q,"Sim",'Extração'!L:L,A924)/B924)</f>
        <v/>
      </c>
      <c r="E924" s="16" t="str">
        <f>IF(B924=0,"",COUNTIFS('Extração'!P:P,"Parcialmente",'Extração'!L:L,A924)/B924)</f>
        <v/>
      </c>
      <c r="F924" s="16" t="str">
        <f>IF(B924=0,"",COUNTIFS('Extração'!Q:Q,"Parcialmente",'Extração'!L:L,A924)/B924)</f>
        <v/>
      </c>
      <c r="G924" s="16" t="str">
        <f>IF(B924=0,"",COUNTIFS('Extração'!P:P,"Não",'Extração'!L:L,A924)/B924)</f>
        <v/>
      </c>
      <c r="H924" s="16" t="str">
        <f>IF(B924=0,"",COUNTIFS('Extração'!Q:Q,"Não",'Extração'!L:L,A924)/B924)</f>
        <v/>
      </c>
      <c r="I924" s="16" t="str">
        <f>IF(B924=0,"",COUNTIFS('Extração'!R:R,"Igual",'Extração'!L:L,A924)/B924)</f>
        <v/>
      </c>
    </row>
    <row r="925">
      <c r="B925" s="16">
        <f>COUNTIF('Extração'!L:L,A925)</f>
        <v>0</v>
      </c>
      <c r="C925" s="16" t="str">
        <f>IF(B925=0,"",COUNTIFS('Extração'!P:P,"Sim",'Extração'!L:L,A925)/B925)</f>
        <v/>
      </c>
      <c r="D925" s="16" t="str">
        <f>IF(B925=0,"",COUNTIFS('Extração'!Q:Q,"Sim",'Extração'!L:L,A925)/B925)</f>
        <v/>
      </c>
      <c r="E925" s="16" t="str">
        <f>IF(B925=0,"",COUNTIFS('Extração'!P:P,"Parcialmente",'Extração'!L:L,A925)/B925)</f>
        <v/>
      </c>
      <c r="F925" s="16" t="str">
        <f>IF(B925=0,"",COUNTIFS('Extração'!Q:Q,"Parcialmente",'Extração'!L:L,A925)/B925)</f>
        <v/>
      </c>
      <c r="G925" s="16" t="str">
        <f>IF(B925=0,"",COUNTIFS('Extração'!P:P,"Não",'Extração'!L:L,A925)/B925)</f>
        <v/>
      </c>
      <c r="H925" s="16" t="str">
        <f>IF(B925=0,"",COUNTIFS('Extração'!Q:Q,"Não",'Extração'!L:L,A925)/B925)</f>
        <v/>
      </c>
      <c r="I925" s="16" t="str">
        <f>IF(B925=0,"",COUNTIFS('Extração'!R:R,"Igual",'Extração'!L:L,A925)/B925)</f>
        <v/>
      </c>
    </row>
    <row r="926">
      <c r="B926" s="16">
        <f>COUNTIF('Extração'!L:L,A926)</f>
        <v>0</v>
      </c>
      <c r="C926" s="16" t="str">
        <f>IF(B926=0,"",COUNTIFS('Extração'!P:P,"Sim",'Extração'!L:L,A926)/B926)</f>
        <v/>
      </c>
      <c r="D926" s="16" t="str">
        <f>IF(B926=0,"",COUNTIFS('Extração'!Q:Q,"Sim",'Extração'!L:L,A926)/B926)</f>
        <v/>
      </c>
      <c r="E926" s="16" t="str">
        <f>IF(B926=0,"",COUNTIFS('Extração'!P:P,"Parcialmente",'Extração'!L:L,A926)/B926)</f>
        <v/>
      </c>
      <c r="F926" s="16" t="str">
        <f>IF(B926=0,"",COUNTIFS('Extração'!Q:Q,"Parcialmente",'Extração'!L:L,A926)/B926)</f>
        <v/>
      </c>
      <c r="G926" s="16" t="str">
        <f>IF(B926=0,"",COUNTIFS('Extração'!P:P,"Não",'Extração'!L:L,A926)/B926)</f>
        <v/>
      </c>
      <c r="H926" s="16" t="str">
        <f>IF(B926=0,"",COUNTIFS('Extração'!Q:Q,"Não",'Extração'!L:L,A926)/B926)</f>
        <v/>
      </c>
      <c r="I926" s="16" t="str">
        <f>IF(B926=0,"",COUNTIFS('Extração'!R:R,"Igual",'Extração'!L:L,A926)/B926)</f>
        <v/>
      </c>
    </row>
    <row r="927">
      <c r="B927" s="16">
        <f>COUNTIF('Extração'!L:L,A927)</f>
        <v>0</v>
      </c>
      <c r="C927" s="16" t="str">
        <f>IF(B927=0,"",COUNTIFS('Extração'!P:P,"Sim",'Extração'!L:L,A927)/B927)</f>
        <v/>
      </c>
      <c r="D927" s="16" t="str">
        <f>IF(B927=0,"",COUNTIFS('Extração'!Q:Q,"Sim",'Extração'!L:L,A927)/B927)</f>
        <v/>
      </c>
      <c r="E927" s="16" t="str">
        <f>IF(B927=0,"",COUNTIFS('Extração'!P:P,"Parcialmente",'Extração'!L:L,A927)/B927)</f>
        <v/>
      </c>
      <c r="F927" s="16" t="str">
        <f>IF(B927=0,"",COUNTIFS('Extração'!Q:Q,"Parcialmente",'Extração'!L:L,A927)/B927)</f>
        <v/>
      </c>
      <c r="G927" s="16" t="str">
        <f>IF(B927=0,"",COUNTIFS('Extração'!P:P,"Não",'Extração'!L:L,A927)/B927)</f>
        <v/>
      </c>
      <c r="H927" s="16" t="str">
        <f>IF(B927=0,"",COUNTIFS('Extração'!Q:Q,"Não",'Extração'!L:L,A927)/B927)</f>
        <v/>
      </c>
      <c r="I927" s="16" t="str">
        <f>IF(B927=0,"",COUNTIFS('Extração'!R:R,"Igual",'Extração'!L:L,A927)/B927)</f>
        <v/>
      </c>
    </row>
    <row r="928">
      <c r="B928" s="16">
        <f>COUNTIF('Extração'!L:L,A928)</f>
        <v>0</v>
      </c>
      <c r="C928" s="16" t="str">
        <f>IF(B928=0,"",COUNTIFS('Extração'!P:P,"Sim",'Extração'!L:L,A928)/B928)</f>
        <v/>
      </c>
      <c r="D928" s="16" t="str">
        <f>IF(B928=0,"",COUNTIFS('Extração'!Q:Q,"Sim",'Extração'!L:L,A928)/B928)</f>
        <v/>
      </c>
      <c r="E928" s="16" t="str">
        <f>IF(B928=0,"",COUNTIFS('Extração'!P:P,"Parcialmente",'Extração'!L:L,A928)/B928)</f>
        <v/>
      </c>
      <c r="F928" s="16" t="str">
        <f>IF(B928=0,"",COUNTIFS('Extração'!Q:Q,"Parcialmente",'Extração'!L:L,A928)/B928)</f>
        <v/>
      </c>
      <c r="G928" s="16" t="str">
        <f>IF(B928=0,"",COUNTIFS('Extração'!P:P,"Não",'Extração'!L:L,A928)/B928)</f>
        <v/>
      </c>
      <c r="H928" s="16" t="str">
        <f>IF(B928=0,"",COUNTIFS('Extração'!Q:Q,"Não",'Extração'!L:L,A928)/B928)</f>
        <v/>
      </c>
      <c r="I928" s="16" t="str">
        <f>IF(B928=0,"",COUNTIFS('Extração'!R:R,"Igual",'Extração'!L:L,A928)/B928)</f>
        <v/>
      </c>
    </row>
    <row r="929">
      <c r="B929" s="16">
        <f>COUNTIF('Extração'!L:L,A929)</f>
        <v>0</v>
      </c>
      <c r="C929" s="16" t="str">
        <f>IF(B929=0,"",COUNTIFS('Extração'!P:P,"Sim",'Extração'!L:L,A929)/B929)</f>
        <v/>
      </c>
      <c r="D929" s="16" t="str">
        <f>IF(B929=0,"",COUNTIFS('Extração'!Q:Q,"Sim",'Extração'!L:L,A929)/B929)</f>
        <v/>
      </c>
      <c r="E929" s="16" t="str">
        <f>IF(B929=0,"",COUNTIFS('Extração'!P:P,"Parcialmente",'Extração'!L:L,A929)/B929)</f>
        <v/>
      </c>
      <c r="F929" s="16" t="str">
        <f>IF(B929=0,"",COUNTIFS('Extração'!Q:Q,"Parcialmente",'Extração'!L:L,A929)/B929)</f>
        <v/>
      </c>
      <c r="G929" s="16" t="str">
        <f>IF(B929=0,"",COUNTIFS('Extração'!P:P,"Não",'Extração'!L:L,A929)/B929)</f>
        <v/>
      </c>
      <c r="H929" s="16" t="str">
        <f>IF(B929=0,"",COUNTIFS('Extração'!Q:Q,"Não",'Extração'!L:L,A929)/B929)</f>
        <v/>
      </c>
      <c r="I929" s="16" t="str">
        <f>IF(B929=0,"",COUNTIFS('Extração'!R:R,"Igual",'Extração'!L:L,A929)/B929)</f>
        <v/>
      </c>
    </row>
    <row r="930">
      <c r="B930" s="16">
        <f>COUNTIF('Extração'!L:L,A930)</f>
        <v>0</v>
      </c>
      <c r="C930" s="16" t="str">
        <f>IF(B930=0,"",COUNTIFS('Extração'!P:P,"Sim",'Extração'!L:L,A930)/B930)</f>
        <v/>
      </c>
      <c r="D930" s="16" t="str">
        <f>IF(B930=0,"",COUNTIFS('Extração'!Q:Q,"Sim",'Extração'!L:L,A930)/B930)</f>
        <v/>
      </c>
      <c r="E930" s="16" t="str">
        <f>IF(B930=0,"",COUNTIFS('Extração'!P:P,"Parcialmente",'Extração'!L:L,A930)/B930)</f>
        <v/>
      </c>
      <c r="F930" s="16" t="str">
        <f>IF(B930=0,"",COUNTIFS('Extração'!Q:Q,"Parcialmente",'Extração'!L:L,A930)/B930)</f>
        <v/>
      </c>
      <c r="G930" s="16" t="str">
        <f>IF(B930=0,"",COUNTIFS('Extração'!P:P,"Não",'Extração'!L:L,A930)/B930)</f>
        <v/>
      </c>
      <c r="H930" s="16" t="str">
        <f>IF(B930=0,"",COUNTIFS('Extração'!Q:Q,"Não",'Extração'!L:L,A930)/B930)</f>
        <v/>
      </c>
      <c r="I930" s="16" t="str">
        <f>IF(B930=0,"",COUNTIFS('Extração'!R:R,"Igual",'Extração'!L:L,A930)/B930)</f>
        <v/>
      </c>
    </row>
    <row r="931">
      <c r="B931" s="16">
        <f>COUNTIF('Extração'!L:L,A931)</f>
        <v>0</v>
      </c>
      <c r="C931" s="16" t="str">
        <f>IF(B931=0,"",COUNTIFS('Extração'!P:P,"Sim",'Extração'!L:L,A931)/B931)</f>
        <v/>
      </c>
      <c r="D931" s="16" t="str">
        <f>IF(B931=0,"",COUNTIFS('Extração'!Q:Q,"Sim",'Extração'!L:L,A931)/B931)</f>
        <v/>
      </c>
      <c r="E931" s="16" t="str">
        <f>IF(B931=0,"",COUNTIFS('Extração'!P:P,"Parcialmente",'Extração'!L:L,A931)/B931)</f>
        <v/>
      </c>
      <c r="F931" s="16" t="str">
        <f>IF(B931=0,"",COUNTIFS('Extração'!Q:Q,"Parcialmente",'Extração'!L:L,A931)/B931)</f>
        <v/>
      </c>
      <c r="G931" s="16" t="str">
        <f>IF(B931=0,"",COUNTIFS('Extração'!P:P,"Não",'Extração'!L:L,A931)/B931)</f>
        <v/>
      </c>
      <c r="H931" s="16" t="str">
        <f>IF(B931=0,"",COUNTIFS('Extração'!Q:Q,"Não",'Extração'!L:L,A931)/B931)</f>
        <v/>
      </c>
      <c r="I931" s="16" t="str">
        <f>IF(B931=0,"",COUNTIFS('Extração'!R:R,"Igual",'Extração'!L:L,A931)/B931)</f>
        <v/>
      </c>
    </row>
    <row r="932">
      <c r="B932" s="16">
        <f>COUNTIF('Extração'!L:L,A932)</f>
        <v>0</v>
      </c>
      <c r="C932" s="16" t="str">
        <f>IF(B932=0,"",COUNTIFS('Extração'!P:P,"Sim",'Extração'!L:L,A932)/B932)</f>
        <v/>
      </c>
      <c r="D932" s="16" t="str">
        <f>IF(B932=0,"",COUNTIFS('Extração'!Q:Q,"Sim",'Extração'!L:L,A932)/B932)</f>
        <v/>
      </c>
      <c r="E932" s="16" t="str">
        <f>IF(B932=0,"",COUNTIFS('Extração'!P:P,"Parcialmente",'Extração'!L:L,A932)/B932)</f>
        <v/>
      </c>
      <c r="F932" s="16" t="str">
        <f>IF(B932=0,"",COUNTIFS('Extração'!Q:Q,"Parcialmente",'Extração'!L:L,A932)/B932)</f>
        <v/>
      </c>
      <c r="G932" s="16" t="str">
        <f>IF(B932=0,"",COUNTIFS('Extração'!P:P,"Não",'Extração'!L:L,A932)/B932)</f>
        <v/>
      </c>
      <c r="H932" s="16" t="str">
        <f>IF(B932=0,"",COUNTIFS('Extração'!Q:Q,"Não",'Extração'!L:L,A932)/B932)</f>
        <v/>
      </c>
      <c r="I932" s="16" t="str">
        <f>IF(B932=0,"",COUNTIFS('Extração'!R:R,"Igual",'Extração'!L:L,A932)/B932)</f>
        <v/>
      </c>
    </row>
    <row r="933">
      <c r="B933" s="16">
        <f>COUNTIF('Extração'!L:L,A933)</f>
        <v>0</v>
      </c>
      <c r="C933" s="16" t="str">
        <f>IF(B933=0,"",COUNTIFS('Extração'!P:P,"Sim",'Extração'!L:L,A933)/B933)</f>
        <v/>
      </c>
      <c r="D933" s="16" t="str">
        <f>IF(B933=0,"",COUNTIFS('Extração'!Q:Q,"Sim",'Extração'!L:L,A933)/B933)</f>
        <v/>
      </c>
      <c r="E933" s="16" t="str">
        <f>IF(B933=0,"",COUNTIFS('Extração'!P:P,"Parcialmente",'Extração'!L:L,A933)/B933)</f>
        <v/>
      </c>
      <c r="F933" s="16" t="str">
        <f>IF(B933=0,"",COUNTIFS('Extração'!Q:Q,"Parcialmente",'Extração'!L:L,A933)/B933)</f>
        <v/>
      </c>
      <c r="G933" s="16" t="str">
        <f>IF(B933=0,"",COUNTIFS('Extração'!P:P,"Não",'Extração'!L:L,A933)/B933)</f>
        <v/>
      </c>
      <c r="H933" s="16" t="str">
        <f>IF(B933=0,"",COUNTIFS('Extração'!Q:Q,"Não",'Extração'!L:L,A933)/B933)</f>
        <v/>
      </c>
      <c r="I933" s="16" t="str">
        <f>IF(B933=0,"",COUNTIFS('Extração'!R:R,"Igual",'Extração'!L:L,A933)/B933)</f>
        <v/>
      </c>
    </row>
    <row r="934">
      <c r="B934" s="16">
        <f>COUNTIF('Extração'!L:L,A934)</f>
        <v>0</v>
      </c>
      <c r="C934" s="16" t="str">
        <f>IF(B934=0,"",COUNTIFS('Extração'!P:P,"Sim",'Extração'!L:L,A934)/B934)</f>
        <v/>
      </c>
      <c r="D934" s="16" t="str">
        <f>IF(B934=0,"",COUNTIFS('Extração'!Q:Q,"Sim",'Extração'!L:L,A934)/B934)</f>
        <v/>
      </c>
      <c r="E934" s="16" t="str">
        <f>IF(B934=0,"",COUNTIFS('Extração'!P:P,"Parcialmente",'Extração'!L:L,A934)/B934)</f>
        <v/>
      </c>
      <c r="F934" s="16" t="str">
        <f>IF(B934=0,"",COUNTIFS('Extração'!Q:Q,"Parcialmente",'Extração'!L:L,A934)/B934)</f>
        <v/>
      </c>
      <c r="G934" s="16" t="str">
        <f>IF(B934=0,"",COUNTIFS('Extração'!P:P,"Não",'Extração'!L:L,A934)/B934)</f>
        <v/>
      </c>
      <c r="H934" s="16" t="str">
        <f>IF(B934=0,"",COUNTIFS('Extração'!Q:Q,"Não",'Extração'!L:L,A934)/B934)</f>
        <v/>
      </c>
      <c r="I934" s="16" t="str">
        <f>IF(B934=0,"",COUNTIFS('Extração'!R:R,"Igual",'Extração'!L:L,A934)/B934)</f>
        <v/>
      </c>
    </row>
    <row r="935">
      <c r="B935" s="16">
        <f>COUNTIF('Extração'!L:L,A935)</f>
        <v>0</v>
      </c>
      <c r="C935" s="16" t="str">
        <f>IF(B935=0,"",COUNTIFS('Extração'!P:P,"Sim",'Extração'!L:L,A935)/B935)</f>
        <v/>
      </c>
      <c r="D935" s="16" t="str">
        <f>IF(B935=0,"",COUNTIFS('Extração'!Q:Q,"Sim",'Extração'!L:L,A935)/B935)</f>
        <v/>
      </c>
      <c r="E935" s="16" t="str">
        <f>IF(B935=0,"",COUNTIFS('Extração'!P:P,"Parcialmente",'Extração'!L:L,A935)/B935)</f>
        <v/>
      </c>
      <c r="F935" s="16" t="str">
        <f>IF(B935=0,"",COUNTIFS('Extração'!Q:Q,"Parcialmente",'Extração'!L:L,A935)/B935)</f>
        <v/>
      </c>
      <c r="G935" s="16" t="str">
        <f>IF(B935=0,"",COUNTIFS('Extração'!P:P,"Não",'Extração'!L:L,A935)/B935)</f>
        <v/>
      </c>
      <c r="H935" s="16" t="str">
        <f>IF(B935=0,"",COUNTIFS('Extração'!Q:Q,"Não",'Extração'!L:L,A935)/B935)</f>
        <v/>
      </c>
      <c r="I935" s="16" t="str">
        <f>IF(B935=0,"",COUNTIFS('Extração'!R:R,"Igual",'Extração'!L:L,A935)/B935)</f>
        <v/>
      </c>
    </row>
    <row r="936">
      <c r="B936" s="16">
        <f>COUNTIF('Extração'!L:L,A936)</f>
        <v>0</v>
      </c>
      <c r="C936" s="16" t="str">
        <f>IF(B936=0,"",COUNTIFS('Extração'!P:P,"Sim",'Extração'!L:L,A936)/B936)</f>
        <v/>
      </c>
      <c r="D936" s="16" t="str">
        <f>IF(B936=0,"",COUNTIFS('Extração'!Q:Q,"Sim",'Extração'!L:L,A936)/B936)</f>
        <v/>
      </c>
      <c r="E936" s="16" t="str">
        <f>IF(B936=0,"",COUNTIFS('Extração'!P:P,"Parcialmente",'Extração'!L:L,A936)/B936)</f>
        <v/>
      </c>
      <c r="F936" s="16" t="str">
        <f>IF(B936=0,"",COUNTIFS('Extração'!Q:Q,"Parcialmente",'Extração'!L:L,A936)/B936)</f>
        <v/>
      </c>
      <c r="G936" s="16" t="str">
        <f>IF(B936=0,"",COUNTIFS('Extração'!P:P,"Não",'Extração'!L:L,A936)/B936)</f>
        <v/>
      </c>
      <c r="H936" s="16" t="str">
        <f>IF(B936=0,"",COUNTIFS('Extração'!Q:Q,"Não",'Extração'!L:L,A936)/B936)</f>
        <v/>
      </c>
      <c r="I936" s="16" t="str">
        <f>IF(B936=0,"",COUNTIFS('Extração'!R:R,"Igual",'Extração'!L:L,A936)/B936)</f>
        <v/>
      </c>
    </row>
    <row r="937">
      <c r="B937" s="16">
        <f>COUNTIF('Extração'!L:L,A937)</f>
        <v>0</v>
      </c>
      <c r="C937" s="16" t="str">
        <f>IF(B937=0,"",COUNTIFS('Extração'!P:P,"Sim",'Extração'!L:L,A937)/B937)</f>
        <v/>
      </c>
      <c r="D937" s="16" t="str">
        <f>IF(B937=0,"",COUNTIFS('Extração'!Q:Q,"Sim",'Extração'!L:L,A937)/B937)</f>
        <v/>
      </c>
      <c r="E937" s="16" t="str">
        <f>IF(B937=0,"",COUNTIFS('Extração'!P:P,"Parcialmente",'Extração'!L:L,A937)/B937)</f>
        <v/>
      </c>
      <c r="F937" s="16" t="str">
        <f>IF(B937=0,"",COUNTIFS('Extração'!Q:Q,"Parcialmente",'Extração'!L:L,A937)/B937)</f>
        <v/>
      </c>
      <c r="G937" s="16" t="str">
        <f>IF(B937=0,"",COUNTIFS('Extração'!P:P,"Não",'Extração'!L:L,A937)/B937)</f>
        <v/>
      </c>
      <c r="H937" s="16" t="str">
        <f>IF(B937=0,"",COUNTIFS('Extração'!Q:Q,"Não",'Extração'!L:L,A937)/B937)</f>
        <v/>
      </c>
      <c r="I937" s="16" t="str">
        <f>IF(B937=0,"",COUNTIFS('Extração'!R:R,"Igual",'Extração'!L:L,A937)/B937)</f>
        <v/>
      </c>
    </row>
    <row r="938">
      <c r="B938" s="16">
        <f>COUNTIF('Extração'!L:L,A938)</f>
        <v>0</v>
      </c>
      <c r="C938" s="16" t="str">
        <f>IF(B938=0,"",COUNTIFS('Extração'!P:P,"Sim",'Extração'!L:L,A938)/B938)</f>
        <v/>
      </c>
      <c r="D938" s="16" t="str">
        <f>IF(B938=0,"",COUNTIFS('Extração'!Q:Q,"Sim",'Extração'!L:L,A938)/B938)</f>
        <v/>
      </c>
      <c r="E938" s="16" t="str">
        <f>IF(B938=0,"",COUNTIFS('Extração'!P:P,"Parcialmente",'Extração'!L:L,A938)/B938)</f>
        <v/>
      </c>
      <c r="F938" s="16" t="str">
        <f>IF(B938=0,"",COUNTIFS('Extração'!Q:Q,"Parcialmente",'Extração'!L:L,A938)/B938)</f>
        <v/>
      </c>
      <c r="G938" s="16" t="str">
        <f>IF(B938=0,"",COUNTIFS('Extração'!P:P,"Não",'Extração'!L:L,A938)/B938)</f>
        <v/>
      </c>
      <c r="H938" s="16" t="str">
        <f>IF(B938=0,"",COUNTIFS('Extração'!Q:Q,"Não",'Extração'!L:L,A938)/B938)</f>
        <v/>
      </c>
      <c r="I938" s="16" t="str">
        <f>IF(B938=0,"",COUNTIFS('Extração'!R:R,"Igual",'Extração'!L:L,A938)/B938)</f>
        <v/>
      </c>
    </row>
    <row r="939">
      <c r="B939" s="16">
        <f>COUNTIF('Extração'!L:L,A939)</f>
        <v>0</v>
      </c>
      <c r="C939" s="16" t="str">
        <f>IF(B939=0,"",COUNTIFS('Extração'!P:P,"Sim",'Extração'!L:L,A939)/B939)</f>
        <v/>
      </c>
      <c r="D939" s="16" t="str">
        <f>IF(B939=0,"",COUNTIFS('Extração'!Q:Q,"Sim",'Extração'!L:L,A939)/B939)</f>
        <v/>
      </c>
      <c r="E939" s="16" t="str">
        <f>IF(B939=0,"",COUNTIFS('Extração'!P:P,"Parcialmente",'Extração'!L:L,A939)/B939)</f>
        <v/>
      </c>
      <c r="F939" s="16" t="str">
        <f>IF(B939=0,"",COUNTIFS('Extração'!Q:Q,"Parcialmente",'Extração'!L:L,A939)/B939)</f>
        <v/>
      </c>
      <c r="G939" s="16" t="str">
        <f>IF(B939=0,"",COUNTIFS('Extração'!P:P,"Não",'Extração'!L:L,A939)/B939)</f>
        <v/>
      </c>
      <c r="H939" s="16" t="str">
        <f>IF(B939=0,"",COUNTIFS('Extração'!Q:Q,"Não",'Extração'!L:L,A939)/B939)</f>
        <v/>
      </c>
      <c r="I939" s="16" t="str">
        <f>IF(B939=0,"",COUNTIFS('Extração'!R:R,"Igual",'Extração'!L:L,A939)/B939)</f>
        <v/>
      </c>
    </row>
    <row r="940">
      <c r="B940" s="16">
        <f>COUNTIF('Extração'!L:L,A940)</f>
        <v>0</v>
      </c>
      <c r="C940" s="16" t="str">
        <f>IF(B940=0,"",COUNTIFS('Extração'!P:P,"Sim",'Extração'!L:L,A940)/B940)</f>
        <v/>
      </c>
      <c r="D940" s="16" t="str">
        <f>IF(B940=0,"",COUNTIFS('Extração'!Q:Q,"Sim",'Extração'!L:L,A940)/B940)</f>
        <v/>
      </c>
      <c r="E940" s="16" t="str">
        <f>IF(B940=0,"",COUNTIFS('Extração'!P:P,"Parcialmente",'Extração'!L:L,A940)/B940)</f>
        <v/>
      </c>
      <c r="F940" s="16" t="str">
        <f>IF(B940=0,"",COUNTIFS('Extração'!Q:Q,"Parcialmente",'Extração'!L:L,A940)/B940)</f>
        <v/>
      </c>
      <c r="G940" s="16" t="str">
        <f>IF(B940=0,"",COUNTIFS('Extração'!P:P,"Não",'Extração'!L:L,A940)/B940)</f>
        <v/>
      </c>
      <c r="H940" s="16" t="str">
        <f>IF(B940=0,"",COUNTIFS('Extração'!Q:Q,"Não",'Extração'!L:L,A940)/B940)</f>
        <v/>
      </c>
      <c r="I940" s="16" t="str">
        <f>IF(B940=0,"",COUNTIFS('Extração'!R:R,"Igual",'Extração'!L:L,A940)/B940)</f>
        <v/>
      </c>
    </row>
    <row r="941">
      <c r="B941" s="16">
        <f>COUNTIF('Extração'!L:L,A941)</f>
        <v>0</v>
      </c>
      <c r="C941" s="16" t="str">
        <f>IF(B941=0,"",COUNTIFS('Extração'!P:P,"Sim",'Extração'!L:L,A941)/B941)</f>
        <v/>
      </c>
      <c r="D941" s="16" t="str">
        <f>IF(B941=0,"",COUNTIFS('Extração'!Q:Q,"Sim",'Extração'!L:L,A941)/B941)</f>
        <v/>
      </c>
      <c r="E941" s="16" t="str">
        <f>IF(B941=0,"",COUNTIFS('Extração'!P:P,"Parcialmente",'Extração'!L:L,A941)/B941)</f>
        <v/>
      </c>
      <c r="F941" s="16" t="str">
        <f>IF(B941=0,"",COUNTIFS('Extração'!Q:Q,"Parcialmente",'Extração'!L:L,A941)/B941)</f>
        <v/>
      </c>
      <c r="G941" s="16" t="str">
        <f>IF(B941=0,"",COUNTIFS('Extração'!P:P,"Não",'Extração'!L:L,A941)/B941)</f>
        <v/>
      </c>
      <c r="H941" s="16" t="str">
        <f>IF(B941=0,"",COUNTIFS('Extração'!Q:Q,"Não",'Extração'!L:L,A941)/B941)</f>
        <v/>
      </c>
      <c r="I941" s="16" t="str">
        <f>IF(B941=0,"",COUNTIFS('Extração'!R:R,"Igual",'Extração'!L:L,A941)/B941)</f>
        <v/>
      </c>
    </row>
    <row r="942">
      <c r="B942" s="16">
        <f>COUNTIF('Extração'!L:L,A942)</f>
        <v>0</v>
      </c>
      <c r="C942" s="16" t="str">
        <f>IF(B942=0,"",COUNTIFS('Extração'!P:P,"Sim",'Extração'!L:L,A942)/B942)</f>
        <v/>
      </c>
      <c r="D942" s="16" t="str">
        <f>IF(B942=0,"",COUNTIFS('Extração'!Q:Q,"Sim",'Extração'!L:L,A942)/B942)</f>
        <v/>
      </c>
      <c r="E942" s="16" t="str">
        <f>IF(B942=0,"",COUNTIFS('Extração'!P:P,"Parcialmente",'Extração'!L:L,A942)/B942)</f>
        <v/>
      </c>
      <c r="F942" s="16" t="str">
        <f>IF(B942=0,"",COUNTIFS('Extração'!Q:Q,"Parcialmente",'Extração'!L:L,A942)/B942)</f>
        <v/>
      </c>
      <c r="G942" s="16" t="str">
        <f>IF(B942=0,"",COUNTIFS('Extração'!P:P,"Não",'Extração'!L:L,A942)/B942)</f>
        <v/>
      </c>
      <c r="H942" s="16" t="str">
        <f>IF(B942=0,"",COUNTIFS('Extração'!Q:Q,"Não",'Extração'!L:L,A942)/B942)</f>
        <v/>
      </c>
      <c r="I942" s="16" t="str">
        <f>IF(B942=0,"",COUNTIFS('Extração'!R:R,"Igual",'Extração'!L:L,A942)/B942)</f>
        <v/>
      </c>
    </row>
    <row r="943">
      <c r="B943" s="16">
        <f>COUNTIF('Extração'!L:L,A943)</f>
        <v>0</v>
      </c>
      <c r="C943" s="16" t="str">
        <f>IF(B943=0,"",COUNTIFS('Extração'!P:P,"Sim",'Extração'!L:L,A943)/B943)</f>
        <v/>
      </c>
      <c r="D943" s="16" t="str">
        <f>IF(B943=0,"",COUNTIFS('Extração'!Q:Q,"Sim",'Extração'!L:L,A943)/B943)</f>
        <v/>
      </c>
      <c r="E943" s="16" t="str">
        <f>IF(B943=0,"",COUNTIFS('Extração'!P:P,"Parcialmente",'Extração'!L:L,A943)/B943)</f>
        <v/>
      </c>
      <c r="F943" s="16" t="str">
        <f>IF(B943=0,"",COUNTIFS('Extração'!Q:Q,"Parcialmente",'Extração'!L:L,A943)/B943)</f>
        <v/>
      </c>
      <c r="G943" s="16" t="str">
        <f>IF(B943=0,"",COUNTIFS('Extração'!P:P,"Não",'Extração'!L:L,A943)/B943)</f>
        <v/>
      </c>
      <c r="H943" s="16" t="str">
        <f>IF(B943=0,"",COUNTIFS('Extração'!Q:Q,"Não",'Extração'!L:L,A943)/B943)</f>
        <v/>
      </c>
      <c r="I943" s="16" t="str">
        <f>IF(B943=0,"",COUNTIFS('Extração'!R:R,"Igual",'Extração'!L:L,A943)/B943)</f>
        <v/>
      </c>
    </row>
    <row r="944">
      <c r="B944" s="16">
        <f>COUNTIF('Extração'!L:L,A944)</f>
        <v>0</v>
      </c>
      <c r="C944" s="16" t="str">
        <f>IF(B944=0,"",COUNTIFS('Extração'!P:P,"Sim",'Extração'!L:L,A944)/B944)</f>
        <v/>
      </c>
      <c r="D944" s="16" t="str">
        <f>IF(B944=0,"",COUNTIFS('Extração'!Q:Q,"Sim",'Extração'!L:L,A944)/B944)</f>
        <v/>
      </c>
      <c r="E944" s="16" t="str">
        <f>IF(B944=0,"",COUNTIFS('Extração'!P:P,"Parcialmente",'Extração'!L:L,A944)/B944)</f>
        <v/>
      </c>
      <c r="F944" s="16" t="str">
        <f>IF(B944=0,"",COUNTIFS('Extração'!Q:Q,"Parcialmente",'Extração'!L:L,A944)/B944)</f>
        <v/>
      </c>
      <c r="G944" s="16" t="str">
        <f>IF(B944=0,"",COUNTIFS('Extração'!P:P,"Não",'Extração'!L:L,A944)/B944)</f>
        <v/>
      </c>
      <c r="H944" s="16" t="str">
        <f>IF(B944=0,"",COUNTIFS('Extração'!Q:Q,"Não",'Extração'!L:L,A944)/B944)</f>
        <v/>
      </c>
      <c r="I944" s="16" t="str">
        <f>IF(B944=0,"",COUNTIFS('Extração'!R:R,"Igual",'Extração'!L:L,A944)/B944)</f>
        <v/>
      </c>
    </row>
    <row r="945">
      <c r="B945" s="16">
        <f>COUNTIF('Extração'!L:L,A945)</f>
        <v>0</v>
      </c>
      <c r="C945" s="16" t="str">
        <f>IF(B945=0,"",COUNTIFS('Extração'!P:P,"Sim",'Extração'!L:L,A945)/B945)</f>
        <v/>
      </c>
      <c r="D945" s="16" t="str">
        <f>IF(B945=0,"",COUNTIFS('Extração'!Q:Q,"Sim",'Extração'!L:L,A945)/B945)</f>
        <v/>
      </c>
      <c r="E945" s="16" t="str">
        <f>IF(B945=0,"",COUNTIFS('Extração'!P:P,"Parcialmente",'Extração'!L:L,A945)/B945)</f>
        <v/>
      </c>
      <c r="F945" s="16" t="str">
        <f>IF(B945=0,"",COUNTIFS('Extração'!Q:Q,"Parcialmente",'Extração'!L:L,A945)/B945)</f>
        <v/>
      </c>
      <c r="G945" s="16" t="str">
        <f>IF(B945=0,"",COUNTIFS('Extração'!P:P,"Não",'Extração'!L:L,A945)/B945)</f>
        <v/>
      </c>
      <c r="H945" s="16" t="str">
        <f>IF(B945=0,"",COUNTIFS('Extração'!Q:Q,"Não",'Extração'!L:L,A945)/B945)</f>
        <v/>
      </c>
      <c r="I945" s="16" t="str">
        <f>IF(B945=0,"",COUNTIFS('Extração'!R:R,"Igual",'Extração'!L:L,A945)/B945)</f>
        <v/>
      </c>
    </row>
    <row r="946">
      <c r="B946" s="16">
        <f>COUNTIF('Extração'!L:L,A946)</f>
        <v>0</v>
      </c>
      <c r="C946" s="16" t="str">
        <f>IF(B946=0,"",COUNTIFS('Extração'!P:P,"Sim",'Extração'!L:L,A946)/B946)</f>
        <v/>
      </c>
      <c r="D946" s="16" t="str">
        <f>IF(B946=0,"",COUNTIFS('Extração'!Q:Q,"Sim",'Extração'!L:L,A946)/B946)</f>
        <v/>
      </c>
      <c r="E946" s="16" t="str">
        <f>IF(B946=0,"",COUNTIFS('Extração'!P:P,"Parcialmente",'Extração'!L:L,A946)/B946)</f>
        <v/>
      </c>
      <c r="F946" s="16" t="str">
        <f>IF(B946=0,"",COUNTIFS('Extração'!Q:Q,"Parcialmente",'Extração'!L:L,A946)/B946)</f>
        <v/>
      </c>
      <c r="G946" s="16" t="str">
        <f>IF(B946=0,"",COUNTIFS('Extração'!P:P,"Não",'Extração'!L:L,A946)/B946)</f>
        <v/>
      </c>
      <c r="H946" s="16" t="str">
        <f>IF(B946=0,"",COUNTIFS('Extração'!Q:Q,"Não",'Extração'!L:L,A946)/B946)</f>
        <v/>
      </c>
      <c r="I946" s="16" t="str">
        <f>IF(B946=0,"",COUNTIFS('Extração'!R:R,"Igual",'Extração'!L:L,A946)/B946)</f>
        <v/>
      </c>
    </row>
    <row r="947">
      <c r="B947" s="16">
        <f>COUNTIF('Extração'!L:L,A947)</f>
        <v>0</v>
      </c>
      <c r="C947" s="16" t="str">
        <f>IF(B947=0,"",COUNTIFS('Extração'!P:P,"Sim",'Extração'!L:L,A947)/B947)</f>
        <v/>
      </c>
      <c r="D947" s="16" t="str">
        <f>IF(B947=0,"",COUNTIFS('Extração'!Q:Q,"Sim",'Extração'!L:L,A947)/B947)</f>
        <v/>
      </c>
      <c r="E947" s="16" t="str">
        <f>IF(B947=0,"",COUNTIFS('Extração'!P:P,"Parcialmente",'Extração'!L:L,A947)/B947)</f>
        <v/>
      </c>
      <c r="F947" s="16" t="str">
        <f>IF(B947=0,"",COUNTIFS('Extração'!Q:Q,"Parcialmente",'Extração'!L:L,A947)/B947)</f>
        <v/>
      </c>
      <c r="G947" s="16" t="str">
        <f>IF(B947=0,"",COUNTIFS('Extração'!P:P,"Não",'Extração'!L:L,A947)/B947)</f>
        <v/>
      </c>
      <c r="H947" s="16" t="str">
        <f>IF(B947=0,"",COUNTIFS('Extração'!Q:Q,"Não",'Extração'!L:L,A947)/B947)</f>
        <v/>
      </c>
      <c r="I947" s="16" t="str">
        <f>IF(B947=0,"",COUNTIFS('Extração'!R:R,"Igual",'Extração'!L:L,A947)/B947)</f>
        <v/>
      </c>
    </row>
    <row r="948">
      <c r="B948" s="16">
        <f>COUNTIF('Extração'!L:L,A948)</f>
        <v>0</v>
      </c>
      <c r="C948" s="16" t="str">
        <f>IF(B948=0,"",COUNTIFS('Extração'!P:P,"Sim",'Extração'!L:L,A948)/B948)</f>
        <v/>
      </c>
      <c r="D948" s="16" t="str">
        <f>IF(B948=0,"",COUNTIFS('Extração'!Q:Q,"Sim",'Extração'!L:L,A948)/B948)</f>
        <v/>
      </c>
      <c r="E948" s="16" t="str">
        <f>IF(B948=0,"",COUNTIFS('Extração'!P:P,"Parcialmente",'Extração'!L:L,A948)/B948)</f>
        <v/>
      </c>
      <c r="F948" s="16" t="str">
        <f>IF(B948=0,"",COUNTIFS('Extração'!Q:Q,"Parcialmente",'Extração'!L:L,A948)/B948)</f>
        <v/>
      </c>
      <c r="G948" s="16" t="str">
        <f>IF(B948=0,"",COUNTIFS('Extração'!P:P,"Não",'Extração'!L:L,A948)/B948)</f>
        <v/>
      </c>
      <c r="H948" s="16" t="str">
        <f>IF(B948=0,"",COUNTIFS('Extração'!Q:Q,"Não",'Extração'!L:L,A948)/B948)</f>
        <v/>
      </c>
      <c r="I948" s="16" t="str">
        <f>IF(B948=0,"",COUNTIFS('Extração'!R:R,"Igual",'Extração'!L:L,A948)/B948)</f>
        <v/>
      </c>
    </row>
    <row r="949">
      <c r="B949" s="16">
        <f>COUNTIF('Extração'!L:L,A949)</f>
        <v>0</v>
      </c>
      <c r="C949" s="16" t="str">
        <f>IF(B949=0,"",COUNTIFS('Extração'!P:P,"Sim",'Extração'!L:L,A949)/B949)</f>
        <v/>
      </c>
      <c r="D949" s="16" t="str">
        <f>IF(B949=0,"",COUNTIFS('Extração'!Q:Q,"Sim",'Extração'!L:L,A949)/B949)</f>
        <v/>
      </c>
      <c r="E949" s="16" t="str">
        <f>IF(B949=0,"",COUNTIFS('Extração'!P:P,"Parcialmente",'Extração'!L:L,A949)/B949)</f>
        <v/>
      </c>
      <c r="F949" s="16" t="str">
        <f>IF(B949=0,"",COUNTIFS('Extração'!Q:Q,"Parcialmente",'Extração'!L:L,A949)/B949)</f>
        <v/>
      </c>
      <c r="G949" s="16" t="str">
        <f>IF(B949=0,"",COUNTIFS('Extração'!P:P,"Não",'Extração'!L:L,A949)/B949)</f>
        <v/>
      </c>
      <c r="H949" s="16" t="str">
        <f>IF(B949=0,"",COUNTIFS('Extração'!Q:Q,"Não",'Extração'!L:L,A949)/B949)</f>
        <v/>
      </c>
      <c r="I949" s="16" t="str">
        <f>IF(B949=0,"",COUNTIFS('Extração'!R:R,"Igual",'Extração'!L:L,A949)/B949)</f>
        <v/>
      </c>
    </row>
    <row r="950">
      <c r="B950" s="16">
        <f>COUNTIF('Extração'!L:L,A950)</f>
        <v>0</v>
      </c>
      <c r="C950" s="16" t="str">
        <f>IF(B950=0,"",COUNTIFS('Extração'!P:P,"Sim",'Extração'!L:L,A950)/B950)</f>
        <v/>
      </c>
      <c r="D950" s="16" t="str">
        <f>IF(B950=0,"",COUNTIFS('Extração'!Q:Q,"Sim",'Extração'!L:L,A950)/B950)</f>
        <v/>
      </c>
      <c r="E950" s="16" t="str">
        <f>IF(B950=0,"",COUNTIFS('Extração'!P:P,"Parcialmente",'Extração'!L:L,A950)/B950)</f>
        <v/>
      </c>
      <c r="F950" s="16" t="str">
        <f>IF(B950=0,"",COUNTIFS('Extração'!Q:Q,"Parcialmente",'Extração'!L:L,A950)/B950)</f>
        <v/>
      </c>
      <c r="G950" s="16" t="str">
        <f>IF(B950=0,"",COUNTIFS('Extração'!P:P,"Não",'Extração'!L:L,A950)/B950)</f>
        <v/>
      </c>
      <c r="H950" s="16" t="str">
        <f>IF(B950=0,"",COUNTIFS('Extração'!Q:Q,"Não",'Extração'!L:L,A950)/B950)</f>
        <v/>
      </c>
      <c r="I950" s="16" t="str">
        <f>IF(B950=0,"",COUNTIFS('Extração'!R:R,"Igual",'Extração'!L:L,A950)/B950)</f>
        <v/>
      </c>
    </row>
    <row r="951">
      <c r="B951" s="16">
        <f>COUNTIF('Extração'!L:L,A951)</f>
        <v>0</v>
      </c>
      <c r="C951" s="16" t="str">
        <f>IF(B951=0,"",COUNTIFS('Extração'!P:P,"Sim",'Extração'!L:L,A951)/B951)</f>
        <v/>
      </c>
      <c r="D951" s="16" t="str">
        <f>IF(B951=0,"",COUNTIFS('Extração'!Q:Q,"Sim",'Extração'!L:L,A951)/B951)</f>
        <v/>
      </c>
      <c r="E951" s="16" t="str">
        <f>IF(B951=0,"",COUNTIFS('Extração'!P:P,"Parcialmente",'Extração'!L:L,A951)/B951)</f>
        <v/>
      </c>
      <c r="F951" s="16" t="str">
        <f>IF(B951=0,"",COUNTIFS('Extração'!Q:Q,"Parcialmente",'Extração'!L:L,A951)/B951)</f>
        <v/>
      </c>
      <c r="G951" s="16" t="str">
        <f>IF(B951=0,"",COUNTIFS('Extração'!P:P,"Não",'Extração'!L:L,A951)/B951)</f>
        <v/>
      </c>
      <c r="H951" s="16" t="str">
        <f>IF(B951=0,"",COUNTIFS('Extração'!Q:Q,"Não",'Extração'!L:L,A951)/B951)</f>
        <v/>
      </c>
      <c r="I951" s="16" t="str">
        <f>IF(B951=0,"",COUNTIFS('Extração'!R:R,"Igual",'Extração'!L:L,A951)/B951)</f>
        <v/>
      </c>
    </row>
    <row r="952">
      <c r="B952" s="16">
        <f>COUNTIF('Extração'!L:L,A952)</f>
        <v>0</v>
      </c>
      <c r="C952" s="16" t="str">
        <f>IF(B952=0,"",COUNTIFS('Extração'!P:P,"Sim",'Extração'!L:L,A952)/B952)</f>
        <v/>
      </c>
      <c r="D952" s="16" t="str">
        <f>IF(B952=0,"",COUNTIFS('Extração'!Q:Q,"Sim",'Extração'!L:L,A952)/B952)</f>
        <v/>
      </c>
      <c r="E952" s="16" t="str">
        <f>IF(B952=0,"",COUNTIFS('Extração'!P:P,"Parcialmente",'Extração'!L:L,A952)/B952)</f>
        <v/>
      </c>
      <c r="F952" s="16" t="str">
        <f>IF(B952=0,"",COUNTIFS('Extração'!Q:Q,"Parcialmente",'Extração'!L:L,A952)/B952)</f>
        <v/>
      </c>
      <c r="G952" s="16" t="str">
        <f>IF(B952=0,"",COUNTIFS('Extração'!P:P,"Não",'Extração'!L:L,A952)/B952)</f>
        <v/>
      </c>
      <c r="H952" s="16" t="str">
        <f>IF(B952=0,"",COUNTIFS('Extração'!Q:Q,"Não",'Extração'!L:L,A952)/B952)</f>
        <v/>
      </c>
      <c r="I952" s="16" t="str">
        <f>IF(B952=0,"",COUNTIFS('Extração'!R:R,"Igual",'Extração'!L:L,A952)/B952)</f>
        <v/>
      </c>
    </row>
    <row r="953">
      <c r="B953" s="16">
        <f>COUNTIF('Extração'!L:L,A953)</f>
        <v>0</v>
      </c>
      <c r="C953" s="16" t="str">
        <f>IF(B953=0,"",COUNTIFS('Extração'!P:P,"Sim",'Extração'!L:L,A953)/B953)</f>
        <v/>
      </c>
      <c r="D953" s="16" t="str">
        <f>IF(B953=0,"",COUNTIFS('Extração'!Q:Q,"Sim",'Extração'!L:L,A953)/B953)</f>
        <v/>
      </c>
      <c r="E953" s="16" t="str">
        <f>IF(B953=0,"",COUNTIFS('Extração'!P:P,"Parcialmente",'Extração'!L:L,A953)/B953)</f>
        <v/>
      </c>
      <c r="F953" s="16" t="str">
        <f>IF(B953=0,"",COUNTIFS('Extração'!Q:Q,"Parcialmente",'Extração'!L:L,A953)/B953)</f>
        <v/>
      </c>
      <c r="G953" s="16" t="str">
        <f>IF(B953=0,"",COUNTIFS('Extração'!P:P,"Não",'Extração'!L:L,A953)/B953)</f>
        <v/>
      </c>
      <c r="H953" s="16" t="str">
        <f>IF(B953=0,"",COUNTIFS('Extração'!Q:Q,"Não",'Extração'!L:L,A953)/B953)</f>
        <v/>
      </c>
      <c r="I953" s="16" t="str">
        <f>IF(B953=0,"",COUNTIFS('Extração'!R:R,"Igual",'Extração'!L:L,A953)/B953)</f>
        <v/>
      </c>
    </row>
    <row r="954">
      <c r="B954" s="16">
        <f>COUNTIF('Extração'!L:L,A954)</f>
        <v>0</v>
      </c>
      <c r="C954" s="16" t="str">
        <f>IF(B954=0,"",COUNTIFS('Extração'!P:P,"Sim",'Extração'!L:L,A954)/B954)</f>
        <v/>
      </c>
      <c r="D954" s="16" t="str">
        <f>IF(B954=0,"",COUNTIFS('Extração'!Q:Q,"Sim",'Extração'!L:L,A954)/B954)</f>
        <v/>
      </c>
      <c r="E954" s="16" t="str">
        <f>IF(B954=0,"",COUNTIFS('Extração'!P:P,"Parcialmente",'Extração'!L:L,A954)/B954)</f>
        <v/>
      </c>
      <c r="F954" s="16" t="str">
        <f>IF(B954=0,"",COUNTIFS('Extração'!Q:Q,"Parcialmente",'Extração'!L:L,A954)/B954)</f>
        <v/>
      </c>
      <c r="G954" s="16" t="str">
        <f>IF(B954=0,"",COUNTIFS('Extração'!P:P,"Não",'Extração'!L:L,A954)/B954)</f>
        <v/>
      </c>
      <c r="H954" s="16" t="str">
        <f>IF(B954=0,"",COUNTIFS('Extração'!Q:Q,"Não",'Extração'!L:L,A954)/B954)</f>
        <v/>
      </c>
      <c r="I954" s="16" t="str">
        <f>IF(B954=0,"",COUNTIFS('Extração'!R:R,"Igual",'Extração'!L:L,A954)/B954)</f>
        <v/>
      </c>
    </row>
    <row r="955">
      <c r="B955" s="16">
        <f>COUNTIF('Extração'!L:L,A955)</f>
        <v>0</v>
      </c>
      <c r="C955" s="16" t="str">
        <f>IF(B955=0,"",COUNTIFS('Extração'!P:P,"Sim",'Extração'!L:L,A955)/B955)</f>
        <v/>
      </c>
      <c r="D955" s="16" t="str">
        <f>IF(B955=0,"",COUNTIFS('Extração'!Q:Q,"Sim",'Extração'!L:L,A955)/B955)</f>
        <v/>
      </c>
      <c r="E955" s="16" t="str">
        <f>IF(B955=0,"",COUNTIFS('Extração'!P:P,"Parcialmente",'Extração'!L:L,A955)/B955)</f>
        <v/>
      </c>
      <c r="F955" s="16" t="str">
        <f>IF(B955=0,"",COUNTIFS('Extração'!Q:Q,"Parcialmente",'Extração'!L:L,A955)/B955)</f>
        <v/>
      </c>
      <c r="G955" s="16" t="str">
        <f>IF(B955=0,"",COUNTIFS('Extração'!P:P,"Não",'Extração'!L:L,A955)/B955)</f>
        <v/>
      </c>
      <c r="H955" s="16" t="str">
        <f>IF(B955=0,"",COUNTIFS('Extração'!Q:Q,"Não",'Extração'!L:L,A955)/B955)</f>
        <v/>
      </c>
      <c r="I955" s="16" t="str">
        <f>IF(B955=0,"",COUNTIFS('Extração'!R:R,"Igual",'Extração'!L:L,A955)/B955)</f>
        <v/>
      </c>
    </row>
    <row r="956">
      <c r="B956" s="16">
        <f>COUNTIF('Extração'!L:L,A956)</f>
        <v>0</v>
      </c>
      <c r="C956" s="16" t="str">
        <f>IF(B956=0,"",COUNTIFS('Extração'!P:P,"Sim",'Extração'!L:L,A956)/B956)</f>
        <v/>
      </c>
      <c r="D956" s="16" t="str">
        <f>IF(B956=0,"",COUNTIFS('Extração'!Q:Q,"Sim",'Extração'!L:L,A956)/B956)</f>
        <v/>
      </c>
      <c r="E956" s="16" t="str">
        <f>IF(B956=0,"",COUNTIFS('Extração'!P:P,"Parcialmente",'Extração'!L:L,A956)/B956)</f>
        <v/>
      </c>
      <c r="F956" s="16" t="str">
        <f>IF(B956=0,"",COUNTIFS('Extração'!Q:Q,"Parcialmente",'Extração'!L:L,A956)/B956)</f>
        <v/>
      </c>
      <c r="G956" s="16" t="str">
        <f>IF(B956=0,"",COUNTIFS('Extração'!P:P,"Não",'Extração'!L:L,A956)/B956)</f>
        <v/>
      </c>
      <c r="H956" s="16" t="str">
        <f>IF(B956=0,"",COUNTIFS('Extração'!Q:Q,"Não",'Extração'!L:L,A956)/B956)</f>
        <v/>
      </c>
      <c r="I956" s="16" t="str">
        <f>IF(B956=0,"",COUNTIFS('Extração'!R:R,"Igual",'Extração'!L:L,A956)/B956)</f>
        <v/>
      </c>
    </row>
    <row r="957">
      <c r="B957" s="16">
        <f>COUNTIF('Extração'!L:L,A957)</f>
        <v>0</v>
      </c>
      <c r="C957" s="16" t="str">
        <f>IF(B957=0,"",COUNTIFS('Extração'!P:P,"Sim",'Extração'!L:L,A957)/B957)</f>
        <v/>
      </c>
      <c r="D957" s="16" t="str">
        <f>IF(B957=0,"",COUNTIFS('Extração'!Q:Q,"Sim",'Extração'!L:L,A957)/B957)</f>
        <v/>
      </c>
      <c r="E957" s="16" t="str">
        <f>IF(B957=0,"",COUNTIFS('Extração'!P:P,"Parcialmente",'Extração'!L:L,A957)/B957)</f>
        <v/>
      </c>
      <c r="F957" s="16" t="str">
        <f>IF(B957=0,"",COUNTIFS('Extração'!Q:Q,"Parcialmente",'Extração'!L:L,A957)/B957)</f>
        <v/>
      </c>
      <c r="G957" s="16" t="str">
        <f>IF(B957=0,"",COUNTIFS('Extração'!P:P,"Não",'Extração'!L:L,A957)/B957)</f>
        <v/>
      </c>
      <c r="H957" s="16" t="str">
        <f>IF(B957=0,"",COUNTIFS('Extração'!Q:Q,"Não",'Extração'!L:L,A957)/B957)</f>
        <v/>
      </c>
      <c r="I957" s="16" t="str">
        <f>IF(B957=0,"",COUNTIFS('Extração'!R:R,"Igual",'Extração'!L:L,A957)/B957)</f>
        <v/>
      </c>
    </row>
    <row r="958">
      <c r="B958" s="16">
        <f>COUNTIF('Extração'!L:L,A958)</f>
        <v>0</v>
      </c>
      <c r="C958" s="16" t="str">
        <f>IF(B958=0,"",COUNTIFS('Extração'!P:P,"Sim",'Extração'!L:L,A958)/B958)</f>
        <v/>
      </c>
      <c r="D958" s="16" t="str">
        <f>IF(B958=0,"",COUNTIFS('Extração'!Q:Q,"Sim",'Extração'!L:L,A958)/B958)</f>
        <v/>
      </c>
      <c r="E958" s="16" t="str">
        <f>IF(B958=0,"",COUNTIFS('Extração'!P:P,"Parcialmente",'Extração'!L:L,A958)/B958)</f>
        <v/>
      </c>
      <c r="F958" s="16" t="str">
        <f>IF(B958=0,"",COUNTIFS('Extração'!Q:Q,"Parcialmente",'Extração'!L:L,A958)/B958)</f>
        <v/>
      </c>
      <c r="G958" s="16" t="str">
        <f>IF(B958=0,"",COUNTIFS('Extração'!P:P,"Não",'Extração'!L:L,A958)/B958)</f>
        <v/>
      </c>
      <c r="H958" s="16" t="str">
        <f>IF(B958=0,"",COUNTIFS('Extração'!Q:Q,"Não",'Extração'!L:L,A958)/B958)</f>
        <v/>
      </c>
      <c r="I958" s="16" t="str">
        <f>IF(B958=0,"",COUNTIFS('Extração'!R:R,"Igual",'Extração'!L:L,A958)/B958)</f>
        <v/>
      </c>
    </row>
    <row r="959">
      <c r="B959" s="16">
        <f>COUNTIF('Extração'!L:L,A959)</f>
        <v>0</v>
      </c>
      <c r="C959" s="16" t="str">
        <f>IF(B959=0,"",COUNTIFS('Extração'!P:P,"Sim",'Extração'!L:L,A959)/B959)</f>
        <v/>
      </c>
      <c r="D959" s="16" t="str">
        <f>IF(B959=0,"",COUNTIFS('Extração'!Q:Q,"Sim",'Extração'!L:L,A959)/B959)</f>
        <v/>
      </c>
      <c r="E959" s="16" t="str">
        <f>IF(B959=0,"",COUNTIFS('Extração'!P:P,"Parcialmente",'Extração'!L:L,A959)/B959)</f>
        <v/>
      </c>
      <c r="F959" s="16" t="str">
        <f>IF(B959=0,"",COUNTIFS('Extração'!Q:Q,"Parcialmente",'Extração'!L:L,A959)/B959)</f>
        <v/>
      </c>
      <c r="G959" s="16" t="str">
        <f>IF(B959=0,"",COUNTIFS('Extração'!P:P,"Não",'Extração'!L:L,A959)/B959)</f>
        <v/>
      </c>
      <c r="H959" s="16" t="str">
        <f>IF(B959=0,"",COUNTIFS('Extração'!Q:Q,"Não",'Extração'!L:L,A959)/B959)</f>
        <v/>
      </c>
      <c r="I959" s="16" t="str">
        <f>IF(B959=0,"",COUNTIFS('Extração'!R:R,"Igual",'Extração'!L:L,A959)/B959)</f>
        <v/>
      </c>
    </row>
    <row r="960">
      <c r="B960" s="16">
        <f>COUNTIF('Extração'!L:L,A960)</f>
        <v>0</v>
      </c>
      <c r="C960" s="16" t="str">
        <f>IF(B960=0,"",COUNTIFS('Extração'!P:P,"Sim",'Extração'!L:L,A960)/B960)</f>
        <v/>
      </c>
      <c r="D960" s="16" t="str">
        <f>IF(B960=0,"",COUNTIFS('Extração'!Q:Q,"Sim",'Extração'!L:L,A960)/B960)</f>
        <v/>
      </c>
      <c r="E960" s="16" t="str">
        <f>IF(B960=0,"",COUNTIFS('Extração'!P:P,"Parcialmente",'Extração'!L:L,A960)/B960)</f>
        <v/>
      </c>
      <c r="F960" s="16" t="str">
        <f>IF(B960=0,"",COUNTIFS('Extração'!Q:Q,"Parcialmente",'Extração'!L:L,A960)/B960)</f>
        <v/>
      </c>
      <c r="G960" s="16" t="str">
        <f>IF(B960=0,"",COUNTIFS('Extração'!P:P,"Não",'Extração'!L:L,A960)/B960)</f>
        <v/>
      </c>
      <c r="H960" s="16" t="str">
        <f>IF(B960=0,"",COUNTIFS('Extração'!Q:Q,"Não",'Extração'!L:L,A960)/B960)</f>
        <v/>
      </c>
      <c r="I960" s="16" t="str">
        <f>IF(B960=0,"",COUNTIFS('Extração'!R:R,"Igual",'Extração'!L:L,A960)/B960)</f>
        <v/>
      </c>
    </row>
    <row r="961">
      <c r="B961" s="16">
        <f>COUNTIF('Extração'!L:L,A961)</f>
        <v>0</v>
      </c>
      <c r="C961" s="16" t="str">
        <f>IF(B961=0,"",COUNTIFS('Extração'!P:P,"Sim",'Extração'!L:L,A961)/B961)</f>
        <v/>
      </c>
      <c r="D961" s="16" t="str">
        <f>IF(B961=0,"",COUNTIFS('Extração'!Q:Q,"Sim",'Extração'!L:L,A961)/B961)</f>
        <v/>
      </c>
      <c r="E961" s="16" t="str">
        <f>IF(B961=0,"",COUNTIFS('Extração'!P:P,"Parcialmente",'Extração'!L:L,A961)/B961)</f>
        <v/>
      </c>
      <c r="F961" s="16" t="str">
        <f>IF(B961=0,"",COUNTIFS('Extração'!Q:Q,"Parcialmente",'Extração'!L:L,A961)/B961)</f>
        <v/>
      </c>
      <c r="G961" s="16" t="str">
        <f>IF(B961=0,"",COUNTIFS('Extração'!P:P,"Não",'Extração'!L:L,A961)/B961)</f>
        <v/>
      </c>
      <c r="H961" s="16" t="str">
        <f>IF(B961=0,"",COUNTIFS('Extração'!Q:Q,"Não",'Extração'!L:L,A961)/B961)</f>
        <v/>
      </c>
      <c r="I961" s="16" t="str">
        <f>IF(B961=0,"",COUNTIFS('Extração'!R:R,"Igual",'Extração'!L:L,A961)/B961)</f>
        <v/>
      </c>
    </row>
    <row r="962">
      <c r="B962" s="16">
        <f>COUNTIF('Extração'!L:L,A962)</f>
        <v>0</v>
      </c>
      <c r="C962" s="16" t="str">
        <f>IF(B962=0,"",COUNTIFS('Extração'!P:P,"Sim",'Extração'!L:L,A962)/B962)</f>
        <v/>
      </c>
      <c r="D962" s="16" t="str">
        <f>IF(B962=0,"",COUNTIFS('Extração'!Q:Q,"Sim",'Extração'!L:L,A962)/B962)</f>
        <v/>
      </c>
      <c r="E962" s="16" t="str">
        <f>IF(B962=0,"",COUNTIFS('Extração'!P:P,"Parcialmente",'Extração'!L:L,A962)/B962)</f>
        <v/>
      </c>
      <c r="F962" s="16" t="str">
        <f>IF(B962=0,"",COUNTIFS('Extração'!Q:Q,"Parcialmente",'Extração'!L:L,A962)/B962)</f>
        <v/>
      </c>
      <c r="G962" s="16" t="str">
        <f>IF(B962=0,"",COUNTIFS('Extração'!P:P,"Não",'Extração'!L:L,A962)/B962)</f>
        <v/>
      </c>
      <c r="H962" s="16" t="str">
        <f>IF(B962=0,"",COUNTIFS('Extração'!Q:Q,"Não",'Extração'!L:L,A962)/B962)</f>
        <v/>
      </c>
      <c r="I962" s="16" t="str">
        <f>IF(B962=0,"",COUNTIFS('Extração'!R:R,"Igual",'Extração'!L:L,A962)/B962)</f>
        <v/>
      </c>
    </row>
    <row r="963">
      <c r="B963" s="16">
        <f>COUNTIF('Extração'!L:L,A963)</f>
        <v>0</v>
      </c>
      <c r="C963" s="16" t="str">
        <f>IF(B963=0,"",COUNTIFS('Extração'!P:P,"Sim",'Extração'!L:L,A963)/B963)</f>
        <v/>
      </c>
      <c r="D963" s="16" t="str">
        <f>IF(B963=0,"",COUNTIFS('Extração'!Q:Q,"Sim",'Extração'!L:L,A963)/B963)</f>
        <v/>
      </c>
      <c r="E963" s="16" t="str">
        <f>IF(B963=0,"",COUNTIFS('Extração'!P:P,"Parcialmente",'Extração'!L:L,A963)/B963)</f>
        <v/>
      </c>
      <c r="F963" s="16" t="str">
        <f>IF(B963=0,"",COUNTIFS('Extração'!Q:Q,"Parcialmente",'Extração'!L:L,A963)/B963)</f>
        <v/>
      </c>
      <c r="G963" s="16" t="str">
        <f>IF(B963=0,"",COUNTIFS('Extração'!P:P,"Não",'Extração'!L:L,A963)/B963)</f>
        <v/>
      </c>
      <c r="H963" s="16" t="str">
        <f>IF(B963=0,"",COUNTIFS('Extração'!Q:Q,"Não",'Extração'!L:L,A963)/B963)</f>
        <v/>
      </c>
      <c r="I963" s="16" t="str">
        <f>IF(B963=0,"",COUNTIFS('Extração'!R:R,"Igual",'Extração'!L:L,A963)/B963)</f>
        <v/>
      </c>
    </row>
    <row r="964">
      <c r="B964" s="16">
        <f>COUNTIF('Extração'!L:L,A964)</f>
        <v>0</v>
      </c>
      <c r="C964" s="16" t="str">
        <f>IF(B964=0,"",COUNTIFS('Extração'!P:P,"Sim",'Extração'!L:L,A964)/B964)</f>
        <v/>
      </c>
      <c r="D964" s="16" t="str">
        <f>IF(B964=0,"",COUNTIFS('Extração'!Q:Q,"Sim",'Extração'!L:L,A964)/B964)</f>
        <v/>
      </c>
      <c r="E964" s="16" t="str">
        <f>IF(B964=0,"",COUNTIFS('Extração'!P:P,"Parcialmente",'Extração'!L:L,A964)/B964)</f>
        <v/>
      </c>
      <c r="F964" s="16" t="str">
        <f>IF(B964=0,"",COUNTIFS('Extração'!Q:Q,"Parcialmente",'Extração'!L:L,A964)/B964)</f>
        <v/>
      </c>
      <c r="G964" s="16" t="str">
        <f>IF(B964=0,"",COUNTIFS('Extração'!P:P,"Não",'Extração'!L:L,A964)/B964)</f>
        <v/>
      </c>
      <c r="H964" s="16" t="str">
        <f>IF(B964=0,"",COUNTIFS('Extração'!Q:Q,"Não",'Extração'!L:L,A964)/B964)</f>
        <v/>
      </c>
      <c r="I964" s="16" t="str">
        <f>IF(B964=0,"",COUNTIFS('Extração'!R:R,"Igual",'Extração'!L:L,A964)/B964)</f>
        <v/>
      </c>
    </row>
    <row r="965">
      <c r="B965" s="16">
        <f>COUNTIF('Extração'!L:L,A965)</f>
        <v>0</v>
      </c>
      <c r="C965" s="16" t="str">
        <f>IF(B965=0,"",COUNTIFS('Extração'!P:P,"Sim",'Extração'!L:L,A965)/B965)</f>
        <v/>
      </c>
      <c r="D965" s="16" t="str">
        <f>IF(B965=0,"",COUNTIFS('Extração'!Q:Q,"Sim",'Extração'!L:L,A965)/B965)</f>
        <v/>
      </c>
      <c r="E965" s="16" t="str">
        <f>IF(B965=0,"",COUNTIFS('Extração'!P:P,"Parcialmente",'Extração'!L:L,A965)/B965)</f>
        <v/>
      </c>
      <c r="F965" s="16" t="str">
        <f>IF(B965=0,"",COUNTIFS('Extração'!Q:Q,"Parcialmente",'Extração'!L:L,A965)/B965)</f>
        <v/>
      </c>
      <c r="G965" s="16" t="str">
        <f>IF(B965=0,"",COUNTIFS('Extração'!P:P,"Não",'Extração'!L:L,A965)/B965)</f>
        <v/>
      </c>
      <c r="H965" s="16" t="str">
        <f>IF(B965=0,"",COUNTIFS('Extração'!Q:Q,"Não",'Extração'!L:L,A965)/B965)</f>
        <v/>
      </c>
      <c r="I965" s="16" t="str">
        <f>IF(B965=0,"",COUNTIFS('Extração'!R:R,"Igual",'Extração'!L:L,A965)/B965)</f>
        <v/>
      </c>
    </row>
    <row r="966">
      <c r="B966" s="16">
        <f>COUNTIF('Extração'!L:L,A966)</f>
        <v>0</v>
      </c>
      <c r="C966" s="16" t="str">
        <f>IF(B966=0,"",COUNTIFS('Extração'!P:P,"Sim",'Extração'!L:L,A966)/B966)</f>
        <v/>
      </c>
      <c r="D966" s="16" t="str">
        <f>IF(B966=0,"",COUNTIFS('Extração'!Q:Q,"Sim",'Extração'!L:L,A966)/B966)</f>
        <v/>
      </c>
      <c r="E966" s="16" t="str">
        <f>IF(B966=0,"",COUNTIFS('Extração'!P:P,"Parcialmente",'Extração'!L:L,A966)/B966)</f>
        <v/>
      </c>
      <c r="F966" s="16" t="str">
        <f>IF(B966=0,"",COUNTIFS('Extração'!Q:Q,"Parcialmente",'Extração'!L:L,A966)/B966)</f>
        <v/>
      </c>
      <c r="G966" s="16" t="str">
        <f>IF(B966=0,"",COUNTIFS('Extração'!P:P,"Não",'Extração'!L:L,A966)/B966)</f>
        <v/>
      </c>
      <c r="H966" s="16" t="str">
        <f>IF(B966=0,"",COUNTIFS('Extração'!Q:Q,"Não",'Extração'!L:L,A966)/B966)</f>
        <v/>
      </c>
      <c r="I966" s="16" t="str">
        <f>IF(B966=0,"",COUNTIFS('Extração'!R:R,"Igual",'Extração'!L:L,A966)/B966)</f>
        <v/>
      </c>
    </row>
    <row r="967">
      <c r="B967" s="16">
        <f>COUNTIF('Extração'!L:L,A967)</f>
        <v>0</v>
      </c>
      <c r="C967" s="16" t="str">
        <f>IF(B967=0,"",COUNTIFS('Extração'!P:P,"Sim",'Extração'!L:L,A967)/B967)</f>
        <v/>
      </c>
      <c r="D967" s="16" t="str">
        <f>IF(B967=0,"",COUNTIFS('Extração'!Q:Q,"Sim",'Extração'!L:L,A967)/B967)</f>
        <v/>
      </c>
      <c r="E967" s="16" t="str">
        <f>IF(B967=0,"",COUNTIFS('Extração'!P:P,"Parcialmente",'Extração'!L:L,A967)/B967)</f>
        <v/>
      </c>
      <c r="F967" s="16" t="str">
        <f>IF(B967=0,"",COUNTIFS('Extração'!Q:Q,"Parcialmente",'Extração'!L:L,A967)/B967)</f>
        <v/>
      </c>
      <c r="G967" s="16" t="str">
        <f>IF(B967=0,"",COUNTIFS('Extração'!P:P,"Não",'Extração'!L:L,A967)/B967)</f>
        <v/>
      </c>
      <c r="H967" s="16" t="str">
        <f>IF(B967=0,"",COUNTIFS('Extração'!Q:Q,"Não",'Extração'!L:L,A967)/B967)</f>
        <v/>
      </c>
      <c r="I967" s="16" t="str">
        <f>IF(B967=0,"",COUNTIFS('Extração'!R:R,"Igual",'Extração'!L:L,A967)/B967)</f>
        <v/>
      </c>
    </row>
    <row r="968">
      <c r="B968" s="16">
        <f>COUNTIF('Extração'!L:L,A968)</f>
        <v>0</v>
      </c>
      <c r="C968" s="16" t="str">
        <f>IF(B968=0,"",COUNTIFS('Extração'!P:P,"Sim",'Extração'!L:L,A968)/B968)</f>
        <v/>
      </c>
      <c r="D968" s="16" t="str">
        <f>IF(B968=0,"",COUNTIFS('Extração'!Q:Q,"Sim",'Extração'!L:L,A968)/B968)</f>
        <v/>
      </c>
      <c r="E968" s="16" t="str">
        <f>IF(B968=0,"",COUNTIFS('Extração'!P:P,"Parcialmente",'Extração'!L:L,A968)/B968)</f>
        <v/>
      </c>
      <c r="F968" s="16" t="str">
        <f>IF(B968=0,"",COUNTIFS('Extração'!Q:Q,"Parcialmente",'Extração'!L:L,A968)/B968)</f>
        <v/>
      </c>
      <c r="G968" s="16" t="str">
        <f>IF(B968=0,"",COUNTIFS('Extração'!P:P,"Não",'Extração'!L:L,A968)/B968)</f>
        <v/>
      </c>
      <c r="H968" s="16" t="str">
        <f>IF(B968=0,"",COUNTIFS('Extração'!Q:Q,"Não",'Extração'!L:L,A968)/B968)</f>
        <v/>
      </c>
      <c r="I968" s="16" t="str">
        <f>IF(B968=0,"",COUNTIFS('Extração'!R:R,"Igual",'Extração'!L:L,A968)/B968)</f>
        <v/>
      </c>
    </row>
    <row r="969">
      <c r="B969" s="16">
        <f>COUNTIF('Extração'!L:L,A969)</f>
        <v>0</v>
      </c>
      <c r="C969" s="16" t="str">
        <f>IF(B969=0,"",COUNTIFS('Extração'!P:P,"Sim",'Extração'!L:L,A969)/B969)</f>
        <v/>
      </c>
      <c r="D969" s="16" t="str">
        <f>IF(B969=0,"",COUNTIFS('Extração'!Q:Q,"Sim",'Extração'!L:L,A969)/B969)</f>
        <v/>
      </c>
      <c r="E969" s="16" t="str">
        <f>IF(B969=0,"",COUNTIFS('Extração'!P:P,"Parcialmente",'Extração'!L:L,A969)/B969)</f>
        <v/>
      </c>
      <c r="F969" s="16" t="str">
        <f>IF(B969=0,"",COUNTIFS('Extração'!Q:Q,"Parcialmente",'Extração'!L:L,A969)/B969)</f>
        <v/>
      </c>
      <c r="G969" s="16" t="str">
        <f>IF(B969=0,"",COUNTIFS('Extração'!P:P,"Não",'Extração'!L:L,A969)/B969)</f>
        <v/>
      </c>
      <c r="H969" s="16" t="str">
        <f>IF(B969=0,"",COUNTIFS('Extração'!Q:Q,"Não",'Extração'!L:L,A969)/B969)</f>
        <v/>
      </c>
      <c r="I969" s="16" t="str">
        <f>IF(B969=0,"",COUNTIFS('Extração'!R:R,"Igual",'Extração'!L:L,A969)/B969)</f>
        <v/>
      </c>
    </row>
    <row r="970">
      <c r="B970" s="16">
        <f>COUNTIF('Extração'!L:L,A970)</f>
        <v>0</v>
      </c>
      <c r="C970" s="16" t="str">
        <f>IF(B970=0,"",COUNTIFS('Extração'!P:P,"Sim",'Extração'!L:L,A970)/B970)</f>
        <v/>
      </c>
      <c r="D970" s="16" t="str">
        <f>IF(B970=0,"",COUNTIFS('Extração'!Q:Q,"Sim",'Extração'!L:L,A970)/B970)</f>
        <v/>
      </c>
      <c r="E970" s="16" t="str">
        <f>IF(B970=0,"",COUNTIFS('Extração'!P:P,"Parcialmente",'Extração'!L:L,A970)/B970)</f>
        <v/>
      </c>
      <c r="F970" s="16" t="str">
        <f>IF(B970=0,"",COUNTIFS('Extração'!Q:Q,"Parcialmente",'Extração'!L:L,A970)/B970)</f>
        <v/>
      </c>
      <c r="G970" s="16" t="str">
        <f>IF(B970=0,"",COUNTIFS('Extração'!P:P,"Não",'Extração'!L:L,A970)/B970)</f>
        <v/>
      </c>
      <c r="H970" s="16" t="str">
        <f>IF(B970=0,"",COUNTIFS('Extração'!Q:Q,"Não",'Extração'!L:L,A970)/B970)</f>
        <v/>
      </c>
      <c r="I970" s="16" t="str">
        <f>IF(B970=0,"",COUNTIFS('Extração'!R:R,"Igual",'Extração'!L:L,A970)/B970)</f>
        <v/>
      </c>
    </row>
    <row r="971">
      <c r="B971" s="16">
        <f>COUNTIF('Extração'!L:L,A971)</f>
        <v>0</v>
      </c>
      <c r="C971" s="16" t="str">
        <f>IF(B971=0,"",COUNTIFS('Extração'!P:P,"Sim",'Extração'!L:L,A971)/B971)</f>
        <v/>
      </c>
      <c r="D971" s="16" t="str">
        <f>IF(B971=0,"",COUNTIFS('Extração'!Q:Q,"Sim",'Extração'!L:L,A971)/B971)</f>
        <v/>
      </c>
      <c r="E971" s="16" t="str">
        <f>IF(B971=0,"",COUNTIFS('Extração'!P:P,"Parcialmente",'Extração'!L:L,A971)/B971)</f>
        <v/>
      </c>
      <c r="F971" s="16" t="str">
        <f>IF(B971=0,"",COUNTIFS('Extração'!Q:Q,"Parcialmente",'Extração'!L:L,A971)/B971)</f>
        <v/>
      </c>
      <c r="G971" s="16" t="str">
        <f>IF(B971=0,"",COUNTIFS('Extração'!P:P,"Não",'Extração'!L:L,A971)/B971)</f>
        <v/>
      </c>
      <c r="H971" s="16" t="str">
        <f>IF(B971=0,"",COUNTIFS('Extração'!Q:Q,"Não",'Extração'!L:L,A971)/B971)</f>
        <v/>
      </c>
      <c r="I971" s="16" t="str">
        <f>IF(B971=0,"",COUNTIFS('Extração'!R:R,"Igual",'Extração'!L:L,A971)/B971)</f>
        <v/>
      </c>
    </row>
    <row r="972">
      <c r="B972" s="16">
        <f>COUNTIF('Extração'!L:L,A972)</f>
        <v>0</v>
      </c>
      <c r="C972" s="16" t="str">
        <f>IF(B972=0,"",COUNTIFS('Extração'!P:P,"Sim",'Extração'!L:L,A972)/B972)</f>
        <v/>
      </c>
      <c r="D972" s="16" t="str">
        <f>IF(B972=0,"",COUNTIFS('Extração'!Q:Q,"Sim",'Extração'!L:L,A972)/B972)</f>
        <v/>
      </c>
      <c r="E972" s="16" t="str">
        <f>IF(B972=0,"",COUNTIFS('Extração'!P:P,"Parcialmente",'Extração'!L:L,A972)/B972)</f>
        <v/>
      </c>
      <c r="F972" s="16" t="str">
        <f>IF(B972=0,"",COUNTIFS('Extração'!Q:Q,"Parcialmente",'Extração'!L:L,A972)/B972)</f>
        <v/>
      </c>
      <c r="G972" s="16" t="str">
        <f>IF(B972=0,"",COUNTIFS('Extração'!P:P,"Não",'Extração'!L:L,A972)/B972)</f>
        <v/>
      </c>
      <c r="H972" s="16" t="str">
        <f>IF(B972=0,"",COUNTIFS('Extração'!Q:Q,"Não",'Extração'!L:L,A972)/B972)</f>
        <v/>
      </c>
      <c r="I972" s="16" t="str">
        <f>IF(B972=0,"",COUNTIFS('Extração'!R:R,"Igual",'Extração'!L:L,A972)/B972)</f>
        <v/>
      </c>
    </row>
    <row r="973">
      <c r="B973" s="16">
        <f>COUNTIF('Extração'!L:L,A973)</f>
        <v>0</v>
      </c>
      <c r="C973" s="16" t="str">
        <f>IF(B973=0,"",COUNTIFS('Extração'!P:P,"Sim",'Extração'!L:L,A973)/B973)</f>
        <v/>
      </c>
      <c r="D973" s="16" t="str">
        <f>IF(B973=0,"",COUNTIFS('Extração'!Q:Q,"Sim",'Extração'!L:L,A973)/B973)</f>
        <v/>
      </c>
      <c r="E973" s="16" t="str">
        <f>IF(B973=0,"",COUNTIFS('Extração'!P:P,"Parcialmente",'Extração'!L:L,A973)/B973)</f>
        <v/>
      </c>
      <c r="F973" s="16" t="str">
        <f>IF(B973=0,"",COUNTIFS('Extração'!Q:Q,"Parcialmente",'Extração'!L:L,A973)/B973)</f>
        <v/>
      </c>
      <c r="G973" s="16" t="str">
        <f>IF(B973=0,"",COUNTIFS('Extração'!P:P,"Não",'Extração'!L:L,A973)/B973)</f>
        <v/>
      </c>
      <c r="H973" s="16" t="str">
        <f>IF(B973=0,"",COUNTIFS('Extração'!Q:Q,"Não",'Extração'!L:L,A973)/B973)</f>
        <v/>
      </c>
      <c r="I973" s="16" t="str">
        <f>IF(B973=0,"",COUNTIFS('Extração'!R:R,"Igual",'Extração'!L:L,A973)/B973)</f>
        <v/>
      </c>
    </row>
    <row r="974">
      <c r="B974" s="16">
        <f>COUNTIF('Extração'!L:L,A974)</f>
        <v>0</v>
      </c>
      <c r="C974" s="16" t="str">
        <f>IF(B974=0,"",COUNTIFS('Extração'!P:P,"Sim",'Extração'!L:L,A974)/B974)</f>
        <v/>
      </c>
      <c r="D974" s="16" t="str">
        <f>IF(B974=0,"",COUNTIFS('Extração'!Q:Q,"Sim",'Extração'!L:L,A974)/B974)</f>
        <v/>
      </c>
      <c r="E974" s="16" t="str">
        <f>IF(B974=0,"",COUNTIFS('Extração'!P:P,"Parcialmente",'Extração'!L:L,A974)/B974)</f>
        <v/>
      </c>
      <c r="F974" s="16" t="str">
        <f>IF(B974=0,"",COUNTIFS('Extração'!Q:Q,"Parcialmente",'Extração'!L:L,A974)/B974)</f>
        <v/>
      </c>
      <c r="G974" s="16" t="str">
        <f>IF(B974=0,"",COUNTIFS('Extração'!P:P,"Não",'Extração'!L:L,A974)/B974)</f>
        <v/>
      </c>
      <c r="H974" s="16" t="str">
        <f>IF(B974=0,"",COUNTIFS('Extração'!Q:Q,"Não",'Extração'!L:L,A974)/B974)</f>
        <v/>
      </c>
      <c r="I974" s="16" t="str">
        <f>IF(B974=0,"",COUNTIFS('Extração'!R:R,"Igual",'Extração'!L:L,A974)/B974)</f>
        <v/>
      </c>
    </row>
    <row r="975">
      <c r="B975" s="16">
        <f>COUNTIF('Extração'!L:L,A975)</f>
        <v>0</v>
      </c>
      <c r="C975" s="16" t="str">
        <f>IF(B975=0,"",COUNTIFS('Extração'!P:P,"Sim",'Extração'!L:L,A975)/B975)</f>
        <v/>
      </c>
      <c r="D975" s="16" t="str">
        <f>IF(B975=0,"",COUNTIFS('Extração'!Q:Q,"Sim",'Extração'!L:L,A975)/B975)</f>
        <v/>
      </c>
      <c r="E975" s="16" t="str">
        <f>IF(B975=0,"",COUNTIFS('Extração'!P:P,"Parcialmente",'Extração'!L:L,A975)/B975)</f>
        <v/>
      </c>
      <c r="F975" s="16" t="str">
        <f>IF(B975=0,"",COUNTIFS('Extração'!Q:Q,"Parcialmente",'Extração'!L:L,A975)/B975)</f>
        <v/>
      </c>
      <c r="G975" s="16" t="str">
        <f>IF(B975=0,"",COUNTIFS('Extração'!P:P,"Não",'Extração'!L:L,A975)/B975)</f>
        <v/>
      </c>
      <c r="H975" s="16" t="str">
        <f>IF(B975=0,"",COUNTIFS('Extração'!Q:Q,"Não",'Extração'!L:L,A975)/B975)</f>
        <v/>
      </c>
      <c r="I975" s="16" t="str">
        <f>IF(B975=0,"",COUNTIFS('Extração'!R:R,"Igual",'Extração'!L:L,A975)/B975)</f>
        <v/>
      </c>
    </row>
    <row r="976">
      <c r="B976" s="16">
        <f>COUNTIF('Extração'!L:L,A976)</f>
        <v>0</v>
      </c>
      <c r="C976" s="16" t="str">
        <f>IF(B976=0,"",COUNTIFS('Extração'!P:P,"Sim",'Extração'!L:L,A976)/B976)</f>
        <v/>
      </c>
      <c r="D976" s="16" t="str">
        <f>IF(B976=0,"",COUNTIFS('Extração'!Q:Q,"Sim",'Extração'!L:L,A976)/B976)</f>
        <v/>
      </c>
      <c r="E976" s="16" t="str">
        <f>IF(B976=0,"",COUNTIFS('Extração'!P:P,"Parcialmente",'Extração'!L:L,A976)/B976)</f>
        <v/>
      </c>
      <c r="F976" s="16" t="str">
        <f>IF(B976=0,"",COUNTIFS('Extração'!Q:Q,"Parcialmente",'Extração'!L:L,A976)/B976)</f>
        <v/>
      </c>
      <c r="G976" s="16" t="str">
        <f>IF(B976=0,"",COUNTIFS('Extração'!P:P,"Não",'Extração'!L:L,A976)/B976)</f>
        <v/>
      </c>
      <c r="H976" s="16" t="str">
        <f>IF(B976=0,"",COUNTIFS('Extração'!Q:Q,"Não",'Extração'!L:L,A976)/B976)</f>
        <v/>
      </c>
      <c r="I976" s="16" t="str">
        <f>IF(B976=0,"",COUNTIFS('Extração'!R:R,"Igual",'Extração'!L:L,A976)/B976)</f>
        <v/>
      </c>
    </row>
    <row r="977">
      <c r="B977" s="16">
        <f>COUNTIF('Extração'!L:L,A977)</f>
        <v>0</v>
      </c>
      <c r="C977" s="16" t="str">
        <f>IF(B977=0,"",COUNTIFS('Extração'!P:P,"Sim",'Extração'!L:L,A977)/B977)</f>
        <v/>
      </c>
      <c r="D977" s="16" t="str">
        <f>IF(B977=0,"",COUNTIFS('Extração'!Q:Q,"Sim",'Extração'!L:L,A977)/B977)</f>
        <v/>
      </c>
      <c r="E977" s="16" t="str">
        <f>IF(B977=0,"",COUNTIFS('Extração'!P:P,"Parcialmente",'Extração'!L:L,A977)/B977)</f>
        <v/>
      </c>
      <c r="F977" s="16" t="str">
        <f>IF(B977=0,"",COUNTIFS('Extração'!Q:Q,"Parcialmente",'Extração'!L:L,A977)/B977)</f>
        <v/>
      </c>
      <c r="G977" s="16" t="str">
        <f>IF(B977=0,"",COUNTIFS('Extração'!P:P,"Não",'Extração'!L:L,A977)/B977)</f>
        <v/>
      </c>
      <c r="H977" s="16" t="str">
        <f>IF(B977=0,"",COUNTIFS('Extração'!Q:Q,"Não",'Extração'!L:L,A977)/B977)</f>
        <v/>
      </c>
      <c r="I977" s="16" t="str">
        <f>IF(B977=0,"",COUNTIFS('Extração'!R:R,"Igual",'Extração'!L:L,A977)/B977)</f>
        <v/>
      </c>
    </row>
    <row r="978">
      <c r="B978" s="16">
        <f>COUNTIF('Extração'!L:L,A978)</f>
        <v>0</v>
      </c>
      <c r="C978" s="16" t="str">
        <f>IF(B978=0,"",COUNTIFS('Extração'!P:P,"Sim",'Extração'!L:L,A978)/B978)</f>
        <v/>
      </c>
      <c r="D978" s="16" t="str">
        <f>IF(B978=0,"",COUNTIFS('Extração'!Q:Q,"Sim",'Extração'!L:L,A978)/B978)</f>
        <v/>
      </c>
      <c r="E978" s="16" t="str">
        <f>IF(B978=0,"",COUNTIFS('Extração'!P:P,"Parcialmente",'Extração'!L:L,A978)/B978)</f>
        <v/>
      </c>
      <c r="F978" s="16" t="str">
        <f>IF(B978=0,"",COUNTIFS('Extração'!Q:Q,"Parcialmente",'Extração'!L:L,A978)/B978)</f>
        <v/>
      </c>
      <c r="G978" s="16" t="str">
        <f>IF(B978=0,"",COUNTIFS('Extração'!P:P,"Não",'Extração'!L:L,A978)/B978)</f>
        <v/>
      </c>
      <c r="H978" s="16" t="str">
        <f>IF(B978=0,"",COUNTIFS('Extração'!Q:Q,"Não",'Extração'!L:L,A978)/B978)</f>
        <v/>
      </c>
      <c r="I978" s="16" t="str">
        <f>IF(B978=0,"",COUNTIFS('Extração'!R:R,"Igual",'Extração'!L:L,A978)/B978)</f>
        <v/>
      </c>
    </row>
    <row r="979">
      <c r="B979" s="16">
        <f>COUNTIF('Extração'!L:L,A979)</f>
        <v>0</v>
      </c>
      <c r="C979" s="16" t="str">
        <f>IF(B979=0,"",COUNTIFS('Extração'!P:P,"Sim",'Extração'!L:L,A979)/B979)</f>
        <v/>
      </c>
      <c r="D979" s="16" t="str">
        <f>IF(B979=0,"",COUNTIFS('Extração'!Q:Q,"Sim",'Extração'!L:L,A979)/B979)</f>
        <v/>
      </c>
      <c r="E979" s="16" t="str">
        <f>IF(B979=0,"",COUNTIFS('Extração'!P:P,"Parcialmente",'Extração'!L:L,A979)/B979)</f>
        <v/>
      </c>
      <c r="F979" s="16" t="str">
        <f>IF(B979=0,"",COUNTIFS('Extração'!Q:Q,"Parcialmente",'Extração'!L:L,A979)/B979)</f>
        <v/>
      </c>
      <c r="G979" s="16" t="str">
        <f>IF(B979=0,"",COUNTIFS('Extração'!P:P,"Não",'Extração'!L:L,A979)/B979)</f>
        <v/>
      </c>
      <c r="H979" s="16" t="str">
        <f>IF(B979=0,"",COUNTIFS('Extração'!Q:Q,"Não",'Extração'!L:L,A979)/B979)</f>
        <v/>
      </c>
      <c r="I979" s="16" t="str">
        <f>IF(B979=0,"",COUNTIFS('Extração'!R:R,"Igual",'Extração'!L:L,A979)/B979)</f>
        <v/>
      </c>
    </row>
    <row r="980">
      <c r="B980" s="16">
        <f>COUNTIF('Extração'!L:L,A980)</f>
        <v>0</v>
      </c>
      <c r="C980" s="16" t="str">
        <f>IF(B980=0,"",COUNTIFS('Extração'!P:P,"Sim",'Extração'!L:L,A980)/B980)</f>
        <v/>
      </c>
      <c r="D980" s="16" t="str">
        <f>IF(B980=0,"",COUNTIFS('Extração'!Q:Q,"Sim",'Extração'!L:L,A980)/B980)</f>
        <v/>
      </c>
      <c r="E980" s="16" t="str">
        <f>IF(B980=0,"",COUNTIFS('Extração'!P:P,"Parcialmente",'Extração'!L:L,A980)/B980)</f>
        <v/>
      </c>
      <c r="F980" s="16" t="str">
        <f>IF(B980=0,"",COUNTIFS('Extração'!Q:Q,"Parcialmente",'Extração'!L:L,A980)/B980)</f>
        <v/>
      </c>
      <c r="G980" s="16" t="str">
        <f>IF(B980=0,"",COUNTIFS('Extração'!P:P,"Não",'Extração'!L:L,A980)/B980)</f>
        <v/>
      </c>
      <c r="H980" s="16" t="str">
        <f>IF(B980=0,"",COUNTIFS('Extração'!Q:Q,"Não",'Extração'!L:L,A980)/B980)</f>
        <v/>
      </c>
      <c r="I980" s="16" t="str">
        <f>IF(B980=0,"",COUNTIFS('Extração'!R:R,"Igual",'Extração'!L:L,A980)/B980)</f>
        <v/>
      </c>
    </row>
    <row r="981">
      <c r="B981" s="16">
        <f>COUNTIF('Extração'!L:L,A981)</f>
        <v>0</v>
      </c>
      <c r="C981" s="16" t="str">
        <f>IF(B981=0,"",COUNTIFS('Extração'!P:P,"Sim",'Extração'!L:L,A981)/B981)</f>
        <v/>
      </c>
      <c r="D981" s="16" t="str">
        <f>IF(B981=0,"",COUNTIFS('Extração'!Q:Q,"Sim",'Extração'!L:L,A981)/B981)</f>
        <v/>
      </c>
      <c r="E981" s="16" t="str">
        <f>IF(B981=0,"",COUNTIFS('Extração'!P:P,"Parcialmente",'Extração'!L:L,A981)/B981)</f>
        <v/>
      </c>
      <c r="F981" s="16" t="str">
        <f>IF(B981=0,"",COUNTIFS('Extração'!Q:Q,"Parcialmente",'Extração'!L:L,A981)/B981)</f>
        <v/>
      </c>
      <c r="G981" s="16" t="str">
        <f>IF(B981=0,"",COUNTIFS('Extração'!P:P,"Não",'Extração'!L:L,A981)/B981)</f>
        <v/>
      </c>
      <c r="H981" s="16" t="str">
        <f>IF(B981=0,"",COUNTIFS('Extração'!Q:Q,"Não",'Extração'!L:L,A981)/B981)</f>
        <v/>
      </c>
      <c r="I981" s="16" t="str">
        <f>IF(B981=0,"",COUNTIFS('Extração'!R:R,"Igual",'Extração'!L:L,A981)/B981)</f>
        <v/>
      </c>
    </row>
    <row r="982">
      <c r="B982" s="16">
        <f>COUNTIF('Extração'!L:L,A982)</f>
        <v>0</v>
      </c>
      <c r="C982" s="16" t="str">
        <f>IF(B982=0,"",COUNTIFS('Extração'!P:P,"Sim",'Extração'!L:L,A982)/B982)</f>
        <v/>
      </c>
      <c r="D982" s="16" t="str">
        <f>IF(B982=0,"",COUNTIFS('Extração'!Q:Q,"Sim",'Extração'!L:L,A982)/B982)</f>
        <v/>
      </c>
      <c r="E982" s="16" t="str">
        <f>IF(B982=0,"",COUNTIFS('Extração'!P:P,"Parcialmente",'Extração'!L:L,A982)/B982)</f>
        <v/>
      </c>
      <c r="F982" s="16" t="str">
        <f>IF(B982=0,"",COUNTIFS('Extração'!Q:Q,"Parcialmente",'Extração'!L:L,A982)/B982)</f>
        <v/>
      </c>
      <c r="G982" s="16" t="str">
        <f>IF(B982=0,"",COUNTIFS('Extração'!P:P,"Não",'Extração'!L:L,A982)/B982)</f>
        <v/>
      </c>
      <c r="H982" s="16" t="str">
        <f>IF(B982=0,"",COUNTIFS('Extração'!Q:Q,"Não",'Extração'!L:L,A982)/B982)</f>
        <v/>
      </c>
      <c r="I982" s="16" t="str">
        <f>IF(B982=0,"",COUNTIFS('Extração'!R:R,"Igual",'Extração'!L:L,A982)/B982)</f>
        <v/>
      </c>
    </row>
    <row r="983">
      <c r="B983" s="16">
        <f>COUNTIF('Extração'!L:L,A983)</f>
        <v>0</v>
      </c>
      <c r="C983" s="16" t="str">
        <f>IF(B983=0,"",COUNTIFS('Extração'!P:P,"Sim",'Extração'!L:L,A983)/B983)</f>
        <v/>
      </c>
      <c r="D983" s="16" t="str">
        <f>IF(B983=0,"",COUNTIFS('Extração'!Q:Q,"Sim",'Extração'!L:L,A983)/B983)</f>
        <v/>
      </c>
      <c r="E983" s="16" t="str">
        <f>IF(B983=0,"",COUNTIFS('Extração'!P:P,"Parcialmente",'Extração'!L:L,A983)/B983)</f>
        <v/>
      </c>
      <c r="F983" s="16" t="str">
        <f>IF(B983=0,"",COUNTIFS('Extração'!Q:Q,"Parcialmente",'Extração'!L:L,A983)/B983)</f>
        <v/>
      </c>
      <c r="G983" s="16" t="str">
        <f>IF(B983=0,"",COUNTIFS('Extração'!P:P,"Não",'Extração'!L:L,A983)/B983)</f>
        <v/>
      </c>
      <c r="H983" s="16" t="str">
        <f>IF(B983=0,"",COUNTIFS('Extração'!Q:Q,"Não",'Extração'!L:L,A983)/B983)</f>
        <v/>
      </c>
      <c r="I983" s="16" t="str">
        <f>IF(B983=0,"",COUNTIFS('Extração'!R:R,"Igual",'Extração'!L:L,A983)/B983)</f>
        <v/>
      </c>
    </row>
    <row r="984">
      <c r="B984" s="16">
        <f>COUNTIF('Extração'!L:L,A984)</f>
        <v>0</v>
      </c>
      <c r="C984" s="16" t="str">
        <f>IF(B984=0,"",COUNTIFS('Extração'!P:P,"Sim",'Extração'!L:L,A984)/B984)</f>
        <v/>
      </c>
      <c r="D984" s="16" t="str">
        <f>IF(B984=0,"",COUNTIFS('Extração'!Q:Q,"Sim",'Extração'!L:L,A984)/B984)</f>
        <v/>
      </c>
      <c r="E984" s="16" t="str">
        <f>IF(B984=0,"",COUNTIFS('Extração'!P:P,"Parcialmente",'Extração'!L:L,A984)/B984)</f>
        <v/>
      </c>
      <c r="F984" s="16" t="str">
        <f>IF(B984=0,"",COUNTIFS('Extração'!Q:Q,"Parcialmente",'Extração'!L:L,A984)/B984)</f>
        <v/>
      </c>
      <c r="G984" s="16" t="str">
        <f>IF(B984=0,"",COUNTIFS('Extração'!P:P,"Não",'Extração'!L:L,A984)/B984)</f>
        <v/>
      </c>
      <c r="H984" s="16" t="str">
        <f>IF(B984=0,"",COUNTIFS('Extração'!Q:Q,"Não",'Extração'!L:L,A984)/B984)</f>
        <v/>
      </c>
      <c r="I984" s="16" t="str">
        <f>IF(B984=0,"",COUNTIFS('Extração'!R:R,"Igual",'Extração'!L:L,A984)/B984)</f>
        <v/>
      </c>
    </row>
    <row r="985">
      <c r="B985" s="16">
        <f>COUNTIF('Extração'!L:L,A985)</f>
        <v>0</v>
      </c>
      <c r="C985" s="16" t="str">
        <f>IF(B985=0,"",COUNTIFS('Extração'!P:P,"Sim",'Extração'!L:L,A985)/B985)</f>
        <v/>
      </c>
      <c r="D985" s="16" t="str">
        <f>IF(B985=0,"",COUNTIFS('Extração'!Q:Q,"Sim",'Extração'!L:L,A985)/B985)</f>
        <v/>
      </c>
      <c r="E985" s="16" t="str">
        <f>IF(B985=0,"",COUNTIFS('Extração'!P:P,"Parcialmente",'Extração'!L:L,A985)/B985)</f>
        <v/>
      </c>
      <c r="F985" s="16" t="str">
        <f>IF(B985=0,"",COUNTIFS('Extração'!Q:Q,"Parcialmente",'Extração'!L:L,A985)/B985)</f>
        <v/>
      </c>
      <c r="G985" s="16" t="str">
        <f>IF(B985=0,"",COUNTIFS('Extração'!P:P,"Não",'Extração'!L:L,A985)/B985)</f>
        <v/>
      </c>
      <c r="H985" s="16" t="str">
        <f>IF(B985=0,"",COUNTIFS('Extração'!Q:Q,"Não",'Extração'!L:L,A985)/B985)</f>
        <v/>
      </c>
      <c r="I985" s="16" t="str">
        <f>IF(B985=0,"",COUNTIFS('Extração'!R:R,"Igual",'Extração'!L:L,A985)/B985)</f>
        <v/>
      </c>
    </row>
    <row r="986">
      <c r="B986" s="16">
        <f>COUNTIF('Extração'!L:L,A986)</f>
        <v>0</v>
      </c>
      <c r="C986" s="16" t="str">
        <f>IF(B986=0,"",COUNTIFS('Extração'!P:P,"Sim",'Extração'!L:L,A986)/B986)</f>
        <v/>
      </c>
      <c r="D986" s="16" t="str">
        <f>IF(B986=0,"",COUNTIFS('Extração'!Q:Q,"Sim",'Extração'!L:L,A986)/B986)</f>
        <v/>
      </c>
      <c r="E986" s="16" t="str">
        <f>IF(B986=0,"",COUNTIFS('Extração'!P:P,"Parcialmente",'Extração'!L:L,A986)/B986)</f>
        <v/>
      </c>
      <c r="F986" s="16" t="str">
        <f>IF(B986=0,"",COUNTIFS('Extração'!Q:Q,"Parcialmente",'Extração'!L:L,A986)/B986)</f>
        <v/>
      </c>
      <c r="G986" s="16" t="str">
        <f>IF(B986=0,"",COUNTIFS('Extração'!P:P,"Não",'Extração'!L:L,A986)/B986)</f>
        <v/>
      </c>
      <c r="H986" s="16" t="str">
        <f>IF(B986=0,"",COUNTIFS('Extração'!Q:Q,"Não",'Extração'!L:L,A986)/B986)</f>
        <v/>
      </c>
      <c r="I986" s="16" t="str">
        <f>IF(B986=0,"",COUNTIFS('Extração'!R:R,"Igual",'Extração'!L:L,A986)/B986)</f>
        <v/>
      </c>
    </row>
    <row r="987">
      <c r="B987" s="16">
        <f>COUNTIF('Extração'!L:L,A987)</f>
        <v>0</v>
      </c>
      <c r="C987" s="16" t="str">
        <f>IF(B987=0,"",COUNTIFS('Extração'!P:P,"Sim",'Extração'!L:L,A987)/B987)</f>
        <v/>
      </c>
      <c r="D987" s="16" t="str">
        <f>IF(B987=0,"",COUNTIFS('Extração'!Q:Q,"Sim",'Extração'!L:L,A987)/B987)</f>
        <v/>
      </c>
      <c r="E987" s="16" t="str">
        <f>IF(B987=0,"",COUNTIFS('Extração'!P:P,"Parcialmente",'Extração'!L:L,A987)/B987)</f>
        <v/>
      </c>
      <c r="F987" s="16" t="str">
        <f>IF(B987=0,"",COUNTIFS('Extração'!Q:Q,"Parcialmente",'Extração'!L:L,A987)/B987)</f>
        <v/>
      </c>
      <c r="G987" s="16" t="str">
        <f>IF(B987=0,"",COUNTIFS('Extração'!P:P,"Não",'Extração'!L:L,A987)/B987)</f>
        <v/>
      </c>
      <c r="H987" s="16" t="str">
        <f>IF(B987=0,"",COUNTIFS('Extração'!Q:Q,"Não",'Extração'!L:L,A987)/B987)</f>
        <v/>
      </c>
      <c r="I987" s="16" t="str">
        <f>IF(B987=0,"",COUNTIFS('Extração'!R:R,"Igual",'Extração'!L:L,A987)/B987)</f>
        <v/>
      </c>
    </row>
    <row r="988">
      <c r="B988" s="16">
        <f>COUNTIF('Extração'!L:L,A988)</f>
        <v>0</v>
      </c>
      <c r="C988" s="16" t="str">
        <f>IF(B988=0,"",COUNTIFS('Extração'!P:P,"Sim",'Extração'!L:L,A988)/B988)</f>
        <v/>
      </c>
      <c r="D988" s="16" t="str">
        <f>IF(B988=0,"",COUNTIFS('Extração'!Q:Q,"Sim",'Extração'!L:L,A988)/B988)</f>
        <v/>
      </c>
      <c r="E988" s="16" t="str">
        <f>IF(B988=0,"",COUNTIFS('Extração'!P:P,"Parcialmente",'Extração'!L:L,A988)/B988)</f>
        <v/>
      </c>
      <c r="F988" s="16" t="str">
        <f>IF(B988=0,"",COUNTIFS('Extração'!Q:Q,"Parcialmente",'Extração'!L:L,A988)/B988)</f>
        <v/>
      </c>
      <c r="G988" s="16" t="str">
        <f>IF(B988=0,"",COUNTIFS('Extração'!P:P,"Não",'Extração'!L:L,A988)/B988)</f>
        <v/>
      </c>
      <c r="H988" s="16" t="str">
        <f>IF(B988=0,"",COUNTIFS('Extração'!Q:Q,"Não",'Extração'!L:L,A988)/B988)</f>
        <v/>
      </c>
      <c r="I988" s="16" t="str">
        <f>IF(B988=0,"",COUNTIFS('Extração'!R:R,"Igual",'Extração'!L:L,A988)/B988)</f>
        <v/>
      </c>
    </row>
    <row r="989">
      <c r="B989" s="16">
        <f>COUNTIF('Extração'!L:L,A989)</f>
        <v>0</v>
      </c>
      <c r="C989" s="16" t="str">
        <f>IF(B989=0,"",COUNTIFS('Extração'!P:P,"Sim",'Extração'!L:L,A989)/B989)</f>
        <v/>
      </c>
      <c r="D989" s="16" t="str">
        <f>IF(B989=0,"",COUNTIFS('Extração'!Q:Q,"Sim",'Extração'!L:L,A989)/B989)</f>
        <v/>
      </c>
      <c r="E989" s="16" t="str">
        <f>IF(B989=0,"",COUNTIFS('Extração'!P:P,"Parcialmente",'Extração'!L:L,A989)/B989)</f>
        <v/>
      </c>
      <c r="F989" s="16" t="str">
        <f>IF(B989=0,"",COUNTIFS('Extração'!Q:Q,"Parcialmente",'Extração'!L:L,A989)/B989)</f>
        <v/>
      </c>
      <c r="G989" s="16" t="str">
        <f>IF(B989=0,"",COUNTIFS('Extração'!P:P,"Não",'Extração'!L:L,A989)/B989)</f>
        <v/>
      </c>
      <c r="H989" s="16" t="str">
        <f>IF(B989=0,"",COUNTIFS('Extração'!Q:Q,"Não",'Extração'!L:L,A989)/B989)</f>
        <v/>
      </c>
      <c r="I989" s="16" t="str">
        <f>IF(B989=0,"",COUNTIFS('Extração'!R:R,"Igual",'Extração'!L:L,A989)/B989)</f>
        <v/>
      </c>
    </row>
    <row r="990">
      <c r="B990" s="16">
        <f>COUNTIF('Extração'!L:L,A990)</f>
        <v>0</v>
      </c>
      <c r="C990" s="16" t="str">
        <f>IF(B990=0,"",COUNTIFS('Extração'!P:P,"Sim",'Extração'!L:L,A990)/B990)</f>
        <v/>
      </c>
      <c r="D990" s="16" t="str">
        <f>IF(B990=0,"",COUNTIFS('Extração'!Q:Q,"Sim",'Extração'!L:L,A990)/B990)</f>
        <v/>
      </c>
      <c r="E990" s="16" t="str">
        <f>IF(B990=0,"",COUNTIFS('Extração'!P:P,"Parcialmente",'Extração'!L:L,A990)/B990)</f>
        <v/>
      </c>
      <c r="F990" s="16" t="str">
        <f>IF(B990=0,"",COUNTIFS('Extração'!Q:Q,"Parcialmente",'Extração'!L:L,A990)/B990)</f>
        <v/>
      </c>
      <c r="G990" s="16" t="str">
        <f>IF(B990=0,"",COUNTIFS('Extração'!P:P,"Não",'Extração'!L:L,A990)/B990)</f>
        <v/>
      </c>
      <c r="H990" s="16" t="str">
        <f>IF(B990=0,"",COUNTIFS('Extração'!Q:Q,"Não",'Extração'!L:L,A990)/B990)</f>
        <v/>
      </c>
      <c r="I990" s="16" t="str">
        <f>IF(B990=0,"",COUNTIFS('Extração'!R:R,"Igual",'Extração'!L:L,A990)/B990)</f>
        <v/>
      </c>
    </row>
    <row r="991">
      <c r="B991" s="16">
        <f>COUNTIF('Extração'!L:L,A991)</f>
        <v>0</v>
      </c>
      <c r="C991" s="16" t="str">
        <f>IF(B991=0,"",COUNTIFS('Extração'!P:P,"Sim",'Extração'!L:L,A991)/B991)</f>
        <v/>
      </c>
      <c r="D991" s="16" t="str">
        <f>IF(B991=0,"",COUNTIFS('Extração'!Q:Q,"Sim",'Extração'!L:L,A991)/B991)</f>
        <v/>
      </c>
      <c r="E991" s="16" t="str">
        <f>IF(B991=0,"",COUNTIFS('Extração'!P:P,"Parcialmente",'Extração'!L:L,A991)/B991)</f>
        <v/>
      </c>
      <c r="F991" s="16" t="str">
        <f>IF(B991=0,"",COUNTIFS('Extração'!Q:Q,"Parcialmente",'Extração'!L:L,A991)/B991)</f>
        <v/>
      </c>
      <c r="G991" s="16" t="str">
        <f>IF(B991=0,"",COUNTIFS('Extração'!P:P,"Não",'Extração'!L:L,A991)/B991)</f>
        <v/>
      </c>
      <c r="H991" s="16" t="str">
        <f>IF(B991=0,"",COUNTIFS('Extração'!Q:Q,"Não",'Extração'!L:L,A991)/B991)</f>
        <v/>
      </c>
      <c r="I991" s="16" t="str">
        <f>IF(B991=0,"",COUNTIFS('Extração'!R:R,"Igual",'Extração'!L:L,A991)/B991)</f>
        <v/>
      </c>
    </row>
    <row r="992">
      <c r="B992" s="16">
        <f>COUNTIF('Extração'!L:L,A992)</f>
        <v>0</v>
      </c>
      <c r="C992" s="16" t="str">
        <f>IF(B992=0,"",COUNTIFS('Extração'!P:P,"Sim",'Extração'!L:L,A992)/B992)</f>
        <v/>
      </c>
      <c r="D992" s="16" t="str">
        <f>IF(B992=0,"",COUNTIFS('Extração'!Q:Q,"Sim",'Extração'!L:L,A992)/B992)</f>
        <v/>
      </c>
      <c r="E992" s="16" t="str">
        <f>IF(B992=0,"",COUNTIFS('Extração'!P:P,"Parcialmente",'Extração'!L:L,A992)/B992)</f>
        <v/>
      </c>
      <c r="F992" s="16" t="str">
        <f>IF(B992=0,"",COUNTIFS('Extração'!Q:Q,"Parcialmente",'Extração'!L:L,A992)/B992)</f>
        <v/>
      </c>
      <c r="G992" s="16" t="str">
        <f>IF(B992=0,"",COUNTIFS('Extração'!P:P,"Não",'Extração'!L:L,A992)/B992)</f>
        <v/>
      </c>
      <c r="H992" s="16" t="str">
        <f>IF(B992=0,"",COUNTIFS('Extração'!Q:Q,"Não",'Extração'!L:L,A992)/B992)</f>
        <v/>
      </c>
      <c r="I992" s="16" t="str">
        <f>IF(B992=0,"",COUNTIFS('Extração'!R:R,"Igual",'Extração'!L:L,A992)/B992)</f>
        <v/>
      </c>
    </row>
    <row r="993">
      <c r="B993" s="16">
        <f>COUNTIF('Extração'!L:L,A993)</f>
        <v>0</v>
      </c>
      <c r="C993" s="16" t="str">
        <f>IF(B993=0,"",COUNTIFS('Extração'!P:P,"Sim",'Extração'!L:L,A993)/B993)</f>
        <v/>
      </c>
      <c r="D993" s="16" t="str">
        <f>IF(B993=0,"",COUNTIFS('Extração'!Q:Q,"Sim",'Extração'!L:L,A993)/B993)</f>
        <v/>
      </c>
      <c r="E993" s="16" t="str">
        <f>IF(B993=0,"",COUNTIFS('Extração'!P:P,"Parcialmente",'Extração'!L:L,A993)/B993)</f>
        <v/>
      </c>
      <c r="F993" s="16" t="str">
        <f>IF(B993=0,"",COUNTIFS('Extração'!Q:Q,"Parcialmente",'Extração'!L:L,A993)/B993)</f>
        <v/>
      </c>
      <c r="G993" s="16" t="str">
        <f>IF(B993=0,"",COUNTIFS('Extração'!P:P,"Não",'Extração'!L:L,A993)/B993)</f>
        <v/>
      </c>
      <c r="H993" s="16" t="str">
        <f>IF(B993=0,"",COUNTIFS('Extração'!Q:Q,"Não",'Extração'!L:L,A993)/B993)</f>
        <v/>
      </c>
      <c r="I993" s="16" t="str">
        <f>IF(B993=0,"",COUNTIFS('Extração'!R:R,"Igual",'Extração'!L:L,A993)/B993)</f>
        <v/>
      </c>
    </row>
    <row r="994">
      <c r="B994" s="16">
        <f>COUNTIF('Extração'!L:L,A994)</f>
        <v>0</v>
      </c>
      <c r="C994" s="16" t="str">
        <f>IF(B994=0,"",COUNTIFS('Extração'!P:P,"Sim",'Extração'!L:L,A994)/B994)</f>
        <v/>
      </c>
      <c r="D994" s="16" t="str">
        <f>IF(B994=0,"",COUNTIFS('Extração'!Q:Q,"Sim",'Extração'!L:L,A994)/B994)</f>
        <v/>
      </c>
      <c r="E994" s="16" t="str">
        <f>IF(B994=0,"",COUNTIFS('Extração'!P:P,"Parcialmente",'Extração'!L:L,A994)/B994)</f>
        <v/>
      </c>
      <c r="F994" s="16" t="str">
        <f>IF(B994=0,"",COUNTIFS('Extração'!Q:Q,"Parcialmente",'Extração'!L:L,A994)/B994)</f>
        <v/>
      </c>
      <c r="G994" s="16" t="str">
        <f>IF(B994=0,"",COUNTIFS('Extração'!P:P,"Não",'Extração'!L:L,A994)/B994)</f>
        <v/>
      </c>
      <c r="H994" s="16" t="str">
        <f>IF(B994=0,"",COUNTIFS('Extração'!Q:Q,"Não",'Extração'!L:L,A994)/B994)</f>
        <v/>
      </c>
      <c r="I994" s="16" t="str">
        <f>IF(B994=0,"",COUNTIFS('Extração'!R:R,"Igual",'Extração'!L:L,A994)/B994)</f>
        <v/>
      </c>
    </row>
    <row r="995">
      <c r="B995" s="16">
        <f>COUNTIF('Extração'!L:L,A995)</f>
        <v>0</v>
      </c>
      <c r="C995" s="16" t="str">
        <f>IF(B995=0,"",COUNTIFS('Extração'!P:P,"Sim",'Extração'!L:L,A995)/B995)</f>
        <v/>
      </c>
      <c r="D995" s="16" t="str">
        <f>IF(B995=0,"",COUNTIFS('Extração'!Q:Q,"Sim",'Extração'!L:L,A995)/B995)</f>
        <v/>
      </c>
      <c r="E995" s="16" t="str">
        <f>IF(B995=0,"",COUNTIFS('Extração'!P:P,"Parcialmente",'Extração'!L:L,A995)/B995)</f>
        <v/>
      </c>
      <c r="F995" s="16" t="str">
        <f>IF(B995=0,"",COUNTIFS('Extração'!Q:Q,"Parcialmente",'Extração'!L:L,A995)/B995)</f>
        <v/>
      </c>
      <c r="G995" s="16" t="str">
        <f>IF(B995=0,"",COUNTIFS('Extração'!P:P,"Não",'Extração'!L:L,A995)/B995)</f>
        <v/>
      </c>
      <c r="H995" s="16" t="str">
        <f>IF(B995=0,"",COUNTIFS('Extração'!Q:Q,"Não",'Extração'!L:L,A995)/B995)</f>
        <v/>
      </c>
      <c r="I995" s="16" t="str">
        <f>IF(B995=0,"",COUNTIFS('Extração'!R:R,"Igual",'Extração'!L:L,A995)/B995)</f>
        <v/>
      </c>
    </row>
    <row r="996">
      <c r="B996" s="16">
        <f>COUNTIF('Extração'!L:L,A996)</f>
        <v>0</v>
      </c>
      <c r="C996" s="16" t="str">
        <f>IF(B996=0,"",COUNTIFS('Extração'!P:P,"Sim",'Extração'!L:L,A996)/B996)</f>
        <v/>
      </c>
      <c r="D996" s="16" t="str">
        <f>IF(B996=0,"",COUNTIFS('Extração'!Q:Q,"Sim",'Extração'!L:L,A996)/B996)</f>
        <v/>
      </c>
      <c r="E996" s="16" t="str">
        <f>IF(B996=0,"",COUNTIFS('Extração'!P:P,"Parcialmente",'Extração'!L:L,A996)/B996)</f>
        <v/>
      </c>
      <c r="F996" s="16" t="str">
        <f>IF(B996=0,"",COUNTIFS('Extração'!Q:Q,"Parcialmente",'Extração'!L:L,A996)/B996)</f>
        <v/>
      </c>
      <c r="G996" s="16" t="str">
        <f>IF(B996=0,"",COUNTIFS('Extração'!P:P,"Não",'Extração'!L:L,A996)/B996)</f>
        <v/>
      </c>
      <c r="H996" s="16" t="str">
        <f>IF(B996=0,"",COUNTIFS('Extração'!Q:Q,"Não",'Extração'!L:L,A996)/B996)</f>
        <v/>
      </c>
      <c r="I996" s="16" t="str">
        <f>IF(B996=0,"",COUNTIFS('Extração'!R:R,"Igual",'Extração'!L:L,A996)/B996)</f>
        <v/>
      </c>
    </row>
    <row r="997">
      <c r="B997" s="16">
        <f>COUNTIF('Extração'!L:L,A997)</f>
        <v>0</v>
      </c>
      <c r="C997" s="16" t="str">
        <f>IF(B997=0,"",COUNTIFS('Extração'!P:P,"Sim",'Extração'!L:L,A997)/B997)</f>
        <v/>
      </c>
      <c r="D997" s="16" t="str">
        <f>IF(B997=0,"",COUNTIFS('Extração'!Q:Q,"Sim",'Extração'!L:L,A997)/B997)</f>
        <v/>
      </c>
      <c r="E997" s="16" t="str">
        <f>IF(B997=0,"",COUNTIFS('Extração'!P:P,"Parcialmente",'Extração'!L:L,A997)/B997)</f>
        <v/>
      </c>
      <c r="F997" s="16" t="str">
        <f>IF(B997=0,"",COUNTIFS('Extração'!Q:Q,"Parcialmente",'Extração'!L:L,A997)/B997)</f>
        <v/>
      </c>
      <c r="G997" s="16" t="str">
        <f>IF(B997=0,"",COUNTIFS('Extração'!P:P,"Não",'Extração'!L:L,A997)/B997)</f>
        <v/>
      </c>
      <c r="H997" s="16" t="str">
        <f>IF(B997=0,"",COUNTIFS('Extração'!Q:Q,"Não",'Extração'!L:L,A997)/B997)</f>
        <v/>
      </c>
      <c r="I997" s="16" t="str">
        <f>IF(B997=0,"",COUNTIFS('Extração'!R:R,"Igual",'Extração'!L:L,A997)/B997)</f>
        <v/>
      </c>
    </row>
    <row r="998">
      <c r="B998" s="16">
        <f>COUNTIF('Extração'!L:L,A998)</f>
        <v>0</v>
      </c>
      <c r="C998" s="16" t="str">
        <f>IF(B998=0,"",COUNTIFS('Extração'!P:P,"Sim",'Extração'!L:L,A998)/B998)</f>
        <v/>
      </c>
      <c r="D998" s="16" t="str">
        <f>IF(B998=0,"",COUNTIFS('Extração'!Q:Q,"Sim",'Extração'!L:L,A998)/B998)</f>
        <v/>
      </c>
      <c r="E998" s="16" t="str">
        <f>IF(B998=0,"",COUNTIFS('Extração'!P:P,"Parcialmente",'Extração'!L:L,A998)/B998)</f>
        <v/>
      </c>
      <c r="F998" s="16" t="str">
        <f>IF(B998=0,"",COUNTIFS('Extração'!Q:Q,"Parcialmente",'Extração'!L:L,A998)/B998)</f>
        <v/>
      </c>
      <c r="G998" s="16" t="str">
        <f>IF(B998=0,"",COUNTIFS('Extração'!P:P,"Não",'Extração'!L:L,A998)/B998)</f>
        <v/>
      </c>
      <c r="H998" s="16" t="str">
        <f>IF(B998=0,"",COUNTIFS('Extração'!Q:Q,"Não",'Extração'!L:L,A998)/B998)</f>
        <v/>
      </c>
      <c r="I998" s="16" t="str">
        <f>IF(B998=0,"",COUNTIFS('Extração'!R:R,"Igual",'Extração'!L:L,A998)/B998)</f>
        <v/>
      </c>
    </row>
    <row r="999">
      <c r="B999" s="16">
        <f>COUNTIF('Extração'!L:L,A999)</f>
        <v>0</v>
      </c>
      <c r="C999" s="16" t="str">
        <f>IF(B999=0,"",COUNTIFS('Extração'!P:P,"Sim",'Extração'!L:L,A999)/B999)</f>
        <v/>
      </c>
      <c r="D999" s="16" t="str">
        <f>IF(B999=0,"",COUNTIFS('Extração'!Q:Q,"Sim",'Extração'!L:L,A999)/B999)</f>
        <v/>
      </c>
      <c r="E999" s="16" t="str">
        <f>IF(B999=0,"",COUNTIFS('Extração'!P:P,"Parcialmente",'Extração'!L:L,A999)/B999)</f>
        <v/>
      </c>
      <c r="F999" s="16" t="str">
        <f>IF(B999=0,"",COUNTIFS('Extração'!Q:Q,"Parcialmente",'Extração'!L:L,A999)/B999)</f>
        <v/>
      </c>
      <c r="G999" s="16" t="str">
        <f>IF(B999=0,"",COUNTIFS('Extração'!P:P,"Não",'Extração'!L:L,A999)/B999)</f>
        <v/>
      </c>
      <c r="H999" s="16" t="str">
        <f>IF(B999=0,"",COUNTIFS('Extração'!Q:Q,"Não",'Extração'!L:L,A999)/B999)</f>
        <v/>
      </c>
      <c r="I999" s="16" t="str">
        <f>IF(B999=0,"",COUNTIFS('Extração'!R:R,"Igual",'Extração'!L:L,A999)/B999)</f>
        <v/>
      </c>
    </row>
    <row r="1000">
      <c r="B1000" s="16">
        <f>COUNTIF('Extração'!L:L,A1000)</f>
        <v>0</v>
      </c>
      <c r="C1000" s="16" t="str">
        <f>IF(B1000=0,"",COUNTIFS('Extração'!P:P,"Sim",'Extração'!L:L,A1000)/B1000)</f>
        <v/>
      </c>
      <c r="D1000" s="16" t="str">
        <f>IF(B1000=0,"",COUNTIFS('Extração'!Q:Q,"Sim",'Extração'!L:L,A1000)/B1000)</f>
        <v/>
      </c>
      <c r="E1000" s="16" t="str">
        <f>IF(B1000=0,"",COUNTIFS('Extração'!P:P,"Parcialmente",'Extração'!L:L,A1000)/B1000)</f>
        <v/>
      </c>
      <c r="F1000" s="16" t="str">
        <f>IF(B1000=0,"",COUNTIFS('Extração'!Q:Q,"Parcialmente",'Extração'!L:L,A1000)/B1000)</f>
        <v/>
      </c>
      <c r="G1000" s="16" t="str">
        <f>IF(B1000=0,"",COUNTIFS('Extração'!P:P,"Não",'Extração'!L:L,A1000)/B1000)</f>
        <v/>
      </c>
      <c r="H1000" s="16" t="str">
        <f>IF(B1000=0,"",COUNTIFS('Extração'!Q:Q,"Não",'Extração'!L:L,A1000)/B1000)</f>
        <v/>
      </c>
      <c r="I1000" s="16" t="str">
        <f>IF(B1000=0,"",COUNTIFS('Extração'!R:R,"Igual",'Extração'!L:L,A1000)/B1000)</f>
        <v/>
      </c>
    </row>
  </sheetData>
  <conditionalFormatting sqref="C2:C1000">
    <cfRule type="cellIs" dxfId="4" priority="1" operator="greaterThanOrEqual">
      <formula>0.5</formula>
    </cfRule>
  </conditionalFormatting>
  <conditionalFormatting sqref="C2:C1000">
    <cfRule type="cellIs" dxfId="5" priority="2" operator="lessThan">
      <formula>0.5</formula>
    </cfRule>
  </conditionalFormatting>
  <conditionalFormatting sqref="D2:D1000">
    <cfRule type="cellIs" dxfId="4" priority="3" operator="greaterThanOrEqual">
      <formula>0.5</formula>
    </cfRule>
  </conditionalFormatting>
  <conditionalFormatting sqref="D2:D1000">
    <cfRule type="cellIs" dxfId="5" priority="4" operator="lessThan">
      <formula>0.5</formula>
    </cfRule>
  </conditionalFormatting>
  <conditionalFormatting sqref="E2:E1000">
    <cfRule type="cellIs" dxfId="4" priority="5" operator="greaterThanOrEqual">
      <formula>0.5</formula>
    </cfRule>
  </conditionalFormatting>
  <conditionalFormatting sqref="E2:E1000">
    <cfRule type="cellIs" dxfId="5" priority="6" operator="lessThan">
      <formula>0.5</formula>
    </cfRule>
  </conditionalFormatting>
  <conditionalFormatting sqref="F2:F1000">
    <cfRule type="cellIs" dxfId="4" priority="7" operator="greaterThanOrEqual">
      <formula>0.5</formula>
    </cfRule>
  </conditionalFormatting>
  <conditionalFormatting sqref="F2:F1000">
    <cfRule type="cellIs" dxfId="5" priority="8" operator="lessThan">
      <formula>0.5</formula>
    </cfRule>
  </conditionalFormatting>
  <conditionalFormatting sqref="G2:G1000">
    <cfRule type="cellIs" dxfId="4" priority="9" operator="greaterThanOrEqual">
      <formula>0.5</formula>
    </cfRule>
  </conditionalFormatting>
  <conditionalFormatting sqref="G2:G1000">
    <cfRule type="cellIs" dxfId="5" priority="10" operator="lessThan">
      <formula>0.5</formula>
    </cfRule>
  </conditionalFormatting>
  <conditionalFormatting sqref="H2:H1000">
    <cfRule type="cellIs" dxfId="4" priority="11" operator="greaterThanOrEqual">
      <formula>0.5</formula>
    </cfRule>
  </conditionalFormatting>
  <conditionalFormatting sqref="H2:H1000">
    <cfRule type="cellIs" dxfId="5" priority="12" operator="lessThan">
      <formula>0.5</formula>
    </cfRule>
  </conditionalFormatting>
  <conditionalFormatting sqref="I2:I1000">
    <cfRule type="cellIs" dxfId="4" priority="13" operator="greaterThanOrEqual">
      <formula>0.5</formula>
    </cfRule>
  </conditionalFormatting>
  <conditionalFormatting sqref="I2:I1000">
    <cfRule type="cellIs" dxfId="5" priority="14" operator="lessThan">
      <formula>0.5</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5.25"/>
    <col customWidth="1" min="3" max="5" width="12.25"/>
    <col customWidth="1" min="6" max="6" width="45.0"/>
    <col customWidth="1" min="7" max="7" width="24.63"/>
    <col customWidth="1" min="13" max="13" width="41.0"/>
    <col customWidth="1" min="18" max="18" width="15.75"/>
    <col customWidth="1" min="19" max="19" width="16.75"/>
    <col customWidth="1" min="23" max="23" width="18.88"/>
  </cols>
  <sheetData>
    <row r="1">
      <c r="A1" s="62"/>
      <c r="B1" s="63" t="s">
        <v>2761</v>
      </c>
      <c r="C1" s="64"/>
      <c r="D1" s="64"/>
      <c r="E1" s="64"/>
      <c r="F1" s="64"/>
      <c r="G1" s="64"/>
      <c r="H1" s="64"/>
      <c r="I1" s="65"/>
      <c r="Q1" s="66" t="s">
        <v>2762</v>
      </c>
      <c r="V1" s="67" t="s">
        <v>2763</v>
      </c>
      <c r="W1" s="68"/>
    </row>
    <row r="2">
      <c r="A2" s="69"/>
      <c r="B2" s="70" t="s">
        <v>2764</v>
      </c>
      <c r="C2" s="71" t="s">
        <v>2765</v>
      </c>
      <c r="D2" s="72" t="s">
        <v>2766</v>
      </c>
      <c r="E2" s="73" t="s">
        <v>2767</v>
      </c>
      <c r="F2" s="70" t="s">
        <v>2768</v>
      </c>
      <c r="G2" s="70" t="s">
        <v>2769</v>
      </c>
      <c r="H2" s="74" t="s">
        <v>2770</v>
      </c>
      <c r="I2" s="75" t="s">
        <v>2771</v>
      </c>
      <c r="J2" s="21"/>
      <c r="K2" s="21"/>
      <c r="L2" s="76" t="s">
        <v>2764</v>
      </c>
      <c r="M2" s="76" t="s">
        <v>2772</v>
      </c>
      <c r="N2" s="76" t="s">
        <v>2773</v>
      </c>
      <c r="O2" s="76" t="s">
        <v>2753</v>
      </c>
      <c r="P2" s="21"/>
      <c r="Q2" s="77" t="s">
        <v>2774</v>
      </c>
      <c r="R2" s="77" t="s">
        <v>2775</v>
      </c>
      <c r="S2" s="77" t="s">
        <v>2773</v>
      </c>
      <c r="T2" s="77" t="s">
        <v>2753</v>
      </c>
      <c r="U2" s="21"/>
      <c r="V2" s="78" t="s">
        <v>2774</v>
      </c>
      <c r="W2" s="78" t="s">
        <v>2773</v>
      </c>
      <c r="X2" s="77" t="s">
        <v>2753</v>
      </c>
      <c r="Y2" s="21"/>
      <c r="Z2" s="76"/>
      <c r="AA2" s="21"/>
      <c r="AB2" s="21"/>
      <c r="AC2" s="21"/>
      <c r="AD2" s="21"/>
      <c r="AE2" s="21"/>
      <c r="AF2" s="21"/>
      <c r="AG2" s="21"/>
      <c r="AH2" s="21"/>
    </row>
    <row r="3">
      <c r="A3" s="69"/>
      <c r="B3" s="79" t="s">
        <v>2107</v>
      </c>
      <c r="C3" s="80">
        <v>2020.0</v>
      </c>
      <c r="D3" s="79" t="s">
        <v>23</v>
      </c>
      <c r="E3" s="81" t="s">
        <v>20</v>
      </c>
      <c r="F3" s="79" t="s">
        <v>22</v>
      </c>
      <c r="G3" s="79" t="s">
        <v>24</v>
      </c>
      <c r="H3" s="82" t="s">
        <v>2776</v>
      </c>
      <c r="I3" s="83" t="s">
        <v>2777</v>
      </c>
      <c r="J3" s="21"/>
      <c r="K3" s="21"/>
      <c r="L3" s="76" t="s">
        <v>25</v>
      </c>
      <c r="M3" s="54" t="s">
        <v>2080</v>
      </c>
      <c r="N3" s="76" t="s">
        <v>2778</v>
      </c>
      <c r="O3" s="84"/>
      <c r="P3" s="21"/>
      <c r="Q3" s="85" t="s">
        <v>25</v>
      </c>
      <c r="R3" s="86" t="s">
        <v>2779</v>
      </c>
      <c r="S3" s="87"/>
      <c r="T3" s="86">
        <v>0.0</v>
      </c>
      <c r="U3" s="21"/>
      <c r="V3" s="88" t="s">
        <v>25</v>
      </c>
      <c r="W3" s="89" t="s">
        <v>2780</v>
      </c>
      <c r="X3" s="90">
        <v>39.0</v>
      </c>
      <c r="Y3" s="21"/>
      <c r="Z3" s="76"/>
      <c r="AA3" s="21"/>
      <c r="AB3" s="21"/>
      <c r="AC3" s="21"/>
      <c r="AD3" s="21"/>
      <c r="AE3" s="21"/>
      <c r="AF3" s="21"/>
      <c r="AG3" s="21"/>
      <c r="AH3" s="21"/>
    </row>
    <row r="4">
      <c r="A4" s="69"/>
      <c r="B4" s="79" t="s">
        <v>2781</v>
      </c>
      <c r="C4" s="80">
        <v>2020.0</v>
      </c>
      <c r="D4" s="79" t="s">
        <v>23</v>
      </c>
      <c r="E4" s="81" t="s">
        <v>20</v>
      </c>
      <c r="F4" s="79" t="s">
        <v>29</v>
      </c>
      <c r="G4" s="79" t="s">
        <v>30</v>
      </c>
      <c r="H4" s="82" t="s">
        <v>565</v>
      </c>
      <c r="I4" s="83" t="s">
        <v>2782</v>
      </c>
      <c r="J4" s="21"/>
      <c r="K4" s="21"/>
      <c r="L4" s="76" t="s">
        <v>31</v>
      </c>
      <c r="M4" s="54" t="s">
        <v>2083</v>
      </c>
      <c r="N4" s="84"/>
      <c r="O4" s="84"/>
      <c r="P4" s="21"/>
      <c r="Q4" s="91"/>
      <c r="R4" s="86" t="s">
        <v>2783</v>
      </c>
      <c r="S4" s="86" t="s">
        <v>2784</v>
      </c>
      <c r="T4" s="86">
        <v>61.0</v>
      </c>
      <c r="U4" s="21"/>
      <c r="V4" s="91"/>
      <c r="W4" s="91"/>
      <c r="X4" s="91"/>
      <c r="Y4" s="21"/>
      <c r="Z4" s="21"/>
      <c r="AA4" s="21"/>
      <c r="AB4" s="21"/>
      <c r="AC4" s="21"/>
      <c r="AD4" s="21"/>
      <c r="AE4" s="21"/>
      <c r="AF4" s="21"/>
      <c r="AG4" s="21"/>
      <c r="AH4" s="21"/>
    </row>
    <row r="5">
      <c r="A5" s="69"/>
      <c r="B5" s="79" t="s">
        <v>2113</v>
      </c>
      <c r="C5" s="80">
        <v>2025.0</v>
      </c>
      <c r="D5" s="79" t="s">
        <v>23</v>
      </c>
      <c r="E5" s="81" t="s">
        <v>20</v>
      </c>
      <c r="F5" s="79" t="s">
        <v>34</v>
      </c>
      <c r="G5" s="79" t="s">
        <v>35</v>
      </c>
      <c r="H5" s="82" t="s">
        <v>528</v>
      </c>
      <c r="I5" s="83" t="s">
        <v>2785</v>
      </c>
      <c r="J5" s="21"/>
      <c r="K5" s="21"/>
      <c r="L5" s="76" t="s">
        <v>36</v>
      </c>
      <c r="M5" s="54" t="s">
        <v>2086</v>
      </c>
      <c r="N5" s="84"/>
      <c r="O5" s="84"/>
      <c r="P5" s="21"/>
      <c r="Q5" s="21"/>
      <c r="R5" s="21"/>
      <c r="S5" s="21"/>
      <c r="T5" s="21"/>
      <c r="U5" s="21"/>
      <c r="V5" s="92"/>
      <c r="W5" s="92"/>
      <c r="X5" s="21"/>
      <c r="Y5" s="21"/>
      <c r="Z5" s="21"/>
      <c r="AA5" s="21"/>
      <c r="AB5" s="21"/>
      <c r="AC5" s="21"/>
      <c r="AD5" s="21"/>
      <c r="AE5" s="21"/>
      <c r="AF5" s="21"/>
      <c r="AG5" s="21"/>
      <c r="AH5" s="21"/>
    </row>
    <row r="6">
      <c r="A6" s="69"/>
      <c r="B6" s="79" t="s">
        <v>2115</v>
      </c>
      <c r="C6" s="80">
        <v>2024.0</v>
      </c>
      <c r="D6" s="79" t="s">
        <v>23</v>
      </c>
      <c r="E6" s="81" t="s">
        <v>20</v>
      </c>
      <c r="F6" s="79" t="s">
        <v>38</v>
      </c>
      <c r="G6" s="79" t="s">
        <v>40</v>
      </c>
      <c r="H6" s="82" t="s">
        <v>535</v>
      </c>
      <c r="I6" s="83" t="s">
        <v>2786</v>
      </c>
      <c r="J6" s="21"/>
      <c r="K6" s="21"/>
      <c r="L6" s="76" t="s">
        <v>41</v>
      </c>
      <c r="M6" s="54" t="s">
        <v>2089</v>
      </c>
      <c r="N6" s="84"/>
      <c r="O6" s="84"/>
      <c r="P6" s="21"/>
      <c r="Q6" s="77" t="s">
        <v>2774</v>
      </c>
      <c r="R6" s="77" t="s">
        <v>2787</v>
      </c>
      <c r="S6" s="77" t="s">
        <v>2773</v>
      </c>
      <c r="T6" s="77" t="s">
        <v>2753</v>
      </c>
      <c r="U6" s="21"/>
      <c r="V6" s="78" t="s">
        <v>2774</v>
      </c>
      <c r="W6" s="78" t="s">
        <v>2773</v>
      </c>
      <c r="X6" s="77" t="s">
        <v>2753</v>
      </c>
      <c r="Y6" s="21"/>
      <c r="Z6" s="21"/>
      <c r="AA6" s="21"/>
      <c r="AB6" s="21"/>
      <c r="AC6" s="21"/>
      <c r="AD6" s="21"/>
      <c r="AE6" s="21"/>
      <c r="AF6" s="21"/>
      <c r="AG6" s="21"/>
      <c r="AH6" s="21"/>
    </row>
    <row r="7">
      <c r="A7" s="69"/>
      <c r="B7" s="79" t="s">
        <v>2117</v>
      </c>
      <c r="C7" s="80">
        <v>2023.0</v>
      </c>
      <c r="D7" s="79" t="s">
        <v>23</v>
      </c>
      <c r="E7" s="81" t="s">
        <v>20</v>
      </c>
      <c r="F7" s="79" t="s">
        <v>44</v>
      </c>
      <c r="G7" s="79" t="s">
        <v>46</v>
      </c>
      <c r="H7" s="82" t="s">
        <v>653</v>
      </c>
      <c r="I7" s="83" t="s">
        <v>2788</v>
      </c>
      <c r="J7" s="21"/>
      <c r="K7" s="21"/>
      <c r="L7" s="76" t="s">
        <v>47</v>
      </c>
      <c r="M7" s="54" t="s">
        <v>2092</v>
      </c>
      <c r="N7" s="84"/>
      <c r="O7" s="84"/>
      <c r="P7" s="21"/>
      <c r="Q7" s="85" t="s">
        <v>31</v>
      </c>
      <c r="R7" s="86" t="s">
        <v>2789</v>
      </c>
      <c r="S7" s="86" t="s">
        <v>2790</v>
      </c>
      <c r="T7" s="86">
        <v>17.0</v>
      </c>
      <c r="U7" s="21"/>
      <c r="V7" s="88" t="s">
        <v>31</v>
      </c>
      <c r="W7" s="93" t="s">
        <v>2791</v>
      </c>
      <c r="X7" s="90">
        <v>32.0</v>
      </c>
      <c r="Y7" s="21"/>
      <c r="Z7" s="21"/>
      <c r="AA7" s="21"/>
      <c r="AB7" s="21"/>
      <c r="AC7" s="21"/>
      <c r="AD7" s="21"/>
      <c r="AE7" s="21"/>
      <c r="AF7" s="21"/>
      <c r="AG7" s="21"/>
      <c r="AH7" s="21"/>
    </row>
    <row r="8">
      <c r="A8" s="69"/>
      <c r="B8" s="79" t="s">
        <v>2792</v>
      </c>
      <c r="C8" s="80">
        <v>2025.0</v>
      </c>
      <c r="D8" s="79" t="s">
        <v>23</v>
      </c>
      <c r="E8" s="81" t="s">
        <v>20</v>
      </c>
      <c r="F8" s="79" t="s">
        <v>50</v>
      </c>
      <c r="G8" s="79" t="s">
        <v>52</v>
      </c>
      <c r="H8" s="82" t="s">
        <v>2793</v>
      </c>
      <c r="I8" s="83" t="s">
        <v>2794</v>
      </c>
      <c r="J8" s="21"/>
      <c r="K8" s="21"/>
      <c r="L8" s="76" t="s">
        <v>53</v>
      </c>
      <c r="M8" s="54" t="s">
        <v>2095</v>
      </c>
      <c r="N8" s="84"/>
      <c r="O8" s="84"/>
      <c r="P8" s="21"/>
      <c r="Q8" s="94"/>
      <c r="R8" s="86" t="s">
        <v>2795</v>
      </c>
      <c r="S8" s="86" t="s">
        <v>2796</v>
      </c>
      <c r="T8" s="86">
        <v>14.0</v>
      </c>
      <c r="U8" s="21"/>
      <c r="V8" s="91"/>
      <c r="W8" s="95"/>
      <c r="X8" s="91"/>
      <c r="Y8" s="21"/>
      <c r="Z8" s="21"/>
      <c r="AA8" s="21"/>
      <c r="AB8" s="21"/>
      <c r="AC8" s="21"/>
      <c r="AD8" s="21"/>
      <c r="AE8" s="21"/>
      <c r="AF8" s="21"/>
      <c r="AG8" s="21"/>
      <c r="AH8" s="21"/>
    </row>
    <row r="9">
      <c r="A9" s="69"/>
      <c r="B9" s="79" t="s">
        <v>2118</v>
      </c>
      <c r="C9" s="80">
        <v>2024.0</v>
      </c>
      <c r="D9" s="79" t="s">
        <v>23</v>
      </c>
      <c r="E9" s="81" t="s">
        <v>20</v>
      </c>
      <c r="F9" s="79" t="s">
        <v>56</v>
      </c>
      <c r="G9" s="96" t="s">
        <v>92</v>
      </c>
      <c r="H9" s="82" t="s">
        <v>680</v>
      </c>
      <c r="I9" s="82" t="s">
        <v>2797</v>
      </c>
      <c r="J9" s="21"/>
      <c r="K9" s="21"/>
      <c r="L9" s="76" t="s">
        <v>59</v>
      </c>
      <c r="M9" s="58" t="s">
        <v>2098</v>
      </c>
      <c r="N9" s="84"/>
      <c r="O9" s="84"/>
      <c r="P9" s="21"/>
      <c r="Q9" s="94"/>
      <c r="R9" s="86" t="s">
        <v>2798</v>
      </c>
      <c r="S9" s="86" t="s">
        <v>2799</v>
      </c>
      <c r="T9" s="86">
        <v>5.0</v>
      </c>
      <c r="U9" s="21"/>
      <c r="V9" s="92"/>
      <c r="W9" s="92"/>
      <c r="X9" s="21"/>
      <c r="Y9" s="21"/>
      <c r="Z9" s="21"/>
      <c r="AA9" s="21"/>
      <c r="AB9" s="21"/>
      <c r="AC9" s="21"/>
      <c r="AD9" s="21"/>
      <c r="AE9" s="21"/>
      <c r="AF9" s="21"/>
      <c r="AG9" s="21"/>
      <c r="AH9" s="21"/>
    </row>
    <row r="10">
      <c r="A10" s="69"/>
      <c r="B10" s="79" t="s">
        <v>2121</v>
      </c>
      <c r="C10" s="80">
        <v>2023.0</v>
      </c>
      <c r="D10" s="79" t="s">
        <v>23</v>
      </c>
      <c r="E10" s="81" t="s">
        <v>20</v>
      </c>
      <c r="F10" s="79" t="s">
        <v>62</v>
      </c>
      <c r="G10" s="79" t="s">
        <v>64</v>
      </c>
      <c r="H10" s="82" t="s">
        <v>698</v>
      </c>
      <c r="I10" s="83" t="s">
        <v>2800</v>
      </c>
      <c r="J10" s="21"/>
      <c r="K10" s="21"/>
      <c r="L10" s="76" t="s">
        <v>65</v>
      </c>
      <c r="M10" s="58" t="s">
        <v>2101</v>
      </c>
      <c r="N10" s="84"/>
      <c r="O10" s="84"/>
      <c r="P10" s="21"/>
      <c r="Q10" s="94"/>
      <c r="R10" s="86" t="s">
        <v>2801</v>
      </c>
      <c r="S10" s="86" t="s">
        <v>2802</v>
      </c>
      <c r="T10" s="86">
        <v>27.0</v>
      </c>
      <c r="U10" s="21"/>
      <c r="V10" s="78" t="s">
        <v>2774</v>
      </c>
      <c r="W10" s="78" t="s">
        <v>2773</v>
      </c>
      <c r="X10" s="77" t="s">
        <v>2753</v>
      </c>
      <c r="Y10" s="21"/>
      <c r="Z10" s="21"/>
      <c r="AA10" s="21"/>
      <c r="AB10" s="21"/>
      <c r="AC10" s="21"/>
      <c r="AD10" s="21"/>
      <c r="AE10" s="21"/>
      <c r="AF10" s="21"/>
      <c r="AG10" s="21"/>
      <c r="AH10" s="21"/>
    </row>
    <row r="11">
      <c r="A11" s="69"/>
      <c r="B11" s="79"/>
      <c r="C11" s="80"/>
      <c r="D11" s="79"/>
      <c r="E11" s="81"/>
      <c r="F11" s="79"/>
      <c r="G11" s="79"/>
      <c r="H11" s="97"/>
      <c r="I11" s="83"/>
      <c r="J11" s="21"/>
      <c r="K11" s="21"/>
      <c r="L11" s="76"/>
      <c r="M11" s="58"/>
      <c r="N11" s="84"/>
      <c r="O11" s="84"/>
      <c r="P11" s="21"/>
      <c r="Q11" s="94"/>
      <c r="R11" s="98" t="s">
        <v>2803</v>
      </c>
      <c r="S11" s="99" t="s">
        <v>2804</v>
      </c>
      <c r="T11" s="99">
        <v>1.0</v>
      </c>
      <c r="U11" s="21"/>
      <c r="V11" s="100"/>
      <c r="W11" s="93"/>
      <c r="X11" s="101"/>
      <c r="Y11" s="21"/>
      <c r="Z11" s="21"/>
      <c r="AA11" s="21"/>
      <c r="AB11" s="21"/>
      <c r="AC11" s="21"/>
      <c r="AD11" s="21"/>
      <c r="AE11" s="21"/>
      <c r="AF11" s="21"/>
      <c r="AG11" s="21"/>
      <c r="AH11" s="21"/>
    </row>
    <row r="12">
      <c r="A12" s="69"/>
      <c r="B12" s="79" t="s">
        <v>2123</v>
      </c>
      <c r="C12" s="80">
        <v>2025.0</v>
      </c>
      <c r="D12" s="79" t="s">
        <v>23</v>
      </c>
      <c r="E12" s="81" t="s">
        <v>20</v>
      </c>
      <c r="F12" s="79" t="s">
        <v>68</v>
      </c>
      <c r="G12" s="79" t="s">
        <v>70</v>
      </c>
      <c r="H12" s="97" t="s">
        <v>715</v>
      </c>
      <c r="I12" s="83" t="s">
        <v>2805</v>
      </c>
      <c r="J12" s="21"/>
      <c r="K12" s="21"/>
      <c r="L12" s="76" t="s">
        <v>71</v>
      </c>
      <c r="M12" s="58" t="s">
        <v>2806</v>
      </c>
      <c r="N12" s="84"/>
      <c r="O12" s="84"/>
      <c r="P12" s="21"/>
      <c r="Q12" s="91"/>
      <c r="R12" s="98" t="s">
        <v>2807</v>
      </c>
      <c r="S12" s="99" t="s">
        <v>2808</v>
      </c>
      <c r="T12" s="99">
        <v>1.0</v>
      </c>
      <c r="U12" s="21"/>
      <c r="V12" s="88" t="s">
        <v>36</v>
      </c>
      <c r="W12" s="93" t="s">
        <v>2809</v>
      </c>
      <c r="X12" s="90">
        <v>35.0</v>
      </c>
      <c r="Y12" s="21"/>
      <c r="Z12" s="21"/>
      <c r="AA12" s="21"/>
      <c r="AB12" s="21"/>
      <c r="AC12" s="21"/>
      <c r="AD12" s="21"/>
      <c r="AE12" s="21"/>
      <c r="AF12" s="21"/>
      <c r="AG12" s="21"/>
      <c r="AH12" s="21"/>
    </row>
    <row r="13" ht="40.5" customHeight="1">
      <c r="A13" s="69"/>
      <c r="B13" s="79" t="s">
        <v>2125</v>
      </c>
      <c r="C13" s="102" t="s">
        <v>74</v>
      </c>
      <c r="D13" s="84" t="s">
        <v>76</v>
      </c>
      <c r="E13" s="81" t="s">
        <v>20</v>
      </c>
      <c r="F13" s="103" t="s">
        <v>79</v>
      </c>
      <c r="G13" s="103" t="s">
        <v>81</v>
      </c>
      <c r="H13" s="97" t="s">
        <v>739</v>
      </c>
      <c r="I13" s="83" t="s">
        <v>2810</v>
      </c>
      <c r="J13" s="21"/>
      <c r="K13" s="21"/>
      <c r="L13" s="40"/>
      <c r="M13" s="30"/>
      <c r="N13" s="21"/>
      <c r="O13" s="21"/>
      <c r="P13" s="21"/>
      <c r="Q13" s="62"/>
      <c r="R13" s="62"/>
      <c r="S13" s="62"/>
      <c r="T13" s="62"/>
      <c r="U13" s="21"/>
      <c r="V13" s="91"/>
      <c r="W13" s="95"/>
      <c r="X13" s="91"/>
      <c r="Y13" s="21"/>
      <c r="Z13" s="21"/>
      <c r="AA13" s="21"/>
      <c r="AB13" s="21"/>
      <c r="AC13" s="21"/>
      <c r="AD13" s="21"/>
      <c r="AE13" s="21"/>
      <c r="AF13" s="21"/>
      <c r="AG13" s="21"/>
      <c r="AH13" s="21"/>
    </row>
    <row r="14">
      <c r="A14" s="69"/>
      <c r="B14" s="79" t="s">
        <v>2127</v>
      </c>
      <c r="C14" s="102" t="s">
        <v>86</v>
      </c>
      <c r="D14" s="84" t="s">
        <v>76</v>
      </c>
      <c r="E14" s="81" t="s">
        <v>20</v>
      </c>
      <c r="F14" s="103" t="s">
        <v>84</v>
      </c>
      <c r="G14" s="103" t="s">
        <v>87</v>
      </c>
      <c r="H14" s="97" t="s">
        <v>680</v>
      </c>
      <c r="I14" s="83" t="s">
        <v>2811</v>
      </c>
      <c r="J14" s="21"/>
      <c r="K14" s="21"/>
      <c r="L14" s="40"/>
      <c r="M14" s="30"/>
      <c r="N14" s="21"/>
      <c r="O14" s="21"/>
      <c r="P14" s="21"/>
      <c r="Q14" s="104" t="s">
        <v>2774</v>
      </c>
      <c r="R14" s="104" t="s">
        <v>2812</v>
      </c>
      <c r="S14" s="104" t="s">
        <v>2773</v>
      </c>
      <c r="T14" s="104" t="s">
        <v>2753</v>
      </c>
      <c r="U14" s="21"/>
      <c r="V14" s="92"/>
      <c r="W14" s="92"/>
      <c r="X14" s="21"/>
      <c r="Y14" s="21"/>
      <c r="Z14" s="21"/>
      <c r="AA14" s="21"/>
      <c r="AB14" s="21"/>
      <c r="AC14" s="21"/>
      <c r="AD14" s="21"/>
      <c r="AE14" s="21"/>
      <c r="AF14" s="21"/>
      <c r="AG14" s="21"/>
      <c r="AH14" s="21"/>
    </row>
    <row r="15">
      <c r="A15" s="105"/>
      <c r="B15" s="79" t="s">
        <v>2131</v>
      </c>
      <c r="C15" s="102" t="s">
        <v>97</v>
      </c>
      <c r="D15" s="84" t="s">
        <v>76</v>
      </c>
      <c r="E15" s="81" t="s">
        <v>20</v>
      </c>
      <c r="F15" s="103" t="s">
        <v>95</v>
      </c>
      <c r="G15" s="103" t="s">
        <v>98</v>
      </c>
      <c r="H15" s="97" t="s">
        <v>680</v>
      </c>
      <c r="I15" s="83" t="s">
        <v>2813</v>
      </c>
      <c r="J15" s="106" t="s">
        <v>2814</v>
      </c>
      <c r="K15" s="21"/>
      <c r="L15" s="21"/>
      <c r="M15" s="21"/>
      <c r="N15" s="21"/>
      <c r="O15" s="21"/>
      <c r="P15" s="21"/>
      <c r="Q15" s="107" t="s">
        <v>36</v>
      </c>
      <c r="R15" s="108" t="s">
        <v>2815</v>
      </c>
      <c r="S15" s="108" t="s">
        <v>2816</v>
      </c>
      <c r="T15" s="108">
        <v>11.0</v>
      </c>
      <c r="U15" s="21"/>
      <c r="V15" s="78" t="s">
        <v>2774</v>
      </c>
      <c r="W15" s="78" t="s">
        <v>2773</v>
      </c>
      <c r="X15" s="77" t="s">
        <v>2753</v>
      </c>
      <c r="Y15" s="21"/>
      <c r="Z15" s="21"/>
      <c r="AA15" s="21"/>
      <c r="AB15" s="21"/>
      <c r="AC15" s="21"/>
      <c r="AD15" s="21"/>
      <c r="AE15" s="21"/>
      <c r="AF15" s="21"/>
      <c r="AG15" s="21"/>
      <c r="AH15" s="21"/>
    </row>
    <row r="16">
      <c r="A16" s="105"/>
      <c r="B16" s="109" t="s">
        <v>2133</v>
      </c>
      <c r="C16" s="110" t="s">
        <v>97</v>
      </c>
      <c r="D16" s="111" t="s">
        <v>76</v>
      </c>
      <c r="E16" s="81" t="s">
        <v>20</v>
      </c>
      <c r="F16" s="103" t="s">
        <v>100</v>
      </c>
      <c r="G16" s="103" t="s">
        <v>102</v>
      </c>
      <c r="H16" s="97" t="s">
        <v>2817</v>
      </c>
      <c r="I16" s="83" t="s">
        <v>2818</v>
      </c>
      <c r="J16" s="106"/>
      <c r="K16" s="106"/>
      <c r="L16" s="21"/>
      <c r="M16" s="21"/>
      <c r="N16" s="21"/>
      <c r="O16" s="21"/>
      <c r="P16" s="21"/>
      <c r="Q16" s="94"/>
      <c r="R16" s="108" t="s">
        <v>2819</v>
      </c>
      <c r="S16" s="108" t="s">
        <v>2820</v>
      </c>
      <c r="T16" s="108">
        <v>17.0</v>
      </c>
      <c r="U16" s="21"/>
      <c r="V16" s="88" t="s">
        <v>41</v>
      </c>
      <c r="W16" s="93" t="s">
        <v>2821</v>
      </c>
      <c r="X16" s="90">
        <v>25.0</v>
      </c>
      <c r="Y16" s="21"/>
      <c r="Z16" s="21"/>
      <c r="AA16" s="21"/>
      <c r="AB16" s="21"/>
      <c r="AC16" s="21"/>
      <c r="AD16" s="21"/>
      <c r="AE16" s="21"/>
      <c r="AF16" s="21"/>
      <c r="AG16" s="21"/>
      <c r="AH16" s="21"/>
    </row>
    <row r="17">
      <c r="A17" s="105"/>
      <c r="B17" s="109" t="s">
        <v>2135</v>
      </c>
      <c r="C17" s="110" t="s">
        <v>97</v>
      </c>
      <c r="D17" s="111" t="s">
        <v>76</v>
      </c>
      <c r="E17" s="81" t="s">
        <v>20</v>
      </c>
      <c r="F17" s="103" t="s">
        <v>104</v>
      </c>
      <c r="G17" s="103" t="s">
        <v>106</v>
      </c>
      <c r="H17" s="97" t="s">
        <v>849</v>
      </c>
      <c r="I17" s="83" t="s">
        <v>2822</v>
      </c>
      <c r="J17" s="32"/>
      <c r="K17" s="32"/>
      <c r="L17" s="21"/>
      <c r="M17" s="21"/>
      <c r="N17" s="21"/>
      <c r="O17" s="21"/>
      <c r="P17" s="21"/>
      <c r="Q17" s="94"/>
      <c r="R17" s="108" t="s">
        <v>2823</v>
      </c>
      <c r="S17" s="108" t="s">
        <v>2824</v>
      </c>
      <c r="T17" s="108">
        <v>48.0</v>
      </c>
      <c r="U17" s="21"/>
      <c r="V17" s="91"/>
      <c r="W17" s="91"/>
      <c r="X17" s="91"/>
      <c r="Y17" s="21"/>
      <c r="Z17" s="21"/>
      <c r="AA17" s="21"/>
      <c r="AB17" s="21"/>
      <c r="AC17" s="21"/>
      <c r="AD17" s="21"/>
      <c r="AE17" s="21"/>
      <c r="AF17" s="21"/>
      <c r="AG17" s="21"/>
      <c r="AH17" s="21"/>
    </row>
    <row r="18">
      <c r="A18" s="105"/>
      <c r="B18" s="109" t="s">
        <v>2137</v>
      </c>
      <c r="C18" s="110" t="s">
        <v>110</v>
      </c>
      <c r="D18" s="111" t="s">
        <v>76</v>
      </c>
      <c r="E18" s="81" t="s">
        <v>20</v>
      </c>
      <c r="F18" s="103" t="s">
        <v>108</v>
      </c>
      <c r="G18" s="103" t="s">
        <v>111</v>
      </c>
      <c r="H18" s="97" t="s">
        <v>680</v>
      </c>
      <c r="I18" s="83" t="s">
        <v>2825</v>
      </c>
      <c r="J18" s="21"/>
      <c r="K18" s="21"/>
      <c r="L18" s="21"/>
      <c r="M18" s="21"/>
      <c r="N18" s="21"/>
      <c r="O18" s="21"/>
      <c r="P18" s="21"/>
      <c r="Q18" s="91"/>
      <c r="R18" s="108" t="s">
        <v>2826</v>
      </c>
      <c r="S18" s="108" t="s">
        <v>2827</v>
      </c>
      <c r="T18" s="108">
        <v>19.0</v>
      </c>
      <c r="U18" s="21"/>
      <c r="V18" s="92"/>
      <c r="W18" s="92"/>
      <c r="X18" s="21"/>
      <c r="Y18" s="21"/>
      <c r="Z18" s="21"/>
      <c r="AA18" s="21"/>
      <c r="AB18" s="21"/>
      <c r="AC18" s="21"/>
      <c r="AD18" s="21"/>
      <c r="AE18" s="21"/>
      <c r="AF18" s="21"/>
      <c r="AG18" s="21"/>
      <c r="AH18" s="21"/>
    </row>
    <row r="19">
      <c r="A19" s="105"/>
      <c r="B19" s="109" t="s">
        <v>2140</v>
      </c>
      <c r="C19" s="110" t="s">
        <v>115</v>
      </c>
      <c r="D19" s="111" t="s">
        <v>76</v>
      </c>
      <c r="E19" s="81" t="s">
        <v>20</v>
      </c>
      <c r="F19" s="103" t="s">
        <v>113</v>
      </c>
      <c r="G19" s="103" t="s">
        <v>116</v>
      </c>
      <c r="H19" s="97" t="s">
        <v>528</v>
      </c>
      <c r="I19" s="83" t="s">
        <v>2828</v>
      </c>
      <c r="J19" s="21"/>
      <c r="K19" s="21"/>
      <c r="L19" s="21"/>
      <c r="M19" s="21"/>
      <c r="N19" s="21"/>
      <c r="O19" s="21"/>
      <c r="P19" s="21"/>
      <c r="Q19" s="21"/>
      <c r="R19" s="21"/>
      <c r="S19" s="21"/>
      <c r="T19" s="21"/>
      <c r="U19" s="21"/>
      <c r="V19" s="92"/>
      <c r="W19" s="92"/>
      <c r="X19" s="21"/>
      <c r="Y19" s="21"/>
      <c r="Z19" s="21"/>
      <c r="AA19" s="21"/>
      <c r="AB19" s="21"/>
      <c r="AC19" s="21"/>
      <c r="AD19" s="21"/>
      <c r="AE19" s="21"/>
      <c r="AF19" s="21"/>
      <c r="AG19" s="21"/>
      <c r="AH19" s="21"/>
    </row>
    <row r="20">
      <c r="A20" s="105"/>
      <c r="B20" s="109" t="s">
        <v>2142</v>
      </c>
      <c r="C20" s="110" t="s">
        <v>91</v>
      </c>
      <c r="D20" s="111" t="s">
        <v>76</v>
      </c>
      <c r="E20" s="81" t="s">
        <v>20</v>
      </c>
      <c r="F20" s="103" t="s">
        <v>118</v>
      </c>
      <c r="G20" s="103" t="s">
        <v>120</v>
      </c>
      <c r="H20" s="97" t="s">
        <v>528</v>
      </c>
      <c r="I20" s="83" t="s">
        <v>2829</v>
      </c>
      <c r="J20" s="21"/>
      <c r="K20" s="21"/>
      <c r="L20" s="21"/>
      <c r="M20" s="21"/>
      <c r="N20" s="21"/>
      <c r="O20" s="21"/>
      <c r="P20" s="21"/>
      <c r="Q20" s="104" t="s">
        <v>2774</v>
      </c>
      <c r="R20" s="104" t="s">
        <v>2830</v>
      </c>
      <c r="S20" s="104" t="s">
        <v>2773</v>
      </c>
      <c r="T20" s="112" t="s">
        <v>2753</v>
      </c>
      <c r="U20" s="21"/>
      <c r="V20" s="92"/>
      <c r="W20" s="92"/>
      <c r="X20" s="21"/>
      <c r="Y20" s="21"/>
      <c r="Z20" s="21"/>
      <c r="AA20" s="21"/>
      <c r="AB20" s="21"/>
      <c r="AC20" s="21"/>
      <c r="AD20" s="21"/>
      <c r="AE20" s="21"/>
      <c r="AF20" s="21"/>
      <c r="AG20" s="21"/>
      <c r="AH20" s="21"/>
    </row>
    <row r="21">
      <c r="A21" s="105"/>
      <c r="B21" s="109" t="s">
        <v>2144</v>
      </c>
      <c r="C21" s="110" t="s">
        <v>97</v>
      </c>
      <c r="D21" s="111" t="s">
        <v>76</v>
      </c>
      <c r="E21" s="81" t="s">
        <v>20</v>
      </c>
      <c r="F21" s="103" t="s">
        <v>122</v>
      </c>
      <c r="G21" s="103" t="s">
        <v>124</v>
      </c>
      <c r="H21" s="97" t="s">
        <v>2831</v>
      </c>
      <c r="I21" s="83" t="s">
        <v>2832</v>
      </c>
      <c r="J21" s="21"/>
      <c r="K21" s="21"/>
      <c r="L21" s="21"/>
      <c r="M21" s="21"/>
      <c r="N21" s="21"/>
      <c r="O21" s="21"/>
      <c r="P21" s="21"/>
      <c r="Q21" s="107" t="s">
        <v>41</v>
      </c>
      <c r="R21" s="108" t="s">
        <v>2833</v>
      </c>
      <c r="S21" s="108" t="s">
        <v>2834</v>
      </c>
      <c r="T21" s="113">
        <v>7.0</v>
      </c>
      <c r="U21" s="21"/>
      <c r="V21" s="92"/>
      <c r="W21" s="92"/>
      <c r="X21" s="21"/>
      <c r="Y21" s="21"/>
      <c r="Z21" s="21"/>
      <c r="AA21" s="21"/>
      <c r="AB21" s="21"/>
      <c r="AC21" s="21"/>
      <c r="AD21" s="21"/>
      <c r="AE21" s="21"/>
      <c r="AF21" s="21"/>
      <c r="AG21" s="21"/>
      <c r="AH21" s="21"/>
    </row>
    <row r="22">
      <c r="A22" s="105"/>
      <c r="B22" s="109" t="s">
        <v>2146</v>
      </c>
      <c r="C22" s="110" t="s">
        <v>91</v>
      </c>
      <c r="D22" s="111" t="s">
        <v>76</v>
      </c>
      <c r="E22" s="81" t="s">
        <v>20</v>
      </c>
      <c r="F22" s="103" t="s">
        <v>126</v>
      </c>
      <c r="G22" s="103" t="s">
        <v>128</v>
      </c>
      <c r="H22" s="97" t="s">
        <v>2835</v>
      </c>
      <c r="I22" s="83" t="s">
        <v>2836</v>
      </c>
      <c r="J22" s="21"/>
      <c r="K22" s="21"/>
      <c r="L22" s="21"/>
      <c r="M22" s="21"/>
      <c r="N22" s="21"/>
      <c r="O22" s="21"/>
      <c r="P22" s="21"/>
      <c r="Q22" s="94"/>
      <c r="R22" s="108" t="s">
        <v>2837</v>
      </c>
      <c r="S22" s="108" t="s">
        <v>2838</v>
      </c>
      <c r="T22" s="113">
        <v>13.0</v>
      </c>
      <c r="U22" s="21"/>
      <c r="V22" s="92"/>
      <c r="W22" s="92"/>
      <c r="X22" s="21"/>
      <c r="Y22" s="21"/>
      <c r="Z22" s="21"/>
      <c r="AA22" s="21"/>
      <c r="AB22" s="21"/>
      <c r="AC22" s="21"/>
      <c r="AD22" s="21"/>
      <c r="AE22" s="21"/>
      <c r="AF22" s="21"/>
      <c r="AG22" s="21"/>
      <c r="AH22" s="21"/>
    </row>
    <row r="23">
      <c r="A23" s="105"/>
      <c r="B23" s="109" t="s">
        <v>2148</v>
      </c>
      <c r="C23" s="110" t="s">
        <v>97</v>
      </c>
      <c r="D23" s="111" t="s">
        <v>76</v>
      </c>
      <c r="E23" s="81" t="s">
        <v>20</v>
      </c>
      <c r="F23" s="103" t="s">
        <v>130</v>
      </c>
      <c r="G23" s="103" t="s">
        <v>132</v>
      </c>
      <c r="H23" s="97" t="s">
        <v>998</v>
      </c>
      <c r="I23" s="83" t="s">
        <v>2839</v>
      </c>
      <c r="J23" s="21"/>
      <c r="K23" s="21"/>
      <c r="L23" s="21"/>
      <c r="M23" s="21"/>
      <c r="N23" s="21"/>
      <c r="O23" s="21"/>
      <c r="P23" s="21"/>
      <c r="Q23" s="91"/>
      <c r="R23" s="108" t="s">
        <v>2840</v>
      </c>
      <c r="S23" s="108" t="s">
        <v>2841</v>
      </c>
      <c r="T23" s="108">
        <v>7.0</v>
      </c>
      <c r="U23" s="21"/>
      <c r="V23" s="92"/>
      <c r="W23" s="92"/>
      <c r="X23" s="21"/>
      <c r="Y23" s="21"/>
      <c r="Z23" s="21"/>
      <c r="AA23" s="21"/>
      <c r="AB23" s="21"/>
      <c r="AC23" s="21"/>
      <c r="AD23" s="21"/>
      <c r="AE23" s="21"/>
      <c r="AF23" s="21"/>
      <c r="AG23" s="21"/>
      <c r="AH23" s="21"/>
    </row>
    <row r="24" ht="36.75" customHeight="1">
      <c r="A24" s="105"/>
      <c r="B24" s="109" t="s">
        <v>2150</v>
      </c>
      <c r="C24" s="110" t="s">
        <v>97</v>
      </c>
      <c r="D24" s="111" t="s">
        <v>76</v>
      </c>
      <c r="E24" s="81" t="s">
        <v>20</v>
      </c>
      <c r="F24" s="103" t="s">
        <v>134</v>
      </c>
      <c r="G24" s="103" t="s">
        <v>136</v>
      </c>
      <c r="H24" s="97" t="s">
        <v>1021</v>
      </c>
      <c r="I24" s="83" t="s">
        <v>2842</v>
      </c>
      <c r="J24" s="21"/>
      <c r="K24" s="21"/>
      <c r="L24" s="21"/>
      <c r="M24" s="21"/>
      <c r="N24" s="21"/>
      <c r="O24" s="21"/>
      <c r="P24" s="21"/>
      <c r="Q24" s="108"/>
      <c r="R24" s="108" t="s">
        <v>2843</v>
      </c>
      <c r="S24" s="108" t="s">
        <v>2816</v>
      </c>
      <c r="T24" s="108">
        <v>11.0</v>
      </c>
      <c r="U24" s="21"/>
      <c r="V24" s="92"/>
      <c r="W24" s="92"/>
      <c r="X24" s="21"/>
      <c r="Y24" s="21"/>
      <c r="Z24" s="21"/>
      <c r="AA24" s="21"/>
      <c r="AB24" s="21"/>
      <c r="AC24" s="21"/>
      <c r="AD24" s="21"/>
      <c r="AE24" s="21"/>
      <c r="AF24" s="21"/>
      <c r="AG24" s="21"/>
      <c r="AH24" s="21"/>
    </row>
    <row r="25">
      <c r="A25" s="114" t="s">
        <v>137</v>
      </c>
      <c r="B25" s="109" t="s">
        <v>2152</v>
      </c>
      <c r="C25" s="110" t="s">
        <v>91</v>
      </c>
      <c r="D25" s="111" t="s">
        <v>76</v>
      </c>
      <c r="E25" s="81" t="s">
        <v>20</v>
      </c>
      <c r="F25" s="103" t="s">
        <v>138</v>
      </c>
      <c r="G25" s="103" t="s">
        <v>140</v>
      </c>
      <c r="H25" s="97" t="s">
        <v>680</v>
      </c>
      <c r="I25" s="83" t="s">
        <v>2844</v>
      </c>
      <c r="J25" s="21"/>
      <c r="K25" s="21"/>
      <c r="L25" s="21"/>
      <c r="M25" s="21"/>
      <c r="N25" s="21"/>
      <c r="O25" s="21"/>
      <c r="P25" s="21"/>
      <c r="Q25" s="21"/>
      <c r="R25" s="21"/>
      <c r="S25" s="21"/>
      <c r="T25" s="21"/>
      <c r="U25" s="21"/>
      <c r="V25" s="92"/>
      <c r="W25" s="92"/>
      <c r="X25" s="21"/>
      <c r="Y25" s="21"/>
      <c r="Z25" s="21"/>
      <c r="AA25" s="21"/>
      <c r="AB25" s="21"/>
      <c r="AC25" s="21"/>
      <c r="AD25" s="21"/>
      <c r="AE25" s="21"/>
      <c r="AF25" s="21"/>
      <c r="AG25" s="21"/>
      <c r="AH25" s="21"/>
    </row>
    <row r="26">
      <c r="A26" s="114" t="s">
        <v>141</v>
      </c>
      <c r="B26" s="109" t="s">
        <v>2845</v>
      </c>
      <c r="C26" s="110" t="s">
        <v>91</v>
      </c>
      <c r="D26" s="111" t="s">
        <v>76</v>
      </c>
      <c r="E26" s="81" t="s">
        <v>20</v>
      </c>
      <c r="F26" s="103" t="s">
        <v>142</v>
      </c>
      <c r="G26" s="103" t="s">
        <v>144</v>
      </c>
      <c r="H26" s="97" t="s">
        <v>680</v>
      </c>
      <c r="I26" s="83" t="s">
        <v>2846</v>
      </c>
      <c r="J26" s="21"/>
      <c r="K26" s="21"/>
      <c r="L26" s="21"/>
      <c r="M26" s="21"/>
      <c r="N26" s="21"/>
      <c r="O26" s="21"/>
      <c r="P26" s="21"/>
      <c r="Q26" s="104" t="s">
        <v>2774</v>
      </c>
      <c r="R26" s="104" t="s">
        <v>2847</v>
      </c>
      <c r="S26" s="104" t="s">
        <v>2773</v>
      </c>
      <c r="T26" s="104" t="s">
        <v>2753</v>
      </c>
      <c r="U26" s="21"/>
      <c r="V26" s="92"/>
      <c r="W26" s="92"/>
      <c r="X26" s="21"/>
      <c r="Y26" s="21"/>
      <c r="Z26" s="21"/>
      <c r="AA26" s="21"/>
      <c r="AB26" s="21"/>
      <c r="AC26" s="21"/>
      <c r="AD26" s="21"/>
      <c r="AE26" s="21"/>
      <c r="AF26" s="21"/>
      <c r="AG26" s="21"/>
      <c r="AH26" s="21"/>
    </row>
    <row r="27">
      <c r="A27" s="114" t="s">
        <v>148</v>
      </c>
      <c r="B27" s="109" t="s">
        <v>2848</v>
      </c>
      <c r="C27" s="115">
        <v>2020.0</v>
      </c>
      <c r="D27" s="109" t="s">
        <v>152</v>
      </c>
      <c r="E27" s="81" t="s">
        <v>1057</v>
      </c>
      <c r="F27" s="79" t="s">
        <v>149</v>
      </c>
      <c r="G27" s="79" t="s">
        <v>151</v>
      </c>
      <c r="H27" s="97" t="s">
        <v>1059</v>
      </c>
      <c r="I27" s="83" t="s">
        <v>2849</v>
      </c>
      <c r="J27" s="21"/>
      <c r="K27" s="21"/>
      <c r="L27" s="21"/>
      <c r="M27" s="21"/>
      <c r="N27" s="21"/>
      <c r="O27" s="21"/>
      <c r="P27" s="21"/>
      <c r="Q27" s="107" t="s">
        <v>47</v>
      </c>
      <c r="R27" s="108" t="s">
        <v>2850</v>
      </c>
      <c r="S27" s="108" t="s">
        <v>2851</v>
      </c>
      <c r="T27" s="108">
        <v>13.0</v>
      </c>
      <c r="U27" s="21"/>
      <c r="V27" s="78" t="s">
        <v>2774</v>
      </c>
      <c r="W27" s="78" t="s">
        <v>2773</v>
      </c>
      <c r="X27" s="77" t="s">
        <v>2753</v>
      </c>
      <c r="Y27" s="21"/>
      <c r="Z27" s="21"/>
      <c r="AA27" s="21"/>
      <c r="AB27" s="21"/>
      <c r="AC27" s="21"/>
      <c r="AD27" s="21"/>
      <c r="AE27" s="21"/>
      <c r="AF27" s="21"/>
      <c r="AG27" s="21"/>
      <c r="AH27" s="21"/>
    </row>
    <row r="28">
      <c r="A28" s="114" t="s">
        <v>153</v>
      </c>
      <c r="B28" s="109" t="s">
        <v>2852</v>
      </c>
      <c r="C28" s="115">
        <v>2024.0</v>
      </c>
      <c r="D28" s="109" t="s">
        <v>152</v>
      </c>
      <c r="E28" s="81" t="s">
        <v>1057</v>
      </c>
      <c r="F28" s="79" t="s">
        <v>154</v>
      </c>
      <c r="G28" s="79" t="s">
        <v>156</v>
      </c>
      <c r="H28" s="97" t="s">
        <v>528</v>
      </c>
      <c r="I28" s="83" t="s">
        <v>2853</v>
      </c>
      <c r="J28" s="21"/>
      <c r="K28" s="21"/>
      <c r="L28" s="21"/>
      <c r="M28" s="21"/>
      <c r="N28" s="21"/>
      <c r="O28" s="21"/>
      <c r="P28" s="21"/>
      <c r="Q28" s="94"/>
      <c r="R28" s="108" t="s">
        <v>2854</v>
      </c>
      <c r="S28" s="108" t="s">
        <v>2855</v>
      </c>
      <c r="T28" s="108">
        <v>16.0</v>
      </c>
      <c r="U28" s="21"/>
      <c r="V28" s="88" t="s">
        <v>47</v>
      </c>
      <c r="W28" s="116" t="s">
        <v>2856</v>
      </c>
      <c r="X28" s="90">
        <v>17.0</v>
      </c>
      <c r="Y28" s="21"/>
      <c r="Z28" s="21"/>
      <c r="AA28" s="21"/>
      <c r="AB28" s="21"/>
      <c r="AC28" s="21"/>
      <c r="AD28" s="21"/>
      <c r="AE28" s="21"/>
      <c r="AF28" s="21"/>
      <c r="AG28" s="21"/>
      <c r="AH28" s="21"/>
    </row>
    <row r="29">
      <c r="A29" s="114" t="s">
        <v>157</v>
      </c>
      <c r="B29" s="109" t="s">
        <v>2857</v>
      </c>
      <c r="C29" s="115">
        <v>2025.0</v>
      </c>
      <c r="D29" s="109" t="s">
        <v>152</v>
      </c>
      <c r="E29" s="81" t="s">
        <v>1057</v>
      </c>
      <c r="F29" s="79" t="s">
        <v>158</v>
      </c>
      <c r="G29" s="79" t="s">
        <v>160</v>
      </c>
      <c r="H29" s="97" t="s">
        <v>1021</v>
      </c>
      <c r="I29" s="83" t="s">
        <v>2858</v>
      </c>
      <c r="J29" s="21"/>
      <c r="K29" s="21"/>
      <c r="L29" s="21"/>
      <c r="M29" s="21"/>
      <c r="N29" s="21"/>
      <c r="O29" s="21"/>
      <c r="P29" s="21"/>
      <c r="Q29" s="91"/>
      <c r="R29" s="108" t="s">
        <v>2859</v>
      </c>
      <c r="S29" s="108" t="s">
        <v>2860</v>
      </c>
      <c r="T29" s="108">
        <v>2.0</v>
      </c>
      <c r="U29" s="21"/>
      <c r="V29" s="91"/>
      <c r="W29" s="117"/>
      <c r="X29" s="91"/>
      <c r="Y29" s="21"/>
      <c r="Z29" s="21"/>
      <c r="AA29" s="21"/>
      <c r="AB29" s="21"/>
      <c r="AC29" s="21"/>
      <c r="AD29" s="21"/>
      <c r="AE29" s="21"/>
      <c r="AF29" s="21"/>
      <c r="AG29" s="21"/>
      <c r="AH29" s="21"/>
    </row>
    <row r="30">
      <c r="A30" s="114" t="s">
        <v>161</v>
      </c>
      <c r="B30" s="109" t="s">
        <v>2861</v>
      </c>
      <c r="C30" s="115">
        <v>2021.0</v>
      </c>
      <c r="D30" s="109" t="s">
        <v>152</v>
      </c>
      <c r="E30" s="81" t="s">
        <v>1057</v>
      </c>
      <c r="F30" s="79" t="s">
        <v>162</v>
      </c>
      <c r="G30" s="79" t="s">
        <v>164</v>
      </c>
      <c r="H30" s="97" t="s">
        <v>1021</v>
      </c>
      <c r="I30" s="83" t="s">
        <v>2862</v>
      </c>
      <c r="J30" s="21"/>
      <c r="K30" s="21"/>
      <c r="L30" s="21"/>
      <c r="M30" s="21"/>
      <c r="N30" s="21"/>
      <c r="O30" s="21"/>
      <c r="P30" s="21"/>
      <c r="Q30" s="21"/>
      <c r="R30" s="21"/>
      <c r="S30" s="21"/>
      <c r="T30" s="21"/>
      <c r="U30" s="21"/>
      <c r="V30" s="92"/>
      <c r="W30" s="92"/>
      <c r="X30" s="21"/>
      <c r="Y30" s="21"/>
      <c r="Z30" s="21"/>
      <c r="AA30" s="21"/>
      <c r="AB30" s="21"/>
      <c r="AC30" s="21"/>
      <c r="AD30" s="21"/>
      <c r="AE30" s="21"/>
      <c r="AF30" s="21"/>
      <c r="AG30" s="21"/>
      <c r="AH30" s="21"/>
    </row>
    <row r="31">
      <c r="A31" s="114" t="s">
        <v>165</v>
      </c>
      <c r="B31" s="109" t="s">
        <v>2863</v>
      </c>
      <c r="C31" s="115">
        <v>2025.0</v>
      </c>
      <c r="D31" s="109" t="s">
        <v>152</v>
      </c>
      <c r="E31" s="81" t="s">
        <v>1057</v>
      </c>
      <c r="F31" s="79" t="s">
        <v>166</v>
      </c>
      <c r="G31" s="79" t="s">
        <v>168</v>
      </c>
      <c r="H31" s="97" t="s">
        <v>1021</v>
      </c>
      <c r="I31" s="83" t="s">
        <v>2864</v>
      </c>
      <c r="J31" s="21"/>
      <c r="K31" s="21"/>
      <c r="L31" s="21"/>
      <c r="M31" s="21"/>
      <c r="N31" s="21"/>
      <c r="O31" s="21"/>
      <c r="P31" s="21"/>
      <c r="Q31" s="104" t="s">
        <v>2774</v>
      </c>
      <c r="R31" s="104" t="s">
        <v>2865</v>
      </c>
      <c r="S31" s="104" t="s">
        <v>2773</v>
      </c>
      <c r="T31" s="104" t="s">
        <v>2753</v>
      </c>
      <c r="U31" s="21"/>
      <c r="V31" s="92"/>
      <c r="W31" s="92"/>
      <c r="X31" s="21"/>
      <c r="Y31" s="21"/>
      <c r="Z31" s="21"/>
      <c r="AA31" s="21"/>
      <c r="AB31" s="21"/>
      <c r="AC31" s="21"/>
      <c r="AD31" s="21"/>
      <c r="AE31" s="21"/>
      <c r="AF31" s="21"/>
      <c r="AG31" s="21"/>
      <c r="AH31" s="21"/>
    </row>
    <row r="32">
      <c r="A32" s="114" t="s">
        <v>169</v>
      </c>
      <c r="B32" s="109" t="s">
        <v>2866</v>
      </c>
      <c r="C32" s="115">
        <v>2025.0</v>
      </c>
      <c r="D32" s="109" t="s">
        <v>152</v>
      </c>
      <c r="E32" s="81" t="s">
        <v>1057</v>
      </c>
      <c r="F32" s="79" t="s">
        <v>170</v>
      </c>
      <c r="G32" s="79" t="s">
        <v>172</v>
      </c>
      <c r="H32" s="97" t="s">
        <v>680</v>
      </c>
      <c r="I32" s="83" t="s">
        <v>2867</v>
      </c>
      <c r="J32" s="21"/>
      <c r="K32" s="21"/>
      <c r="L32" s="21"/>
      <c r="M32" s="21"/>
      <c r="N32" s="21"/>
      <c r="O32" s="21"/>
      <c r="P32" s="21"/>
      <c r="Q32" s="107" t="s">
        <v>53</v>
      </c>
      <c r="R32" s="108" t="s">
        <v>2868</v>
      </c>
      <c r="S32" s="108" t="s">
        <v>2869</v>
      </c>
      <c r="T32" s="108">
        <v>9.0</v>
      </c>
      <c r="U32" s="21"/>
      <c r="V32" s="78" t="s">
        <v>2774</v>
      </c>
      <c r="W32" s="78" t="s">
        <v>2773</v>
      </c>
      <c r="X32" s="77" t="s">
        <v>2753</v>
      </c>
      <c r="Y32" s="21"/>
      <c r="Z32" s="21"/>
      <c r="AA32" s="21"/>
      <c r="AB32" s="21"/>
      <c r="AC32" s="21"/>
      <c r="AD32" s="21"/>
      <c r="AE32" s="21"/>
      <c r="AF32" s="21"/>
      <c r="AG32" s="21"/>
      <c r="AH32" s="21"/>
    </row>
    <row r="33">
      <c r="A33" s="114" t="s">
        <v>176</v>
      </c>
      <c r="B33" s="109" t="s">
        <v>2870</v>
      </c>
      <c r="C33" s="115">
        <v>2024.0</v>
      </c>
      <c r="D33" s="109" t="s">
        <v>152</v>
      </c>
      <c r="E33" s="81" t="s">
        <v>1057</v>
      </c>
      <c r="F33" s="79" t="s">
        <v>177</v>
      </c>
      <c r="G33" s="79" t="s">
        <v>179</v>
      </c>
      <c r="H33" s="97" t="s">
        <v>528</v>
      </c>
      <c r="I33" s="83" t="s">
        <v>2871</v>
      </c>
      <c r="J33" s="21"/>
      <c r="K33" s="21"/>
      <c r="L33" s="21"/>
      <c r="M33" s="21"/>
      <c r="N33" s="21"/>
      <c r="O33" s="21"/>
      <c r="P33" s="21"/>
      <c r="Q33" s="94"/>
      <c r="R33" s="108" t="s">
        <v>2872</v>
      </c>
      <c r="S33" s="108" t="s">
        <v>2873</v>
      </c>
      <c r="T33" s="108">
        <v>10.0</v>
      </c>
      <c r="U33" s="21"/>
      <c r="V33" s="88" t="s">
        <v>53</v>
      </c>
      <c r="W33" s="116" t="s">
        <v>2874</v>
      </c>
      <c r="X33" s="90">
        <v>10.0</v>
      </c>
      <c r="Y33" s="21"/>
      <c r="Z33" s="21"/>
      <c r="AA33" s="21"/>
      <c r="AB33" s="21"/>
      <c r="AC33" s="21"/>
      <c r="AD33" s="21"/>
      <c r="AE33" s="21"/>
      <c r="AF33" s="21"/>
      <c r="AG33" s="21"/>
      <c r="AH33" s="21"/>
    </row>
    <row r="34">
      <c r="A34" s="114" t="s">
        <v>183</v>
      </c>
      <c r="B34" s="109" t="s">
        <v>2875</v>
      </c>
      <c r="C34" s="115">
        <v>2025.0</v>
      </c>
      <c r="D34" s="109" t="s">
        <v>152</v>
      </c>
      <c r="E34" s="81" t="s">
        <v>20</v>
      </c>
      <c r="F34" s="79" t="s">
        <v>184</v>
      </c>
      <c r="G34" s="79" t="s">
        <v>186</v>
      </c>
      <c r="H34" s="97" t="s">
        <v>528</v>
      </c>
      <c r="I34" s="83" t="s">
        <v>2876</v>
      </c>
      <c r="J34" s="21"/>
      <c r="K34" s="21"/>
      <c r="L34" s="21"/>
      <c r="M34" s="21"/>
      <c r="N34" s="21"/>
      <c r="O34" s="21"/>
      <c r="P34" s="21"/>
      <c r="Q34" s="91"/>
      <c r="R34" s="108" t="s">
        <v>2877</v>
      </c>
      <c r="S34" s="108" t="s">
        <v>2878</v>
      </c>
      <c r="T34" s="108">
        <v>7.0</v>
      </c>
      <c r="U34" s="21"/>
      <c r="V34" s="91"/>
      <c r="W34" s="117"/>
      <c r="X34" s="91"/>
      <c r="Y34" s="21"/>
      <c r="Z34" s="21"/>
      <c r="AA34" s="21"/>
      <c r="AB34" s="21"/>
      <c r="AC34" s="21"/>
      <c r="AD34" s="21"/>
      <c r="AE34" s="21"/>
      <c r="AF34" s="21"/>
      <c r="AG34" s="21"/>
      <c r="AH34" s="21"/>
    </row>
    <row r="35">
      <c r="A35" s="114" t="s">
        <v>187</v>
      </c>
      <c r="B35" s="109" t="s">
        <v>2879</v>
      </c>
      <c r="C35" s="115">
        <v>2024.0</v>
      </c>
      <c r="D35" s="109" t="s">
        <v>152</v>
      </c>
      <c r="E35" s="81" t="s">
        <v>1057</v>
      </c>
      <c r="F35" s="79" t="s">
        <v>188</v>
      </c>
      <c r="G35" s="79" t="s">
        <v>190</v>
      </c>
      <c r="H35" s="97" t="s">
        <v>1279</v>
      </c>
      <c r="I35" s="83" t="s">
        <v>2880</v>
      </c>
      <c r="J35" s="21"/>
      <c r="K35" s="21"/>
      <c r="L35" s="21"/>
      <c r="M35" s="21"/>
      <c r="N35" s="21"/>
      <c r="O35" s="21"/>
      <c r="P35" s="21"/>
      <c r="Q35" s="21"/>
      <c r="R35" s="21"/>
      <c r="S35" s="21"/>
      <c r="T35" s="21"/>
      <c r="U35" s="21"/>
      <c r="V35" s="92"/>
      <c r="W35" s="92"/>
      <c r="X35" s="21"/>
      <c r="Y35" s="21"/>
      <c r="Z35" s="21"/>
      <c r="AA35" s="21"/>
      <c r="AB35" s="21"/>
      <c r="AC35" s="21"/>
      <c r="AD35" s="21"/>
      <c r="AE35" s="21"/>
      <c r="AF35" s="21"/>
      <c r="AG35" s="21"/>
      <c r="AH35" s="21"/>
    </row>
    <row r="36">
      <c r="A36" s="114" t="s">
        <v>191</v>
      </c>
      <c r="B36" s="109" t="s">
        <v>2881</v>
      </c>
      <c r="C36" s="115">
        <v>2021.0</v>
      </c>
      <c r="D36" s="109" t="s">
        <v>152</v>
      </c>
      <c r="E36" s="81" t="s">
        <v>1057</v>
      </c>
      <c r="F36" s="79" t="s">
        <v>192</v>
      </c>
      <c r="G36" s="79" t="s">
        <v>194</v>
      </c>
      <c r="H36" s="97" t="s">
        <v>528</v>
      </c>
      <c r="I36" s="83" t="s">
        <v>2882</v>
      </c>
      <c r="J36" s="21"/>
      <c r="K36" s="21"/>
      <c r="L36" s="21"/>
      <c r="M36" s="21"/>
      <c r="N36" s="21"/>
      <c r="O36" s="21"/>
      <c r="P36" s="21"/>
      <c r="Q36" s="104" t="s">
        <v>2774</v>
      </c>
      <c r="R36" s="104" t="s">
        <v>2883</v>
      </c>
      <c r="S36" s="104" t="s">
        <v>2773</v>
      </c>
      <c r="T36" s="104" t="s">
        <v>2753</v>
      </c>
      <c r="U36" s="21"/>
      <c r="V36" s="78" t="s">
        <v>2774</v>
      </c>
      <c r="W36" s="78" t="s">
        <v>2773</v>
      </c>
      <c r="X36" s="77" t="s">
        <v>2753</v>
      </c>
      <c r="Y36" s="21"/>
      <c r="Z36" s="21"/>
      <c r="AA36" s="21"/>
      <c r="AB36" s="21"/>
      <c r="AC36" s="21"/>
      <c r="AD36" s="21"/>
      <c r="AE36" s="21"/>
      <c r="AF36" s="21"/>
      <c r="AG36" s="21"/>
      <c r="AH36" s="21"/>
    </row>
    <row r="37">
      <c r="A37" s="114" t="s">
        <v>195</v>
      </c>
      <c r="B37" s="109" t="s">
        <v>2884</v>
      </c>
      <c r="C37" s="115">
        <v>2024.0</v>
      </c>
      <c r="D37" s="109" t="s">
        <v>152</v>
      </c>
      <c r="E37" s="81" t="s">
        <v>1057</v>
      </c>
      <c r="F37" s="79" t="s">
        <v>196</v>
      </c>
      <c r="G37" s="79" t="s">
        <v>198</v>
      </c>
      <c r="H37" s="97" t="s">
        <v>1279</v>
      </c>
      <c r="I37" s="83" t="s">
        <v>2885</v>
      </c>
      <c r="J37" s="21"/>
      <c r="K37" s="21"/>
      <c r="L37" s="21"/>
      <c r="M37" s="21"/>
      <c r="N37" s="21"/>
      <c r="O37" s="21"/>
      <c r="P37" s="21"/>
      <c r="Q37" s="107" t="s">
        <v>59</v>
      </c>
      <c r="R37" s="108" t="s">
        <v>2886</v>
      </c>
      <c r="S37" s="108" t="s">
        <v>2887</v>
      </c>
      <c r="T37" s="108">
        <v>6.0</v>
      </c>
      <c r="U37" s="21"/>
      <c r="V37" s="88" t="s">
        <v>59</v>
      </c>
      <c r="W37" s="93" t="s">
        <v>2888</v>
      </c>
      <c r="X37" s="90">
        <v>13.0</v>
      </c>
      <c r="Y37" s="21"/>
      <c r="Z37" s="21"/>
      <c r="AA37" s="21"/>
      <c r="AB37" s="21"/>
      <c r="AC37" s="21"/>
      <c r="AD37" s="21"/>
      <c r="AE37" s="21"/>
      <c r="AF37" s="21"/>
      <c r="AG37" s="21"/>
      <c r="AH37" s="21"/>
    </row>
    <row r="38">
      <c r="A38" s="114" t="s">
        <v>199</v>
      </c>
      <c r="B38" s="109" t="s">
        <v>2889</v>
      </c>
      <c r="C38" s="115">
        <v>2023.0</v>
      </c>
      <c r="D38" s="109" t="s">
        <v>152</v>
      </c>
      <c r="E38" s="81" t="s">
        <v>1057</v>
      </c>
      <c r="F38" s="79" t="s">
        <v>200</v>
      </c>
      <c r="G38" s="79" t="s">
        <v>202</v>
      </c>
      <c r="H38" s="97" t="s">
        <v>2890</v>
      </c>
      <c r="I38" s="83" t="s">
        <v>2891</v>
      </c>
      <c r="J38" s="21"/>
      <c r="K38" s="21"/>
      <c r="L38" s="21"/>
      <c r="M38" s="21"/>
      <c r="N38" s="21"/>
      <c r="O38" s="21"/>
      <c r="P38" s="21"/>
      <c r="Q38" s="94"/>
      <c r="R38" s="108" t="s">
        <v>2892</v>
      </c>
      <c r="S38" s="108" t="s">
        <v>2144</v>
      </c>
      <c r="T38" s="108">
        <v>1.0</v>
      </c>
      <c r="U38" s="21"/>
      <c r="V38" s="91"/>
      <c r="W38" s="91"/>
      <c r="X38" s="91"/>
      <c r="Y38" s="21"/>
      <c r="Z38" s="21"/>
      <c r="AA38" s="21"/>
      <c r="AB38" s="21"/>
      <c r="AC38" s="21"/>
      <c r="AD38" s="21"/>
      <c r="AE38" s="21"/>
      <c r="AF38" s="21"/>
      <c r="AG38" s="21"/>
      <c r="AH38" s="21"/>
    </row>
    <row r="39">
      <c r="A39" s="114" t="s">
        <v>203</v>
      </c>
      <c r="B39" s="109" t="s">
        <v>2893</v>
      </c>
      <c r="C39" s="115">
        <v>2025.0</v>
      </c>
      <c r="D39" s="109" t="s">
        <v>152</v>
      </c>
      <c r="E39" s="81" t="s">
        <v>1057</v>
      </c>
      <c r="F39" s="79" t="s">
        <v>204</v>
      </c>
      <c r="G39" s="79" t="s">
        <v>206</v>
      </c>
      <c r="H39" s="97" t="s">
        <v>680</v>
      </c>
      <c r="I39" s="83" t="s">
        <v>2894</v>
      </c>
      <c r="J39" s="21"/>
      <c r="K39" s="21"/>
      <c r="L39" s="21"/>
      <c r="M39" s="21"/>
      <c r="N39" s="21"/>
      <c r="O39" s="21"/>
      <c r="P39" s="21"/>
      <c r="Q39" s="94"/>
      <c r="R39" s="108" t="s">
        <v>2823</v>
      </c>
      <c r="S39" s="108" t="s">
        <v>2895</v>
      </c>
      <c r="T39" s="108">
        <v>10.0</v>
      </c>
      <c r="U39" s="21"/>
      <c r="V39" s="92"/>
      <c r="W39" s="92"/>
      <c r="X39" s="21"/>
      <c r="Y39" s="21"/>
      <c r="Z39" s="21"/>
      <c r="AA39" s="21"/>
      <c r="AB39" s="21"/>
      <c r="AC39" s="21"/>
      <c r="AD39" s="21"/>
      <c r="AE39" s="21"/>
      <c r="AF39" s="21"/>
      <c r="AG39" s="21"/>
      <c r="AH39" s="21"/>
    </row>
    <row r="40">
      <c r="A40" s="114" t="s">
        <v>207</v>
      </c>
      <c r="B40" s="109" t="s">
        <v>2896</v>
      </c>
      <c r="C40" s="115">
        <v>2024.0</v>
      </c>
      <c r="D40" s="109" t="s">
        <v>152</v>
      </c>
      <c r="E40" s="81" t="s">
        <v>1057</v>
      </c>
      <c r="F40" s="79" t="s">
        <v>208</v>
      </c>
      <c r="G40" s="79" t="s">
        <v>210</v>
      </c>
      <c r="H40" s="97" t="s">
        <v>1371</v>
      </c>
      <c r="I40" s="83" t="s">
        <v>2897</v>
      </c>
      <c r="J40" s="21"/>
      <c r="K40" s="21"/>
      <c r="L40" s="21"/>
      <c r="M40" s="21"/>
      <c r="N40" s="21"/>
      <c r="O40" s="21"/>
      <c r="P40" s="21"/>
      <c r="Q40" s="91"/>
      <c r="R40" s="108" t="s">
        <v>2898</v>
      </c>
      <c r="S40" s="108" t="s">
        <v>2899</v>
      </c>
      <c r="T40" s="108">
        <v>4.0</v>
      </c>
      <c r="U40" s="21"/>
      <c r="V40" s="92"/>
      <c r="W40" s="92"/>
      <c r="X40" s="21"/>
      <c r="Y40" s="21"/>
      <c r="Z40" s="21"/>
      <c r="AA40" s="21"/>
      <c r="AB40" s="21"/>
      <c r="AC40" s="21"/>
      <c r="AD40" s="21"/>
      <c r="AE40" s="21"/>
      <c r="AF40" s="21"/>
      <c r="AG40" s="21"/>
      <c r="AH40" s="21"/>
    </row>
    <row r="41">
      <c r="A41" s="114" t="s">
        <v>211</v>
      </c>
      <c r="B41" s="109" t="s">
        <v>2900</v>
      </c>
      <c r="C41" s="115">
        <v>2024.0</v>
      </c>
      <c r="D41" s="109" t="s">
        <v>152</v>
      </c>
      <c r="E41" s="81" t="s">
        <v>1057</v>
      </c>
      <c r="F41" s="79" t="s">
        <v>212</v>
      </c>
      <c r="G41" s="79" t="s">
        <v>214</v>
      </c>
      <c r="H41" s="97" t="s">
        <v>680</v>
      </c>
      <c r="I41" s="83" t="s">
        <v>2901</v>
      </c>
      <c r="J41" s="21"/>
      <c r="K41" s="21"/>
      <c r="L41" s="21"/>
      <c r="M41" s="21"/>
      <c r="N41" s="21"/>
      <c r="O41" s="21"/>
      <c r="P41" s="21"/>
      <c r="Q41" s="21"/>
      <c r="R41" s="21"/>
      <c r="S41" s="21"/>
      <c r="T41" s="21"/>
      <c r="U41" s="21"/>
      <c r="V41" s="92"/>
      <c r="W41" s="92"/>
      <c r="X41" s="21"/>
      <c r="Y41" s="21"/>
      <c r="Z41" s="21"/>
      <c r="AA41" s="21"/>
      <c r="AB41" s="21"/>
      <c r="AC41" s="21"/>
      <c r="AD41" s="21"/>
      <c r="AE41" s="21"/>
      <c r="AF41" s="21"/>
      <c r="AG41" s="21"/>
      <c r="AH41" s="21"/>
    </row>
    <row r="42">
      <c r="A42" s="114" t="s">
        <v>215</v>
      </c>
      <c r="B42" s="109" t="s">
        <v>2902</v>
      </c>
      <c r="C42" s="115">
        <v>2023.0</v>
      </c>
      <c r="D42" s="109" t="s">
        <v>152</v>
      </c>
      <c r="E42" s="81" t="s">
        <v>20</v>
      </c>
      <c r="F42" s="79" t="s">
        <v>216</v>
      </c>
      <c r="G42" s="79" t="s">
        <v>218</v>
      </c>
      <c r="H42" s="97" t="s">
        <v>1406</v>
      </c>
      <c r="I42" s="83" t="s">
        <v>2903</v>
      </c>
      <c r="J42" s="21"/>
      <c r="K42" s="21"/>
      <c r="L42" s="21"/>
      <c r="M42" s="21"/>
      <c r="N42" s="21"/>
      <c r="O42" s="21"/>
      <c r="P42" s="21"/>
      <c r="Q42" s="104" t="s">
        <v>2774</v>
      </c>
      <c r="R42" s="104" t="s">
        <v>2904</v>
      </c>
      <c r="S42" s="104" t="s">
        <v>2773</v>
      </c>
      <c r="T42" s="104" t="s">
        <v>2753</v>
      </c>
      <c r="U42" s="21"/>
      <c r="V42" s="78" t="s">
        <v>2774</v>
      </c>
      <c r="W42" s="78" t="s">
        <v>2773</v>
      </c>
      <c r="X42" s="77" t="s">
        <v>2753</v>
      </c>
      <c r="Y42" s="21"/>
      <c r="Z42" s="21"/>
      <c r="AA42" s="21"/>
      <c r="AB42" s="21"/>
      <c r="AC42" s="21"/>
      <c r="AD42" s="21"/>
      <c r="AE42" s="21"/>
      <c r="AF42" s="21"/>
      <c r="AG42" s="21"/>
      <c r="AH42" s="21"/>
    </row>
    <row r="43">
      <c r="A43" s="114" t="s">
        <v>219</v>
      </c>
      <c r="B43" s="109" t="s">
        <v>2905</v>
      </c>
      <c r="C43" s="115">
        <v>2025.0</v>
      </c>
      <c r="D43" s="109" t="s">
        <v>152</v>
      </c>
      <c r="E43" s="81" t="s">
        <v>1057</v>
      </c>
      <c r="F43" s="79" t="s">
        <v>220</v>
      </c>
      <c r="G43" s="79" t="s">
        <v>222</v>
      </c>
      <c r="H43" s="97" t="s">
        <v>1021</v>
      </c>
      <c r="I43" s="83" t="s">
        <v>2906</v>
      </c>
      <c r="J43" s="21"/>
      <c r="K43" s="21"/>
      <c r="L43" s="21"/>
      <c r="M43" s="21"/>
      <c r="N43" s="21"/>
      <c r="O43" s="21"/>
      <c r="P43" s="21"/>
      <c r="Q43" s="107" t="s">
        <v>65</v>
      </c>
      <c r="R43" s="108" t="s">
        <v>2907</v>
      </c>
      <c r="S43" s="108" t="s">
        <v>2115</v>
      </c>
      <c r="T43" s="108">
        <v>1.0</v>
      </c>
      <c r="U43" s="21"/>
      <c r="V43" s="88" t="s">
        <v>65</v>
      </c>
      <c r="W43" s="93" t="s">
        <v>2908</v>
      </c>
      <c r="X43" s="90">
        <v>1.0</v>
      </c>
      <c r="Y43" s="21"/>
      <c r="Z43" s="21"/>
      <c r="AA43" s="21"/>
      <c r="AB43" s="21"/>
      <c r="AC43" s="21"/>
      <c r="AD43" s="21"/>
      <c r="AE43" s="21"/>
      <c r="AF43" s="21"/>
      <c r="AG43" s="21"/>
      <c r="AH43" s="21"/>
    </row>
    <row r="44">
      <c r="A44" s="114" t="s">
        <v>223</v>
      </c>
      <c r="B44" s="109" t="s">
        <v>2909</v>
      </c>
      <c r="C44" s="115">
        <v>2021.0</v>
      </c>
      <c r="D44" s="109" t="s">
        <v>152</v>
      </c>
      <c r="E44" s="81" t="s">
        <v>1057</v>
      </c>
      <c r="F44" s="79" t="s">
        <v>224</v>
      </c>
      <c r="G44" s="79" t="s">
        <v>226</v>
      </c>
      <c r="H44" s="97" t="s">
        <v>998</v>
      </c>
      <c r="I44" s="83" t="s">
        <v>2910</v>
      </c>
      <c r="J44" s="21"/>
      <c r="K44" s="21"/>
      <c r="L44" s="21"/>
      <c r="M44" s="21"/>
      <c r="N44" s="21"/>
      <c r="O44" s="21"/>
      <c r="P44" s="21"/>
      <c r="Q44" s="94"/>
      <c r="R44" s="108" t="s">
        <v>2911</v>
      </c>
      <c r="S44" s="118"/>
      <c r="T44" s="119">
        <v>0.0</v>
      </c>
      <c r="U44" s="21"/>
      <c r="V44" s="91"/>
      <c r="W44" s="91"/>
      <c r="X44" s="91"/>
      <c r="Y44" s="21"/>
      <c r="Z44" s="21"/>
      <c r="AA44" s="21"/>
      <c r="AB44" s="21"/>
      <c r="AC44" s="21"/>
      <c r="AD44" s="21"/>
      <c r="AE44" s="21"/>
      <c r="AF44" s="21"/>
      <c r="AG44" s="21"/>
      <c r="AH44" s="21"/>
    </row>
    <row r="45">
      <c r="A45" s="114"/>
      <c r="B45" s="109"/>
      <c r="C45" s="115"/>
      <c r="D45" s="109"/>
      <c r="E45" s="81"/>
      <c r="F45" s="79"/>
      <c r="G45" s="79"/>
      <c r="H45" s="97"/>
      <c r="I45" s="83"/>
      <c r="J45" s="21"/>
      <c r="K45" s="21"/>
      <c r="L45" s="21"/>
      <c r="M45" s="21"/>
      <c r="N45" s="21"/>
      <c r="O45" s="21"/>
      <c r="P45" s="21"/>
      <c r="Q45" s="94"/>
      <c r="R45" s="82" t="s">
        <v>2912</v>
      </c>
      <c r="S45" s="29" t="s">
        <v>2913</v>
      </c>
      <c r="T45" s="120">
        <v>112.0</v>
      </c>
      <c r="U45" s="21"/>
      <c r="V45" s="92"/>
      <c r="W45" s="92"/>
      <c r="X45" s="21"/>
      <c r="Y45" s="21"/>
      <c r="Z45" s="21"/>
      <c r="AA45" s="21"/>
      <c r="AB45" s="21"/>
      <c r="AC45" s="21"/>
      <c r="AD45" s="21"/>
      <c r="AE45" s="21"/>
      <c r="AF45" s="21"/>
      <c r="AG45" s="21"/>
      <c r="AH45" s="21"/>
    </row>
    <row r="46">
      <c r="A46" s="114" t="s">
        <v>227</v>
      </c>
      <c r="B46" s="109" t="s">
        <v>2914</v>
      </c>
      <c r="C46" s="115">
        <v>2023.0</v>
      </c>
      <c r="D46" s="109" t="s">
        <v>152</v>
      </c>
      <c r="E46" s="81" t="s">
        <v>1057</v>
      </c>
      <c r="F46" s="79" t="s">
        <v>228</v>
      </c>
      <c r="G46" s="79" t="s">
        <v>230</v>
      </c>
      <c r="H46" s="97" t="s">
        <v>1021</v>
      </c>
      <c r="I46" s="83" t="s">
        <v>2915</v>
      </c>
      <c r="J46" s="21"/>
      <c r="K46" s="21"/>
      <c r="L46" s="21"/>
      <c r="M46" s="21"/>
      <c r="N46" s="21"/>
      <c r="O46" s="21"/>
      <c r="P46" s="21"/>
      <c r="Q46" s="91"/>
      <c r="R46" s="82" t="s">
        <v>2916</v>
      </c>
      <c r="S46" s="76" t="s">
        <v>2917</v>
      </c>
      <c r="T46" s="120">
        <v>1.0</v>
      </c>
      <c r="U46" s="21"/>
      <c r="V46" s="92"/>
      <c r="W46" s="92"/>
      <c r="X46" s="21"/>
      <c r="Y46" s="21"/>
      <c r="Z46" s="21"/>
      <c r="AA46" s="21"/>
      <c r="AB46" s="21"/>
      <c r="AC46" s="21"/>
      <c r="AD46" s="21"/>
      <c r="AE46" s="21"/>
      <c r="AF46" s="21"/>
      <c r="AG46" s="21"/>
      <c r="AH46" s="21"/>
    </row>
    <row r="47">
      <c r="A47" s="114" t="s">
        <v>231</v>
      </c>
      <c r="B47" s="109" t="s">
        <v>2918</v>
      </c>
      <c r="C47" s="115">
        <v>2023.0</v>
      </c>
      <c r="D47" s="109" t="s">
        <v>152</v>
      </c>
      <c r="E47" s="81" t="s">
        <v>1057</v>
      </c>
      <c r="F47" s="79" t="s">
        <v>232</v>
      </c>
      <c r="G47" s="79" t="s">
        <v>234</v>
      </c>
      <c r="H47" s="97" t="s">
        <v>680</v>
      </c>
      <c r="I47" s="83" t="s">
        <v>2919</v>
      </c>
      <c r="J47" s="21"/>
      <c r="K47" s="21"/>
      <c r="L47" s="21"/>
      <c r="M47" s="21"/>
      <c r="N47" s="21"/>
      <c r="O47" s="21"/>
      <c r="P47" s="21"/>
      <c r="Q47" s="40"/>
      <c r="R47" s="40"/>
      <c r="S47" s="21"/>
      <c r="T47" s="21"/>
      <c r="U47" s="21"/>
      <c r="V47" s="92"/>
      <c r="W47" s="92"/>
      <c r="X47" s="21"/>
      <c r="Y47" s="21"/>
      <c r="Z47" s="21"/>
      <c r="AA47" s="21"/>
      <c r="AB47" s="21"/>
      <c r="AC47" s="21"/>
      <c r="AD47" s="21"/>
      <c r="AE47" s="21"/>
      <c r="AF47" s="21"/>
      <c r="AG47" s="21"/>
      <c r="AH47" s="21"/>
    </row>
    <row r="48">
      <c r="A48" s="114" t="s">
        <v>235</v>
      </c>
      <c r="B48" s="109" t="s">
        <v>2920</v>
      </c>
      <c r="C48" s="115">
        <v>2023.0</v>
      </c>
      <c r="D48" s="109" t="s">
        <v>152</v>
      </c>
      <c r="E48" s="81" t="s">
        <v>1057</v>
      </c>
      <c r="F48" s="79" t="s">
        <v>236</v>
      </c>
      <c r="G48" s="79" t="s">
        <v>238</v>
      </c>
      <c r="H48" s="97" t="s">
        <v>680</v>
      </c>
      <c r="I48" s="83" t="s">
        <v>2921</v>
      </c>
      <c r="J48" s="21"/>
      <c r="K48" s="21"/>
      <c r="L48" s="21"/>
      <c r="M48" s="21"/>
      <c r="N48" s="21"/>
      <c r="O48" s="21"/>
      <c r="P48" s="21"/>
      <c r="Q48" s="21"/>
      <c r="R48" s="21"/>
      <c r="S48" s="21"/>
      <c r="T48" s="21"/>
      <c r="U48" s="21"/>
      <c r="V48" s="92"/>
      <c r="W48" s="92"/>
      <c r="X48" s="21"/>
      <c r="Y48" s="21"/>
      <c r="Z48" s="21"/>
      <c r="AA48" s="21"/>
      <c r="AB48" s="21"/>
      <c r="AC48" s="21"/>
      <c r="AD48" s="21"/>
      <c r="AE48" s="21"/>
      <c r="AF48" s="21"/>
      <c r="AG48" s="21"/>
      <c r="AH48" s="21"/>
    </row>
    <row r="49">
      <c r="A49" s="114" t="s">
        <v>239</v>
      </c>
      <c r="B49" s="109" t="s">
        <v>2922</v>
      </c>
      <c r="C49" s="115">
        <v>2023.0</v>
      </c>
      <c r="D49" s="109" t="s">
        <v>152</v>
      </c>
      <c r="E49" s="81" t="s">
        <v>1057</v>
      </c>
      <c r="F49" s="79" t="s">
        <v>240</v>
      </c>
      <c r="G49" s="79" t="s">
        <v>242</v>
      </c>
      <c r="H49" s="97" t="s">
        <v>1021</v>
      </c>
      <c r="I49" s="83" t="s">
        <v>2923</v>
      </c>
      <c r="J49" s="21"/>
      <c r="K49" s="21"/>
      <c r="L49" s="21"/>
      <c r="M49" s="21"/>
      <c r="N49" s="21"/>
      <c r="O49" s="21"/>
      <c r="P49" s="21"/>
      <c r="Q49" s="104" t="s">
        <v>2774</v>
      </c>
      <c r="R49" s="104" t="s">
        <v>2924</v>
      </c>
      <c r="S49" s="104" t="s">
        <v>2773</v>
      </c>
      <c r="T49" s="104" t="s">
        <v>2753</v>
      </c>
      <c r="U49" s="21"/>
      <c r="V49" s="78" t="s">
        <v>2774</v>
      </c>
      <c r="W49" s="78" t="s">
        <v>2773</v>
      </c>
      <c r="X49" s="77" t="s">
        <v>2753</v>
      </c>
      <c r="Y49" s="21"/>
      <c r="Z49" s="21"/>
      <c r="AA49" s="21"/>
      <c r="AB49" s="21"/>
      <c r="AC49" s="21"/>
      <c r="AD49" s="21"/>
      <c r="AE49" s="21"/>
      <c r="AF49" s="21"/>
      <c r="AG49" s="21"/>
      <c r="AH49" s="21"/>
    </row>
    <row r="50">
      <c r="A50" s="114" t="s">
        <v>243</v>
      </c>
      <c r="B50" s="109" t="s">
        <v>2925</v>
      </c>
      <c r="C50" s="115">
        <v>2024.0</v>
      </c>
      <c r="D50" s="109" t="s">
        <v>152</v>
      </c>
      <c r="E50" s="81" t="s">
        <v>1057</v>
      </c>
      <c r="F50" s="79" t="s">
        <v>244</v>
      </c>
      <c r="G50" s="79" t="s">
        <v>246</v>
      </c>
      <c r="H50" s="97" t="s">
        <v>1542</v>
      </c>
      <c r="I50" s="83" t="s">
        <v>2926</v>
      </c>
      <c r="J50" s="21"/>
      <c r="K50" s="21"/>
      <c r="L50" s="21"/>
      <c r="M50" s="21"/>
      <c r="N50" s="21"/>
      <c r="O50" s="21"/>
      <c r="P50" s="21"/>
      <c r="Q50" s="107" t="s">
        <v>71</v>
      </c>
      <c r="R50" s="121" t="s">
        <v>2927</v>
      </c>
      <c r="S50" s="108" t="s">
        <v>2928</v>
      </c>
      <c r="T50" s="108">
        <v>21.0</v>
      </c>
      <c r="U50" s="21"/>
      <c r="V50" s="88" t="s">
        <v>71</v>
      </c>
      <c r="W50" s="93" t="s">
        <v>2929</v>
      </c>
      <c r="X50" s="90">
        <v>18.0</v>
      </c>
      <c r="Y50" s="21"/>
      <c r="Z50" s="21"/>
      <c r="AA50" s="21"/>
      <c r="AB50" s="21"/>
      <c r="AC50" s="21"/>
      <c r="AD50" s="21"/>
      <c r="AE50" s="21"/>
      <c r="AF50" s="21"/>
      <c r="AG50" s="21"/>
      <c r="AH50" s="21"/>
    </row>
    <row r="51">
      <c r="A51" s="114" t="s">
        <v>247</v>
      </c>
      <c r="B51" s="109" t="s">
        <v>2930</v>
      </c>
      <c r="C51" s="115">
        <v>2024.0</v>
      </c>
      <c r="D51" s="109" t="s">
        <v>152</v>
      </c>
      <c r="E51" s="81" t="s">
        <v>1057</v>
      </c>
      <c r="F51" s="79" t="s">
        <v>248</v>
      </c>
      <c r="G51" s="79" t="s">
        <v>250</v>
      </c>
      <c r="H51" s="97" t="s">
        <v>1021</v>
      </c>
      <c r="I51" s="83" t="s">
        <v>2931</v>
      </c>
      <c r="J51" s="21"/>
      <c r="K51" s="21"/>
      <c r="L51" s="21"/>
      <c r="M51" s="21"/>
      <c r="N51" s="21"/>
      <c r="O51" s="21"/>
      <c r="P51" s="21"/>
      <c r="Q51" s="94"/>
      <c r="R51" s="121" t="s">
        <v>2932</v>
      </c>
      <c r="S51" s="108" t="s">
        <v>2933</v>
      </c>
      <c r="T51" s="108">
        <v>12.0</v>
      </c>
      <c r="U51" s="21"/>
      <c r="V51" s="91"/>
      <c r="W51" s="91"/>
      <c r="X51" s="91"/>
      <c r="Y51" s="21"/>
      <c r="Z51" s="21"/>
      <c r="AA51" s="21"/>
      <c r="AB51" s="21"/>
      <c r="AC51" s="21"/>
      <c r="AD51" s="21"/>
      <c r="AE51" s="21"/>
      <c r="AF51" s="21"/>
      <c r="AG51" s="21"/>
      <c r="AH51" s="21"/>
    </row>
    <row r="52">
      <c r="A52" s="114" t="s">
        <v>251</v>
      </c>
      <c r="B52" s="109" t="s">
        <v>2934</v>
      </c>
      <c r="C52" s="115">
        <v>2024.0</v>
      </c>
      <c r="D52" s="109" t="s">
        <v>152</v>
      </c>
      <c r="E52" s="81" t="s">
        <v>1057</v>
      </c>
      <c r="F52" s="79" t="s">
        <v>252</v>
      </c>
      <c r="G52" s="79" t="s">
        <v>254</v>
      </c>
      <c r="H52" s="97" t="s">
        <v>1021</v>
      </c>
      <c r="I52" s="83" t="s">
        <v>2935</v>
      </c>
      <c r="J52" s="21"/>
      <c r="K52" s="21"/>
      <c r="L52" s="21"/>
      <c r="M52" s="21"/>
      <c r="N52" s="21"/>
      <c r="O52" s="21"/>
      <c r="P52" s="21"/>
      <c r="Q52" s="94"/>
      <c r="R52" s="121" t="s">
        <v>2936</v>
      </c>
      <c r="S52" s="108" t="s">
        <v>2937</v>
      </c>
      <c r="T52" s="108">
        <v>10.0</v>
      </c>
      <c r="U52" s="21"/>
      <c r="V52" s="92"/>
      <c r="W52" s="92"/>
      <c r="X52" s="21"/>
      <c r="Y52" s="21"/>
      <c r="Z52" s="21"/>
      <c r="AA52" s="21"/>
      <c r="AB52" s="21"/>
      <c r="AC52" s="21"/>
      <c r="AD52" s="21"/>
      <c r="AE52" s="21"/>
      <c r="AF52" s="21"/>
      <c r="AG52" s="21"/>
      <c r="AH52" s="21"/>
    </row>
    <row r="53">
      <c r="A53" s="114" t="s">
        <v>255</v>
      </c>
      <c r="B53" s="109" t="s">
        <v>2917</v>
      </c>
      <c r="C53" s="115">
        <v>2023.0</v>
      </c>
      <c r="D53" s="109" t="s">
        <v>152</v>
      </c>
      <c r="E53" s="81" t="s">
        <v>1057</v>
      </c>
      <c r="F53" s="79" t="s">
        <v>256</v>
      </c>
      <c r="G53" s="79" t="s">
        <v>258</v>
      </c>
      <c r="H53" s="97" t="s">
        <v>1614</v>
      </c>
      <c r="I53" s="83" t="s">
        <v>2938</v>
      </c>
      <c r="J53" s="21"/>
      <c r="K53" s="21"/>
      <c r="L53" s="21"/>
      <c r="M53" s="21"/>
      <c r="N53" s="21"/>
      <c r="O53" s="21"/>
      <c r="P53" s="21"/>
      <c r="Q53" s="94"/>
      <c r="R53" s="121" t="s">
        <v>2939</v>
      </c>
      <c r="S53" s="108" t="s">
        <v>2940</v>
      </c>
      <c r="T53" s="108">
        <v>11.0</v>
      </c>
      <c r="U53" s="21"/>
      <c r="V53" s="92"/>
      <c r="W53" s="92"/>
      <c r="X53" s="21"/>
      <c r="Y53" s="21"/>
      <c r="Z53" s="21"/>
      <c r="AA53" s="21"/>
      <c r="AB53" s="21"/>
      <c r="AC53" s="21"/>
      <c r="AD53" s="21"/>
      <c r="AE53" s="21"/>
      <c r="AF53" s="21"/>
      <c r="AG53" s="21"/>
      <c r="AH53" s="21"/>
    </row>
    <row r="54">
      <c r="A54" s="114" t="s">
        <v>259</v>
      </c>
      <c r="B54" s="109" t="s">
        <v>2941</v>
      </c>
      <c r="C54" s="115">
        <v>2024.0</v>
      </c>
      <c r="D54" s="109" t="s">
        <v>152</v>
      </c>
      <c r="E54" s="81" t="s">
        <v>1057</v>
      </c>
      <c r="F54" s="79" t="s">
        <v>260</v>
      </c>
      <c r="G54" s="79" t="s">
        <v>262</v>
      </c>
      <c r="H54" s="97" t="s">
        <v>528</v>
      </c>
      <c r="I54" s="83" t="s">
        <v>2942</v>
      </c>
      <c r="J54" s="21"/>
      <c r="K54" s="21"/>
      <c r="L54" s="21"/>
      <c r="M54" s="21"/>
      <c r="N54" s="21"/>
      <c r="O54" s="21"/>
      <c r="P54" s="21"/>
      <c r="Q54" s="91"/>
      <c r="R54" s="121" t="s">
        <v>2943</v>
      </c>
      <c r="S54" s="122"/>
      <c r="T54" s="122"/>
      <c r="U54" s="21"/>
      <c r="V54" s="21"/>
      <c r="W54" s="21"/>
      <c r="X54" s="21"/>
      <c r="Y54" s="21"/>
      <c r="Z54" s="21"/>
      <c r="AA54" s="21"/>
      <c r="AB54" s="21"/>
      <c r="AC54" s="21"/>
      <c r="AD54" s="21"/>
      <c r="AE54" s="21"/>
      <c r="AF54" s="21"/>
      <c r="AG54" s="21"/>
      <c r="AH54" s="21"/>
    </row>
    <row r="55">
      <c r="A55" s="114" t="s">
        <v>263</v>
      </c>
      <c r="B55" s="109" t="s">
        <v>2944</v>
      </c>
      <c r="C55" s="115">
        <v>2022.0</v>
      </c>
      <c r="D55" s="109" t="s">
        <v>152</v>
      </c>
      <c r="E55" s="81" t="s">
        <v>1057</v>
      </c>
      <c r="F55" s="79" t="s">
        <v>264</v>
      </c>
      <c r="G55" s="79" t="s">
        <v>266</v>
      </c>
      <c r="H55" s="97" t="s">
        <v>1021</v>
      </c>
      <c r="I55" s="83" t="s">
        <v>2945</v>
      </c>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row>
    <row r="56">
      <c r="A56" s="114" t="s">
        <v>267</v>
      </c>
      <c r="B56" s="109" t="s">
        <v>2946</v>
      </c>
      <c r="C56" s="115">
        <v>2023.0</v>
      </c>
      <c r="D56" s="109" t="s">
        <v>152</v>
      </c>
      <c r="E56" s="81" t="s">
        <v>1057</v>
      </c>
      <c r="F56" s="79" t="s">
        <v>268</v>
      </c>
      <c r="G56" s="79" t="s">
        <v>270</v>
      </c>
      <c r="H56" s="97" t="s">
        <v>849</v>
      </c>
      <c r="I56" s="83" t="s">
        <v>2947</v>
      </c>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row>
    <row r="57">
      <c r="A57" s="114" t="s">
        <v>271</v>
      </c>
      <c r="B57" s="109" t="s">
        <v>2948</v>
      </c>
      <c r="C57" s="115">
        <v>2021.0</v>
      </c>
      <c r="D57" s="109" t="s">
        <v>152</v>
      </c>
      <c r="E57" s="81" t="s">
        <v>1057</v>
      </c>
      <c r="F57" s="79" t="s">
        <v>272</v>
      </c>
      <c r="G57" s="79" t="s">
        <v>274</v>
      </c>
      <c r="H57" s="97" t="s">
        <v>1686</v>
      </c>
      <c r="I57" s="83" t="s">
        <v>2949</v>
      </c>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row>
    <row r="58">
      <c r="A58" s="114" t="s">
        <v>275</v>
      </c>
      <c r="B58" s="109" t="s">
        <v>2950</v>
      </c>
      <c r="C58" s="115">
        <v>2022.0</v>
      </c>
      <c r="D58" s="109" t="s">
        <v>152</v>
      </c>
      <c r="E58" s="81" t="s">
        <v>1057</v>
      </c>
      <c r="F58" s="79" t="s">
        <v>276</v>
      </c>
      <c r="G58" s="79" t="s">
        <v>278</v>
      </c>
      <c r="H58" s="97" t="s">
        <v>1686</v>
      </c>
      <c r="I58" s="83" t="s">
        <v>2951</v>
      </c>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row>
    <row r="59">
      <c r="A59" s="114" t="s">
        <v>279</v>
      </c>
      <c r="B59" s="109" t="s">
        <v>2952</v>
      </c>
      <c r="C59" s="115">
        <v>2024.0</v>
      </c>
      <c r="D59" s="109" t="s">
        <v>152</v>
      </c>
      <c r="E59" s="81" t="s">
        <v>1057</v>
      </c>
      <c r="F59" s="79" t="s">
        <v>280</v>
      </c>
      <c r="G59" s="79" t="s">
        <v>282</v>
      </c>
      <c r="H59" s="97" t="s">
        <v>1021</v>
      </c>
      <c r="I59" s="83" t="s">
        <v>2953</v>
      </c>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row>
    <row r="60">
      <c r="A60" s="114" t="s">
        <v>283</v>
      </c>
      <c r="B60" s="109" t="s">
        <v>2954</v>
      </c>
      <c r="C60" s="115">
        <v>2024.0</v>
      </c>
      <c r="D60" s="109" t="s">
        <v>152</v>
      </c>
      <c r="E60" s="81" t="s">
        <v>1057</v>
      </c>
      <c r="F60" s="79" t="s">
        <v>284</v>
      </c>
      <c r="G60" s="79" t="s">
        <v>286</v>
      </c>
      <c r="H60" s="97" t="s">
        <v>1355</v>
      </c>
      <c r="I60" s="83" t="s">
        <v>2955</v>
      </c>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row>
    <row r="61">
      <c r="A61" s="114" t="s">
        <v>287</v>
      </c>
      <c r="B61" s="109" t="s">
        <v>2956</v>
      </c>
      <c r="C61" s="115">
        <v>2024.0</v>
      </c>
      <c r="D61" s="109" t="s">
        <v>152</v>
      </c>
      <c r="E61" s="81" t="s">
        <v>1057</v>
      </c>
      <c r="F61" s="79" t="s">
        <v>288</v>
      </c>
      <c r="G61" s="79" t="s">
        <v>290</v>
      </c>
      <c r="H61" s="97" t="s">
        <v>1614</v>
      </c>
      <c r="I61" s="83" t="s">
        <v>2957</v>
      </c>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row>
    <row r="62">
      <c r="A62" s="114" t="s">
        <v>291</v>
      </c>
      <c r="B62" s="109" t="s">
        <v>2958</v>
      </c>
      <c r="C62" s="115">
        <v>2022.0</v>
      </c>
      <c r="D62" s="109" t="s">
        <v>152</v>
      </c>
      <c r="E62" s="81" t="s">
        <v>1057</v>
      </c>
      <c r="F62" s="79" t="s">
        <v>292</v>
      </c>
      <c r="G62" s="79" t="s">
        <v>294</v>
      </c>
      <c r="H62" s="97" t="s">
        <v>1021</v>
      </c>
      <c r="I62" s="83" t="s">
        <v>2959</v>
      </c>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row>
    <row r="63">
      <c r="A63" s="114" t="s">
        <v>295</v>
      </c>
      <c r="B63" s="109" t="s">
        <v>2960</v>
      </c>
      <c r="C63" s="115">
        <v>2025.0</v>
      </c>
      <c r="D63" s="109" t="s">
        <v>152</v>
      </c>
      <c r="E63" s="81" t="s">
        <v>1057</v>
      </c>
      <c r="F63" s="79" t="s">
        <v>296</v>
      </c>
      <c r="G63" s="79" t="s">
        <v>298</v>
      </c>
      <c r="H63" s="97" t="s">
        <v>1805</v>
      </c>
      <c r="I63" s="83" t="s">
        <v>2961</v>
      </c>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row>
    <row r="64">
      <c r="A64" s="114" t="s">
        <v>299</v>
      </c>
      <c r="B64" s="109" t="s">
        <v>2962</v>
      </c>
      <c r="C64" s="115">
        <v>2025.0</v>
      </c>
      <c r="D64" s="109" t="s">
        <v>152</v>
      </c>
      <c r="E64" s="81" t="s">
        <v>1057</v>
      </c>
      <c r="F64" s="79" t="s">
        <v>300</v>
      </c>
      <c r="G64" s="79" t="s">
        <v>302</v>
      </c>
      <c r="H64" s="97" t="s">
        <v>528</v>
      </c>
      <c r="I64" s="83" t="s">
        <v>2963</v>
      </c>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row>
    <row r="65">
      <c r="A65" s="114" t="s">
        <v>303</v>
      </c>
      <c r="B65" s="109" t="s">
        <v>2964</v>
      </c>
      <c r="C65" s="115">
        <v>2024.0</v>
      </c>
      <c r="D65" s="109" t="s">
        <v>152</v>
      </c>
      <c r="E65" s="81" t="s">
        <v>1057</v>
      </c>
      <c r="F65" s="79" t="s">
        <v>304</v>
      </c>
      <c r="G65" s="79" t="s">
        <v>306</v>
      </c>
      <c r="H65" s="97" t="s">
        <v>1021</v>
      </c>
      <c r="I65" s="83" t="s">
        <v>2965</v>
      </c>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row>
    <row r="66">
      <c r="A66" s="114" t="s">
        <v>307</v>
      </c>
      <c r="B66" s="109" t="s">
        <v>2966</v>
      </c>
      <c r="C66" s="115">
        <v>2025.0</v>
      </c>
      <c r="D66" s="109" t="s">
        <v>152</v>
      </c>
      <c r="E66" s="81" t="s">
        <v>1057</v>
      </c>
      <c r="F66" s="79" t="s">
        <v>308</v>
      </c>
      <c r="G66" s="79" t="s">
        <v>310</v>
      </c>
      <c r="H66" s="97" t="s">
        <v>1021</v>
      </c>
      <c r="I66" s="83" t="s">
        <v>2967</v>
      </c>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row>
    <row r="67">
      <c r="A67" s="114" t="s">
        <v>311</v>
      </c>
      <c r="B67" s="109" t="s">
        <v>2968</v>
      </c>
      <c r="C67" s="115">
        <v>2024.0</v>
      </c>
      <c r="D67" s="109" t="s">
        <v>152</v>
      </c>
      <c r="E67" s="81" t="s">
        <v>1057</v>
      </c>
      <c r="F67" s="79" t="s">
        <v>312</v>
      </c>
      <c r="G67" s="79" t="s">
        <v>314</v>
      </c>
      <c r="H67" s="97" t="s">
        <v>1021</v>
      </c>
      <c r="I67" s="83" t="s">
        <v>2969</v>
      </c>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row>
    <row r="68">
      <c r="A68" s="114" t="s">
        <v>315</v>
      </c>
      <c r="B68" s="109" t="s">
        <v>2970</v>
      </c>
      <c r="C68" s="115">
        <v>2025.0</v>
      </c>
      <c r="D68" s="109" t="s">
        <v>152</v>
      </c>
      <c r="E68" s="81" t="s">
        <v>1057</v>
      </c>
      <c r="F68" s="79" t="s">
        <v>316</v>
      </c>
      <c r="G68" s="79" t="s">
        <v>318</v>
      </c>
      <c r="H68" s="97" t="s">
        <v>998</v>
      </c>
      <c r="I68" s="83" t="s">
        <v>2971</v>
      </c>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row>
    <row r="69">
      <c r="A69" s="114" t="s">
        <v>319</v>
      </c>
      <c r="B69" s="109" t="s">
        <v>2972</v>
      </c>
      <c r="C69" s="115">
        <v>2025.0</v>
      </c>
      <c r="D69" s="109" t="s">
        <v>152</v>
      </c>
      <c r="E69" s="81" t="s">
        <v>1057</v>
      </c>
      <c r="F69" s="79" t="s">
        <v>320</v>
      </c>
      <c r="G69" s="79" t="s">
        <v>322</v>
      </c>
      <c r="H69" s="97" t="s">
        <v>1021</v>
      </c>
      <c r="I69" s="83" t="s">
        <v>2973</v>
      </c>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row>
    <row r="70">
      <c r="A70" s="114" t="s">
        <v>323</v>
      </c>
      <c r="B70" s="109" t="s">
        <v>2974</v>
      </c>
      <c r="C70" s="115">
        <v>2024.0</v>
      </c>
      <c r="D70" s="109" t="s">
        <v>152</v>
      </c>
      <c r="E70" s="81" t="s">
        <v>1057</v>
      </c>
      <c r="F70" s="79" t="s">
        <v>324</v>
      </c>
      <c r="G70" s="79" t="s">
        <v>326</v>
      </c>
      <c r="H70" s="97" t="s">
        <v>528</v>
      </c>
      <c r="I70" s="83" t="s">
        <v>2975</v>
      </c>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row>
    <row r="71">
      <c r="A71" s="114" t="s">
        <v>327</v>
      </c>
      <c r="B71" s="109" t="s">
        <v>2976</v>
      </c>
      <c r="C71" s="115">
        <v>2025.0</v>
      </c>
      <c r="D71" s="109" t="s">
        <v>152</v>
      </c>
      <c r="E71" s="81" t="s">
        <v>1057</v>
      </c>
      <c r="F71" s="79" t="s">
        <v>328</v>
      </c>
      <c r="G71" s="79" t="s">
        <v>330</v>
      </c>
      <c r="H71" s="97" t="s">
        <v>528</v>
      </c>
      <c r="I71" s="83" t="s">
        <v>2977</v>
      </c>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row>
    <row r="72">
      <c r="A72" s="114" t="s">
        <v>331</v>
      </c>
      <c r="B72" s="109" t="s">
        <v>2978</v>
      </c>
      <c r="C72" s="115">
        <v>2024.0</v>
      </c>
      <c r="D72" s="109" t="s">
        <v>152</v>
      </c>
      <c r="E72" s="81" t="s">
        <v>1057</v>
      </c>
      <c r="F72" s="79" t="s">
        <v>332</v>
      </c>
      <c r="G72" s="79" t="s">
        <v>334</v>
      </c>
      <c r="H72" s="97" t="s">
        <v>1021</v>
      </c>
      <c r="I72" s="83" t="s">
        <v>2979</v>
      </c>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row>
    <row r="73">
      <c r="A73" s="114" t="s">
        <v>335</v>
      </c>
      <c r="B73" s="109" t="s">
        <v>2980</v>
      </c>
      <c r="C73" s="115">
        <v>2023.0</v>
      </c>
      <c r="D73" s="109" t="s">
        <v>152</v>
      </c>
      <c r="E73" s="81" t="s">
        <v>20</v>
      </c>
      <c r="F73" s="79" t="s">
        <v>336</v>
      </c>
      <c r="G73" s="79" t="s">
        <v>338</v>
      </c>
      <c r="H73" s="97" t="s">
        <v>528</v>
      </c>
      <c r="I73" s="83" t="s">
        <v>2981</v>
      </c>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row>
    <row r="74">
      <c r="A74" s="114" t="s">
        <v>339</v>
      </c>
      <c r="B74" s="109" t="s">
        <v>2982</v>
      </c>
      <c r="C74" s="115">
        <v>2024.0</v>
      </c>
      <c r="D74" s="109" t="s">
        <v>152</v>
      </c>
      <c r="E74" s="81" t="s">
        <v>1057</v>
      </c>
      <c r="F74" s="79" t="s">
        <v>340</v>
      </c>
      <c r="G74" s="79" t="s">
        <v>342</v>
      </c>
      <c r="H74" s="97" t="s">
        <v>998</v>
      </c>
      <c r="I74" s="83" t="s">
        <v>2983</v>
      </c>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row>
    <row r="75">
      <c r="A75" s="114" t="s">
        <v>343</v>
      </c>
      <c r="B75" s="109" t="s">
        <v>2984</v>
      </c>
      <c r="C75" s="115">
        <v>2023.0</v>
      </c>
      <c r="D75" s="109" t="s">
        <v>152</v>
      </c>
      <c r="E75" s="81" t="s">
        <v>1057</v>
      </c>
      <c r="F75" s="79" t="s">
        <v>344</v>
      </c>
      <c r="G75" s="79" t="s">
        <v>346</v>
      </c>
      <c r="H75" s="97" t="s">
        <v>528</v>
      </c>
      <c r="I75" s="83" t="s">
        <v>2985</v>
      </c>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row>
    <row r="76">
      <c r="A76" s="114" t="s">
        <v>347</v>
      </c>
      <c r="B76" s="109" t="s">
        <v>2986</v>
      </c>
      <c r="C76" s="115">
        <v>2025.0</v>
      </c>
      <c r="D76" s="109" t="s">
        <v>152</v>
      </c>
      <c r="E76" s="81" t="s">
        <v>1057</v>
      </c>
      <c r="F76" s="79" t="s">
        <v>348</v>
      </c>
      <c r="G76" s="79" t="s">
        <v>350</v>
      </c>
      <c r="H76" s="97" t="s">
        <v>528</v>
      </c>
      <c r="I76" s="83" t="s">
        <v>2987</v>
      </c>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row>
    <row r="77">
      <c r="A77" s="114" t="s">
        <v>351</v>
      </c>
      <c r="B77" s="109" t="s">
        <v>2988</v>
      </c>
      <c r="C77" s="115">
        <v>2025.0</v>
      </c>
      <c r="D77" s="109" t="s">
        <v>152</v>
      </c>
      <c r="E77" s="81" t="s">
        <v>1057</v>
      </c>
      <c r="F77" s="79" t="s">
        <v>352</v>
      </c>
      <c r="G77" s="79" t="s">
        <v>354</v>
      </c>
      <c r="H77" s="97" t="s">
        <v>680</v>
      </c>
      <c r="I77" s="83" t="s">
        <v>2989</v>
      </c>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row>
    <row r="78">
      <c r="A78" s="114" t="s">
        <v>355</v>
      </c>
      <c r="B78" s="109" t="s">
        <v>2990</v>
      </c>
      <c r="C78" s="115">
        <v>2025.0</v>
      </c>
      <c r="D78" s="109" t="s">
        <v>152</v>
      </c>
      <c r="E78" s="81" t="s">
        <v>20</v>
      </c>
      <c r="F78" s="79" t="s">
        <v>356</v>
      </c>
      <c r="G78" s="79" t="s">
        <v>358</v>
      </c>
      <c r="H78" s="97" t="s">
        <v>680</v>
      </c>
      <c r="I78" s="83" t="s">
        <v>2991</v>
      </c>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row>
    <row r="79">
      <c r="A79" s="114" t="s">
        <v>359</v>
      </c>
      <c r="B79" s="109" t="s">
        <v>2992</v>
      </c>
      <c r="C79" s="115">
        <v>2023.0</v>
      </c>
      <c r="D79" s="109" t="s">
        <v>152</v>
      </c>
      <c r="E79" s="81" t="s">
        <v>20</v>
      </c>
      <c r="F79" s="79" t="s">
        <v>360</v>
      </c>
      <c r="G79" s="79" t="s">
        <v>362</v>
      </c>
      <c r="H79" s="97" t="s">
        <v>998</v>
      </c>
      <c r="I79" s="83" t="s">
        <v>2993</v>
      </c>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row>
    <row r="80">
      <c r="A80" s="114" t="s">
        <v>363</v>
      </c>
      <c r="B80" s="109" t="s">
        <v>2994</v>
      </c>
      <c r="C80" s="115">
        <v>2025.0</v>
      </c>
      <c r="D80" s="109" t="s">
        <v>152</v>
      </c>
      <c r="E80" s="81" t="s">
        <v>20</v>
      </c>
      <c r="F80" s="79" t="s">
        <v>364</v>
      </c>
      <c r="G80" s="79" t="s">
        <v>366</v>
      </c>
      <c r="H80" s="97" t="s">
        <v>565</v>
      </c>
      <c r="I80" s="83" t="s">
        <v>2995</v>
      </c>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row>
    <row r="81">
      <c r="A81" s="114" t="s">
        <v>367</v>
      </c>
      <c r="B81" s="109" t="s">
        <v>2996</v>
      </c>
      <c r="C81" s="115">
        <v>2023.0</v>
      </c>
      <c r="D81" s="109" t="s">
        <v>152</v>
      </c>
      <c r="E81" s="81" t="s">
        <v>20</v>
      </c>
      <c r="F81" s="79" t="s">
        <v>368</v>
      </c>
      <c r="G81" s="79" t="s">
        <v>370</v>
      </c>
      <c r="H81" s="97" t="s">
        <v>715</v>
      </c>
      <c r="I81" s="83" t="s">
        <v>2997</v>
      </c>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row>
    <row r="82">
      <c r="A82" s="114" t="s">
        <v>371</v>
      </c>
      <c r="B82" s="109" t="s">
        <v>2998</v>
      </c>
      <c r="C82" s="115">
        <v>2024.0</v>
      </c>
      <c r="D82" s="109" t="s">
        <v>152</v>
      </c>
      <c r="E82" s="81" t="s">
        <v>1057</v>
      </c>
      <c r="F82" s="79" t="s">
        <v>372</v>
      </c>
      <c r="G82" s="79" t="s">
        <v>374</v>
      </c>
      <c r="H82" s="97" t="s">
        <v>823</v>
      </c>
      <c r="I82" s="83" t="s">
        <v>2999</v>
      </c>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row>
    <row r="83">
      <c r="A83" s="114" t="s">
        <v>375</v>
      </c>
      <c r="B83" s="109" t="s">
        <v>3000</v>
      </c>
      <c r="C83" s="123" t="s">
        <v>115</v>
      </c>
      <c r="D83" s="109" t="s">
        <v>379</v>
      </c>
      <c r="E83" s="81" t="s">
        <v>20</v>
      </c>
      <c r="F83" s="79" t="s">
        <v>376</v>
      </c>
      <c r="G83" s="79" t="s">
        <v>378</v>
      </c>
      <c r="H83" s="97" t="s">
        <v>1542</v>
      </c>
      <c r="I83" s="83" t="s">
        <v>3001</v>
      </c>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row>
    <row r="84">
      <c r="A84" s="114" t="s">
        <v>380</v>
      </c>
      <c r="B84" s="109" t="s">
        <v>3002</v>
      </c>
      <c r="C84" s="123" t="s">
        <v>115</v>
      </c>
      <c r="D84" s="109" t="s">
        <v>379</v>
      </c>
      <c r="E84" s="81" t="s">
        <v>20</v>
      </c>
      <c r="F84" s="79" t="s">
        <v>381</v>
      </c>
      <c r="G84" s="79" t="s">
        <v>383</v>
      </c>
      <c r="H84" s="97" t="s">
        <v>1333</v>
      </c>
      <c r="I84" s="83" t="s">
        <v>3003</v>
      </c>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row>
    <row r="85">
      <c r="A85" s="114" t="s">
        <v>384</v>
      </c>
      <c r="B85" s="109" t="s">
        <v>3004</v>
      </c>
      <c r="C85" s="124" t="s">
        <v>115</v>
      </c>
      <c r="D85" s="109" t="s">
        <v>379</v>
      </c>
      <c r="E85" s="81" t="s">
        <v>20</v>
      </c>
      <c r="F85" s="103" t="s">
        <v>385</v>
      </c>
      <c r="G85" s="103" t="s">
        <v>387</v>
      </c>
      <c r="H85" s="97" t="s">
        <v>739</v>
      </c>
      <c r="I85" s="83" t="s">
        <v>3005</v>
      </c>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row>
    <row r="86">
      <c r="A86" s="114" t="s">
        <v>388</v>
      </c>
      <c r="B86" s="109" t="s">
        <v>3006</v>
      </c>
      <c r="C86" s="123" t="s">
        <v>91</v>
      </c>
      <c r="D86" s="109" t="s">
        <v>392</v>
      </c>
      <c r="E86" s="81" t="s">
        <v>20</v>
      </c>
      <c r="F86" s="79" t="s">
        <v>389</v>
      </c>
      <c r="G86" s="79" t="s">
        <v>391</v>
      </c>
      <c r="H86" s="97" t="s">
        <v>2042</v>
      </c>
      <c r="I86" s="83" t="s">
        <v>3007</v>
      </c>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row>
    <row r="87">
      <c r="A87" s="114" t="s">
        <v>393</v>
      </c>
      <c r="B87" s="109" t="s">
        <v>3008</v>
      </c>
      <c r="C87" s="123" t="s">
        <v>91</v>
      </c>
      <c r="D87" s="109" t="s">
        <v>392</v>
      </c>
      <c r="E87" s="81" t="s">
        <v>20</v>
      </c>
      <c r="F87" s="79" t="s">
        <v>394</v>
      </c>
      <c r="G87" s="79" t="s">
        <v>396</v>
      </c>
      <c r="H87" s="97" t="s">
        <v>1333</v>
      </c>
      <c r="I87" s="83" t="s">
        <v>3009</v>
      </c>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row>
    <row r="88">
      <c r="A88" s="114" t="s">
        <v>397</v>
      </c>
      <c r="B88" s="109" t="s">
        <v>3010</v>
      </c>
      <c r="C88" s="123" t="s">
        <v>91</v>
      </c>
      <c r="D88" s="109" t="s">
        <v>392</v>
      </c>
      <c r="E88" s="81" t="s">
        <v>20</v>
      </c>
      <c r="F88" s="79" t="s">
        <v>398</v>
      </c>
      <c r="G88" s="79" t="s">
        <v>400</v>
      </c>
      <c r="H88" s="97" t="s">
        <v>2044</v>
      </c>
      <c r="I88" s="83" t="s">
        <v>3011</v>
      </c>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row>
    <row r="89">
      <c r="A89" s="114" t="s">
        <v>401</v>
      </c>
      <c r="B89" s="109" t="s">
        <v>3012</v>
      </c>
      <c r="C89" s="123" t="s">
        <v>91</v>
      </c>
      <c r="D89" s="109" t="s">
        <v>392</v>
      </c>
      <c r="E89" s="81" t="s">
        <v>20</v>
      </c>
      <c r="F89" s="79" t="s">
        <v>402</v>
      </c>
      <c r="G89" s="79" t="s">
        <v>404</v>
      </c>
      <c r="H89" s="97" t="s">
        <v>1021</v>
      </c>
      <c r="I89" s="83" t="s">
        <v>3013</v>
      </c>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row>
    <row r="90">
      <c r="A90" s="114" t="s">
        <v>405</v>
      </c>
      <c r="B90" s="109" t="s">
        <v>3014</v>
      </c>
      <c r="C90" s="123" t="s">
        <v>91</v>
      </c>
      <c r="D90" s="109" t="s">
        <v>392</v>
      </c>
      <c r="E90" s="81" t="s">
        <v>20</v>
      </c>
      <c r="F90" s="79" t="s">
        <v>406</v>
      </c>
      <c r="G90" s="79" t="s">
        <v>408</v>
      </c>
      <c r="H90" s="97" t="s">
        <v>898</v>
      </c>
      <c r="I90" s="83" t="s">
        <v>3015</v>
      </c>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row>
    <row r="91">
      <c r="A91" s="114" t="s">
        <v>409</v>
      </c>
      <c r="B91" s="109" t="s">
        <v>3016</v>
      </c>
      <c r="C91" s="123" t="s">
        <v>91</v>
      </c>
      <c r="D91" s="109" t="s">
        <v>392</v>
      </c>
      <c r="E91" s="81" t="s">
        <v>20</v>
      </c>
      <c r="F91" s="79" t="s">
        <v>410</v>
      </c>
      <c r="G91" s="79" t="s">
        <v>412</v>
      </c>
      <c r="H91" s="97" t="s">
        <v>898</v>
      </c>
      <c r="I91" s="83" t="s">
        <v>3017</v>
      </c>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row>
    <row r="92">
      <c r="A92" s="114" t="s">
        <v>413</v>
      </c>
      <c r="B92" s="109" t="s">
        <v>3018</v>
      </c>
      <c r="C92" s="123" t="s">
        <v>91</v>
      </c>
      <c r="D92" s="109" t="s">
        <v>392</v>
      </c>
      <c r="E92" s="81" t="s">
        <v>20</v>
      </c>
      <c r="F92" s="79" t="s">
        <v>414</v>
      </c>
      <c r="G92" s="79" t="s">
        <v>416</v>
      </c>
      <c r="H92" s="97" t="s">
        <v>2042</v>
      </c>
      <c r="I92" s="83" t="s">
        <v>3019</v>
      </c>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row>
    <row r="93">
      <c r="A93" s="114" t="s">
        <v>417</v>
      </c>
      <c r="B93" s="109" t="s">
        <v>3020</v>
      </c>
      <c r="C93" s="123" t="s">
        <v>91</v>
      </c>
      <c r="D93" s="109" t="s">
        <v>392</v>
      </c>
      <c r="E93" s="81" t="s">
        <v>20</v>
      </c>
      <c r="F93" s="79" t="s">
        <v>418</v>
      </c>
      <c r="G93" s="79" t="s">
        <v>420</v>
      </c>
      <c r="H93" s="97" t="s">
        <v>528</v>
      </c>
      <c r="I93" s="83" t="s">
        <v>3021</v>
      </c>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row>
    <row r="94">
      <c r="A94" s="114" t="s">
        <v>421</v>
      </c>
      <c r="B94" s="109" t="s">
        <v>3022</v>
      </c>
      <c r="C94" s="123" t="s">
        <v>110</v>
      </c>
      <c r="D94" s="109" t="s">
        <v>392</v>
      </c>
      <c r="E94" s="81" t="s">
        <v>20</v>
      </c>
      <c r="F94" s="79" t="s">
        <v>422</v>
      </c>
      <c r="G94" s="79" t="s">
        <v>424</v>
      </c>
      <c r="H94" s="97" t="s">
        <v>2051</v>
      </c>
      <c r="I94" s="83" t="s">
        <v>3023</v>
      </c>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row>
    <row r="95">
      <c r="A95" s="114" t="s">
        <v>425</v>
      </c>
      <c r="B95" s="109" t="s">
        <v>3024</v>
      </c>
      <c r="C95" s="123" t="s">
        <v>110</v>
      </c>
      <c r="D95" s="109" t="s">
        <v>392</v>
      </c>
      <c r="E95" s="81" t="s">
        <v>20</v>
      </c>
      <c r="F95" s="79" t="s">
        <v>426</v>
      </c>
      <c r="G95" s="79" t="s">
        <v>428</v>
      </c>
      <c r="H95" s="97" t="s">
        <v>698</v>
      </c>
      <c r="I95" s="83" t="s">
        <v>3025</v>
      </c>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row>
    <row r="96">
      <c r="A96" s="114" t="s">
        <v>429</v>
      </c>
      <c r="B96" s="109" t="s">
        <v>3026</v>
      </c>
      <c r="C96" s="123" t="s">
        <v>110</v>
      </c>
      <c r="D96" s="109" t="s">
        <v>392</v>
      </c>
      <c r="E96" s="81" t="s">
        <v>20</v>
      </c>
      <c r="F96" s="79" t="s">
        <v>430</v>
      </c>
      <c r="G96" s="79" t="s">
        <v>432</v>
      </c>
      <c r="H96" s="97" t="s">
        <v>528</v>
      </c>
      <c r="I96" s="83" t="s">
        <v>3027</v>
      </c>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row>
    <row r="97">
      <c r="A97" s="114" t="s">
        <v>433</v>
      </c>
      <c r="B97" s="109" t="s">
        <v>3028</v>
      </c>
      <c r="C97" s="123" t="s">
        <v>110</v>
      </c>
      <c r="D97" s="109" t="s">
        <v>392</v>
      </c>
      <c r="E97" s="81" t="s">
        <v>20</v>
      </c>
      <c r="F97" s="79" t="s">
        <v>434</v>
      </c>
      <c r="G97" s="79" t="s">
        <v>436</v>
      </c>
      <c r="H97" s="97" t="s">
        <v>2054</v>
      </c>
      <c r="I97" s="83" t="s">
        <v>3029</v>
      </c>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row>
    <row r="98">
      <c r="A98" s="114" t="s">
        <v>437</v>
      </c>
      <c r="B98" s="109" t="s">
        <v>3030</v>
      </c>
      <c r="C98" s="123" t="s">
        <v>110</v>
      </c>
      <c r="D98" s="109" t="s">
        <v>392</v>
      </c>
      <c r="E98" s="81" t="s">
        <v>1057</v>
      </c>
      <c r="F98" s="79" t="s">
        <v>438</v>
      </c>
      <c r="G98" s="79" t="s">
        <v>440</v>
      </c>
      <c r="H98" s="97" t="s">
        <v>528</v>
      </c>
      <c r="I98" s="83" t="s">
        <v>3031</v>
      </c>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row>
    <row r="99">
      <c r="A99" s="114" t="s">
        <v>441</v>
      </c>
      <c r="B99" s="109" t="s">
        <v>3032</v>
      </c>
      <c r="C99" s="123" t="s">
        <v>110</v>
      </c>
      <c r="D99" s="109" t="s">
        <v>392</v>
      </c>
      <c r="E99" s="81" t="s">
        <v>20</v>
      </c>
      <c r="F99" s="79" t="s">
        <v>442</v>
      </c>
      <c r="G99" s="79" t="s">
        <v>444</v>
      </c>
      <c r="H99" s="97" t="s">
        <v>2057</v>
      </c>
      <c r="I99" s="83" t="s">
        <v>3033</v>
      </c>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row>
    <row r="100">
      <c r="A100" s="114" t="s">
        <v>445</v>
      </c>
      <c r="B100" s="109" t="s">
        <v>3034</v>
      </c>
      <c r="C100" s="123" t="s">
        <v>97</v>
      </c>
      <c r="D100" s="109" t="s">
        <v>392</v>
      </c>
      <c r="E100" s="81" t="s">
        <v>20</v>
      </c>
      <c r="F100" s="79" t="s">
        <v>446</v>
      </c>
      <c r="G100" s="79" t="s">
        <v>448</v>
      </c>
      <c r="H100" s="97" t="s">
        <v>528</v>
      </c>
      <c r="I100" s="83" t="s">
        <v>3035</v>
      </c>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row>
    <row r="101">
      <c r="A101" s="114" t="s">
        <v>449</v>
      </c>
      <c r="B101" s="109" t="s">
        <v>3036</v>
      </c>
      <c r="C101" s="123" t="s">
        <v>97</v>
      </c>
      <c r="D101" s="109" t="s">
        <v>392</v>
      </c>
      <c r="E101" s="81" t="s">
        <v>20</v>
      </c>
      <c r="F101" s="79" t="s">
        <v>450</v>
      </c>
      <c r="G101" s="79" t="s">
        <v>452</v>
      </c>
      <c r="H101" s="97" t="s">
        <v>680</v>
      </c>
      <c r="I101" s="83" t="s">
        <v>3037</v>
      </c>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row>
    <row r="102">
      <c r="A102" s="114" t="s">
        <v>453</v>
      </c>
      <c r="B102" s="109" t="s">
        <v>3038</v>
      </c>
      <c r="C102" s="123" t="s">
        <v>97</v>
      </c>
      <c r="D102" s="109" t="s">
        <v>392</v>
      </c>
      <c r="E102" s="81" t="s">
        <v>20</v>
      </c>
      <c r="F102" s="79" t="s">
        <v>454</v>
      </c>
      <c r="G102" s="79" t="s">
        <v>456</v>
      </c>
      <c r="H102" s="97" t="s">
        <v>715</v>
      </c>
      <c r="I102" s="83" t="s">
        <v>3039</v>
      </c>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row>
    <row r="103">
      <c r="A103" s="114" t="s">
        <v>457</v>
      </c>
      <c r="B103" s="109" t="s">
        <v>3040</v>
      </c>
      <c r="C103" s="123" t="s">
        <v>97</v>
      </c>
      <c r="D103" s="109" t="s">
        <v>392</v>
      </c>
      <c r="E103" s="81" t="s">
        <v>20</v>
      </c>
      <c r="F103" s="79" t="s">
        <v>458</v>
      </c>
      <c r="G103" s="79" t="s">
        <v>460</v>
      </c>
      <c r="H103" s="97" t="s">
        <v>715</v>
      </c>
      <c r="I103" s="83" t="s">
        <v>3041</v>
      </c>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row>
    <row r="104">
      <c r="A104" s="114" t="s">
        <v>461</v>
      </c>
      <c r="B104" s="109" t="s">
        <v>3042</v>
      </c>
      <c r="C104" s="123" t="s">
        <v>97</v>
      </c>
      <c r="D104" s="109" t="s">
        <v>392</v>
      </c>
      <c r="E104" s="81" t="s">
        <v>20</v>
      </c>
      <c r="F104" s="79" t="s">
        <v>462</v>
      </c>
      <c r="G104" s="79" t="s">
        <v>464</v>
      </c>
      <c r="H104" s="97" t="s">
        <v>680</v>
      </c>
      <c r="I104" s="83" t="s">
        <v>3043</v>
      </c>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row>
    <row r="105">
      <c r="A105" s="114" t="s">
        <v>465</v>
      </c>
      <c r="B105" s="109" t="s">
        <v>3044</v>
      </c>
      <c r="C105" s="123" t="s">
        <v>97</v>
      </c>
      <c r="D105" s="109" t="s">
        <v>392</v>
      </c>
      <c r="E105" s="81" t="s">
        <v>20</v>
      </c>
      <c r="F105" s="79" t="s">
        <v>466</v>
      </c>
      <c r="G105" s="79" t="s">
        <v>468</v>
      </c>
      <c r="H105" s="97" t="s">
        <v>739</v>
      </c>
      <c r="I105" s="83" t="s">
        <v>3045</v>
      </c>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row>
    <row r="106">
      <c r="A106" s="114" t="s">
        <v>469</v>
      </c>
      <c r="B106" s="109" t="s">
        <v>3046</v>
      </c>
      <c r="C106" s="123" t="s">
        <v>97</v>
      </c>
      <c r="D106" s="109" t="s">
        <v>392</v>
      </c>
      <c r="E106" s="81" t="s">
        <v>20</v>
      </c>
      <c r="F106" s="79" t="s">
        <v>470</v>
      </c>
      <c r="G106" s="79" t="s">
        <v>472</v>
      </c>
      <c r="H106" s="97" t="s">
        <v>680</v>
      </c>
      <c r="I106" s="83" t="s">
        <v>3047</v>
      </c>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row>
    <row r="107">
      <c r="A107" s="114" t="s">
        <v>473</v>
      </c>
      <c r="B107" s="109" t="s">
        <v>3048</v>
      </c>
      <c r="C107" s="123" t="s">
        <v>97</v>
      </c>
      <c r="D107" s="109" t="s">
        <v>392</v>
      </c>
      <c r="E107" s="81" t="s">
        <v>20</v>
      </c>
      <c r="F107" s="79" t="s">
        <v>474</v>
      </c>
      <c r="G107" s="79" t="s">
        <v>476</v>
      </c>
      <c r="H107" s="97" t="s">
        <v>2064</v>
      </c>
      <c r="I107" s="83" t="s">
        <v>3049</v>
      </c>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row>
    <row r="108">
      <c r="A108" s="114" t="s">
        <v>477</v>
      </c>
      <c r="B108" s="109" t="s">
        <v>3050</v>
      </c>
      <c r="C108" s="123" t="s">
        <v>97</v>
      </c>
      <c r="D108" s="109" t="s">
        <v>392</v>
      </c>
      <c r="E108" s="81" t="s">
        <v>20</v>
      </c>
      <c r="F108" s="79" t="s">
        <v>478</v>
      </c>
      <c r="G108" s="79" t="s">
        <v>480</v>
      </c>
      <c r="H108" s="97" t="s">
        <v>2064</v>
      </c>
      <c r="I108" s="83" t="s">
        <v>3051</v>
      </c>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row>
    <row r="109">
      <c r="A109" s="114" t="s">
        <v>481</v>
      </c>
      <c r="B109" s="109" t="s">
        <v>3052</v>
      </c>
      <c r="C109" s="123" t="s">
        <v>97</v>
      </c>
      <c r="D109" s="109" t="s">
        <v>392</v>
      </c>
      <c r="E109" s="81" t="s">
        <v>20</v>
      </c>
      <c r="F109" s="79" t="s">
        <v>482</v>
      </c>
      <c r="G109" s="79" t="s">
        <v>484</v>
      </c>
      <c r="H109" s="97" t="s">
        <v>1021</v>
      </c>
      <c r="I109" s="83" t="s">
        <v>3053</v>
      </c>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row>
    <row r="110">
      <c r="A110" s="114" t="s">
        <v>485</v>
      </c>
      <c r="B110" s="109" t="s">
        <v>3054</v>
      </c>
      <c r="C110" s="123" t="s">
        <v>97</v>
      </c>
      <c r="D110" s="109" t="s">
        <v>392</v>
      </c>
      <c r="E110" s="81" t="s">
        <v>20</v>
      </c>
      <c r="F110" s="79" t="s">
        <v>486</v>
      </c>
      <c r="G110" s="79" t="s">
        <v>488</v>
      </c>
      <c r="H110" s="97" t="s">
        <v>2068</v>
      </c>
      <c r="I110" s="83" t="s">
        <v>3055</v>
      </c>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row>
    <row r="111">
      <c r="A111" s="114" t="s">
        <v>489</v>
      </c>
      <c r="B111" s="109" t="s">
        <v>3056</v>
      </c>
      <c r="C111" s="123" t="s">
        <v>86</v>
      </c>
      <c r="D111" s="109" t="s">
        <v>392</v>
      </c>
      <c r="E111" s="81" t="s">
        <v>20</v>
      </c>
      <c r="F111" s="79" t="s">
        <v>490</v>
      </c>
      <c r="G111" s="79" t="s">
        <v>492</v>
      </c>
      <c r="H111" s="97" t="s">
        <v>680</v>
      </c>
      <c r="I111" s="83" t="s">
        <v>3057</v>
      </c>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row>
    <row r="112">
      <c r="A112" s="114" t="s">
        <v>493</v>
      </c>
      <c r="B112" s="109" t="s">
        <v>3058</v>
      </c>
      <c r="C112" s="123" t="s">
        <v>86</v>
      </c>
      <c r="D112" s="109" t="s">
        <v>392</v>
      </c>
      <c r="E112" s="81" t="s">
        <v>20</v>
      </c>
      <c r="F112" s="79" t="s">
        <v>494</v>
      </c>
      <c r="G112" s="79" t="s">
        <v>496</v>
      </c>
      <c r="H112" s="97" t="s">
        <v>898</v>
      </c>
      <c r="I112" s="83" t="s">
        <v>3059</v>
      </c>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c r="A113" s="114" t="s">
        <v>497</v>
      </c>
      <c r="B113" s="109" t="s">
        <v>3060</v>
      </c>
      <c r="C113" s="123" t="s">
        <v>86</v>
      </c>
      <c r="D113" s="109" t="s">
        <v>392</v>
      </c>
      <c r="E113" s="81" t="s">
        <v>20</v>
      </c>
      <c r="F113" s="79" t="s">
        <v>498</v>
      </c>
      <c r="G113" s="79" t="s">
        <v>500</v>
      </c>
      <c r="H113" s="97" t="s">
        <v>565</v>
      </c>
      <c r="I113" s="83" t="s">
        <v>3061</v>
      </c>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row>
    <row r="114">
      <c r="A114" s="114" t="s">
        <v>504</v>
      </c>
      <c r="B114" s="109" t="s">
        <v>3062</v>
      </c>
      <c r="C114" s="123" t="s">
        <v>74</v>
      </c>
      <c r="D114" s="109" t="s">
        <v>392</v>
      </c>
      <c r="E114" s="81" t="s">
        <v>20</v>
      </c>
      <c r="F114" s="79" t="s">
        <v>505</v>
      </c>
      <c r="G114" s="79" t="s">
        <v>507</v>
      </c>
      <c r="H114" s="97" t="s">
        <v>680</v>
      </c>
      <c r="I114" s="83" t="s">
        <v>3063</v>
      </c>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row>
    <row r="115">
      <c r="A115" s="114" t="s">
        <v>508</v>
      </c>
      <c r="B115" s="109" t="s">
        <v>3064</v>
      </c>
      <c r="C115" s="123" t="s">
        <v>74</v>
      </c>
      <c r="D115" s="109" t="s">
        <v>392</v>
      </c>
      <c r="E115" s="81" t="s">
        <v>20</v>
      </c>
      <c r="F115" s="79" t="s">
        <v>509</v>
      </c>
      <c r="G115" s="79" t="s">
        <v>511</v>
      </c>
      <c r="H115" s="97" t="s">
        <v>2064</v>
      </c>
      <c r="I115" s="83" t="s">
        <v>3065</v>
      </c>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row>
    <row r="116">
      <c r="A116" s="114" t="s">
        <v>512</v>
      </c>
      <c r="B116" s="109" t="s">
        <v>3066</v>
      </c>
      <c r="C116" s="123" t="s">
        <v>74</v>
      </c>
      <c r="D116" s="109" t="s">
        <v>392</v>
      </c>
      <c r="E116" s="81" t="s">
        <v>20</v>
      </c>
      <c r="F116" s="79" t="s">
        <v>513</v>
      </c>
      <c r="G116" s="79" t="s">
        <v>515</v>
      </c>
      <c r="H116" s="97" t="s">
        <v>715</v>
      </c>
      <c r="I116" s="83" t="s">
        <v>3067</v>
      </c>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row>
    <row r="117">
      <c r="A117" s="114" t="s">
        <v>516</v>
      </c>
      <c r="B117" s="109" t="s">
        <v>3068</v>
      </c>
      <c r="C117" s="123" t="s">
        <v>74</v>
      </c>
      <c r="D117" s="109" t="s">
        <v>392</v>
      </c>
      <c r="E117" s="81" t="s">
        <v>20</v>
      </c>
      <c r="F117" s="79" t="s">
        <v>517</v>
      </c>
      <c r="G117" s="79" t="s">
        <v>519</v>
      </c>
      <c r="H117" s="97" t="s">
        <v>1686</v>
      </c>
      <c r="I117" s="83" t="s">
        <v>3069</v>
      </c>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row>
    <row r="118">
      <c r="A118" s="114" t="s">
        <v>520</v>
      </c>
      <c r="B118" s="125" t="s">
        <v>3070</v>
      </c>
      <c r="C118" s="126" t="s">
        <v>74</v>
      </c>
      <c r="D118" s="125" t="s">
        <v>392</v>
      </c>
      <c r="E118" s="81" t="s">
        <v>20</v>
      </c>
      <c r="F118" s="127" t="s">
        <v>521</v>
      </c>
      <c r="G118" s="127" t="s">
        <v>523</v>
      </c>
      <c r="H118" s="128" t="s">
        <v>2076</v>
      </c>
      <c r="I118" s="129" t="s">
        <v>3071</v>
      </c>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row>
    <row r="119">
      <c r="A119" s="69"/>
      <c r="B119" s="130"/>
      <c r="C119" s="131"/>
      <c r="D119" s="132"/>
      <c r="E119" s="133"/>
      <c r="F119" s="134"/>
      <c r="G119" s="134"/>
      <c r="H119" s="135"/>
      <c r="I119" s="136"/>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row>
    <row r="120">
      <c r="A120" s="69"/>
      <c r="B120" s="13"/>
      <c r="C120" s="137"/>
      <c r="D120" s="32"/>
      <c r="E120" s="133"/>
      <c r="F120" s="9"/>
      <c r="G120" s="9"/>
      <c r="H120" s="138"/>
      <c r="I120" s="139"/>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row>
    <row r="121">
      <c r="A121" s="69"/>
      <c r="B121" s="13"/>
      <c r="C121" s="137"/>
      <c r="D121" s="32"/>
      <c r="E121" s="133"/>
      <c r="F121" s="9"/>
      <c r="G121" s="9"/>
      <c r="H121" s="138"/>
      <c r="I121" s="139"/>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row>
    <row r="122">
      <c r="B122" s="9"/>
      <c r="C122" s="20"/>
      <c r="D122" s="21"/>
      <c r="E122" s="133"/>
      <c r="F122" s="9"/>
      <c r="G122" s="9"/>
      <c r="H122" s="140"/>
      <c r="I122" s="139"/>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row>
    <row r="123">
      <c r="B123" s="21"/>
      <c r="C123" s="20"/>
      <c r="D123" s="21"/>
      <c r="E123" s="133"/>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row>
    <row r="124">
      <c r="B124" s="21"/>
      <c r="C124" s="20"/>
      <c r="D124" s="21"/>
      <c r="E124" s="133"/>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row>
    <row r="125">
      <c r="B125" s="21"/>
      <c r="C125" s="20"/>
      <c r="D125" s="21"/>
      <c r="E125" s="133"/>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row>
    <row r="126">
      <c r="B126" s="21"/>
      <c r="C126" s="20"/>
      <c r="D126" s="21"/>
      <c r="E126" s="133"/>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row>
    <row r="127">
      <c r="B127" s="21"/>
      <c r="C127" s="20"/>
      <c r="D127" s="21"/>
      <c r="E127" s="133"/>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row>
    <row r="128">
      <c r="B128" s="21"/>
      <c r="C128" s="20"/>
      <c r="D128" s="21"/>
      <c r="E128" s="133"/>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row>
    <row r="129">
      <c r="B129" s="21"/>
      <c r="C129" s="20"/>
      <c r="D129" s="21"/>
      <c r="E129" s="133"/>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row>
    <row r="130">
      <c r="B130" s="21"/>
      <c r="C130" s="20"/>
      <c r="D130" s="21"/>
      <c r="E130" s="133"/>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row>
    <row r="131">
      <c r="B131" s="21"/>
      <c r="C131" s="20"/>
      <c r="D131" s="21"/>
      <c r="E131" s="133"/>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row>
    <row r="132">
      <c r="B132" s="21"/>
      <c r="C132" s="20"/>
      <c r="D132" s="21"/>
      <c r="E132" s="133"/>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row>
    <row r="133">
      <c r="B133" s="21"/>
      <c r="C133" s="20"/>
      <c r="D133" s="21"/>
      <c r="E133" s="133"/>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row>
    <row r="134">
      <c r="B134" s="21"/>
      <c r="C134" s="20"/>
      <c r="D134" s="21"/>
      <c r="E134" s="133"/>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row>
    <row r="135">
      <c r="B135" s="21"/>
      <c r="C135" s="20"/>
      <c r="D135" s="21"/>
      <c r="E135" s="133"/>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row>
    <row r="136">
      <c r="B136" s="21"/>
      <c r="C136" s="20"/>
      <c r="D136" s="21"/>
      <c r="E136" s="133"/>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row>
    <row r="137">
      <c r="B137" s="21"/>
      <c r="C137" s="20"/>
      <c r="D137" s="21"/>
      <c r="E137" s="133"/>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row>
    <row r="138">
      <c r="B138" s="21"/>
      <c r="C138" s="20"/>
      <c r="D138" s="21"/>
      <c r="E138" s="133"/>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row>
    <row r="139">
      <c r="B139" s="21"/>
      <c r="C139" s="20"/>
      <c r="D139" s="21"/>
      <c r="E139" s="133"/>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row>
    <row r="140">
      <c r="B140" s="21"/>
      <c r="C140" s="20"/>
      <c r="D140" s="21"/>
      <c r="E140" s="133"/>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row>
    <row r="141">
      <c r="B141" s="21"/>
      <c r="C141" s="20"/>
      <c r="D141" s="21"/>
      <c r="E141" s="133"/>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row>
    <row r="142">
      <c r="B142" s="21"/>
      <c r="C142" s="20"/>
      <c r="D142" s="21"/>
      <c r="E142" s="133"/>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row>
    <row r="143">
      <c r="B143" s="21"/>
      <c r="C143" s="20"/>
      <c r="D143" s="21"/>
      <c r="E143" s="133"/>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row>
    <row r="144">
      <c r="B144" s="21"/>
      <c r="C144" s="20"/>
      <c r="D144" s="21"/>
      <c r="E144" s="133"/>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row>
    <row r="145">
      <c r="B145" s="21"/>
      <c r="C145" s="20"/>
      <c r="D145" s="21"/>
      <c r="E145" s="133"/>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row>
    <row r="146">
      <c r="B146" s="21"/>
      <c r="C146" s="20"/>
      <c r="D146" s="21"/>
      <c r="E146" s="133"/>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row>
    <row r="147">
      <c r="B147" s="21"/>
      <c r="C147" s="20"/>
      <c r="D147" s="21"/>
      <c r="E147" s="133"/>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row>
    <row r="148">
      <c r="B148" s="21"/>
      <c r="C148" s="20"/>
      <c r="D148" s="21"/>
      <c r="E148" s="133"/>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row>
    <row r="149">
      <c r="B149" s="21"/>
      <c r="C149" s="20"/>
      <c r="D149" s="21"/>
      <c r="E149" s="133"/>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row>
    <row r="150">
      <c r="B150" s="21"/>
      <c r="C150" s="20"/>
      <c r="D150" s="21"/>
      <c r="E150" s="133"/>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row>
    <row r="151">
      <c r="B151" s="21"/>
      <c r="C151" s="20"/>
      <c r="D151" s="21"/>
      <c r="E151" s="133"/>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row>
    <row r="152">
      <c r="B152" s="21"/>
      <c r="C152" s="20"/>
      <c r="D152" s="21"/>
      <c r="E152" s="133"/>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row>
    <row r="153">
      <c r="B153" s="21"/>
      <c r="C153" s="20"/>
      <c r="D153" s="21"/>
      <c r="E153" s="133"/>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row>
    <row r="154">
      <c r="B154" s="21"/>
      <c r="C154" s="20"/>
      <c r="D154" s="21"/>
      <c r="E154" s="133"/>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row>
    <row r="155">
      <c r="B155" s="21"/>
      <c r="C155" s="20"/>
      <c r="D155" s="21"/>
      <c r="E155" s="133"/>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row>
    <row r="156">
      <c r="B156" s="21"/>
      <c r="C156" s="20"/>
      <c r="D156" s="21"/>
      <c r="E156" s="133"/>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row>
    <row r="157">
      <c r="B157" s="21"/>
      <c r="C157" s="20"/>
      <c r="D157" s="21"/>
      <c r="E157" s="133"/>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row>
    <row r="158">
      <c r="B158" s="21"/>
      <c r="C158" s="20"/>
      <c r="D158" s="21"/>
      <c r="E158" s="133"/>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row>
    <row r="159">
      <c r="B159" s="21"/>
      <c r="C159" s="20"/>
      <c r="D159" s="21"/>
      <c r="E159" s="133"/>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row>
    <row r="160">
      <c r="B160" s="21"/>
      <c r="C160" s="20"/>
      <c r="D160" s="21"/>
      <c r="E160" s="133"/>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row>
    <row r="161">
      <c r="B161" s="21"/>
      <c r="C161" s="20"/>
      <c r="D161" s="21"/>
      <c r="E161" s="133"/>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row>
    <row r="162">
      <c r="B162" s="21"/>
      <c r="C162" s="20"/>
      <c r="D162" s="21"/>
      <c r="E162" s="133"/>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row>
    <row r="163">
      <c r="B163" s="21"/>
      <c r="C163" s="20"/>
      <c r="D163" s="21"/>
      <c r="E163" s="133"/>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row>
    <row r="164">
      <c r="B164" s="21"/>
      <c r="C164" s="20"/>
      <c r="D164" s="21"/>
      <c r="E164" s="133"/>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row>
    <row r="165">
      <c r="B165" s="21"/>
      <c r="C165" s="20"/>
      <c r="D165" s="21"/>
      <c r="E165" s="133"/>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row>
    <row r="166">
      <c r="B166" s="21"/>
      <c r="C166" s="20"/>
      <c r="D166" s="21"/>
      <c r="E166" s="133"/>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row>
    <row r="167">
      <c r="B167" s="21"/>
      <c r="C167" s="20"/>
      <c r="D167" s="21"/>
      <c r="E167" s="133"/>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row>
    <row r="168">
      <c r="B168" s="21"/>
      <c r="C168" s="20"/>
      <c r="D168" s="21"/>
      <c r="E168" s="133"/>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row>
    <row r="169">
      <c r="B169" s="21"/>
      <c r="C169" s="20"/>
      <c r="D169" s="21"/>
      <c r="E169" s="133"/>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row>
    <row r="170">
      <c r="B170" s="21"/>
      <c r="C170" s="20"/>
      <c r="D170" s="21"/>
      <c r="E170" s="133"/>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row>
    <row r="171">
      <c r="B171" s="21"/>
      <c r="C171" s="20"/>
      <c r="D171" s="21"/>
      <c r="E171" s="133"/>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row>
    <row r="172">
      <c r="B172" s="21"/>
      <c r="C172" s="20"/>
      <c r="D172" s="21"/>
      <c r="E172" s="133"/>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row>
    <row r="173">
      <c r="B173" s="21"/>
      <c r="C173" s="20"/>
      <c r="D173" s="21"/>
      <c r="E173" s="133"/>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row>
    <row r="174">
      <c r="B174" s="21"/>
      <c r="C174" s="20"/>
      <c r="D174" s="21"/>
      <c r="E174" s="133"/>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row>
    <row r="175">
      <c r="B175" s="21"/>
      <c r="C175" s="20"/>
      <c r="D175" s="21"/>
      <c r="E175" s="133"/>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row>
    <row r="176">
      <c r="B176" s="21"/>
      <c r="C176" s="20"/>
      <c r="D176" s="21"/>
      <c r="E176" s="133"/>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row>
    <row r="177">
      <c r="B177" s="21"/>
      <c r="C177" s="20"/>
      <c r="D177" s="21"/>
      <c r="E177" s="133"/>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row>
    <row r="178">
      <c r="B178" s="21"/>
      <c r="C178" s="20"/>
      <c r="D178" s="21"/>
      <c r="E178" s="133"/>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row>
    <row r="179">
      <c r="B179" s="21"/>
      <c r="C179" s="20"/>
      <c r="D179" s="21"/>
      <c r="E179" s="133"/>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row>
    <row r="180">
      <c r="B180" s="21"/>
      <c r="C180" s="20"/>
      <c r="D180" s="21"/>
      <c r="E180" s="133"/>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row>
    <row r="181">
      <c r="B181" s="21"/>
      <c r="C181" s="20"/>
      <c r="D181" s="21"/>
      <c r="E181" s="133"/>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row>
    <row r="182">
      <c r="B182" s="21"/>
      <c r="C182" s="20"/>
      <c r="D182" s="21"/>
      <c r="E182" s="133"/>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row>
    <row r="183">
      <c r="B183" s="21"/>
      <c r="C183" s="20"/>
      <c r="D183" s="21"/>
      <c r="E183" s="133"/>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row>
    <row r="184">
      <c r="B184" s="21"/>
      <c r="C184" s="20"/>
      <c r="D184" s="21"/>
      <c r="E184" s="133"/>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row>
    <row r="185">
      <c r="B185" s="21"/>
      <c r="C185" s="20"/>
      <c r="D185" s="21"/>
      <c r="E185" s="133"/>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row>
    <row r="186">
      <c r="B186" s="21"/>
      <c r="C186" s="20"/>
      <c r="D186" s="21"/>
      <c r="E186" s="133"/>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row>
    <row r="187">
      <c r="B187" s="21"/>
      <c r="C187" s="20"/>
      <c r="D187" s="21"/>
      <c r="E187" s="133"/>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row>
    <row r="188">
      <c r="B188" s="21"/>
      <c r="C188" s="20"/>
      <c r="D188" s="21"/>
      <c r="E188" s="133"/>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row>
    <row r="189">
      <c r="B189" s="21"/>
      <c r="C189" s="20"/>
      <c r="D189" s="21"/>
      <c r="E189" s="133"/>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row>
    <row r="190">
      <c r="B190" s="21"/>
      <c r="C190" s="20"/>
      <c r="D190" s="21"/>
      <c r="E190" s="133"/>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row>
    <row r="191">
      <c r="B191" s="21"/>
      <c r="C191" s="20"/>
      <c r="D191" s="21"/>
      <c r="E191" s="133"/>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row>
    <row r="192">
      <c r="B192" s="21"/>
      <c r="C192" s="20"/>
      <c r="D192" s="21"/>
      <c r="E192" s="133"/>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row>
    <row r="193">
      <c r="B193" s="21"/>
      <c r="C193" s="20"/>
      <c r="D193" s="21"/>
      <c r="E193" s="133"/>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row>
    <row r="194">
      <c r="B194" s="21"/>
      <c r="C194" s="20"/>
      <c r="D194" s="21"/>
      <c r="E194" s="133"/>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row>
    <row r="195">
      <c r="B195" s="21"/>
      <c r="C195" s="20"/>
      <c r="D195" s="21"/>
      <c r="E195" s="133"/>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row>
    <row r="196">
      <c r="B196" s="21"/>
      <c r="C196" s="20"/>
      <c r="D196" s="21"/>
      <c r="E196" s="133"/>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row>
    <row r="197">
      <c r="B197" s="21"/>
      <c r="C197" s="20"/>
      <c r="D197" s="21"/>
      <c r="E197" s="133"/>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row>
    <row r="198">
      <c r="B198" s="21"/>
      <c r="C198" s="20"/>
      <c r="D198" s="21"/>
      <c r="E198" s="133"/>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row>
    <row r="199">
      <c r="B199" s="21"/>
      <c r="C199" s="20"/>
      <c r="D199" s="21"/>
      <c r="E199" s="133"/>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row>
    <row r="200">
      <c r="B200" s="21"/>
      <c r="C200" s="20"/>
      <c r="D200" s="21"/>
      <c r="E200" s="133"/>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row>
    <row r="201">
      <c r="B201" s="21"/>
      <c r="C201" s="20"/>
      <c r="D201" s="21"/>
      <c r="E201" s="133"/>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row>
    <row r="202">
      <c r="B202" s="21"/>
      <c r="C202" s="20"/>
      <c r="D202" s="21"/>
      <c r="E202" s="133"/>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row>
    <row r="203">
      <c r="B203" s="21"/>
      <c r="C203" s="20"/>
      <c r="D203" s="21"/>
      <c r="E203" s="133"/>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row>
    <row r="204">
      <c r="B204" s="21"/>
      <c r="C204" s="20"/>
      <c r="D204" s="21"/>
      <c r="E204" s="133"/>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row>
    <row r="205">
      <c r="B205" s="21"/>
      <c r="C205" s="20"/>
      <c r="D205" s="21"/>
      <c r="E205" s="133"/>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row>
    <row r="206">
      <c r="B206" s="21"/>
      <c r="C206" s="20"/>
      <c r="D206" s="21"/>
      <c r="E206" s="133"/>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row>
    <row r="207">
      <c r="B207" s="21"/>
      <c r="C207" s="20"/>
      <c r="D207" s="21"/>
      <c r="E207" s="133"/>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row>
    <row r="208">
      <c r="B208" s="21"/>
      <c r="C208" s="20"/>
      <c r="D208" s="21"/>
      <c r="E208" s="133"/>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row>
    <row r="209">
      <c r="B209" s="21"/>
      <c r="C209" s="20"/>
      <c r="D209" s="21"/>
      <c r="E209" s="133"/>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row>
    <row r="210">
      <c r="B210" s="21"/>
      <c r="C210" s="20"/>
      <c r="D210" s="21"/>
      <c r="E210" s="133"/>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row>
    <row r="211">
      <c r="B211" s="21"/>
      <c r="C211" s="20"/>
      <c r="D211" s="21"/>
      <c r="E211" s="133"/>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row>
    <row r="212">
      <c r="B212" s="21"/>
      <c r="C212" s="20"/>
      <c r="D212" s="21"/>
      <c r="E212" s="133"/>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row>
    <row r="213">
      <c r="B213" s="21"/>
      <c r="C213" s="20"/>
      <c r="D213" s="21"/>
      <c r="E213" s="133"/>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row>
    <row r="214">
      <c r="B214" s="21"/>
      <c r="C214" s="20"/>
      <c r="D214" s="21"/>
      <c r="E214" s="133"/>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row>
    <row r="215">
      <c r="B215" s="21"/>
      <c r="C215" s="20"/>
      <c r="D215" s="21"/>
      <c r="E215" s="133"/>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row>
    <row r="216">
      <c r="B216" s="21"/>
      <c r="C216" s="20"/>
      <c r="D216" s="21"/>
      <c r="E216" s="133"/>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row>
    <row r="217">
      <c r="B217" s="21"/>
      <c r="C217" s="20"/>
      <c r="D217" s="21"/>
      <c r="E217" s="133"/>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row>
    <row r="218">
      <c r="B218" s="21"/>
      <c r="C218" s="20"/>
      <c r="D218" s="21"/>
      <c r="E218" s="133"/>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row>
    <row r="219">
      <c r="B219" s="21"/>
      <c r="C219" s="20"/>
      <c r="D219" s="21"/>
      <c r="E219" s="133"/>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row>
    <row r="220">
      <c r="B220" s="21"/>
      <c r="C220" s="20"/>
      <c r="D220" s="21"/>
      <c r="E220" s="133"/>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row>
    <row r="221">
      <c r="B221" s="21"/>
      <c r="C221" s="20"/>
      <c r="D221" s="21"/>
      <c r="E221" s="133"/>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row>
    <row r="222">
      <c r="B222" s="21"/>
      <c r="C222" s="20"/>
      <c r="D222" s="21"/>
      <c r="E222" s="133"/>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row>
    <row r="223">
      <c r="B223" s="21"/>
      <c r="C223" s="20"/>
      <c r="D223" s="21"/>
      <c r="E223" s="133"/>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row>
    <row r="224">
      <c r="B224" s="21"/>
      <c r="C224" s="20"/>
      <c r="D224" s="21"/>
      <c r="E224" s="133"/>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row>
    <row r="225">
      <c r="B225" s="21"/>
      <c r="C225" s="20"/>
      <c r="D225" s="21"/>
      <c r="E225" s="133"/>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row>
    <row r="226">
      <c r="B226" s="21"/>
      <c r="C226" s="20"/>
      <c r="D226" s="21"/>
      <c r="E226" s="133"/>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row>
    <row r="227">
      <c r="B227" s="21"/>
      <c r="C227" s="20"/>
      <c r="D227" s="21"/>
      <c r="E227" s="133"/>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row>
    <row r="228">
      <c r="B228" s="21"/>
      <c r="C228" s="20"/>
      <c r="D228" s="21"/>
      <c r="E228" s="133"/>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row>
    <row r="229">
      <c r="B229" s="21"/>
      <c r="C229" s="20"/>
      <c r="D229" s="21"/>
      <c r="E229" s="133"/>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row>
    <row r="230">
      <c r="B230" s="21"/>
      <c r="C230" s="20"/>
      <c r="D230" s="21"/>
      <c r="E230" s="133"/>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row>
    <row r="231">
      <c r="B231" s="21"/>
      <c r="C231" s="20"/>
      <c r="D231" s="21"/>
      <c r="E231" s="133"/>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row>
    <row r="232">
      <c r="B232" s="21"/>
      <c r="C232" s="20"/>
      <c r="D232" s="21"/>
      <c r="E232" s="133"/>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row>
    <row r="233">
      <c r="B233" s="21"/>
      <c r="C233" s="20"/>
      <c r="D233" s="21"/>
      <c r="E233" s="133"/>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row>
    <row r="234">
      <c r="B234" s="21"/>
      <c r="C234" s="20"/>
      <c r="D234" s="21"/>
      <c r="E234" s="133"/>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row>
    <row r="235">
      <c r="B235" s="21"/>
      <c r="C235" s="20"/>
      <c r="D235" s="21"/>
      <c r="E235" s="133"/>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row>
    <row r="236">
      <c r="B236" s="21"/>
      <c r="C236" s="20"/>
      <c r="D236" s="21"/>
      <c r="E236" s="133"/>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row>
    <row r="237">
      <c r="B237" s="21"/>
      <c r="C237" s="20"/>
      <c r="D237" s="21"/>
      <c r="E237" s="133"/>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row>
    <row r="238">
      <c r="B238" s="141"/>
      <c r="C238" s="20"/>
      <c r="D238" s="21"/>
      <c r="E238" s="133"/>
      <c r="F238" s="141"/>
      <c r="G238" s="14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row>
    <row r="239">
      <c r="B239" s="84"/>
      <c r="C239" s="20"/>
      <c r="D239" s="21"/>
      <c r="E239" s="133"/>
      <c r="F239" s="84"/>
      <c r="G239" s="84"/>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row>
    <row r="240">
      <c r="B240" s="84"/>
      <c r="C240" s="20"/>
      <c r="D240" s="21"/>
      <c r="E240" s="133"/>
      <c r="F240" s="84"/>
      <c r="G240" s="84"/>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row>
    <row r="241">
      <c r="B241" s="84"/>
      <c r="C241" s="20"/>
      <c r="D241" s="21"/>
      <c r="E241" s="133"/>
      <c r="F241" s="84"/>
      <c r="G241" s="84"/>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row>
    <row r="242">
      <c r="B242" s="84"/>
      <c r="C242" s="20"/>
      <c r="D242" s="21"/>
      <c r="E242" s="133"/>
      <c r="F242" s="84"/>
      <c r="G242" s="84"/>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row>
    <row r="243">
      <c r="B243" s="84"/>
      <c r="C243" s="20"/>
      <c r="D243" s="21"/>
      <c r="E243" s="133"/>
      <c r="F243" s="84"/>
      <c r="G243" s="84"/>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row>
    <row r="244">
      <c r="B244" s="84"/>
      <c r="C244" s="20"/>
      <c r="D244" s="21"/>
      <c r="E244" s="133"/>
      <c r="F244" s="84"/>
      <c r="G244" s="84"/>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row>
    <row r="245">
      <c r="B245" s="84"/>
      <c r="C245" s="20"/>
      <c r="D245" s="21"/>
      <c r="E245" s="133"/>
      <c r="F245" s="84"/>
      <c r="G245" s="84"/>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row>
    <row r="246">
      <c r="B246" s="84"/>
      <c r="C246" s="20"/>
      <c r="D246" s="21"/>
      <c r="E246" s="133"/>
      <c r="F246" s="84"/>
      <c r="G246" s="84"/>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row>
    <row r="247">
      <c r="B247" s="84"/>
      <c r="C247" s="20"/>
      <c r="D247" s="21"/>
      <c r="E247" s="133"/>
      <c r="F247" s="84"/>
      <c r="G247" s="84"/>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row>
    <row r="248">
      <c r="B248" s="84"/>
      <c r="C248" s="20"/>
      <c r="D248" s="21"/>
      <c r="E248" s="133"/>
      <c r="F248" s="84"/>
      <c r="G248" s="84"/>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row>
    <row r="249">
      <c r="B249" s="84"/>
      <c r="C249" s="20"/>
      <c r="D249" s="21"/>
      <c r="E249" s="133"/>
      <c r="F249" s="84"/>
      <c r="G249" s="84"/>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row>
    <row r="250">
      <c r="B250" s="84"/>
      <c r="C250" s="20"/>
      <c r="D250" s="21"/>
      <c r="E250" s="133"/>
      <c r="F250" s="84"/>
      <c r="G250" s="84"/>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row>
    <row r="251">
      <c r="B251" s="84"/>
      <c r="C251" s="20"/>
      <c r="D251" s="21"/>
      <c r="E251" s="133"/>
      <c r="F251" s="84"/>
      <c r="G251" s="84"/>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row>
    <row r="252">
      <c r="B252" s="84"/>
      <c r="C252" s="20"/>
      <c r="D252" s="21"/>
      <c r="E252" s="133"/>
      <c r="F252" s="84"/>
      <c r="G252" s="84"/>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row>
    <row r="253">
      <c r="B253" s="84"/>
      <c r="C253" s="20"/>
      <c r="D253" s="21"/>
      <c r="E253" s="133"/>
      <c r="F253" s="84"/>
      <c r="G253" s="84"/>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row>
    <row r="254">
      <c r="B254" s="84"/>
      <c r="C254" s="20"/>
      <c r="D254" s="21"/>
      <c r="E254" s="133"/>
      <c r="F254" s="84"/>
      <c r="G254" s="84"/>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row>
    <row r="255">
      <c r="B255" s="84"/>
      <c r="C255" s="20"/>
      <c r="D255" s="21"/>
      <c r="E255" s="133"/>
      <c r="F255" s="84"/>
      <c r="G255" s="84"/>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row>
    <row r="256">
      <c r="B256" s="84"/>
      <c r="C256" s="20"/>
      <c r="D256" s="21"/>
      <c r="E256" s="133"/>
      <c r="F256" s="84"/>
      <c r="G256" s="84"/>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row>
    <row r="257">
      <c r="B257" s="84"/>
      <c r="C257" s="20"/>
      <c r="D257" s="21"/>
      <c r="E257" s="133"/>
      <c r="F257" s="84"/>
      <c r="G257" s="84"/>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row>
    <row r="258">
      <c r="B258" s="84"/>
      <c r="C258" s="20"/>
      <c r="D258" s="21"/>
      <c r="E258" s="133"/>
      <c r="F258" s="84"/>
      <c r="G258" s="84"/>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row>
    <row r="259">
      <c r="B259" s="84"/>
      <c r="C259" s="20"/>
      <c r="D259" s="21"/>
      <c r="E259" s="133"/>
      <c r="F259" s="84"/>
      <c r="G259" s="84"/>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row>
    <row r="260">
      <c r="B260" s="84"/>
      <c r="C260" s="20"/>
      <c r="D260" s="21"/>
      <c r="E260" s="133"/>
      <c r="F260" s="84"/>
      <c r="G260" s="84"/>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row>
    <row r="261">
      <c r="B261" s="84"/>
      <c r="C261" s="20"/>
      <c r="D261" s="21"/>
      <c r="E261" s="133"/>
      <c r="F261" s="84"/>
      <c r="G261" s="84"/>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row>
    <row r="262">
      <c r="B262" s="84"/>
      <c r="C262" s="20"/>
      <c r="D262" s="21"/>
      <c r="E262" s="133"/>
      <c r="F262" s="84"/>
      <c r="G262" s="84"/>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row>
    <row r="263">
      <c r="B263" s="84"/>
      <c r="C263" s="20"/>
      <c r="D263" s="21"/>
      <c r="E263" s="133"/>
      <c r="F263" s="84"/>
      <c r="G263" s="84"/>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row>
    <row r="264">
      <c r="B264" s="84"/>
      <c r="C264" s="20"/>
      <c r="D264" s="21"/>
      <c r="E264" s="133"/>
      <c r="F264" s="84"/>
      <c r="G264" s="84"/>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row>
    <row r="265">
      <c r="B265" s="84"/>
      <c r="C265" s="20"/>
      <c r="D265" s="21"/>
      <c r="E265" s="133"/>
      <c r="F265" s="84"/>
      <c r="G265" s="84"/>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row>
    <row r="266">
      <c r="B266" s="84"/>
      <c r="C266" s="20"/>
      <c r="D266" s="21"/>
      <c r="E266" s="133"/>
      <c r="F266" s="84"/>
      <c r="G266" s="84"/>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row>
    <row r="267">
      <c r="B267" s="84"/>
      <c r="C267" s="20"/>
      <c r="D267" s="21"/>
      <c r="E267" s="133"/>
      <c r="F267" s="84"/>
      <c r="G267" s="84"/>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row>
    <row r="268">
      <c r="B268" s="84"/>
      <c r="C268" s="20"/>
      <c r="D268" s="21"/>
      <c r="E268" s="133"/>
      <c r="F268" s="84"/>
      <c r="G268" s="84"/>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row>
    <row r="269">
      <c r="B269" s="84"/>
      <c r="C269" s="20"/>
      <c r="D269" s="21"/>
      <c r="E269" s="133"/>
      <c r="F269" s="84"/>
      <c r="G269" s="84"/>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row>
    <row r="270">
      <c r="B270" s="84"/>
      <c r="C270" s="20"/>
      <c r="D270" s="21"/>
      <c r="E270" s="133"/>
      <c r="F270" s="84"/>
      <c r="G270" s="84"/>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row>
    <row r="271">
      <c r="B271" s="84"/>
      <c r="C271" s="20"/>
      <c r="D271" s="21"/>
      <c r="E271" s="133"/>
      <c r="F271" s="84"/>
      <c r="G271" s="84"/>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row>
    <row r="272">
      <c r="B272" s="84"/>
      <c r="C272" s="20"/>
      <c r="D272" s="21"/>
      <c r="E272" s="133"/>
      <c r="F272" s="84"/>
      <c r="G272" s="84"/>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row>
    <row r="273">
      <c r="B273" s="84"/>
      <c r="C273" s="20"/>
      <c r="D273" s="21"/>
      <c r="E273" s="133"/>
      <c r="F273" s="84"/>
      <c r="G273" s="84"/>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row>
    <row r="274">
      <c r="B274" s="84"/>
      <c r="C274" s="20"/>
      <c r="D274" s="21"/>
      <c r="E274" s="133"/>
      <c r="F274" s="84"/>
      <c r="G274" s="84"/>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row>
    <row r="275">
      <c r="B275" s="84"/>
      <c r="C275" s="20"/>
      <c r="D275" s="21"/>
      <c r="E275" s="133"/>
      <c r="F275" s="84"/>
      <c r="G275" s="84"/>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row>
    <row r="276">
      <c r="B276" s="84"/>
      <c r="C276" s="20"/>
      <c r="D276" s="21"/>
      <c r="E276" s="133"/>
      <c r="F276" s="84"/>
      <c r="G276" s="84"/>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row>
    <row r="277">
      <c r="B277" s="84"/>
      <c r="C277" s="20"/>
      <c r="D277" s="21"/>
      <c r="E277" s="133"/>
      <c r="F277" s="84"/>
      <c r="G277" s="84"/>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row>
    <row r="278">
      <c r="B278" s="84"/>
      <c r="C278" s="20"/>
      <c r="D278" s="21"/>
      <c r="E278" s="133"/>
      <c r="F278" s="84"/>
      <c r="G278" s="84"/>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row>
    <row r="279">
      <c r="B279" s="84"/>
      <c r="C279" s="20"/>
      <c r="D279" s="21"/>
      <c r="E279" s="133"/>
      <c r="F279" s="84"/>
      <c r="G279" s="84"/>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row>
    <row r="280">
      <c r="B280" s="84"/>
      <c r="C280" s="20"/>
      <c r="D280" s="21"/>
      <c r="E280" s="133"/>
      <c r="F280" s="84"/>
      <c r="G280" s="84"/>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row>
    <row r="281">
      <c r="B281" s="84"/>
      <c r="C281" s="20"/>
      <c r="D281" s="21"/>
      <c r="E281" s="133"/>
      <c r="F281" s="84"/>
      <c r="G281" s="84"/>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row>
    <row r="282">
      <c r="B282" s="84"/>
      <c r="C282" s="20"/>
      <c r="D282" s="21"/>
      <c r="E282" s="133"/>
      <c r="F282" s="84"/>
      <c r="G282" s="84"/>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row>
    <row r="283">
      <c r="B283" s="84"/>
      <c r="C283" s="20"/>
      <c r="D283" s="21"/>
      <c r="E283" s="133"/>
      <c r="F283" s="84"/>
      <c r="G283" s="84"/>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row>
    <row r="284">
      <c r="B284" s="84"/>
      <c r="C284" s="20"/>
      <c r="D284" s="21"/>
      <c r="E284" s="133"/>
      <c r="F284" s="84"/>
      <c r="G284" s="84"/>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row>
    <row r="285">
      <c r="B285" s="84"/>
      <c r="C285" s="20"/>
      <c r="D285" s="21"/>
      <c r="E285" s="133"/>
      <c r="F285" s="84"/>
      <c r="G285" s="84"/>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row>
    <row r="286">
      <c r="B286" s="84"/>
      <c r="C286" s="20"/>
      <c r="D286" s="21"/>
      <c r="E286" s="133"/>
      <c r="F286" s="84"/>
      <c r="G286" s="84"/>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row>
    <row r="287">
      <c r="B287" s="84"/>
      <c r="C287" s="20"/>
      <c r="D287" s="21"/>
      <c r="E287" s="133"/>
      <c r="F287" s="84"/>
      <c r="G287" s="84"/>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row>
    <row r="288">
      <c r="B288" s="84"/>
      <c r="C288" s="20"/>
      <c r="D288" s="21"/>
      <c r="E288" s="133"/>
      <c r="F288" s="84"/>
      <c r="G288" s="84"/>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row>
    <row r="289">
      <c r="B289" s="84"/>
      <c r="C289" s="20"/>
      <c r="D289" s="21"/>
      <c r="E289" s="133"/>
      <c r="F289" s="84"/>
      <c r="G289" s="84"/>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row>
    <row r="290">
      <c r="B290" s="84"/>
      <c r="C290" s="20"/>
      <c r="D290" s="21"/>
      <c r="E290" s="133"/>
      <c r="F290" s="84"/>
      <c r="G290" s="84"/>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row>
    <row r="291">
      <c r="B291" s="84"/>
      <c r="C291" s="20"/>
      <c r="D291" s="21"/>
      <c r="E291" s="133"/>
      <c r="F291" s="84"/>
      <c r="G291" s="84"/>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row>
    <row r="292">
      <c r="B292" s="84"/>
      <c r="C292" s="20"/>
      <c r="D292" s="21"/>
      <c r="E292" s="133"/>
      <c r="F292" s="84"/>
      <c r="G292" s="84"/>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row>
    <row r="293">
      <c r="B293" s="84"/>
      <c r="C293" s="20"/>
      <c r="D293" s="21"/>
      <c r="E293" s="133"/>
      <c r="F293" s="84"/>
      <c r="G293" s="84"/>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row>
    <row r="294">
      <c r="B294" s="84"/>
      <c r="C294" s="20"/>
      <c r="D294" s="21"/>
      <c r="E294" s="133"/>
      <c r="F294" s="84"/>
      <c r="G294" s="84"/>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row>
    <row r="295">
      <c r="B295" s="84"/>
      <c r="C295" s="20"/>
      <c r="D295" s="21"/>
      <c r="E295" s="133"/>
      <c r="F295" s="84"/>
      <c r="G295" s="84"/>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row>
    <row r="296">
      <c r="B296" s="84"/>
      <c r="C296" s="20"/>
      <c r="D296" s="21"/>
      <c r="E296" s="133"/>
      <c r="F296" s="84"/>
      <c r="G296" s="84"/>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row>
    <row r="297">
      <c r="B297" s="84"/>
      <c r="C297" s="20"/>
      <c r="D297" s="21"/>
      <c r="E297" s="133"/>
      <c r="F297" s="84"/>
      <c r="G297" s="84"/>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row>
    <row r="298">
      <c r="B298" s="84"/>
      <c r="C298" s="20"/>
      <c r="D298" s="21"/>
      <c r="E298" s="133"/>
      <c r="F298" s="84"/>
      <c r="G298" s="84"/>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row>
    <row r="299">
      <c r="B299" s="84"/>
      <c r="C299" s="20"/>
      <c r="D299" s="21"/>
      <c r="E299" s="133"/>
      <c r="F299" s="84"/>
      <c r="G299" s="84"/>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row>
    <row r="300">
      <c r="B300" s="84"/>
      <c r="C300" s="20"/>
      <c r="D300" s="21"/>
      <c r="E300" s="133"/>
      <c r="F300" s="84"/>
      <c r="G300" s="84"/>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row>
    <row r="301">
      <c r="B301" s="84"/>
      <c r="C301" s="20"/>
      <c r="D301" s="21"/>
      <c r="E301" s="133"/>
      <c r="F301" s="84"/>
      <c r="G301" s="84"/>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row>
    <row r="302">
      <c r="B302" s="84"/>
      <c r="C302" s="20"/>
      <c r="D302" s="21"/>
      <c r="E302" s="133"/>
      <c r="F302" s="84"/>
      <c r="G302" s="84"/>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row>
    <row r="303">
      <c r="B303" s="84"/>
      <c r="C303" s="20"/>
      <c r="D303" s="21"/>
      <c r="E303" s="133"/>
      <c r="F303" s="84"/>
      <c r="G303" s="84"/>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row>
    <row r="304">
      <c r="B304" s="84"/>
      <c r="C304" s="20"/>
      <c r="D304" s="21"/>
      <c r="E304" s="133"/>
      <c r="F304" s="84"/>
      <c r="G304" s="84"/>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row>
    <row r="305">
      <c r="B305" s="84"/>
      <c r="C305" s="20"/>
      <c r="D305" s="21"/>
      <c r="E305" s="133"/>
      <c r="F305" s="84"/>
      <c r="G305" s="84"/>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row>
    <row r="306">
      <c r="B306" s="84"/>
      <c r="C306" s="20"/>
      <c r="D306" s="21"/>
      <c r="E306" s="133"/>
      <c r="F306" s="84"/>
      <c r="G306" s="84"/>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row>
    <row r="307">
      <c r="B307" s="84"/>
      <c r="C307" s="20"/>
      <c r="D307" s="21"/>
      <c r="E307" s="133"/>
      <c r="F307" s="84"/>
      <c r="G307" s="84"/>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row>
    <row r="308">
      <c r="B308" s="84"/>
      <c r="C308" s="20"/>
      <c r="D308" s="21"/>
      <c r="E308" s="133"/>
      <c r="F308" s="84"/>
      <c r="G308" s="84"/>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row>
    <row r="309">
      <c r="B309" s="84"/>
      <c r="C309" s="20"/>
      <c r="D309" s="21"/>
      <c r="E309" s="133"/>
      <c r="F309" s="84"/>
      <c r="G309" s="84"/>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row>
    <row r="310">
      <c r="B310" s="84"/>
      <c r="C310" s="20"/>
      <c r="D310" s="21"/>
      <c r="E310" s="133"/>
      <c r="F310" s="84"/>
      <c r="G310" s="84"/>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row>
    <row r="311">
      <c r="B311" s="84"/>
      <c r="C311" s="20"/>
      <c r="D311" s="21"/>
      <c r="E311" s="133"/>
      <c r="F311" s="84"/>
      <c r="G311" s="84"/>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row>
    <row r="312">
      <c r="B312" s="84"/>
      <c r="C312" s="20"/>
      <c r="D312" s="21"/>
      <c r="E312" s="133"/>
      <c r="F312" s="84"/>
      <c r="G312" s="84"/>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row>
    <row r="313">
      <c r="B313" s="84"/>
      <c r="C313" s="20"/>
      <c r="D313" s="21"/>
      <c r="E313" s="133"/>
      <c r="F313" s="84"/>
      <c r="G313" s="84"/>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row>
    <row r="314">
      <c r="B314" s="84"/>
      <c r="C314" s="20"/>
      <c r="D314" s="21"/>
      <c r="E314" s="133"/>
      <c r="F314" s="84"/>
      <c r="G314" s="84"/>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row>
    <row r="315">
      <c r="B315" s="84"/>
      <c r="C315" s="20"/>
      <c r="D315" s="21"/>
      <c r="E315" s="133"/>
      <c r="F315" s="84"/>
      <c r="G315" s="84"/>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row>
    <row r="316">
      <c r="B316" s="84"/>
      <c r="C316" s="20"/>
      <c r="D316" s="21"/>
      <c r="E316" s="133"/>
      <c r="F316" s="84"/>
      <c r="G316" s="84"/>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row>
    <row r="317">
      <c r="B317" s="84"/>
      <c r="C317" s="20"/>
      <c r="D317" s="21"/>
      <c r="E317" s="133"/>
      <c r="F317" s="84"/>
      <c r="G317" s="84"/>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row>
    <row r="318">
      <c r="B318" s="84"/>
      <c r="C318" s="20"/>
      <c r="D318" s="21"/>
      <c r="E318" s="133"/>
      <c r="F318" s="84"/>
      <c r="G318" s="84"/>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row>
    <row r="319">
      <c r="B319" s="84"/>
      <c r="C319" s="20"/>
      <c r="D319" s="21"/>
      <c r="E319" s="133"/>
      <c r="F319" s="84"/>
      <c r="G319" s="84"/>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row>
    <row r="320">
      <c r="B320" s="84"/>
      <c r="C320" s="20"/>
      <c r="D320" s="21"/>
      <c r="E320" s="133"/>
      <c r="F320" s="84"/>
      <c r="G320" s="84"/>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row>
    <row r="321">
      <c r="B321" s="84"/>
      <c r="C321" s="20"/>
      <c r="D321" s="21"/>
      <c r="E321" s="133"/>
      <c r="F321" s="84"/>
      <c r="G321" s="84"/>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row>
    <row r="322">
      <c r="B322" s="84"/>
      <c r="C322" s="20"/>
      <c r="D322" s="21"/>
      <c r="E322" s="133"/>
      <c r="F322" s="84"/>
      <c r="G322" s="84"/>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row>
    <row r="323">
      <c r="B323" s="84"/>
      <c r="C323" s="20"/>
      <c r="D323" s="21"/>
      <c r="E323" s="133"/>
      <c r="F323" s="84"/>
      <c r="G323" s="84"/>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row>
    <row r="324">
      <c r="B324" s="84"/>
      <c r="C324" s="20"/>
      <c r="D324" s="21"/>
      <c r="E324" s="133"/>
      <c r="F324" s="84"/>
      <c r="G324" s="84"/>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row>
    <row r="325">
      <c r="B325" s="84"/>
      <c r="C325" s="20"/>
      <c r="D325" s="21"/>
      <c r="E325" s="133"/>
      <c r="F325" s="84"/>
      <c r="G325" s="84"/>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row>
    <row r="326">
      <c r="B326" s="84"/>
      <c r="C326" s="20"/>
      <c r="D326" s="21"/>
      <c r="E326" s="133"/>
      <c r="F326" s="84"/>
      <c r="G326" s="84"/>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row>
    <row r="327">
      <c r="B327" s="84"/>
      <c r="C327" s="20"/>
      <c r="D327" s="21"/>
      <c r="E327" s="133"/>
      <c r="F327" s="84"/>
      <c r="G327" s="84"/>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row>
    <row r="328">
      <c r="B328" s="84"/>
      <c r="C328" s="20"/>
      <c r="D328" s="21"/>
      <c r="E328" s="133"/>
      <c r="F328" s="84"/>
      <c r="G328" s="84"/>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row>
    <row r="329">
      <c r="B329" s="84"/>
      <c r="C329" s="20"/>
      <c r="D329" s="21"/>
      <c r="E329" s="133"/>
      <c r="F329" s="84"/>
      <c r="G329" s="84"/>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row>
    <row r="330">
      <c r="B330" s="84"/>
      <c r="C330" s="20"/>
      <c r="D330" s="21"/>
      <c r="E330" s="133"/>
      <c r="F330" s="84"/>
      <c r="G330" s="84"/>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row>
    <row r="331">
      <c r="B331" s="84"/>
      <c r="C331" s="20"/>
      <c r="D331" s="21"/>
      <c r="E331" s="133"/>
      <c r="F331" s="84"/>
      <c r="G331" s="84"/>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row>
    <row r="332">
      <c r="B332" s="84"/>
      <c r="C332" s="20"/>
      <c r="D332" s="21"/>
      <c r="E332" s="133"/>
      <c r="F332" s="84"/>
      <c r="G332" s="84"/>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row>
    <row r="333">
      <c r="B333" s="84"/>
      <c r="C333" s="20"/>
      <c r="D333" s="21"/>
      <c r="E333" s="133"/>
      <c r="F333" s="84"/>
      <c r="G333" s="84"/>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row>
    <row r="334">
      <c r="B334" s="84"/>
      <c r="C334" s="20"/>
      <c r="D334" s="21"/>
      <c r="E334" s="133"/>
      <c r="F334" s="84"/>
      <c r="G334" s="84"/>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row>
    <row r="335">
      <c r="B335" s="84"/>
      <c r="C335" s="20"/>
      <c r="D335" s="21"/>
      <c r="E335" s="133"/>
      <c r="F335" s="84"/>
      <c r="G335" s="84"/>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row>
    <row r="336">
      <c r="B336" s="84"/>
      <c r="C336" s="20"/>
      <c r="D336" s="21"/>
      <c r="E336" s="133"/>
      <c r="F336" s="84"/>
      <c r="G336" s="84"/>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row>
    <row r="337">
      <c r="B337" s="84"/>
      <c r="C337" s="20"/>
      <c r="D337" s="21"/>
      <c r="E337" s="133"/>
      <c r="F337" s="84"/>
      <c r="G337" s="84"/>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row>
    <row r="338">
      <c r="B338" s="84"/>
      <c r="C338" s="20"/>
      <c r="D338" s="21"/>
      <c r="E338" s="133"/>
      <c r="F338" s="84"/>
      <c r="G338" s="84"/>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row>
    <row r="339">
      <c r="B339" s="84"/>
      <c r="C339" s="20"/>
      <c r="D339" s="21"/>
      <c r="E339" s="133"/>
      <c r="F339" s="84"/>
      <c r="G339" s="84"/>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row>
    <row r="340">
      <c r="B340" s="84"/>
      <c r="C340" s="20"/>
      <c r="D340" s="21"/>
      <c r="E340" s="133"/>
      <c r="F340" s="84"/>
      <c r="G340" s="84"/>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row>
    <row r="341">
      <c r="B341" s="84"/>
      <c r="C341" s="20"/>
      <c r="D341" s="21"/>
      <c r="E341" s="133"/>
      <c r="F341" s="84"/>
      <c r="G341" s="84"/>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row>
    <row r="342">
      <c r="B342" s="84"/>
      <c r="C342" s="20"/>
      <c r="D342" s="21"/>
      <c r="E342" s="133"/>
      <c r="F342" s="84"/>
      <c r="G342" s="84"/>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row>
    <row r="343">
      <c r="B343" s="84"/>
      <c r="C343" s="20"/>
      <c r="D343" s="21"/>
      <c r="E343" s="133"/>
      <c r="F343" s="84"/>
      <c r="G343" s="84"/>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row>
    <row r="344">
      <c r="B344" s="84"/>
      <c r="C344" s="20"/>
      <c r="D344" s="21"/>
      <c r="E344" s="133"/>
      <c r="F344" s="84"/>
      <c r="G344" s="84"/>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row>
    <row r="345">
      <c r="B345" s="84"/>
      <c r="C345" s="20"/>
      <c r="D345" s="21"/>
      <c r="E345" s="133"/>
      <c r="F345" s="84"/>
      <c r="G345" s="84"/>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row>
    <row r="346">
      <c r="B346" s="84"/>
      <c r="C346" s="20"/>
      <c r="D346" s="21"/>
      <c r="E346" s="133"/>
      <c r="F346" s="84"/>
      <c r="G346" s="84"/>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row>
    <row r="347">
      <c r="B347" s="84"/>
      <c r="C347" s="20"/>
      <c r="D347" s="21"/>
      <c r="E347" s="133"/>
      <c r="F347" s="84"/>
      <c r="G347" s="84"/>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row>
    <row r="348">
      <c r="B348" s="84"/>
      <c r="C348" s="20"/>
      <c r="D348" s="21"/>
      <c r="E348" s="133"/>
      <c r="F348" s="84"/>
      <c r="G348" s="84"/>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row>
    <row r="349">
      <c r="B349" s="84"/>
      <c r="C349" s="20"/>
      <c r="D349" s="21"/>
      <c r="E349" s="133"/>
      <c r="F349" s="84"/>
      <c r="G349" s="84"/>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row>
    <row r="350">
      <c r="B350" s="84"/>
      <c r="C350" s="20"/>
      <c r="D350" s="21"/>
      <c r="E350" s="133"/>
      <c r="F350" s="84"/>
      <c r="G350" s="84"/>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row>
    <row r="351">
      <c r="B351" s="84"/>
      <c r="C351" s="20"/>
      <c r="D351" s="21"/>
      <c r="E351" s="133"/>
      <c r="F351" s="84"/>
      <c r="G351" s="84"/>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row>
    <row r="352">
      <c r="B352" s="84"/>
      <c r="C352" s="20"/>
      <c r="D352" s="21"/>
      <c r="E352" s="133"/>
      <c r="F352" s="84"/>
      <c r="G352" s="84"/>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row>
    <row r="353">
      <c r="B353" s="84"/>
      <c r="C353" s="20"/>
      <c r="D353" s="21"/>
      <c r="E353" s="133"/>
      <c r="F353" s="84"/>
      <c r="G353" s="84"/>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row>
    <row r="354">
      <c r="B354" s="84"/>
      <c r="C354" s="20"/>
      <c r="D354" s="21"/>
      <c r="E354" s="133"/>
      <c r="F354" s="84"/>
      <c r="G354" s="84"/>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row>
    <row r="355">
      <c r="B355" s="84"/>
      <c r="C355" s="20"/>
      <c r="D355" s="21"/>
      <c r="E355" s="133"/>
      <c r="F355" s="84"/>
      <c r="G355" s="84"/>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row>
    <row r="356">
      <c r="B356" s="84"/>
      <c r="C356" s="20"/>
      <c r="D356" s="21"/>
      <c r="E356" s="133"/>
      <c r="F356" s="84"/>
      <c r="G356" s="84"/>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row>
    <row r="357">
      <c r="B357" s="84"/>
      <c r="C357" s="20"/>
      <c r="D357" s="21"/>
      <c r="E357" s="133"/>
      <c r="F357" s="84"/>
      <c r="G357" s="84"/>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row>
    <row r="358">
      <c r="B358" s="84"/>
      <c r="C358" s="20"/>
      <c r="D358" s="21"/>
      <c r="E358" s="133"/>
      <c r="F358" s="84"/>
      <c r="G358" s="84"/>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row>
    <row r="359">
      <c r="B359" s="84"/>
      <c r="C359" s="20"/>
      <c r="D359" s="21"/>
      <c r="E359" s="133"/>
      <c r="F359" s="84"/>
      <c r="G359" s="84"/>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row>
    <row r="360">
      <c r="B360" s="84"/>
      <c r="C360" s="20"/>
      <c r="D360" s="21"/>
      <c r="E360" s="133"/>
      <c r="F360" s="84"/>
      <c r="G360" s="84"/>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row>
    <row r="361">
      <c r="B361" s="84"/>
      <c r="C361" s="20"/>
      <c r="D361" s="21"/>
      <c r="E361" s="133"/>
      <c r="F361" s="84"/>
      <c r="G361" s="84"/>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row>
    <row r="362">
      <c r="B362" s="84"/>
      <c r="C362" s="20"/>
      <c r="D362" s="21"/>
      <c r="E362" s="133"/>
      <c r="F362" s="84"/>
      <c r="G362" s="84"/>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row>
    <row r="363">
      <c r="B363" s="84"/>
      <c r="C363" s="20"/>
      <c r="D363" s="21"/>
      <c r="E363" s="133"/>
      <c r="F363" s="84"/>
      <c r="G363" s="84"/>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row>
    <row r="364">
      <c r="B364" s="84"/>
      <c r="C364" s="20"/>
      <c r="D364" s="21"/>
      <c r="E364" s="133"/>
      <c r="F364" s="84"/>
      <c r="G364" s="84"/>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row>
    <row r="365">
      <c r="B365" s="84"/>
      <c r="C365" s="20"/>
      <c r="D365" s="21"/>
      <c r="E365" s="133"/>
      <c r="F365" s="84"/>
      <c r="G365" s="84"/>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row>
    <row r="366">
      <c r="B366" s="84"/>
      <c r="C366" s="20"/>
      <c r="D366" s="21"/>
      <c r="E366" s="133"/>
      <c r="F366" s="84"/>
      <c r="G366" s="84"/>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row>
    <row r="367">
      <c r="B367" s="84"/>
      <c r="C367" s="20"/>
      <c r="D367" s="21"/>
      <c r="E367" s="133"/>
      <c r="F367" s="84"/>
      <c r="G367" s="84"/>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row>
    <row r="368">
      <c r="B368" s="84"/>
      <c r="C368" s="20"/>
      <c r="D368" s="21"/>
      <c r="E368" s="133"/>
      <c r="F368" s="84"/>
      <c r="G368" s="84"/>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row>
    <row r="369">
      <c r="B369" s="84"/>
      <c r="C369" s="20"/>
      <c r="D369" s="21"/>
      <c r="E369" s="133"/>
      <c r="F369" s="84"/>
      <c r="G369" s="84"/>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row>
    <row r="370">
      <c r="B370" s="84"/>
      <c r="C370" s="20"/>
      <c r="D370" s="21"/>
      <c r="E370" s="133"/>
      <c r="F370" s="84"/>
      <c r="G370" s="84"/>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row>
    <row r="371">
      <c r="B371" s="84"/>
      <c r="C371" s="20"/>
      <c r="D371" s="21"/>
      <c r="E371" s="133"/>
      <c r="F371" s="84"/>
      <c r="G371" s="84"/>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row>
    <row r="372">
      <c r="B372" s="84"/>
      <c r="C372" s="20"/>
      <c r="D372" s="21"/>
      <c r="E372" s="133"/>
      <c r="F372" s="84"/>
      <c r="G372" s="84"/>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row>
    <row r="373">
      <c r="B373" s="84"/>
      <c r="C373" s="20"/>
      <c r="D373" s="21"/>
      <c r="E373" s="133"/>
      <c r="F373" s="84"/>
      <c r="G373" s="84"/>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row>
    <row r="374">
      <c r="B374" s="84"/>
      <c r="C374" s="20"/>
      <c r="D374" s="21"/>
      <c r="E374" s="133"/>
      <c r="F374" s="84"/>
      <c r="G374" s="84"/>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row>
    <row r="375">
      <c r="B375" s="84"/>
      <c r="C375" s="20"/>
      <c r="D375" s="21"/>
      <c r="E375" s="133"/>
      <c r="F375" s="84"/>
      <c r="G375" s="84"/>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row>
    <row r="376">
      <c r="B376" s="84"/>
      <c r="C376" s="20"/>
      <c r="D376" s="21"/>
      <c r="E376" s="133"/>
      <c r="F376" s="84"/>
      <c r="G376" s="84"/>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row>
    <row r="377">
      <c r="B377" s="84"/>
      <c r="C377" s="20"/>
      <c r="D377" s="21"/>
      <c r="E377" s="133"/>
      <c r="F377" s="84"/>
      <c r="G377" s="84"/>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row>
    <row r="378">
      <c r="B378" s="84"/>
      <c r="C378" s="20"/>
      <c r="D378" s="21"/>
      <c r="E378" s="133"/>
      <c r="F378" s="84"/>
      <c r="G378" s="84"/>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row>
    <row r="379">
      <c r="B379" s="84"/>
      <c r="C379" s="20"/>
      <c r="D379" s="21"/>
      <c r="E379" s="133"/>
      <c r="F379" s="84"/>
      <c r="G379" s="84"/>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row>
    <row r="380">
      <c r="B380" s="84"/>
      <c r="C380" s="20"/>
      <c r="D380" s="21"/>
      <c r="E380" s="133"/>
      <c r="F380" s="84"/>
      <c r="G380" s="84"/>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row>
    <row r="381">
      <c r="B381" s="84"/>
      <c r="C381" s="20"/>
      <c r="D381" s="21"/>
      <c r="E381" s="133"/>
      <c r="F381" s="84"/>
      <c r="G381" s="84"/>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row>
    <row r="382">
      <c r="B382" s="84"/>
      <c r="C382" s="20"/>
      <c r="D382" s="21"/>
      <c r="E382" s="133"/>
      <c r="F382" s="84"/>
      <c r="G382" s="84"/>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row>
    <row r="383">
      <c r="B383" s="84"/>
      <c r="C383" s="20"/>
      <c r="D383" s="21"/>
      <c r="E383" s="133"/>
      <c r="F383" s="84"/>
      <c r="G383" s="84"/>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row>
    <row r="384">
      <c r="B384" s="84"/>
      <c r="C384" s="20"/>
      <c r="D384" s="21"/>
      <c r="E384" s="133"/>
      <c r="F384" s="84"/>
      <c r="G384" s="84"/>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row>
    <row r="385">
      <c r="B385" s="84"/>
      <c r="C385" s="20"/>
      <c r="D385" s="21"/>
      <c r="E385" s="133"/>
      <c r="F385" s="84"/>
      <c r="G385" s="84"/>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row>
    <row r="386">
      <c r="B386" s="84"/>
      <c r="C386" s="20"/>
      <c r="D386" s="21"/>
      <c r="E386" s="133"/>
      <c r="F386" s="84"/>
      <c r="G386" s="84"/>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row>
    <row r="387">
      <c r="B387" s="84"/>
      <c r="C387" s="20"/>
      <c r="D387" s="21"/>
      <c r="E387" s="133"/>
      <c r="F387" s="84"/>
      <c r="G387" s="84"/>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row>
    <row r="388">
      <c r="B388" s="84"/>
      <c r="C388" s="20"/>
      <c r="D388" s="21"/>
      <c r="E388" s="133"/>
      <c r="F388" s="84"/>
      <c r="G388" s="84"/>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row>
    <row r="389">
      <c r="B389" s="84"/>
      <c r="C389" s="20"/>
      <c r="D389" s="21"/>
      <c r="E389" s="133"/>
      <c r="F389" s="84"/>
      <c r="G389" s="84"/>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row>
    <row r="390">
      <c r="B390" s="84"/>
      <c r="C390" s="20"/>
      <c r="D390" s="21"/>
      <c r="E390" s="133"/>
      <c r="F390" s="84"/>
      <c r="G390" s="84"/>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row>
    <row r="391">
      <c r="B391" s="84"/>
      <c r="C391" s="20"/>
      <c r="D391" s="21"/>
      <c r="E391" s="133"/>
      <c r="F391" s="84"/>
      <c r="G391" s="84"/>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row>
    <row r="392">
      <c r="B392" s="84"/>
      <c r="C392" s="20"/>
      <c r="D392" s="21"/>
      <c r="E392" s="133"/>
      <c r="F392" s="84"/>
      <c r="G392" s="84"/>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row>
    <row r="393">
      <c r="B393" s="84"/>
      <c r="C393" s="20"/>
      <c r="D393" s="21"/>
      <c r="E393" s="133"/>
      <c r="F393" s="84"/>
      <c r="G393" s="84"/>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row>
    <row r="394">
      <c r="B394" s="84"/>
      <c r="C394" s="20"/>
      <c r="D394" s="21"/>
      <c r="E394" s="133"/>
      <c r="F394" s="84"/>
      <c r="G394" s="84"/>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row>
    <row r="395">
      <c r="B395" s="84"/>
      <c r="C395" s="20"/>
      <c r="D395" s="21"/>
      <c r="E395" s="133"/>
      <c r="F395" s="84"/>
      <c r="G395" s="84"/>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row>
    <row r="396">
      <c r="B396" s="84"/>
      <c r="C396" s="20"/>
      <c r="D396" s="21"/>
      <c r="E396" s="133"/>
      <c r="F396" s="84"/>
      <c r="G396" s="84"/>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row>
    <row r="397">
      <c r="B397" s="84"/>
      <c r="C397" s="20"/>
      <c r="D397" s="21"/>
      <c r="E397" s="133"/>
      <c r="F397" s="84"/>
      <c r="G397" s="84"/>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row>
    <row r="398">
      <c r="B398" s="84"/>
      <c r="C398" s="20"/>
      <c r="D398" s="21"/>
      <c r="E398" s="133"/>
      <c r="F398" s="84"/>
      <c r="G398" s="84"/>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row>
    <row r="399">
      <c r="B399" s="84"/>
      <c r="C399" s="20"/>
      <c r="D399" s="21"/>
      <c r="E399" s="133"/>
      <c r="F399" s="84"/>
      <c r="G399" s="84"/>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row>
    <row r="400">
      <c r="B400" s="84"/>
      <c r="C400" s="20"/>
      <c r="D400" s="21"/>
      <c r="E400" s="133"/>
      <c r="F400" s="84"/>
      <c r="G400" s="84"/>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row>
    <row r="401">
      <c r="B401" s="84"/>
      <c r="C401" s="20"/>
      <c r="D401" s="21"/>
      <c r="E401" s="133"/>
      <c r="F401" s="84"/>
      <c r="G401" s="84"/>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row>
    <row r="402">
      <c r="B402" s="84"/>
      <c r="C402" s="20"/>
      <c r="D402" s="21"/>
      <c r="E402" s="133"/>
      <c r="F402" s="84"/>
      <c r="G402" s="84"/>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row>
    <row r="403">
      <c r="B403" s="84"/>
      <c r="C403" s="20"/>
      <c r="D403" s="21"/>
      <c r="E403" s="133"/>
      <c r="F403" s="84"/>
      <c r="G403" s="84"/>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row>
    <row r="404">
      <c r="B404" s="84"/>
      <c r="C404" s="20"/>
      <c r="D404" s="21"/>
      <c r="E404" s="133"/>
      <c r="F404" s="84"/>
      <c r="G404" s="84"/>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row>
    <row r="405">
      <c r="B405" s="84"/>
      <c r="C405" s="20"/>
      <c r="D405" s="21"/>
      <c r="E405" s="133"/>
      <c r="F405" s="84"/>
      <c r="G405" s="84"/>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row>
    <row r="406">
      <c r="B406" s="84"/>
      <c r="C406" s="20"/>
      <c r="D406" s="21"/>
      <c r="E406" s="133"/>
      <c r="F406" s="84"/>
      <c r="G406" s="84"/>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row>
    <row r="407">
      <c r="B407" s="84"/>
      <c r="C407" s="20"/>
      <c r="D407" s="21"/>
      <c r="E407" s="133"/>
      <c r="F407" s="84"/>
      <c r="G407" s="84"/>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row>
    <row r="408">
      <c r="B408" s="84"/>
      <c r="C408" s="20"/>
      <c r="D408" s="21"/>
      <c r="E408" s="133"/>
      <c r="F408" s="84"/>
      <c r="G408" s="84"/>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row>
    <row r="409">
      <c r="B409" s="84"/>
      <c r="C409" s="20"/>
      <c r="D409" s="21"/>
      <c r="E409" s="133"/>
      <c r="F409" s="84"/>
      <c r="G409" s="84"/>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row>
    <row r="410">
      <c r="B410" s="84"/>
      <c r="C410" s="20"/>
      <c r="D410" s="21"/>
      <c r="E410" s="133"/>
      <c r="F410" s="84"/>
      <c r="G410" s="84"/>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row>
    <row r="411">
      <c r="B411" s="84"/>
      <c r="C411" s="20"/>
      <c r="D411" s="21"/>
      <c r="E411" s="133"/>
      <c r="F411" s="84"/>
      <c r="G411" s="84"/>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row>
    <row r="412">
      <c r="B412" s="84"/>
      <c r="C412" s="20"/>
      <c r="D412" s="21"/>
      <c r="E412" s="133"/>
      <c r="F412" s="84"/>
      <c r="G412" s="84"/>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row>
    <row r="413">
      <c r="B413" s="84"/>
      <c r="C413" s="20"/>
      <c r="D413" s="21"/>
      <c r="E413" s="133"/>
      <c r="F413" s="84"/>
      <c r="G413" s="84"/>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row>
    <row r="414">
      <c r="B414" s="84"/>
      <c r="C414" s="20"/>
      <c r="D414" s="21"/>
      <c r="E414" s="133"/>
      <c r="F414" s="84"/>
      <c r="G414" s="84"/>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row>
    <row r="415">
      <c r="B415" s="84"/>
      <c r="C415" s="20"/>
      <c r="D415" s="21"/>
      <c r="E415" s="133"/>
      <c r="F415" s="84"/>
      <c r="G415" s="84"/>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row>
    <row r="416">
      <c r="B416" s="84"/>
      <c r="C416" s="20"/>
      <c r="D416" s="21"/>
      <c r="E416" s="133"/>
      <c r="F416" s="84"/>
      <c r="G416" s="84"/>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row>
    <row r="417">
      <c r="B417" s="84"/>
      <c r="C417" s="20"/>
      <c r="D417" s="21"/>
      <c r="E417" s="133"/>
      <c r="F417" s="84"/>
      <c r="G417" s="84"/>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row>
    <row r="418">
      <c r="B418" s="84"/>
      <c r="C418" s="20"/>
      <c r="D418" s="21"/>
      <c r="E418" s="133"/>
      <c r="F418" s="84"/>
      <c r="G418" s="84"/>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row>
    <row r="419">
      <c r="B419" s="84"/>
      <c r="C419" s="20"/>
      <c r="D419" s="21"/>
      <c r="E419" s="133"/>
      <c r="F419" s="84"/>
      <c r="G419" s="84"/>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row>
    <row r="420">
      <c r="B420" s="84"/>
      <c r="C420" s="20"/>
      <c r="D420" s="21"/>
      <c r="E420" s="133"/>
      <c r="F420" s="84"/>
      <c r="G420" s="84"/>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row>
    <row r="421">
      <c r="B421" s="84"/>
      <c r="C421" s="20"/>
      <c r="D421" s="21"/>
      <c r="E421" s="133"/>
      <c r="F421" s="84"/>
      <c r="G421" s="84"/>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row>
    <row r="422">
      <c r="B422" s="84"/>
      <c r="C422" s="20"/>
      <c r="D422" s="21"/>
      <c r="E422" s="133"/>
      <c r="F422" s="84"/>
      <c r="G422" s="84"/>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row>
    <row r="423">
      <c r="B423" s="84"/>
      <c r="C423" s="20"/>
      <c r="D423" s="21"/>
      <c r="E423" s="133"/>
      <c r="F423" s="84"/>
      <c r="G423" s="84"/>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row>
    <row r="424">
      <c r="B424" s="84"/>
      <c r="C424" s="20"/>
      <c r="D424" s="21"/>
      <c r="E424" s="133"/>
      <c r="F424" s="84"/>
      <c r="G424" s="84"/>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row>
    <row r="425">
      <c r="B425" s="84"/>
      <c r="C425" s="20"/>
      <c r="D425" s="21"/>
      <c r="E425" s="133"/>
      <c r="F425" s="84"/>
      <c r="G425" s="84"/>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row>
    <row r="426">
      <c r="B426" s="84"/>
      <c r="C426" s="20"/>
      <c r="D426" s="21"/>
      <c r="E426" s="133"/>
      <c r="F426" s="84"/>
      <c r="G426" s="84"/>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row>
    <row r="427">
      <c r="B427" s="84"/>
      <c r="C427" s="20"/>
      <c r="D427" s="21"/>
      <c r="E427" s="133"/>
      <c r="F427" s="84"/>
      <c r="G427" s="84"/>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row>
    <row r="428">
      <c r="B428" s="84"/>
      <c r="C428" s="20"/>
      <c r="D428" s="21"/>
      <c r="E428" s="133"/>
      <c r="F428" s="84"/>
      <c r="G428" s="84"/>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row>
    <row r="429">
      <c r="B429" s="84"/>
      <c r="C429" s="20"/>
      <c r="D429" s="21"/>
      <c r="E429" s="133"/>
      <c r="F429" s="84"/>
      <c r="G429" s="84"/>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row>
    <row r="430">
      <c r="B430" s="84"/>
      <c r="C430" s="20"/>
      <c r="D430" s="21"/>
      <c r="E430" s="133"/>
      <c r="F430" s="84"/>
      <c r="G430" s="84"/>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row>
    <row r="431">
      <c r="B431" s="84"/>
      <c r="C431" s="20"/>
      <c r="D431" s="21"/>
      <c r="E431" s="133"/>
      <c r="F431" s="84"/>
      <c r="G431" s="84"/>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row>
    <row r="432">
      <c r="B432" s="84"/>
      <c r="C432" s="20"/>
      <c r="D432" s="21"/>
      <c r="E432" s="133"/>
      <c r="F432" s="84"/>
      <c r="G432" s="84"/>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row>
    <row r="433">
      <c r="B433" s="84"/>
      <c r="C433" s="20"/>
      <c r="D433" s="21"/>
      <c r="E433" s="133"/>
      <c r="F433" s="84"/>
      <c r="G433" s="84"/>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row>
    <row r="434">
      <c r="B434" s="84"/>
      <c r="C434" s="20"/>
      <c r="D434" s="21"/>
      <c r="E434" s="133"/>
      <c r="F434" s="84"/>
      <c r="G434" s="84"/>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row>
    <row r="435">
      <c r="B435" s="84"/>
      <c r="C435" s="20"/>
      <c r="D435" s="21"/>
      <c r="E435" s="133"/>
      <c r="F435" s="84"/>
      <c r="G435" s="84"/>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row>
    <row r="436">
      <c r="B436" s="84"/>
      <c r="C436" s="20"/>
      <c r="D436" s="21"/>
      <c r="E436" s="133"/>
      <c r="F436" s="84"/>
      <c r="G436" s="84"/>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row>
    <row r="437">
      <c r="B437" s="84"/>
      <c r="C437" s="20"/>
      <c r="D437" s="21"/>
      <c r="E437" s="133"/>
      <c r="F437" s="84"/>
      <c r="G437" s="84"/>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row>
    <row r="438">
      <c r="B438" s="84"/>
      <c r="C438" s="20"/>
      <c r="D438" s="21"/>
      <c r="E438" s="133"/>
      <c r="F438" s="84"/>
      <c r="G438" s="84"/>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row>
    <row r="439">
      <c r="B439" s="84"/>
      <c r="C439" s="20"/>
      <c r="D439" s="21"/>
      <c r="E439" s="133"/>
      <c r="F439" s="84"/>
      <c r="G439" s="84"/>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row>
    <row r="440">
      <c r="B440" s="84"/>
      <c r="C440" s="20"/>
      <c r="D440" s="21"/>
      <c r="E440" s="133"/>
      <c r="F440" s="84"/>
      <c r="G440" s="84"/>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row>
    <row r="441">
      <c r="B441" s="84"/>
      <c r="C441" s="20"/>
      <c r="D441" s="21"/>
      <c r="E441" s="133"/>
      <c r="F441" s="84"/>
      <c r="G441" s="84"/>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row>
    <row r="442">
      <c r="B442" s="84"/>
      <c r="C442" s="20"/>
      <c r="D442" s="21"/>
      <c r="E442" s="133"/>
      <c r="F442" s="84"/>
      <c r="G442" s="84"/>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row>
    <row r="443">
      <c r="B443" s="84"/>
      <c r="C443" s="20"/>
      <c r="D443" s="21"/>
      <c r="E443" s="133"/>
      <c r="F443" s="84"/>
      <c r="G443" s="84"/>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row>
    <row r="444">
      <c r="B444" s="84"/>
      <c r="C444" s="20"/>
      <c r="D444" s="21"/>
      <c r="E444" s="133"/>
      <c r="F444" s="84"/>
      <c r="G444" s="84"/>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row>
    <row r="445">
      <c r="B445" s="84"/>
      <c r="C445" s="20"/>
      <c r="D445" s="21"/>
      <c r="E445" s="133"/>
      <c r="F445" s="84"/>
      <c r="G445" s="84"/>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row>
    <row r="446">
      <c r="B446" s="84"/>
      <c r="C446" s="20"/>
      <c r="D446" s="21"/>
      <c r="E446" s="133"/>
      <c r="F446" s="84"/>
      <c r="G446" s="84"/>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row>
    <row r="447">
      <c r="B447" s="84"/>
      <c r="C447" s="20"/>
      <c r="D447" s="21"/>
      <c r="E447" s="133"/>
      <c r="F447" s="84"/>
      <c r="G447" s="84"/>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row>
    <row r="448">
      <c r="B448" s="84"/>
      <c r="C448" s="20"/>
      <c r="D448" s="21"/>
      <c r="E448" s="133"/>
      <c r="F448" s="84"/>
      <c r="G448" s="84"/>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row>
    <row r="449">
      <c r="B449" s="84"/>
      <c r="C449" s="20"/>
      <c r="D449" s="21"/>
      <c r="E449" s="133"/>
      <c r="F449" s="84"/>
      <c r="G449" s="84"/>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row>
    <row r="450">
      <c r="B450" s="84"/>
      <c r="C450" s="20"/>
      <c r="D450" s="21"/>
      <c r="E450" s="133"/>
      <c r="F450" s="84"/>
      <c r="G450" s="84"/>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row>
    <row r="451">
      <c r="B451" s="84"/>
      <c r="C451" s="20"/>
      <c r="D451" s="21"/>
      <c r="E451" s="133"/>
      <c r="F451" s="84"/>
      <c r="G451" s="84"/>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row>
    <row r="452">
      <c r="B452" s="84"/>
      <c r="C452" s="20"/>
      <c r="D452" s="21"/>
      <c r="E452" s="133"/>
      <c r="F452" s="84"/>
      <c r="G452" s="84"/>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row>
    <row r="453">
      <c r="B453" s="84"/>
      <c r="C453" s="20"/>
      <c r="D453" s="21"/>
      <c r="E453" s="133"/>
      <c r="F453" s="84"/>
      <c r="G453" s="84"/>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row>
    <row r="454">
      <c r="B454" s="84"/>
      <c r="C454" s="20"/>
      <c r="D454" s="21"/>
      <c r="E454" s="133"/>
      <c r="F454" s="84"/>
      <c r="G454" s="84"/>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row>
    <row r="455">
      <c r="B455" s="84"/>
      <c r="C455" s="20"/>
      <c r="D455" s="21"/>
      <c r="E455" s="133"/>
      <c r="F455" s="84"/>
      <c r="G455" s="84"/>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row>
    <row r="456">
      <c r="B456" s="84"/>
      <c r="C456" s="20"/>
      <c r="D456" s="21"/>
      <c r="E456" s="133"/>
      <c r="F456" s="84"/>
      <c r="G456" s="84"/>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row>
    <row r="457">
      <c r="B457" s="84"/>
      <c r="C457" s="20"/>
      <c r="D457" s="21"/>
      <c r="E457" s="133"/>
      <c r="F457" s="84"/>
      <c r="G457" s="84"/>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row>
    <row r="458">
      <c r="B458" s="84"/>
      <c r="C458" s="20"/>
      <c r="D458" s="21"/>
      <c r="E458" s="133"/>
      <c r="F458" s="84"/>
      <c r="G458" s="84"/>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row>
    <row r="459">
      <c r="B459" s="84"/>
      <c r="C459" s="20"/>
      <c r="D459" s="21"/>
      <c r="E459" s="133"/>
      <c r="F459" s="84"/>
      <c r="G459" s="84"/>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row>
    <row r="460">
      <c r="B460" s="84"/>
      <c r="C460" s="20"/>
      <c r="D460" s="21"/>
      <c r="E460" s="133"/>
      <c r="F460" s="84"/>
      <c r="G460" s="84"/>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row>
    <row r="461">
      <c r="B461" s="84"/>
      <c r="C461" s="20"/>
      <c r="D461" s="21"/>
      <c r="E461" s="133"/>
      <c r="F461" s="84"/>
      <c r="G461" s="84"/>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row>
    <row r="462">
      <c r="B462" s="84"/>
      <c r="C462" s="20"/>
      <c r="D462" s="21"/>
      <c r="E462" s="133"/>
      <c r="F462" s="84"/>
      <c r="G462" s="84"/>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row>
    <row r="463">
      <c r="B463" s="84"/>
      <c r="C463" s="20"/>
      <c r="D463" s="21"/>
      <c r="E463" s="133"/>
      <c r="F463" s="84"/>
      <c r="G463" s="84"/>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row>
    <row r="464">
      <c r="B464" s="84"/>
      <c r="C464" s="20"/>
      <c r="D464" s="21"/>
      <c r="E464" s="133"/>
      <c r="F464" s="84"/>
      <c r="G464" s="84"/>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row>
    <row r="465">
      <c r="B465" s="84"/>
      <c r="C465" s="20"/>
      <c r="D465" s="21"/>
      <c r="E465" s="133"/>
      <c r="F465" s="84"/>
      <c r="G465" s="84"/>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row>
    <row r="466">
      <c r="B466" s="84"/>
      <c r="C466" s="20"/>
      <c r="D466" s="21"/>
      <c r="E466" s="133"/>
      <c r="F466" s="84"/>
      <c r="G466" s="84"/>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row>
    <row r="467">
      <c r="B467" s="84"/>
      <c r="C467" s="20"/>
      <c r="D467" s="21"/>
      <c r="E467" s="133"/>
      <c r="F467" s="84"/>
      <c r="G467" s="84"/>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row>
    <row r="468">
      <c r="B468" s="84"/>
      <c r="C468" s="20"/>
      <c r="D468" s="21"/>
      <c r="E468" s="133"/>
      <c r="F468" s="84"/>
      <c r="G468" s="84"/>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row>
    <row r="469">
      <c r="B469" s="84"/>
      <c r="C469" s="20"/>
      <c r="D469" s="21"/>
      <c r="E469" s="133"/>
      <c r="F469" s="84"/>
      <c r="G469" s="84"/>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row>
    <row r="470">
      <c r="B470" s="84"/>
      <c r="C470" s="20"/>
      <c r="D470" s="21"/>
      <c r="E470" s="133"/>
      <c r="F470" s="84"/>
      <c r="G470" s="84"/>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row>
    <row r="471">
      <c r="B471" s="84"/>
      <c r="C471" s="20"/>
      <c r="D471" s="21"/>
      <c r="E471" s="133"/>
      <c r="F471" s="84"/>
      <c r="G471" s="84"/>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row>
    <row r="472">
      <c r="B472" s="84"/>
      <c r="C472" s="20"/>
      <c r="D472" s="21"/>
      <c r="E472" s="133"/>
      <c r="F472" s="84"/>
      <c r="G472" s="84"/>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row>
    <row r="473">
      <c r="B473" s="84"/>
      <c r="C473" s="20"/>
      <c r="D473" s="21"/>
      <c r="E473" s="133"/>
      <c r="F473" s="84"/>
      <c r="G473" s="84"/>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row>
    <row r="474">
      <c r="B474" s="84"/>
      <c r="C474" s="20"/>
      <c r="D474" s="21"/>
      <c r="E474" s="133"/>
      <c r="F474" s="84"/>
      <c r="G474" s="84"/>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row>
    <row r="475">
      <c r="B475" s="84"/>
      <c r="C475" s="20"/>
      <c r="D475" s="21"/>
      <c r="E475" s="133"/>
      <c r="F475" s="84"/>
      <c r="G475" s="84"/>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row>
    <row r="476">
      <c r="B476" s="84"/>
      <c r="C476" s="20"/>
      <c r="D476" s="21"/>
      <c r="E476" s="133"/>
      <c r="F476" s="84"/>
      <c r="G476" s="84"/>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row>
    <row r="477">
      <c r="B477" s="84"/>
      <c r="C477" s="20"/>
      <c r="D477" s="21"/>
      <c r="E477" s="133"/>
      <c r="F477" s="84"/>
      <c r="G477" s="84"/>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row>
    <row r="478">
      <c r="B478" s="84"/>
      <c r="C478" s="20"/>
      <c r="D478" s="21"/>
      <c r="E478" s="133"/>
      <c r="F478" s="84"/>
      <c r="G478" s="84"/>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row>
    <row r="479">
      <c r="B479" s="84"/>
      <c r="C479" s="20"/>
      <c r="D479" s="21"/>
      <c r="E479" s="133"/>
      <c r="F479" s="84"/>
      <c r="G479" s="84"/>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row>
    <row r="480">
      <c r="B480" s="84"/>
      <c r="C480" s="20"/>
      <c r="D480" s="21"/>
      <c r="E480" s="133"/>
      <c r="F480" s="84"/>
      <c r="G480" s="84"/>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row>
    <row r="481">
      <c r="B481" s="84"/>
      <c r="C481" s="20"/>
      <c r="D481" s="21"/>
      <c r="E481" s="133"/>
      <c r="F481" s="84"/>
      <c r="G481" s="84"/>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row>
    <row r="482">
      <c r="B482" s="84"/>
      <c r="C482" s="20"/>
      <c r="D482" s="21"/>
      <c r="E482" s="133"/>
      <c r="F482" s="84"/>
      <c r="G482" s="84"/>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row>
    <row r="483">
      <c r="B483" s="84"/>
      <c r="C483" s="20"/>
      <c r="D483" s="21"/>
      <c r="E483" s="133"/>
      <c r="F483" s="84"/>
      <c r="G483" s="84"/>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row>
    <row r="484">
      <c r="B484" s="84"/>
      <c r="C484" s="20"/>
      <c r="D484" s="21"/>
      <c r="E484" s="133"/>
      <c r="F484" s="84"/>
      <c r="G484" s="84"/>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row>
    <row r="485">
      <c r="B485" s="84"/>
      <c r="C485" s="20"/>
      <c r="D485" s="21"/>
      <c r="E485" s="133"/>
      <c r="F485" s="84"/>
      <c r="G485" s="84"/>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row>
    <row r="486">
      <c r="B486" s="84"/>
      <c r="C486" s="20"/>
      <c r="D486" s="21"/>
      <c r="E486" s="133"/>
      <c r="F486" s="84"/>
      <c r="G486" s="84"/>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row>
    <row r="487">
      <c r="B487" s="84"/>
      <c r="C487" s="20"/>
      <c r="D487" s="21"/>
      <c r="E487" s="133"/>
      <c r="F487" s="84"/>
      <c r="G487" s="84"/>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row>
    <row r="488">
      <c r="B488" s="84"/>
      <c r="C488" s="20"/>
      <c r="D488" s="21"/>
      <c r="E488" s="133"/>
      <c r="F488" s="84"/>
      <c r="G488" s="84"/>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row>
    <row r="489">
      <c r="B489" s="84"/>
      <c r="C489" s="20"/>
      <c r="D489" s="21"/>
      <c r="E489" s="133"/>
      <c r="F489" s="84"/>
      <c r="G489" s="84"/>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row>
    <row r="490">
      <c r="B490" s="84"/>
      <c r="C490" s="20"/>
      <c r="D490" s="21"/>
      <c r="E490" s="133"/>
      <c r="F490" s="84"/>
      <c r="G490" s="84"/>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row>
    <row r="491">
      <c r="B491" s="84"/>
      <c r="C491" s="20"/>
      <c r="D491" s="21"/>
      <c r="E491" s="133"/>
      <c r="F491" s="84"/>
      <c r="G491" s="84"/>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row>
    <row r="492">
      <c r="B492" s="84"/>
      <c r="C492" s="20"/>
      <c r="D492" s="21"/>
      <c r="E492" s="133"/>
      <c r="F492" s="84"/>
      <c r="G492" s="84"/>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row>
    <row r="493">
      <c r="B493" s="84"/>
      <c r="C493" s="20"/>
      <c r="D493" s="21"/>
      <c r="E493" s="133"/>
      <c r="F493" s="84"/>
      <c r="G493" s="84"/>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row>
    <row r="494">
      <c r="B494" s="84"/>
      <c r="C494" s="20"/>
      <c r="D494" s="21"/>
      <c r="E494" s="133"/>
      <c r="F494" s="84"/>
      <c r="G494" s="84"/>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row>
    <row r="495">
      <c r="B495" s="84"/>
      <c r="C495" s="20"/>
      <c r="D495" s="21"/>
      <c r="E495" s="133"/>
      <c r="F495" s="84"/>
      <c r="G495" s="84"/>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row>
    <row r="496">
      <c r="B496" s="84"/>
      <c r="C496" s="20"/>
      <c r="D496" s="21"/>
      <c r="E496" s="133"/>
      <c r="F496" s="84"/>
      <c r="G496" s="84"/>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row>
    <row r="497">
      <c r="B497" s="84"/>
      <c r="C497" s="20"/>
      <c r="D497" s="21"/>
      <c r="E497" s="133"/>
      <c r="F497" s="84"/>
      <c r="G497" s="84"/>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row>
    <row r="498">
      <c r="B498" s="84"/>
      <c r="C498" s="20"/>
      <c r="D498" s="21"/>
      <c r="E498" s="133"/>
      <c r="F498" s="84"/>
      <c r="G498" s="84"/>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row>
    <row r="499">
      <c r="B499" s="84"/>
      <c r="C499" s="20"/>
      <c r="D499" s="21"/>
      <c r="E499" s="133"/>
      <c r="F499" s="84"/>
      <c r="G499" s="84"/>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row>
    <row r="500">
      <c r="B500" s="84"/>
      <c r="C500" s="20"/>
      <c r="D500" s="21"/>
      <c r="E500" s="133"/>
      <c r="F500" s="84"/>
      <c r="G500" s="84"/>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row>
    <row r="501">
      <c r="B501" s="84"/>
      <c r="C501" s="20"/>
      <c r="D501" s="21"/>
      <c r="E501" s="133"/>
      <c r="F501" s="84"/>
      <c r="G501" s="84"/>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row>
    <row r="502">
      <c r="B502" s="84"/>
      <c r="C502" s="20"/>
      <c r="D502" s="21"/>
      <c r="E502" s="133"/>
      <c r="F502" s="84"/>
      <c r="G502" s="84"/>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row>
    <row r="503">
      <c r="B503" s="84"/>
      <c r="C503" s="20"/>
      <c r="D503" s="21"/>
      <c r="E503" s="133"/>
      <c r="F503" s="84"/>
      <c r="G503" s="84"/>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row>
    <row r="504">
      <c r="B504" s="84"/>
      <c r="C504" s="20"/>
      <c r="D504" s="21"/>
      <c r="E504" s="133"/>
      <c r="F504" s="84"/>
      <c r="G504" s="84"/>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row>
    <row r="505">
      <c r="B505" s="84"/>
      <c r="C505" s="20"/>
      <c r="D505" s="21"/>
      <c r="E505" s="133"/>
      <c r="F505" s="84"/>
      <c r="G505" s="84"/>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row>
    <row r="506">
      <c r="B506" s="84"/>
      <c r="C506" s="20"/>
      <c r="D506" s="21"/>
      <c r="E506" s="133"/>
      <c r="F506" s="84"/>
      <c r="G506" s="84"/>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row>
    <row r="507">
      <c r="B507" s="84"/>
      <c r="C507" s="20"/>
      <c r="D507" s="21"/>
      <c r="E507" s="133"/>
      <c r="F507" s="84"/>
      <c r="G507" s="84"/>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row>
    <row r="508">
      <c r="B508" s="84"/>
      <c r="C508" s="20"/>
      <c r="D508" s="21"/>
      <c r="E508" s="133"/>
      <c r="F508" s="84"/>
      <c r="G508" s="84"/>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row>
    <row r="509">
      <c r="B509" s="84"/>
      <c r="C509" s="20"/>
      <c r="D509" s="21"/>
      <c r="E509" s="133"/>
      <c r="F509" s="84"/>
      <c r="G509" s="84"/>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row>
    <row r="510">
      <c r="B510" s="84"/>
      <c r="C510" s="20"/>
      <c r="D510" s="21"/>
      <c r="E510" s="133"/>
      <c r="F510" s="84"/>
      <c r="G510" s="84"/>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row>
    <row r="511">
      <c r="B511" s="84"/>
      <c r="C511" s="20"/>
      <c r="D511" s="21"/>
      <c r="E511" s="133"/>
      <c r="F511" s="84"/>
      <c r="G511" s="84"/>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row>
    <row r="512">
      <c r="B512" s="84"/>
      <c r="C512" s="20"/>
      <c r="D512" s="21"/>
      <c r="E512" s="133"/>
      <c r="F512" s="84"/>
      <c r="G512" s="84"/>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row>
    <row r="513">
      <c r="B513" s="84"/>
      <c r="C513" s="20"/>
      <c r="D513" s="21"/>
      <c r="E513" s="133"/>
      <c r="F513" s="84"/>
      <c r="G513" s="84"/>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row>
    <row r="514">
      <c r="B514" s="84"/>
      <c r="C514" s="20"/>
      <c r="D514" s="21"/>
      <c r="E514" s="133"/>
      <c r="F514" s="84"/>
      <c r="G514" s="84"/>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row>
    <row r="515">
      <c r="B515" s="84"/>
      <c r="C515" s="20"/>
      <c r="D515" s="21"/>
      <c r="E515" s="133"/>
      <c r="F515" s="84"/>
      <c r="G515" s="84"/>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row>
    <row r="516">
      <c r="B516" s="84"/>
      <c r="C516" s="20"/>
      <c r="D516" s="21"/>
      <c r="E516" s="133"/>
      <c r="F516" s="84"/>
      <c r="G516" s="84"/>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row>
    <row r="517">
      <c r="B517" s="84"/>
      <c r="C517" s="20"/>
      <c r="D517" s="21"/>
      <c r="E517" s="133"/>
      <c r="F517" s="84"/>
      <c r="G517" s="84"/>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row>
    <row r="518">
      <c r="B518" s="84"/>
      <c r="C518" s="20"/>
      <c r="D518" s="21"/>
      <c r="E518" s="133"/>
      <c r="F518" s="84"/>
      <c r="G518" s="84"/>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row>
    <row r="519">
      <c r="B519" s="84"/>
      <c r="C519" s="20"/>
      <c r="D519" s="21"/>
      <c r="E519" s="133"/>
      <c r="F519" s="84"/>
      <c r="G519" s="84"/>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row>
    <row r="520">
      <c r="B520" s="84"/>
      <c r="C520" s="20"/>
      <c r="D520" s="21"/>
      <c r="E520" s="133"/>
      <c r="F520" s="84"/>
      <c r="G520" s="84"/>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row>
    <row r="521">
      <c r="B521" s="84"/>
      <c r="C521" s="20"/>
      <c r="D521" s="21"/>
      <c r="E521" s="133"/>
      <c r="F521" s="84"/>
      <c r="G521" s="84"/>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row>
    <row r="522">
      <c r="B522" s="84"/>
      <c r="C522" s="20"/>
      <c r="D522" s="21"/>
      <c r="E522" s="133"/>
      <c r="F522" s="84"/>
      <c r="G522" s="84"/>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row>
    <row r="523">
      <c r="B523" s="84"/>
      <c r="C523" s="20"/>
      <c r="D523" s="21"/>
      <c r="E523" s="133"/>
      <c r="F523" s="84"/>
      <c r="G523" s="84"/>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row>
    <row r="524">
      <c r="B524" s="84"/>
      <c r="C524" s="20"/>
      <c r="D524" s="21"/>
      <c r="E524" s="133"/>
      <c r="F524" s="84"/>
      <c r="G524" s="84"/>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row>
    <row r="525">
      <c r="B525" s="84"/>
      <c r="C525" s="20"/>
      <c r="D525" s="21"/>
      <c r="E525" s="133"/>
      <c r="F525" s="84"/>
      <c r="G525" s="84"/>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row>
    <row r="526">
      <c r="B526" s="84"/>
      <c r="C526" s="20"/>
      <c r="D526" s="21"/>
      <c r="E526" s="133"/>
      <c r="F526" s="84"/>
      <c r="G526" s="84"/>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row>
    <row r="527">
      <c r="B527" s="84"/>
      <c r="C527" s="20"/>
      <c r="D527" s="21"/>
      <c r="E527" s="133"/>
      <c r="F527" s="84"/>
      <c r="G527" s="84"/>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row>
    <row r="528">
      <c r="B528" s="84"/>
      <c r="C528" s="20"/>
      <c r="D528" s="21"/>
      <c r="E528" s="133"/>
      <c r="F528" s="84"/>
      <c r="G528" s="84"/>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row>
    <row r="529">
      <c r="B529" s="84"/>
      <c r="C529" s="20"/>
      <c r="D529" s="21"/>
      <c r="E529" s="133"/>
      <c r="F529" s="84"/>
      <c r="G529" s="84"/>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row>
    <row r="530">
      <c r="B530" s="84"/>
      <c r="C530" s="20"/>
      <c r="D530" s="21"/>
      <c r="E530" s="133"/>
      <c r="F530" s="84"/>
      <c r="G530" s="84"/>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row>
    <row r="531">
      <c r="B531" s="84"/>
      <c r="C531" s="20"/>
      <c r="D531" s="21"/>
      <c r="E531" s="133"/>
      <c r="F531" s="84"/>
      <c r="G531" s="84"/>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row>
    <row r="532">
      <c r="B532" s="84"/>
      <c r="C532" s="20"/>
      <c r="D532" s="21"/>
      <c r="E532" s="133"/>
      <c r="F532" s="84"/>
      <c r="G532" s="84"/>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row>
    <row r="533">
      <c r="B533" s="84"/>
      <c r="C533" s="20"/>
      <c r="D533" s="21"/>
      <c r="E533" s="133"/>
      <c r="F533" s="84"/>
      <c r="G533" s="84"/>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row>
    <row r="534">
      <c r="B534" s="84"/>
      <c r="C534" s="20"/>
      <c r="D534" s="21"/>
      <c r="E534" s="133"/>
      <c r="F534" s="84"/>
      <c r="G534" s="84"/>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row>
    <row r="535">
      <c r="B535" s="84"/>
      <c r="C535" s="20"/>
      <c r="D535" s="21"/>
      <c r="E535" s="133"/>
      <c r="F535" s="84"/>
      <c r="G535" s="84"/>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row>
    <row r="536">
      <c r="B536" s="84"/>
      <c r="C536" s="20"/>
      <c r="D536" s="21"/>
      <c r="E536" s="133"/>
      <c r="F536" s="84"/>
      <c r="G536" s="84"/>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row>
    <row r="537">
      <c r="B537" s="84"/>
      <c r="C537" s="20"/>
      <c r="D537" s="21"/>
      <c r="E537" s="133"/>
      <c r="F537" s="84"/>
      <c r="G537" s="84"/>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row>
    <row r="538">
      <c r="B538" s="84"/>
      <c r="C538" s="20"/>
      <c r="D538" s="21"/>
      <c r="E538" s="133"/>
      <c r="F538" s="84"/>
      <c r="G538" s="84"/>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row>
    <row r="539">
      <c r="B539" s="84"/>
      <c r="C539" s="20"/>
      <c r="D539" s="21"/>
      <c r="E539" s="133"/>
      <c r="F539" s="84"/>
      <c r="G539" s="84"/>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row>
    <row r="540">
      <c r="B540" s="84"/>
      <c r="C540" s="20"/>
      <c r="D540" s="21"/>
      <c r="E540" s="133"/>
      <c r="F540" s="84"/>
      <c r="G540" s="84"/>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row>
    <row r="541">
      <c r="B541" s="84"/>
      <c r="C541" s="20"/>
      <c r="D541" s="21"/>
      <c r="E541" s="133"/>
      <c r="F541" s="84"/>
      <c r="G541" s="84"/>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row>
    <row r="542">
      <c r="B542" s="84"/>
      <c r="C542" s="20"/>
      <c r="D542" s="21"/>
      <c r="E542" s="133"/>
      <c r="F542" s="84"/>
      <c r="G542" s="84"/>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row>
    <row r="543">
      <c r="B543" s="84"/>
      <c r="C543" s="20"/>
      <c r="D543" s="21"/>
      <c r="E543" s="133"/>
      <c r="F543" s="84"/>
      <c r="G543" s="84"/>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row>
    <row r="544">
      <c r="B544" s="84"/>
      <c r="C544" s="20"/>
      <c r="D544" s="21"/>
      <c r="E544" s="133"/>
      <c r="F544" s="84"/>
      <c r="G544" s="84"/>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row>
    <row r="545">
      <c r="B545" s="84"/>
      <c r="C545" s="20"/>
      <c r="D545" s="21"/>
      <c r="E545" s="133"/>
      <c r="F545" s="84"/>
      <c r="G545" s="84"/>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row>
    <row r="546">
      <c r="B546" s="84"/>
      <c r="C546" s="20"/>
      <c r="D546" s="21"/>
      <c r="E546" s="133"/>
      <c r="F546" s="84"/>
      <c r="G546" s="84"/>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row>
    <row r="547">
      <c r="B547" s="84"/>
      <c r="C547" s="20"/>
      <c r="D547" s="21"/>
      <c r="E547" s="133"/>
      <c r="F547" s="84"/>
      <c r="G547" s="84"/>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row>
    <row r="548">
      <c r="B548" s="84"/>
      <c r="C548" s="20"/>
      <c r="D548" s="21"/>
      <c r="E548" s="133"/>
      <c r="F548" s="84"/>
      <c r="G548" s="84"/>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row>
    <row r="549">
      <c r="B549" s="84"/>
      <c r="C549" s="20"/>
      <c r="D549" s="21"/>
      <c r="E549" s="133"/>
      <c r="F549" s="84"/>
      <c r="G549" s="84"/>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row>
    <row r="550">
      <c r="B550" s="84"/>
      <c r="C550" s="20"/>
      <c r="D550" s="21"/>
      <c r="E550" s="133"/>
      <c r="F550" s="84"/>
      <c r="G550" s="84"/>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row>
    <row r="551">
      <c r="B551" s="84"/>
      <c r="C551" s="20"/>
      <c r="D551" s="21"/>
      <c r="E551" s="133"/>
      <c r="F551" s="84"/>
      <c r="G551" s="84"/>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row>
    <row r="552">
      <c r="B552" s="84"/>
      <c r="C552" s="20"/>
      <c r="D552" s="21"/>
      <c r="E552" s="133"/>
      <c r="F552" s="84"/>
      <c r="G552" s="84"/>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row>
    <row r="553">
      <c r="B553" s="84"/>
      <c r="C553" s="20"/>
      <c r="D553" s="21"/>
      <c r="E553" s="133"/>
      <c r="F553" s="84"/>
      <c r="G553" s="84"/>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row>
    <row r="554">
      <c r="B554" s="84"/>
      <c r="C554" s="20"/>
      <c r="D554" s="21"/>
      <c r="E554" s="133"/>
      <c r="F554" s="84"/>
      <c r="G554" s="84"/>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row>
    <row r="555">
      <c r="B555" s="84"/>
      <c r="C555" s="20"/>
      <c r="D555" s="21"/>
      <c r="E555" s="133"/>
      <c r="F555" s="84"/>
      <c r="G555" s="84"/>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row>
    <row r="556">
      <c r="B556" s="84"/>
      <c r="C556" s="20"/>
      <c r="D556" s="21"/>
      <c r="E556" s="133"/>
      <c r="F556" s="84"/>
      <c r="G556" s="84"/>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row>
    <row r="557">
      <c r="B557" s="84"/>
      <c r="C557" s="20"/>
      <c r="D557" s="21"/>
      <c r="E557" s="133"/>
      <c r="F557" s="84"/>
      <c r="G557" s="84"/>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row>
    <row r="558">
      <c r="B558" s="84"/>
      <c r="C558" s="20"/>
      <c r="D558" s="21"/>
      <c r="E558" s="133"/>
      <c r="F558" s="84"/>
      <c r="G558" s="84"/>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row>
    <row r="559">
      <c r="B559" s="84"/>
      <c r="C559" s="20"/>
      <c r="D559" s="21"/>
      <c r="E559" s="133"/>
      <c r="F559" s="84"/>
      <c r="G559" s="84"/>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row>
    <row r="560">
      <c r="B560" s="84"/>
      <c r="C560" s="20"/>
      <c r="D560" s="21"/>
      <c r="E560" s="133"/>
      <c r="F560" s="84"/>
      <c r="G560" s="84"/>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row>
    <row r="561">
      <c r="B561" s="84"/>
      <c r="C561" s="20"/>
      <c r="D561" s="21"/>
      <c r="E561" s="133"/>
      <c r="F561" s="84"/>
      <c r="G561" s="84"/>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row>
    <row r="562">
      <c r="B562" s="84"/>
      <c r="C562" s="20"/>
      <c r="D562" s="21"/>
      <c r="E562" s="133"/>
      <c r="F562" s="84"/>
      <c r="G562" s="84"/>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row>
    <row r="563">
      <c r="B563" s="84"/>
      <c r="C563" s="20"/>
      <c r="D563" s="21"/>
      <c r="E563" s="133"/>
      <c r="F563" s="84"/>
      <c r="G563" s="84"/>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row>
    <row r="564">
      <c r="B564" s="84"/>
      <c r="C564" s="20"/>
      <c r="D564" s="21"/>
      <c r="E564" s="133"/>
      <c r="F564" s="84"/>
      <c r="G564" s="84"/>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row>
    <row r="565">
      <c r="B565" s="84"/>
      <c r="C565" s="20"/>
      <c r="D565" s="21"/>
      <c r="E565" s="133"/>
      <c r="F565" s="84"/>
      <c r="G565" s="84"/>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row>
    <row r="566">
      <c r="B566" s="84"/>
      <c r="C566" s="20"/>
      <c r="D566" s="21"/>
      <c r="E566" s="133"/>
      <c r="F566" s="84"/>
      <c r="G566" s="84"/>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row>
    <row r="567">
      <c r="B567" s="84"/>
      <c r="C567" s="20"/>
      <c r="D567" s="21"/>
      <c r="E567" s="133"/>
      <c r="F567" s="84"/>
      <c r="G567" s="84"/>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row>
    <row r="568">
      <c r="B568" s="84"/>
      <c r="C568" s="20"/>
      <c r="D568" s="21"/>
      <c r="E568" s="133"/>
      <c r="F568" s="84"/>
      <c r="G568" s="84"/>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row>
    <row r="569">
      <c r="B569" s="84"/>
      <c r="C569" s="20"/>
      <c r="D569" s="21"/>
      <c r="E569" s="133"/>
      <c r="F569" s="84"/>
      <c r="G569" s="84"/>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row>
    <row r="570">
      <c r="B570" s="84"/>
      <c r="C570" s="20"/>
      <c r="D570" s="21"/>
      <c r="E570" s="133"/>
      <c r="F570" s="84"/>
      <c r="G570" s="84"/>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row>
    <row r="571">
      <c r="B571" s="84"/>
      <c r="C571" s="20"/>
      <c r="D571" s="21"/>
      <c r="E571" s="133"/>
      <c r="F571" s="84"/>
      <c r="G571" s="84"/>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row>
    <row r="572">
      <c r="B572" s="84"/>
      <c r="C572" s="20"/>
      <c r="D572" s="21"/>
      <c r="E572" s="133"/>
      <c r="F572" s="84"/>
      <c r="G572" s="84"/>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row>
    <row r="573">
      <c r="B573" s="84"/>
      <c r="C573" s="20"/>
      <c r="D573" s="21"/>
      <c r="E573" s="133"/>
      <c r="F573" s="84"/>
      <c r="G573" s="84"/>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row>
    <row r="574">
      <c r="B574" s="84"/>
      <c r="C574" s="20"/>
      <c r="D574" s="21"/>
      <c r="E574" s="133"/>
      <c r="F574" s="84"/>
      <c r="G574" s="84"/>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row>
    <row r="575">
      <c r="B575" s="84"/>
      <c r="C575" s="20"/>
      <c r="D575" s="21"/>
      <c r="E575" s="133"/>
      <c r="F575" s="84"/>
      <c r="G575" s="84"/>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row>
    <row r="576">
      <c r="B576" s="84"/>
      <c r="C576" s="20"/>
      <c r="D576" s="21"/>
      <c r="E576" s="133"/>
      <c r="F576" s="84"/>
      <c r="G576" s="84"/>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row>
    <row r="577">
      <c r="B577" s="84"/>
      <c r="C577" s="20"/>
      <c r="D577" s="21"/>
      <c r="E577" s="133"/>
      <c r="F577" s="84"/>
      <c r="G577" s="84"/>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row>
    <row r="578">
      <c r="B578" s="84"/>
      <c r="C578" s="20"/>
      <c r="D578" s="21"/>
      <c r="E578" s="133"/>
      <c r="F578" s="84"/>
      <c r="G578" s="84"/>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row>
    <row r="579">
      <c r="B579" s="84"/>
      <c r="C579" s="20"/>
      <c r="D579" s="21"/>
      <c r="E579" s="133"/>
      <c r="F579" s="84"/>
      <c r="G579" s="84"/>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row>
    <row r="580">
      <c r="B580" s="84"/>
      <c r="C580" s="20"/>
      <c r="D580" s="21"/>
      <c r="E580" s="133"/>
      <c r="F580" s="84"/>
      <c r="G580" s="84"/>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row>
    <row r="581">
      <c r="B581" s="84"/>
      <c r="C581" s="20"/>
      <c r="D581" s="21"/>
      <c r="E581" s="133"/>
      <c r="F581" s="84"/>
      <c r="G581" s="84"/>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row>
    <row r="582">
      <c r="B582" s="84"/>
      <c r="C582" s="20"/>
      <c r="D582" s="21"/>
      <c r="E582" s="133"/>
      <c r="F582" s="84"/>
      <c r="G582" s="84"/>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row>
    <row r="583">
      <c r="B583" s="84"/>
      <c r="C583" s="20"/>
      <c r="D583" s="21"/>
      <c r="E583" s="133"/>
      <c r="F583" s="84"/>
      <c r="G583" s="84"/>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row>
    <row r="584">
      <c r="B584" s="84"/>
      <c r="C584" s="20"/>
      <c r="D584" s="21"/>
      <c r="E584" s="133"/>
      <c r="F584" s="84"/>
      <c r="G584" s="84"/>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row>
    <row r="585">
      <c r="B585" s="84"/>
      <c r="C585" s="20"/>
      <c r="D585" s="21"/>
      <c r="E585" s="133"/>
      <c r="F585" s="84"/>
      <c r="G585" s="84"/>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row>
    <row r="586">
      <c r="B586" s="84"/>
      <c r="C586" s="20"/>
      <c r="D586" s="21"/>
      <c r="E586" s="133"/>
      <c r="F586" s="84"/>
      <c r="G586" s="84"/>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row>
    <row r="587">
      <c r="B587" s="84"/>
      <c r="C587" s="20"/>
      <c r="D587" s="21"/>
      <c r="E587" s="133"/>
      <c r="F587" s="84"/>
      <c r="G587" s="84"/>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row>
    <row r="588">
      <c r="B588" s="84"/>
      <c r="C588" s="20"/>
      <c r="D588" s="21"/>
      <c r="E588" s="133"/>
      <c r="F588" s="84"/>
      <c r="G588" s="84"/>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row>
    <row r="589">
      <c r="B589" s="84"/>
      <c r="C589" s="20"/>
      <c r="D589" s="21"/>
      <c r="E589" s="133"/>
      <c r="F589" s="84"/>
      <c r="G589" s="84"/>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row>
    <row r="590">
      <c r="B590" s="84"/>
      <c r="C590" s="20"/>
      <c r="D590" s="21"/>
      <c r="E590" s="133"/>
      <c r="F590" s="84"/>
      <c r="G590" s="84"/>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row>
    <row r="591">
      <c r="B591" s="84"/>
      <c r="C591" s="20"/>
      <c r="D591" s="21"/>
      <c r="E591" s="133"/>
      <c r="F591" s="84"/>
      <c r="G591" s="84"/>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row>
    <row r="592">
      <c r="B592" s="84"/>
      <c r="C592" s="20"/>
      <c r="D592" s="21"/>
      <c r="E592" s="133"/>
      <c r="F592" s="84"/>
      <c r="G592" s="84"/>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row>
    <row r="593">
      <c r="B593" s="84"/>
      <c r="C593" s="20"/>
      <c r="D593" s="21"/>
      <c r="E593" s="133"/>
      <c r="F593" s="84"/>
      <c r="G593" s="84"/>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row>
    <row r="594">
      <c r="B594" s="84"/>
      <c r="C594" s="20"/>
      <c r="D594" s="21"/>
      <c r="E594" s="133"/>
      <c r="F594" s="84"/>
      <c r="G594" s="84"/>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row>
    <row r="595">
      <c r="B595" s="84"/>
      <c r="C595" s="20"/>
      <c r="D595" s="21"/>
      <c r="E595" s="133"/>
      <c r="F595" s="84"/>
      <c r="G595" s="84"/>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row>
    <row r="596">
      <c r="B596" s="84"/>
      <c r="C596" s="20"/>
      <c r="D596" s="21"/>
      <c r="E596" s="133"/>
      <c r="F596" s="84"/>
      <c r="G596" s="84"/>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row>
    <row r="597">
      <c r="B597" s="84"/>
      <c r="C597" s="20"/>
      <c r="D597" s="21"/>
      <c r="E597" s="133"/>
      <c r="F597" s="84"/>
      <c r="G597" s="84"/>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row>
    <row r="598">
      <c r="B598" s="84"/>
      <c r="C598" s="20"/>
      <c r="D598" s="21"/>
      <c r="E598" s="133"/>
      <c r="F598" s="84"/>
      <c r="G598" s="84"/>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row>
    <row r="599">
      <c r="B599" s="84"/>
      <c r="C599" s="20"/>
      <c r="D599" s="21"/>
      <c r="E599" s="133"/>
      <c r="F599" s="84"/>
      <c r="G599" s="84"/>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row>
    <row r="600">
      <c r="B600" s="84"/>
      <c r="C600" s="20"/>
      <c r="D600" s="21"/>
      <c r="E600" s="133"/>
      <c r="F600" s="84"/>
      <c r="G600" s="84"/>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row>
    <row r="601">
      <c r="B601" s="84"/>
      <c r="C601" s="20"/>
      <c r="D601" s="21"/>
      <c r="E601" s="133"/>
      <c r="F601" s="84"/>
      <c r="G601" s="84"/>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row>
    <row r="602">
      <c r="B602" s="84"/>
      <c r="C602" s="20"/>
      <c r="D602" s="21"/>
      <c r="E602" s="133"/>
      <c r="F602" s="84"/>
      <c r="G602" s="84"/>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row>
    <row r="603">
      <c r="B603" s="84"/>
      <c r="C603" s="20"/>
      <c r="D603" s="21"/>
      <c r="E603" s="133"/>
      <c r="F603" s="84"/>
      <c r="G603" s="84"/>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row>
    <row r="604">
      <c r="B604" s="84"/>
      <c r="C604" s="20"/>
      <c r="D604" s="21"/>
      <c r="E604" s="133"/>
      <c r="F604" s="84"/>
      <c r="G604" s="84"/>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row>
    <row r="605">
      <c r="B605" s="84"/>
      <c r="C605" s="20"/>
      <c r="D605" s="21"/>
      <c r="E605" s="133"/>
      <c r="F605" s="84"/>
      <c r="G605" s="84"/>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row>
    <row r="606">
      <c r="B606" s="84"/>
      <c r="C606" s="20"/>
      <c r="D606" s="21"/>
      <c r="E606" s="133"/>
      <c r="F606" s="84"/>
      <c r="G606" s="84"/>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row>
    <row r="607">
      <c r="B607" s="84"/>
      <c r="C607" s="20"/>
      <c r="D607" s="21"/>
      <c r="E607" s="133"/>
      <c r="F607" s="84"/>
      <c r="G607" s="84"/>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row>
    <row r="608">
      <c r="B608" s="84"/>
      <c r="C608" s="20"/>
      <c r="D608" s="21"/>
      <c r="E608" s="133"/>
      <c r="F608" s="84"/>
      <c r="G608" s="84"/>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row>
    <row r="609">
      <c r="B609" s="84"/>
      <c r="C609" s="20"/>
      <c r="D609" s="21"/>
      <c r="E609" s="133"/>
      <c r="F609" s="84"/>
      <c r="G609" s="84"/>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row>
    <row r="610">
      <c r="B610" s="84"/>
      <c r="C610" s="20"/>
      <c r="D610" s="21"/>
      <c r="E610" s="133"/>
      <c r="F610" s="84"/>
      <c r="G610" s="84"/>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row>
    <row r="611">
      <c r="B611" s="84"/>
      <c r="C611" s="20"/>
      <c r="D611" s="21"/>
      <c r="E611" s="133"/>
      <c r="F611" s="84"/>
      <c r="G611" s="84"/>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row>
    <row r="612">
      <c r="B612" s="84"/>
      <c r="C612" s="20"/>
      <c r="D612" s="21"/>
      <c r="E612" s="133"/>
      <c r="F612" s="84"/>
      <c r="G612" s="84"/>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row>
    <row r="613">
      <c r="B613" s="84"/>
      <c r="C613" s="20"/>
      <c r="D613" s="21"/>
      <c r="E613" s="133"/>
      <c r="F613" s="84"/>
      <c r="G613" s="84"/>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row>
    <row r="614">
      <c r="B614" s="84"/>
      <c r="C614" s="20"/>
      <c r="D614" s="21"/>
      <c r="E614" s="133"/>
      <c r="F614" s="84"/>
      <c r="G614" s="84"/>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row>
    <row r="615">
      <c r="B615" s="84"/>
      <c r="C615" s="20"/>
      <c r="D615" s="21"/>
      <c r="E615" s="133"/>
      <c r="F615" s="84"/>
      <c r="G615" s="84"/>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row>
    <row r="616">
      <c r="B616" s="84"/>
      <c r="C616" s="20"/>
      <c r="D616" s="21"/>
      <c r="E616" s="133"/>
      <c r="F616" s="84"/>
      <c r="G616" s="84"/>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row>
    <row r="617">
      <c r="B617" s="84"/>
      <c r="C617" s="20"/>
      <c r="D617" s="21"/>
      <c r="E617" s="133"/>
      <c r="F617" s="84"/>
      <c r="G617" s="84"/>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row>
    <row r="618">
      <c r="B618" s="84"/>
      <c r="C618" s="20"/>
      <c r="D618" s="21"/>
      <c r="E618" s="133"/>
      <c r="F618" s="84"/>
      <c r="G618" s="84"/>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row>
    <row r="619">
      <c r="B619" s="84"/>
      <c r="C619" s="20"/>
      <c r="D619" s="21"/>
      <c r="E619" s="133"/>
      <c r="F619" s="84"/>
      <c r="G619" s="84"/>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row>
    <row r="620">
      <c r="B620" s="84"/>
      <c r="C620" s="20"/>
      <c r="D620" s="21"/>
      <c r="E620" s="133"/>
      <c r="F620" s="84"/>
      <c r="G620" s="84"/>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row>
    <row r="621">
      <c r="B621" s="84"/>
      <c r="C621" s="20"/>
      <c r="D621" s="21"/>
      <c r="E621" s="133"/>
      <c r="F621" s="84"/>
      <c r="G621" s="84"/>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row>
    <row r="622">
      <c r="B622" s="84"/>
      <c r="C622" s="20"/>
      <c r="D622" s="21"/>
      <c r="E622" s="133"/>
      <c r="F622" s="84"/>
      <c r="G622" s="84"/>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row>
    <row r="623">
      <c r="B623" s="84"/>
      <c r="C623" s="20"/>
      <c r="D623" s="21"/>
      <c r="E623" s="133"/>
      <c r="F623" s="84"/>
      <c r="G623" s="84"/>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row>
    <row r="624">
      <c r="B624" s="84"/>
      <c r="C624" s="20"/>
      <c r="D624" s="21"/>
      <c r="E624" s="133"/>
      <c r="F624" s="84"/>
      <c r="G624" s="84"/>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row>
    <row r="625">
      <c r="B625" s="84"/>
      <c r="C625" s="20"/>
      <c r="D625" s="21"/>
      <c r="E625" s="133"/>
      <c r="F625" s="84"/>
      <c r="G625" s="84"/>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row>
    <row r="626">
      <c r="B626" s="84"/>
      <c r="C626" s="20"/>
      <c r="D626" s="21"/>
      <c r="E626" s="133"/>
      <c r="F626" s="84"/>
      <c r="G626" s="84"/>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row>
    <row r="627">
      <c r="B627" s="84"/>
      <c r="C627" s="20"/>
      <c r="D627" s="21"/>
      <c r="E627" s="133"/>
      <c r="F627" s="84"/>
      <c r="G627" s="84"/>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row>
    <row r="628">
      <c r="B628" s="84"/>
      <c r="C628" s="20"/>
      <c r="D628" s="21"/>
      <c r="E628" s="133"/>
      <c r="F628" s="84"/>
      <c r="G628" s="84"/>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row>
    <row r="629">
      <c r="B629" s="84"/>
      <c r="C629" s="20"/>
      <c r="D629" s="21"/>
      <c r="E629" s="133"/>
      <c r="F629" s="84"/>
      <c r="G629" s="84"/>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row>
    <row r="630">
      <c r="B630" s="84"/>
      <c r="C630" s="20"/>
      <c r="D630" s="21"/>
      <c r="E630" s="133"/>
      <c r="F630" s="84"/>
      <c r="G630" s="84"/>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row>
    <row r="631">
      <c r="B631" s="84"/>
      <c r="C631" s="20"/>
      <c r="D631" s="21"/>
      <c r="E631" s="133"/>
      <c r="F631" s="84"/>
      <c r="G631" s="84"/>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row>
    <row r="632">
      <c r="B632" s="84"/>
      <c r="C632" s="20"/>
      <c r="D632" s="21"/>
      <c r="E632" s="133"/>
      <c r="F632" s="84"/>
      <c r="G632" s="84"/>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row>
    <row r="633">
      <c r="B633" s="84"/>
      <c r="C633" s="20"/>
      <c r="D633" s="21"/>
      <c r="E633" s="133"/>
      <c r="F633" s="84"/>
      <c r="G633" s="84"/>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row>
    <row r="634">
      <c r="B634" s="84"/>
      <c r="C634" s="20"/>
      <c r="D634" s="21"/>
      <c r="E634" s="133"/>
      <c r="F634" s="84"/>
      <c r="G634" s="84"/>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row>
    <row r="635">
      <c r="B635" s="84"/>
      <c r="C635" s="20"/>
      <c r="D635" s="21"/>
      <c r="E635" s="133"/>
      <c r="F635" s="84"/>
      <c r="G635" s="84"/>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row>
    <row r="636">
      <c r="B636" s="84"/>
      <c r="C636" s="20"/>
      <c r="D636" s="21"/>
      <c r="E636" s="133"/>
      <c r="F636" s="84"/>
      <c r="G636" s="84"/>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row>
    <row r="637">
      <c r="B637" s="84"/>
      <c r="C637" s="20"/>
      <c r="D637" s="21"/>
      <c r="E637" s="133"/>
      <c r="F637" s="84"/>
      <c r="G637" s="84"/>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row>
    <row r="638">
      <c r="B638" s="84"/>
      <c r="C638" s="20"/>
      <c r="D638" s="21"/>
      <c r="E638" s="133"/>
      <c r="F638" s="84"/>
      <c r="G638" s="84"/>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row>
    <row r="639">
      <c r="B639" s="84"/>
      <c r="C639" s="20"/>
      <c r="D639" s="21"/>
      <c r="E639" s="133"/>
      <c r="F639" s="84"/>
      <c r="G639" s="84"/>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row>
    <row r="640">
      <c r="B640" s="84"/>
      <c r="C640" s="20"/>
      <c r="D640" s="21"/>
      <c r="E640" s="133"/>
      <c r="F640" s="84"/>
      <c r="G640" s="84"/>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row>
    <row r="641">
      <c r="B641" s="84"/>
      <c r="C641" s="20"/>
      <c r="D641" s="21"/>
      <c r="E641" s="133"/>
      <c r="F641" s="84"/>
      <c r="G641" s="84"/>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row>
    <row r="642">
      <c r="B642" s="84"/>
      <c r="C642" s="20"/>
      <c r="D642" s="21"/>
      <c r="E642" s="133"/>
      <c r="F642" s="84"/>
      <c r="G642" s="84"/>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row>
    <row r="643">
      <c r="B643" s="84"/>
      <c r="C643" s="20"/>
      <c r="D643" s="21"/>
      <c r="E643" s="133"/>
      <c r="F643" s="84"/>
      <c r="G643" s="84"/>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row>
    <row r="644">
      <c r="B644" s="84"/>
      <c r="C644" s="20"/>
      <c r="D644" s="21"/>
      <c r="E644" s="133"/>
      <c r="F644" s="84"/>
      <c r="G644" s="84"/>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row>
    <row r="645">
      <c r="B645" s="84"/>
      <c r="C645" s="20"/>
      <c r="D645" s="21"/>
      <c r="E645" s="133"/>
      <c r="F645" s="84"/>
      <c r="G645" s="84"/>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row>
    <row r="646">
      <c r="B646" s="84"/>
      <c r="C646" s="20"/>
      <c r="D646" s="21"/>
      <c r="E646" s="133"/>
      <c r="F646" s="84"/>
      <c r="G646" s="84"/>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row>
    <row r="647">
      <c r="B647" s="84"/>
      <c r="C647" s="20"/>
      <c r="D647" s="21"/>
      <c r="E647" s="133"/>
      <c r="F647" s="84"/>
      <c r="G647" s="84"/>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row>
    <row r="648">
      <c r="B648" s="84"/>
      <c r="C648" s="20"/>
      <c r="D648" s="21"/>
      <c r="E648" s="133"/>
      <c r="F648" s="84"/>
      <c r="G648" s="84"/>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row>
    <row r="649">
      <c r="B649" s="84"/>
      <c r="C649" s="20"/>
      <c r="D649" s="21"/>
      <c r="E649" s="133"/>
      <c r="F649" s="84"/>
      <c r="G649" s="84"/>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row>
    <row r="650">
      <c r="B650" s="84"/>
      <c r="C650" s="20"/>
      <c r="D650" s="21"/>
      <c r="E650" s="133"/>
      <c r="F650" s="84"/>
      <c r="G650" s="84"/>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row>
    <row r="651">
      <c r="B651" s="84"/>
      <c r="C651" s="20"/>
      <c r="D651" s="21"/>
      <c r="E651" s="133"/>
      <c r="F651" s="84"/>
      <c r="G651" s="84"/>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row>
    <row r="652">
      <c r="B652" s="84"/>
      <c r="C652" s="20"/>
      <c r="D652" s="21"/>
      <c r="E652" s="133"/>
      <c r="F652" s="84"/>
      <c r="G652" s="84"/>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row>
    <row r="653">
      <c r="B653" s="84"/>
      <c r="C653" s="20"/>
      <c r="D653" s="21"/>
      <c r="E653" s="133"/>
      <c r="F653" s="84"/>
      <c r="G653" s="84"/>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row>
    <row r="654">
      <c r="B654" s="84"/>
      <c r="C654" s="20"/>
      <c r="D654" s="21"/>
      <c r="E654" s="133"/>
      <c r="F654" s="84"/>
      <c r="G654" s="84"/>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row>
    <row r="655">
      <c r="B655" s="84"/>
      <c r="C655" s="20"/>
      <c r="D655" s="21"/>
      <c r="E655" s="133"/>
      <c r="F655" s="84"/>
      <c r="G655" s="84"/>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row>
    <row r="656">
      <c r="B656" s="84"/>
      <c r="C656" s="20"/>
      <c r="D656" s="21"/>
      <c r="E656" s="133"/>
      <c r="F656" s="84"/>
      <c r="G656" s="84"/>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row>
    <row r="657">
      <c r="B657" s="84"/>
      <c r="C657" s="20"/>
      <c r="D657" s="21"/>
      <c r="E657" s="133"/>
      <c r="F657" s="84"/>
      <c r="G657" s="84"/>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row>
    <row r="658">
      <c r="B658" s="84"/>
      <c r="C658" s="20"/>
      <c r="D658" s="21"/>
      <c r="E658" s="133"/>
      <c r="F658" s="84"/>
      <c r="G658" s="84"/>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row>
    <row r="659">
      <c r="B659" s="84"/>
      <c r="C659" s="20"/>
      <c r="D659" s="21"/>
      <c r="E659" s="133"/>
      <c r="F659" s="84"/>
      <c r="G659" s="84"/>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row>
    <row r="660">
      <c r="B660" s="84"/>
      <c r="C660" s="20"/>
      <c r="D660" s="21"/>
      <c r="E660" s="133"/>
      <c r="F660" s="84"/>
      <c r="G660" s="84"/>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row>
    <row r="661">
      <c r="B661" s="84"/>
      <c r="C661" s="20"/>
      <c r="D661" s="21"/>
      <c r="E661" s="133"/>
      <c r="F661" s="84"/>
      <c r="G661" s="84"/>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row>
    <row r="662">
      <c r="B662" s="84"/>
      <c r="C662" s="20"/>
      <c r="D662" s="21"/>
      <c r="E662" s="133"/>
      <c r="F662" s="84"/>
      <c r="G662" s="84"/>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row>
    <row r="663">
      <c r="B663" s="84"/>
      <c r="C663" s="20"/>
      <c r="D663" s="21"/>
      <c r="E663" s="133"/>
      <c r="F663" s="84"/>
      <c r="G663" s="84"/>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row>
    <row r="664">
      <c r="B664" s="84"/>
      <c r="C664" s="20"/>
      <c r="D664" s="21"/>
      <c r="E664" s="133"/>
      <c r="F664" s="84"/>
      <c r="G664" s="84"/>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row>
    <row r="665">
      <c r="B665" s="84"/>
      <c r="C665" s="20"/>
      <c r="D665" s="21"/>
      <c r="E665" s="133"/>
      <c r="F665" s="84"/>
      <c r="G665" s="84"/>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row>
    <row r="666">
      <c r="B666" s="84"/>
      <c r="C666" s="20"/>
      <c r="D666" s="21"/>
      <c r="E666" s="133"/>
      <c r="F666" s="84"/>
      <c r="G666" s="84"/>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row>
    <row r="667">
      <c r="B667" s="84"/>
      <c r="C667" s="20"/>
      <c r="D667" s="21"/>
      <c r="E667" s="133"/>
      <c r="F667" s="84"/>
      <c r="G667" s="84"/>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row>
    <row r="668">
      <c r="B668" s="84"/>
      <c r="C668" s="20"/>
      <c r="D668" s="21"/>
      <c r="E668" s="133"/>
      <c r="F668" s="84"/>
      <c r="G668" s="84"/>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row>
    <row r="669">
      <c r="B669" s="84"/>
      <c r="C669" s="20"/>
      <c r="D669" s="21"/>
      <c r="E669" s="133"/>
      <c r="F669" s="84"/>
      <c r="G669" s="84"/>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row>
    <row r="670">
      <c r="B670" s="84"/>
      <c r="C670" s="20"/>
      <c r="D670" s="21"/>
      <c r="E670" s="133"/>
      <c r="F670" s="84"/>
      <c r="G670" s="84"/>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row>
    <row r="671">
      <c r="B671" s="84"/>
      <c r="C671" s="20"/>
      <c r="D671" s="21"/>
      <c r="E671" s="133"/>
      <c r="F671" s="84"/>
      <c r="G671" s="84"/>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row>
    <row r="672">
      <c r="B672" s="84"/>
      <c r="C672" s="20"/>
      <c r="D672" s="21"/>
      <c r="E672" s="133"/>
      <c r="F672" s="84"/>
      <c r="G672" s="84"/>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row>
    <row r="673">
      <c r="B673" s="84"/>
      <c r="C673" s="20"/>
      <c r="D673" s="21"/>
      <c r="E673" s="133"/>
      <c r="F673" s="84"/>
      <c r="G673" s="84"/>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row>
    <row r="674">
      <c r="B674" s="84"/>
      <c r="C674" s="20"/>
      <c r="D674" s="21"/>
      <c r="E674" s="133"/>
      <c r="F674" s="84"/>
      <c r="G674" s="84"/>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row>
    <row r="675">
      <c r="B675" s="84"/>
      <c r="C675" s="20"/>
      <c r="D675" s="21"/>
      <c r="E675" s="133"/>
      <c r="F675" s="84"/>
      <c r="G675" s="84"/>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row>
    <row r="676">
      <c r="B676" s="84"/>
      <c r="C676" s="20"/>
      <c r="D676" s="21"/>
      <c r="E676" s="133"/>
      <c r="F676" s="84"/>
      <c r="G676" s="84"/>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row>
    <row r="677">
      <c r="B677" s="84"/>
      <c r="C677" s="20"/>
      <c r="D677" s="21"/>
      <c r="E677" s="133"/>
      <c r="F677" s="84"/>
      <c r="G677" s="84"/>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row>
    <row r="678">
      <c r="B678" s="84"/>
      <c r="C678" s="20"/>
      <c r="D678" s="21"/>
      <c r="E678" s="133"/>
      <c r="F678" s="84"/>
      <c r="G678" s="84"/>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row>
    <row r="679">
      <c r="B679" s="84"/>
      <c r="C679" s="20"/>
      <c r="D679" s="21"/>
      <c r="E679" s="133"/>
      <c r="F679" s="84"/>
      <c r="G679" s="84"/>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row>
    <row r="680">
      <c r="B680" s="84"/>
      <c r="C680" s="20"/>
      <c r="D680" s="21"/>
      <c r="E680" s="133"/>
      <c r="F680" s="84"/>
      <c r="G680" s="84"/>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row>
    <row r="681">
      <c r="B681" s="84"/>
      <c r="C681" s="20"/>
      <c r="D681" s="21"/>
      <c r="E681" s="133"/>
      <c r="F681" s="84"/>
      <c r="G681" s="84"/>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row>
    <row r="682">
      <c r="B682" s="84"/>
      <c r="C682" s="20"/>
      <c r="D682" s="21"/>
      <c r="E682" s="133"/>
      <c r="F682" s="84"/>
      <c r="G682" s="84"/>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row>
    <row r="683">
      <c r="B683" s="84"/>
      <c r="C683" s="20"/>
      <c r="D683" s="21"/>
      <c r="E683" s="133"/>
      <c r="F683" s="84"/>
      <c r="G683" s="84"/>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row>
    <row r="684">
      <c r="B684" s="84"/>
      <c r="C684" s="20"/>
      <c r="D684" s="21"/>
      <c r="E684" s="133"/>
      <c r="F684" s="84"/>
      <c r="G684" s="84"/>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row>
    <row r="685">
      <c r="B685" s="84"/>
      <c r="C685" s="20"/>
      <c r="D685" s="21"/>
      <c r="E685" s="133"/>
      <c r="F685" s="84"/>
      <c r="G685" s="84"/>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row>
    <row r="686">
      <c r="B686" s="84"/>
      <c r="C686" s="20"/>
      <c r="D686" s="21"/>
      <c r="E686" s="133"/>
      <c r="F686" s="84"/>
      <c r="G686" s="84"/>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row>
    <row r="687">
      <c r="B687" s="84"/>
      <c r="C687" s="20"/>
      <c r="D687" s="21"/>
      <c r="E687" s="133"/>
      <c r="F687" s="84"/>
      <c r="G687" s="84"/>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row>
    <row r="688">
      <c r="B688" s="84"/>
      <c r="C688" s="20"/>
      <c r="D688" s="21"/>
      <c r="E688" s="133"/>
      <c r="F688" s="84"/>
      <c r="G688" s="84"/>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row>
    <row r="689">
      <c r="B689" s="84"/>
      <c r="C689" s="20"/>
      <c r="D689" s="21"/>
      <c r="E689" s="133"/>
      <c r="F689" s="84"/>
      <c r="G689" s="84"/>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row>
    <row r="690">
      <c r="B690" s="84"/>
      <c r="C690" s="20"/>
      <c r="D690" s="21"/>
      <c r="E690" s="133"/>
      <c r="F690" s="84"/>
      <c r="G690" s="84"/>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row>
    <row r="691">
      <c r="B691" s="84"/>
      <c r="C691" s="20"/>
      <c r="D691" s="21"/>
      <c r="E691" s="133"/>
      <c r="F691" s="84"/>
      <c r="G691" s="84"/>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row>
    <row r="692">
      <c r="B692" s="84"/>
      <c r="C692" s="20"/>
      <c r="D692" s="21"/>
      <c r="E692" s="133"/>
      <c r="F692" s="84"/>
      <c r="G692" s="84"/>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row>
    <row r="693">
      <c r="B693" s="84"/>
      <c r="C693" s="20"/>
      <c r="D693" s="21"/>
      <c r="E693" s="133"/>
      <c r="F693" s="84"/>
      <c r="G693" s="84"/>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row>
    <row r="694">
      <c r="B694" s="84"/>
      <c r="C694" s="20"/>
      <c r="D694" s="21"/>
      <c r="E694" s="133"/>
      <c r="F694" s="84"/>
      <c r="G694" s="84"/>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row>
    <row r="695">
      <c r="B695" s="84"/>
      <c r="C695" s="20"/>
      <c r="D695" s="21"/>
      <c r="E695" s="133"/>
      <c r="F695" s="84"/>
      <c r="G695" s="84"/>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row>
    <row r="696">
      <c r="B696" s="84"/>
      <c r="C696" s="20"/>
      <c r="D696" s="21"/>
      <c r="E696" s="133"/>
      <c r="F696" s="84"/>
      <c r="G696" s="84"/>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row>
    <row r="697">
      <c r="B697" s="84"/>
      <c r="C697" s="20"/>
      <c r="D697" s="21"/>
      <c r="E697" s="133"/>
      <c r="F697" s="84"/>
      <c r="G697" s="84"/>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row>
    <row r="698">
      <c r="B698" s="84"/>
      <c r="C698" s="20"/>
      <c r="D698" s="21"/>
      <c r="E698" s="133"/>
      <c r="F698" s="84"/>
      <c r="G698" s="84"/>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row>
    <row r="699">
      <c r="B699" s="84"/>
      <c r="C699" s="20"/>
      <c r="D699" s="21"/>
      <c r="E699" s="133"/>
      <c r="F699" s="84"/>
      <c r="G699" s="84"/>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row>
    <row r="700">
      <c r="B700" s="84"/>
      <c r="C700" s="20"/>
      <c r="D700" s="21"/>
      <c r="E700" s="133"/>
      <c r="F700" s="84"/>
      <c r="G700" s="84"/>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row>
    <row r="701">
      <c r="B701" s="84"/>
      <c r="C701" s="20"/>
      <c r="D701" s="21"/>
      <c r="E701" s="133"/>
      <c r="F701" s="84"/>
      <c r="G701" s="84"/>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row>
    <row r="702">
      <c r="B702" s="84"/>
      <c r="C702" s="20"/>
      <c r="D702" s="21"/>
      <c r="E702" s="133"/>
      <c r="F702" s="84"/>
      <c r="G702" s="84"/>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row>
    <row r="703">
      <c r="B703" s="84"/>
      <c r="C703" s="20"/>
      <c r="D703" s="21"/>
      <c r="E703" s="133"/>
      <c r="F703" s="84"/>
      <c r="G703" s="84"/>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row>
    <row r="704">
      <c r="B704" s="84"/>
      <c r="C704" s="20"/>
      <c r="D704" s="21"/>
      <c r="E704" s="133"/>
      <c r="F704" s="84"/>
      <c r="G704" s="84"/>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row>
    <row r="705">
      <c r="B705" s="84"/>
      <c r="C705" s="20"/>
      <c r="D705" s="21"/>
      <c r="E705" s="133"/>
      <c r="F705" s="84"/>
      <c r="G705" s="84"/>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row>
    <row r="706">
      <c r="B706" s="84"/>
      <c r="C706" s="20"/>
      <c r="D706" s="21"/>
      <c r="E706" s="133"/>
      <c r="F706" s="84"/>
      <c r="G706" s="84"/>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row>
    <row r="707">
      <c r="B707" s="84"/>
      <c r="C707" s="20"/>
      <c r="D707" s="21"/>
      <c r="E707" s="133"/>
      <c r="F707" s="84"/>
      <c r="G707" s="84"/>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row>
    <row r="708">
      <c r="B708" s="84"/>
      <c r="C708" s="20"/>
      <c r="D708" s="21"/>
      <c r="E708" s="133"/>
      <c r="F708" s="84"/>
      <c r="G708" s="84"/>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row>
    <row r="709">
      <c r="B709" s="84"/>
      <c r="C709" s="20"/>
      <c r="D709" s="21"/>
      <c r="E709" s="133"/>
      <c r="F709" s="84"/>
      <c r="G709" s="84"/>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row>
    <row r="710">
      <c r="B710" s="84"/>
      <c r="C710" s="20"/>
      <c r="D710" s="21"/>
      <c r="E710" s="133"/>
      <c r="F710" s="84"/>
      <c r="G710" s="84"/>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row>
    <row r="711">
      <c r="B711" s="84"/>
      <c r="C711" s="20"/>
      <c r="D711" s="21"/>
      <c r="E711" s="133"/>
      <c r="F711" s="84"/>
      <c r="G711" s="84"/>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row>
    <row r="712">
      <c r="B712" s="84"/>
      <c r="C712" s="20"/>
      <c r="D712" s="21"/>
      <c r="E712" s="133"/>
      <c r="F712" s="84"/>
      <c r="G712" s="84"/>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row>
    <row r="713">
      <c r="B713" s="84"/>
      <c r="C713" s="20"/>
      <c r="D713" s="21"/>
      <c r="E713" s="133"/>
      <c r="F713" s="84"/>
      <c r="G713" s="84"/>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row>
    <row r="714">
      <c r="B714" s="84"/>
      <c r="C714" s="20"/>
      <c r="D714" s="21"/>
      <c r="E714" s="133"/>
      <c r="F714" s="84"/>
      <c r="G714" s="84"/>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row>
    <row r="715">
      <c r="B715" s="84"/>
      <c r="C715" s="20"/>
      <c r="D715" s="21"/>
      <c r="E715" s="133"/>
      <c r="F715" s="84"/>
      <c r="G715" s="84"/>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row>
    <row r="716">
      <c r="B716" s="84"/>
      <c r="C716" s="20"/>
      <c r="D716" s="21"/>
      <c r="E716" s="133"/>
      <c r="F716" s="84"/>
      <c r="G716" s="84"/>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row>
    <row r="717">
      <c r="B717" s="84"/>
      <c r="C717" s="20"/>
      <c r="D717" s="21"/>
      <c r="E717" s="133"/>
      <c r="F717" s="84"/>
      <c r="G717" s="84"/>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row>
    <row r="718">
      <c r="B718" s="84"/>
      <c r="C718" s="20"/>
      <c r="D718" s="21"/>
      <c r="E718" s="133"/>
      <c r="F718" s="84"/>
      <c r="G718" s="84"/>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row>
    <row r="719">
      <c r="B719" s="84"/>
      <c r="C719" s="20"/>
      <c r="D719" s="21"/>
      <c r="E719" s="133"/>
      <c r="F719" s="84"/>
      <c r="G719" s="84"/>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row>
    <row r="720">
      <c r="B720" s="84"/>
      <c r="C720" s="20"/>
      <c r="D720" s="21"/>
      <c r="E720" s="133"/>
      <c r="F720" s="84"/>
      <c r="G720" s="84"/>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row>
    <row r="721">
      <c r="B721" s="84"/>
      <c r="C721" s="20"/>
      <c r="D721" s="21"/>
      <c r="E721" s="133"/>
      <c r="F721" s="84"/>
      <c r="G721" s="84"/>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row>
    <row r="722">
      <c r="B722" s="84"/>
      <c r="C722" s="20"/>
      <c r="D722" s="21"/>
      <c r="E722" s="133"/>
      <c r="F722" s="84"/>
      <c r="G722" s="84"/>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row>
    <row r="723">
      <c r="B723" s="84"/>
      <c r="C723" s="20"/>
      <c r="D723" s="21"/>
      <c r="E723" s="133"/>
      <c r="F723" s="84"/>
      <c r="G723" s="84"/>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row>
    <row r="724">
      <c r="B724" s="84"/>
      <c r="C724" s="20"/>
      <c r="D724" s="21"/>
      <c r="E724" s="133"/>
      <c r="F724" s="84"/>
      <c r="G724" s="84"/>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row>
    <row r="725">
      <c r="B725" s="84"/>
      <c r="C725" s="20"/>
      <c r="D725" s="21"/>
      <c r="E725" s="133"/>
      <c r="F725" s="84"/>
      <c r="G725" s="84"/>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row>
    <row r="726">
      <c r="B726" s="84"/>
      <c r="C726" s="20"/>
      <c r="D726" s="21"/>
      <c r="E726" s="133"/>
      <c r="F726" s="84"/>
      <c r="G726" s="84"/>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row>
    <row r="727">
      <c r="B727" s="84"/>
      <c r="C727" s="20"/>
      <c r="D727" s="21"/>
      <c r="E727" s="133"/>
      <c r="F727" s="84"/>
      <c r="G727" s="84"/>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row>
    <row r="728">
      <c r="B728" s="84"/>
      <c r="C728" s="20"/>
      <c r="D728" s="21"/>
      <c r="E728" s="133"/>
      <c r="F728" s="84"/>
      <c r="G728" s="84"/>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row>
    <row r="729">
      <c r="B729" s="84"/>
      <c r="C729" s="20"/>
      <c r="D729" s="21"/>
      <c r="E729" s="133"/>
      <c r="F729" s="84"/>
      <c r="G729" s="84"/>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row>
    <row r="730">
      <c r="B730" s="84"/>
      <c r="C730" s="20"/>
      <c r="D730" s="21"/>
      <c r="E730" s="133"/>
      <c r="F730" s="84"/>
      <c r="G730" s="84"/>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row>
    <row r="731">
      <c r="B731" s="84"/>
      <c r="C731" s="20"/>
      <c r="D731" s="21"/>
      <c r="E731" s="133"/>
      <c r="F731" s="84"/>
      <c r="G731" s="84"/>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row>
    <row r="732">
      <c r="B732" s="84"/>
      <c r="C732" s="20"/>
      <c r="D732" s="21"/>
      <c r="E732" s="133"/>
      <c r="F732" s="84"/>
      <c r="G732" s="84"/>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row>
    <row r="733">
      <c r="B733" s="84"/>
      <c r="C733" s="20"/>
      <c r="D733" s="21"/>
      <c r="E733" s="133"/>
      <c r="F733" s="84"/>
      <c r="G733" s="84"/>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row>
    <row r="734">
      <c r="B734" s="84"/>
      <c r="C734" s="20"/>
      <c r="D734" s="21"/>
      <c r="E734" s="133"/>
      <c r="F734" s="84"/>
      <c r="G734" s="84"/>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row>
    <row r="735">
      <c r="B735" s="84"/>
      <c r="C735" s="20"/>
      <c r="D735" s="21"/>
      <c r="E735" s="133"/>
      <c r="F735" s="84"/>
      <c r="G735" s="84"/>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row>
    <row r="736">
      <c r="B736" s="84"/>
      <c r="C736" s="20"/>
      <c r="D736" s="21"/>
      <c r="E736" s="133"/>
      <c r="F736" s="84"/>
      <c r="G736" s="84"/>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row>
    <row r="737">
      <c r="B737" s="84"/>
      <c r="C737" s="20"/>
      <c r="D737" s="21"/>
      <c r="E737" s="133"/>
      <c r="F737" s="84"/>
      <c r="G737" s="84"/>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row>
    <row r="738">
      <c r="B738" s="84"/>
      <c r="C738" s="20"/>
      <c r="D738" s="21"/>
      <c r="E738" s="133"/>
      <c r="F738" s="84"/>
      <c r="G738" s="84"/>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row>
    <row r="739">
      <c r="B739" s="84"/>
      <c r="C739" s="20"/>
      <c r="D739" s="21"/>
      <c r="E739" s="133"/>
      <c r="F739" s="84"/>
      <c r="G739" s="84"/>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row>
    <row r="740">
      <c r="B740" s="84"/>
      <c r="C740" s="20"/>
      <c r="D740" s="21"/>
      <c r="E740" s="133"/>
      <c r="F740" s="84"/>
      <c r="G740" s="84"/>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row>
    <row r="741">
      <c r="B741" s="84"/>
      <c r="C741" s="20"/>
      <c r="D741" s="21"/>
      <c r="E741" s="133"/>
      <c r="F741" s="84"/>
      <c r="G741" s="84"/>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row>
    <row r="742">
      <c r="B742" s="84"/>
      <c r="C742" s="20"/>
      <c r="D742" s="21"/>
      <c r="E742" s="133"/>
      <c r="F742" s="84"/>
      <c r="G742" s="84"/>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row>
    <row r="743">
      <c r="B743" s="84"/>
      <c r="C743" s="20"/>
      <c r="D743" s="21"/>
      <c r="E743" s="133"/>
      <c r="F743" s="84"/>
      <c r="G743" s="84"/>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row>
    <row r="744">
      <c r="B744" s="84"/>
      <c r="C744" s="20"/>
      <c r="D744" s="21"/>
      <c r="E744" s="133"/>
      <c r="F744" s="84"/>
      <c r="G744" s="84"/>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row>
    <row r="745">
      <c r="B745" s="84"/>
      <c r="C745" s="20"/>
      <c r="D745" s="21"/>
      <c r="E745" s="133"/>
      <c r="F745" s="84"/>
      <c r="G745" s="84"/>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row>
    <row r="746">
      <c r="B746" s="84"/>
      <c r="C746" s="20"/>
      <c r="D746" s="21"/>
      <c r="E746" s="133"/>
      <c r="F746" s="84"/>
      <c r="G746" s="84"/>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row>
    <row r="747">
      <c r="B747" s="84"/>
      <c r="C747" s="20"/>
      <c r="D747" s="21"/>
      <c r="E747" s="133"/>
      <c r="F747" s="84"/>
      <c r="G747" s="84"/>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row>
    <row r="748">
      <c r="B748" s="84"/>
      <c r="C748" s="20"/>
      <c r="D748" s="21"/>
      <c r="E748" s="133"/>
      <c r="F748" s="84"/>
      <c r="G748" s="84"/>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row>
    <row r="749">
      <c r="B749" s="84"/>
      <c r="C749" s="20"/>
      <c r="D749" s="21"/>
      <c r="E749" s="133"/>
      <c r="F749" s="84"/>
      <c r="G749" s="84"/>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row>
    <row r="750">
      <c r="B750" s="84"/>
      <c r="C750" s="20"/>
      <c r="D750" s="21"/>
      <c r="E750" s="133"/>
      <c r="F750" s="84"/>
      <c r="G750" s="84"/>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row>
    <row r="751">
      <c r="B751" s="84"/>
      <c r="C751" s="20"/>
      <c r="D751" s="21"/>
      <c r="E751" s="133"/>
      <c r="F751" s="84"/>
      <c r="G751" s="84"/>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row>
    <row r="752">
      <c r="B752" s="84"/>
      <c r="C752" s="20"/>
      <c r="D752" s="21"/>
      <c r="E752" s="133"/>
      <c r="F752" s="84"/>
      <c r="G752" s="84"/>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row>
    <row r="753">
      <c r="B753" s="84"/>
      <c r="C753" s="20"/>
      <c r="D753" s="21"/>
      <c r="E753" s="133"/>
      <c r="F753" s="84"/>
      <c r="G753" s="84"/>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row>
    <row r="754">
      <c r="B754" s="84"/>
      <c r="C754" s="20"/>
      <c r="D754" s="21"/>
      <c r="E754" s="133"/>
      <c r="F754" s="84"/>
      <c r="G754" s="84"/>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row>
    <row r="755">
      <c r="B755" s="84"/>
      <c r="C755" s="20"/>
      <c r="D755" s="21"/>
      <c r="E755" s="133"/>
      <c r="F755" s="84"/>
      <c r="G755" s="84"/>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row>
    <row r="756">
      <c r="B756" s="84"/>
      <c r="C756" s="20"/>
      <c r="D756" s="21"/>
      <c r="E756" s="133"/>
      <c r="F756" s="84"/>
      <c r="G756" s="84"/>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row>
    <row r="757">
      <c r="B757" s="84"/>
      <c r="C757" s="20"/>
      <c r="D757" s="21"/>
      <c r="E757" s="133"/>
      <c r="F757" s="84"/>
      <c r="G757" s="84"/>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row>
    <row r="758">
      <c r="B758" s="84"/>
      <c r="C758" s="20"/>
      <c r="D758" s="21"/>
      <c r="E758" s="133"/>
      <c r="F758" s="84"/>
      <c r="G758" s="84"/>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row>
    <row r="759">
      <c r="B759" s="84"/>
      <c r="C759" s="20"/>
      <c r="D759" s="21"/>
      <c r="E759" s="133"/>
      <c r="F759" s="84"/>
      <c r="G759" s="84"/>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row>
    <row r="760">
      <c r="B760" s="84"/>
      <c r="C760" s="20"/>
      <c r="D760" s="21"/>
      <c r="E760" s="133"/>
      <c r="F760" s="84"/>
      <c r="G760" s="84"/>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row>
    <row r="761">
      <c r="B761" s="84"/>
      <c r="C761" s="20"/>
      <c r="D761" s="21"/>
      <c r="E761" s="133"/>
      <c r="F761" s="84"/>
      <c r="G761" s="84"/>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row>
    <row r="762">
      <c r="B762" s="84"/>
      <c r="C762" s="20"/>
      <c r="D762" s="21"/>
      <c r="E762" s="133"/>
      <c r="F762" s="84"/>
      <c r="G762" s="84"/>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row>
    <row r="763">
      <c r="B763" s="84"/>
      <c r="C763" s="20"/>
      <c r="D763" s="21"/>
      <c r="E763" s="133"/>
      <c r="F763" s="84"/>
      <c r="G763" s="84"/>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row>
    <row r="764">
      <c r="B764" s="84"/>
      <c r="C764" s="20"/>
      <c r="D764" s="21"/>
      <c r="E764" s="133"/>
      <c r="F764" s="84"/>
      <c r="G764" s="84"/>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row>
    <row r="765">
      <c r="B765" s="84"/>
      <c r="C765" s="20"/>
      <c r="D765" s="21"/>
      <c r="E765" s="133"/>
      <c r="F765" s="84"/>
      <c r="G765" s="84"/>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row>
    <row r="766">
      <c r="B766" s="84"/>
      <c r="C766" s="20"/>
      <c r="D766" s="21"/>
      <c r="E766" s="133"/>
      <c r="F766" s="84"/>
      <c r="G766" s="84"/>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row>
    <row r="767">
      <c r="B767" s="84"/>
      <c r="C767" s="20"/>
      <c r="D767" s="21"/>
      <c r="E767" s="133"/>
      <c r="F767" s="84"/>
      <c r="G767" s="84"/>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row>
    <row r="768">
      <c r="B768" s="84"/>
      <c r="C768" s="20"/>
      <c r="D768" s="21"/>
      <c r="E768" s="133"/>
      <c r="F768" s="84"/>
      <c r="G768" s="84"/>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row>
    <row r="769">
      <c r="B769" s="84"/>
      <c r="C769" s="20"/>
      <c r="D769" s="21"/>
      <c r="E769" s="133"/>
      <c r="F769" s="84"/>
      <c r="G769" s="84"/>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row>
    <row r="770">
      <c r="B770" s="84"/>
      <c r="C770" s="20"/>
      <c r="D770" s="21"/>
      <c r="E770" s="133"/>
      <c r="F770" s="84"/>
      <c r="G770" s="84"/>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row>
    <row r="771">
      <c r="B771" s="84"/>
      <c r="C771" s="20"/>
      <c r="D771" s="21"/>
      <c r="E771" s="133"/>
      <c r="F771" s="84"/>
      <c r="G771" s="84"/>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row>
    <row r="772">
      <c r="B772" s="84"/>
      <c r="C772" s="20"/>
      <c r="D772" s="21"/>
      <c r="E772" s="133"/>
      <c r="F772" s="84"/>
      <c r="G772" s="84"/>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row>
    <row r="773">
      <c r="B773" s="84"/>
      <c r="C773" s="20"/>
      <c r="D773" s="21"/>
      <c r="E773" s="133"/>
      <c r="F773" s="84"/>
      <c r="G773" s="84"/>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row>
    <row r="774">
      <c r="B774" s="84"/>
      <c r="C774" s="20"/>
      <c r="D774" s="21"/>
      <c r="E774" s="133"/>
      <c r="F774" s="84"/>
      <c r="G774" s="84"/>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row>
    <row r="775">
      <c r="B775" s="84"/>
      <c r="C775" s="20"/>
      <c r="D775" s="21"/>
      <c r="E775" s="133"/>
      <c r="F775" s="84"/>
      <c r="G775" s="84"/>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row>
    <row r="776">
      <c r="B776" s="84"/>
      <c r="C776" s="20"/>
      <c r="D776" s="21"/>
      <c r="E776" s="133"/>
      <c r="F776" s="84"/>
      <c r="G776" s="84"/>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row>
    <row r="777">
      <c r="B777" s="84"/>
      <c r="C777" s="20"/>
      <c r="D777" s="21"/>
      <c r="E777" s="133"/>
      <c r="F777" s="84"/>
      <c r="G777" s="84"/>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row>
    <row r="778">
      <c r="B778" s="84"/>
      <c r="C778" s="20"/>
      <c r="D778" s="21"/>
      <c r="E778" s="133"/>
      <c r="F778" s="84"/>
      <c r="G778" s="84"/>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row>
    <row r="779">
      <c r="B779" s="84"/>
      <c r="C779" s="20"/>
      <c r="D779" s="21"/>
      <c r="E779" s="133"/>
      <c r="F779" s="84"/>
      <c r="G779" s="84"/>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row>
    <row r="780">
      <c r="B780" s="84"/>
      <c r="C780" s="20"/>
      <c r="D780" s="21"/>
      <c r="E780" s="133"/>
      <c r="F780" s="84"/>
      <c r="G780" s="84"/>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row>
    <row r="781">
      <c r="B781" s="84"/>
      <c r="C781" s="20"/>
      <c r="D781" s="21"/>
      <c r="E781" s="133"/>
      <c r="F781" s="84"/>
      <c r="G781" s="84"/>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row>
    <row r="782">
      <c r="B782" s="84"/>
      <c r="C782" s="20"/>
      <c r="D782" s="21"/>
      <c r="E782" s="133"/>
      <c r="F782" s="84"/>
      <c r="G782" s="84"/>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row>
    <row r="783">
      <c r="B783" s="84"/>
      <c r="C783" s="20"/>
      <c r="D783" s="21"/>
      <c r="E783" s="133"/>
      <c r="F783" s="84"/>
      <c r="G783" s="84"/>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row>
    <row r="784">
      <c r="B784" s="84"/>
      <c r="C784" s="20"/>
      <c r="D784" s="21"/>
      <c r="E784" s="133"/>
      <c r="F784" s="84"/>
      <c r="G784" s="84"/>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row>
    <row r="785">
      <c r="B785" s="84"/>
      <c r="C785" s="20"/>
      <c r="D785" s="21"/>
      <c r="E785" s="133"/>
      <c r="F785" s="84"/>
      <c r="G785" s="84"/>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row>
    <row r="786">
      <c r="B786" s="84"/>
      <c r="C786" s="20"/>
      <c r="D786" s="21"/>
      <c r="E786" s="133"/>
      <c r="F786" s="84"/>
      <c r="G786" s="84"/>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row>
    <row r="787">
      <c r="B787" s="84"/>
      <c r="C787" s="20"/>
      <c r="D787" s="21"/>
      <c r="E787" s="133"/>
      <c r="F787" s="84"/>
      <c r="G787" s="84"/>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row>
    <row r="788">
      <c r="B788" s="84"/>
      <c r="C788" s="20"/>
      <c r="D788" s="21"/>
      <c r="E788" s="133"/>
      <c r="F788" s="84"/>
      <c r="G788" s="84"/>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row>
    <row r="789">
      <c r="B789" s="84"/>
      <c r="C789" s="20"/>
      <c r="D789" s="21"/>
      <c r="E789" s="133"/>
      <c r="F789" s="84"/>
      <c r="G789" s="84"/>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row>
    <row r="790">
      <c r="B790" s="84"/>
      <c r="C790" s="20"/>
      <c r="D790" s="21"/>
      <c r="E790" s="133"/>
      <c r="F790" s="84"/>
      <c r="G790" s="84"/>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row>
    <row r="791">
      <c r="B791" s="84"/>
      <c r="C791" s="20"/>
      <c r="D791" s="21"/>
      <c r="E791" s="133"/>
      <c r="F791" s="84"/>
      <c r="G791" s="84"/>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row>
    <row r="792">
      <c r="B792" s="84"/>
      <c r="C792" s="20"/>
      <c r="D792" s="21"/>
      <c r="E792" s="133"/>
      <c r="F792" s="84"/>
      <c r="G792" s="84"/>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row>
    <row r="793">
      <c r="B793" s="84"/>
      <c r="C793" s="20"/>
      <c r="D793" s="21"/>
      <c r="E793" s="133"/>
      <c r="F793" s="84"/>
      <c r="G793" s="84"/>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row>
    <row r="794">
      <c r="B794" s="84"/>
      <c r="C794" s="20"/>
      <c r="D794" s="21"/>
      <c r="E794" s="133"/>
      <c r="F794" s="84"/>
      <c r="G794" s="84"/>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row>
    <row r="795">
      <c r="B795" s="84"/>
      <c r="C795" s="20"/>
      <c r="D795" s="21"/>
      <c r="E795" s="133"/>
      <c r="F795" s="84"/>
      <c r="G795" s="84"/>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row>
    <row r="796">
      <c r="B796" s="84"/>
      <c r="C796" s="20"/>
      <c r="D796" s="21"/>
      <c r="E796" s="133"/>
      <c r="F796" s="84"/>
      <c r="G796" s="84"/>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row>
    <row r="797">
      <c r="B797" s="84"/>
      <c r="C797" s="20"/>
      <c r="D797" s="21"/>
      <c r="E797" s="133"/>
      <c r="F797" s="84"/>
      <c r="G797" s="84"/>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row>
    <row r="798">
      <c r="B798" s="84"/>
      <c r="C798" s="20"/>
      <c r="D798" s="21"/>
      <c r="E798" s="133"/>
      <c r="F798" s="84"/>
      <c r="G798" s="84"/>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row>
    <row r="799">
      <c r="B799" s="84"/>
      <c r="C799" s="20"/>
      <c r="D799" s="21"/>
      <c r="E799" s="133"/>
      <c r="F799" s="84"/>
      <c r="G799" s="84"/>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row>
    <row r="800">
      <c r="B800" s="84"/>
      <c r="C800" s="20"/>
      <c r="D800" s="21"/>
      <c r="E800" s="133"/>
      <c r="F800" s="84"/>
      <c r="G800" s="84"/>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row>
    <row r="801">
      <c r="B801" s="84"/>
      <c r="C801" s="20"/>
      <c r="D801" s="21"/>
      <c r="E801" s="133"/>
      <c r="F801" s="84"/>
      <c r="G801" s="84"/>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row>
    <row r="802">
      <c r="B802" s="84"/>
      <c r="C802" s="20"/>
      <c r="D802" s="21"/>
      <c r="E802" s="133"/>
      <c r="F802" s="84"/>
      <c r="G802" s="84"/>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row>
    <row r="803">
      <c r="B803" s="84"/>
      <c r="C803" s="20"/>
      <c r="D803" s="21"/>
      <c r="E803" s="133"/>
      <c r="F803" s="84"/>
      <c r="G803" s="84"/>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row>
    <row r="804">
      <c r="B804" s="84"/>
      <c r="C804" s="20"/>
      <c r="D804" s="21"/>
      <c r="E804" s="133"/>
      <c r="F804" s="84"/>
      <c r="G804" s="84"/>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row>
    <row r="805">
      <c r="B805" s="84"/>
      <c r="C805" s="20"/>
      <c r="D805" s="21"/>
      <c r="E805" s="133"/>
      <c r="F805" s="84"/>
      <c r="G805" s="84"/>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row>
    <row r="806">
      <c r="B806" s="84"/>
      <c r="C806" s="20"/>
      <c r="D806" s="21"/>
      <c r="E806" s="133"/>
      <c r="F806" s="84"/>
      <c r="G806" s="84"/>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row>
    <row r="807">
      <c r="B807" s="84"/>
      <c r="C807" s="20"/>
      <c r="D807" s="21"/>
      <c r="E807" s="133"/>
      <c r="F807" s="84"/>
      <c r="G807" s="84"/>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row>
    <row r="808">
      <c r="B808" s="84"/>
      <c r="C808" s="20"/>
      <c r="D808" s="21"/>
      <c r="E808" s="133"/>
      <c r="F808" s="84"/>
      <c r="G808" s="84"/>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row>
    <row r="809">
      <c r="B809" s="84"/>
      <c r="C809" s="20"/>
      <c r="D809" s="21"/>
      <c r="E809" s="133"/>
      <c r="F809" s="84"/>
      <c r="G809" s="84"/>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row>
    <row r="810">
      <c r="B810" s="84"/>
      <c r="C810" s="20"/>
      <c r="D810" s="21"/>
      <c r="E810" s="133"/>
      <c r="F810" s="84"/>
      <c r="G810" s="84"/>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row>
    <row r="811">
      <c r="B811" s="84"/>
      <c r="C811" s="20"/>
      <c r="D811" s="21"/>
      <c r="E811" s="133"/>
      <c r="F811" s="84"/>
      <c r="G811" s="84"/>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row>
    <row r="812">
      <c r="B812" s="84"/>
      <c r="C812" s="20"/>
      <c r="D812" s="21"/>
      <c r="E812" s="133"/>
      <c r="F812" s="84"/>
      <c r="G812" s="84"/>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row>
    <row r="813">
      <c r="B813" s="84"/>
      <c r="C813" s="20"/>
      <c r="D813" s="21"/>
      <c r="E813" s="133"/>
      <c r="F813" s="84"/>
      <c r="G813" s="84"/>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row>
    <row r="814">
      <c r="B814" s="84"/>
      <c r="C814" s="20"/>
      <c r="D814" s="21"/>
      <c r="E814" s="133"/>
      <c r="F814" s="84"/>
      <c r="G814" s="84"/>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row>
    <row r="815">
      <c r="B815" s="84"/>
      <c r="C815" s="20"/>
      <c r="D815" s="21"/>
      <c r="E815" s="133"/>
      <c r="F815" s="84"/>
      <c r="G815" s="84"/>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row>
    <row r="816">
      <c r="B816" s="84"/>
      <c r="C816" s="20"/>
      <c r="D816" s="21"/>
      <c r="E816" s="133"/>
      <c r="F816" s="84"/>
      <c r="G816" s="84"/>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row>
    <row r="817">
      <c r="B817" s="84"/>
      <c r="C817" s="20"/>
      <c r="D817" s="21"/>
      <c r="E817" s="133"/>
      <c r="F817" s="84"/>
      <c r="G817" s="84"/>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row>
    <row r="818">
      <c r="B818" s="84"/>
      <c r="C818" s="20"/>
      <c r="D818" s="21"/>
      <c r="E818" s="133"/>
      <c r="F818" s="84"/>
      <c r="G818" s="84"/>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row>
    <row r="819">
      <c r="B819" s="84"/>
      <c r="C819" s="20"/>
      <c r="D819" s="21"/>
      <c r="E819" s="133"/>
      <c r="F819" s="84"/>
      <c r="G819" s="84"/>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row>
    <row r="820">
      <c r="B820" s="84"/>
      <c r="C820" s="20"/>
      <c r="D820" s="21"/>
      <c r="E820" s="133"/>
      <c r="F820" s="84"/>
      <c r="G820" s="84"/>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row>
    <row r="821">
      <c r="B821" s="84"/>
      <c r="C821" s="20"/>
      <c r="D821" s="21"/>
      <c r="E821" s="133"/>
      <c r="F821" s="84"/>
      <c r="G821" s="84"/>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row>
    <row r="822">
      <c r="B822" s="84"/>
      <c r="C822" s="20"/>
      <c r="D822" s="21"/>
      <c r="E822" s="133"/>
      <c r="F822" s="84"/>
      <c r="G822" s="84"/>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row>
    <row r="823">
      <c r="B823" s="84"/>
      <c r="C823" s="20"/>
      <c r="D823" s="21"/>
      <c r="E823" s="133"/>
      <c r="F823" s="84"/>
      <c r="G823" s="84"/>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row>
    <row r="824">
      <c r="B824" s="84"/>
      <c r="C824" s="20"/>
      <c r="D824" s="21"/>
      <c r="E824" s="133"/>
      <c r="F824" s="84"/>
      <c r="G824" s="84"/>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row>
    <row r="825">
      <c r="B825" s="84"/>
      <c r="C825" s="20"/>
      <c r="D825" s="21"/>
      <c r="E825" s="133"/>
      <c r="F825" s="84"/>
      <c r="G825" s="84"/>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row>
    <row r="826">
      <c r="B826" s="84"/>
      <c r="C826" s="20"/>
      <c r="D826" s="21"/>
      <c r="E826" s="133"/>
      <c r="F826" s="84"/>
      <c r="G826" s="84"/>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row>
    <row r="827">
      <c r="B827" s="84"/>
      <c r="C827" s="20"/>
      <c r="D827" s="21"/>
      <c r="E827" s="133"/>
      <c r="F827" s="84"/>
      <c r="G827" s="84"/>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row>
    <row r="828">
      <c r="B828" s="84"/>
      <c r="C828" s="20"/>
      <c r="D828" s="21"/>
      <c r="E828" s="133"/>
      <c r="F828" s="84"/>
      <c r="G828" s="84"/>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row>
    <row r="829">
      <c r="B829" s="84"/>
      <c r="C829" s="20"/>
      <c r="D829" s="21"/>
      <c r="E829" s="133"/>
      <c r="F829" s="84"/>
      <c r="G829" s="84"/>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row>
    <row r="830">
      <c r="B830" s="84"/>
      <c r="C830" s="20"/>
      <c r="D830" s="21"/>
      <c r="E830" s="133"/>
      <c r="F830" s="84"/>
      <c r="G830" s="84"/>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row>
    <row r="831">
      <c r="B831" s="84"/>
      <c r="C831" s="20"/>
      <c r="D831" s="21"/>
      <c r="E831" s="133"/>
      <c r="F831" s="84"/>
      <c r="G831" s="84"/>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row>
    <row r="832">
      <c r="B832" s="84"/>
      <c r="C832" s="20"/>
      <c r="D832" s="21"/>
      <c r="E832" s="133"/>
      <c r="F832" s="84"/>
      <c r="G832" s="84"/>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row>
    <row r="833">
      <c r="B833" s="84"/>
      <c r="C833" s="20"/>
      <c r="D833" s="21"/>
      <c r="E833" s="133"/>
      <c r="F833" s="84"/>
      <c r="G833" s="84"/>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row>
    <row r="834">
      <c r="B834" s="84"/>
      <c r="C834" s="20"/>
      <c r="D834" s="21"/>
      <c r="E834" s="133"/>
      <c r="F834" s="84"/>
      <c r="G834" s="84"/>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row>
    <row r="835">
      <c r="B835" s="84"/>
      <c r="C835" s="20"/>
      <c r="D835" s="21"/>
      <c r="E835" s="133"/>
      <c r="F835" s="84"/>
      <c r="G835" s="84"/>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row>
    <row r="836">
      <c r="B836" s="84"/>
      <c r="C836" s="20"/>
      <c r="D836" s="21"/>
      <c r="E836" s="133"/>
      <c r="F836" s="84"/>
      <c r="G836" s="84"/>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row>
    <row r="837">
      <c r="B837" s="84"/>
      <c r="C837" s="20"/>
      <c r="D837" s="21"/>
      <c r="E837" s="133"/>
      <c r="F837" s="84"/>
      <c r="G837" s="84"/>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row>
    <row r="838">
      <c r="B838" s="84"/>
      <c r="C838" s="20"/>
      <c r="D838" s="21"/>
      <c r="E838" s="133"/>
      <c r="F838" s="84"/>
      <c r="G838" s="84"/>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row>
    <row r="839">
      <c r="B839" s="84"/>
      <c r="C839" s="20"/>
      <c r="D839" s="21"/>
      <c r="E839" s="133"/>
      <c r="F839" s="84"/>
      <c r="G839" s="84"/>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row>
    <row r="840">
      <c r="B840" s="84"/>
      <c r="C840" s="20"/>
      <c r="D840" s="21"/>
      <c r="E840" s="133"/>
      <c r="F840" s="84"/>
      <c r="G840" s="84"/>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row>
    <row r="841">
      <c r="B841" s="84"/>
      <c r="C841" s="20"/>
      <c r="D841" s="21"/>
      <c r="E841" s="133"/>
      <c r="F841" s="84"/>
      <c r="G841" s="84"/>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row>
    <row r="842">
      <c r="B842" s="84"/>
      <c r="C842" s="20"/>
      <c r="D842" s="21"/>
      <c r="E842" s="133"/>
      <c r="F842" s="84"/>
      <c r="G842" s="84"/>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row>
    <row r="843">
      <c r="B843" s="84"/>
      <c r="C843" s="20"/>
      <c r="D843" s="21"/>
      <c r="E843" s="133"/>
      <c r="F843" s="84"/>
      <c r="G843" s="84"/>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row>
    <row r="844">
      <c r="B844" s="84"/>
      <c r="C844" s="20"/>
      <c r="D844" s="21"/>
      <c r="E844" s="133"/>
      <c r="F844" s="84"/>
      <c r="G844" s="84"/>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row>
    <row r="845">
      <c r="B845" s="84"/>
      <c r="C845" s="20"/>
      <c r="D845" s="21"/>
      <c r="E845" s="133"/>
      <c r="F845" s="84"/>
      <c r="G845" s="84"/>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row>
    <row r="846">
      <c r="B846" s="84"/>
      <c r="C846" s="20"/>
      <c r="D846" s="21"/>
      <c r="E846" s="133"/>
      <c r="F846" s="84"/>
      <c r="G846" s="84"/>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row>
    <row r="847">
      <c r="B847" s="84"/>
      <c r="C847" s="20"/>
      <c r="D847" s="21"/>
      <c r="E847" s="133"/>
      <c r="F847" s="84"/>
      <c r="G847" s="84"/>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row>
    <row r="848">
      <c r="B848" s="84"/>
      <c r="C848" s="20"/>
      <c r="D848" s="21"/>
      <c r="E848" s="133"/>
      <c r="F848" s="84"/>
      <c r="G848" s="84"/>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row>
    <row r="849">
      <c r="B849" s="84"/>
      <c r="C849" s="20"/>
      <c r="D849" s="21"/>
      <c r="E849" s="133"/>
      <c r="F849" s="84"/>
      <c r="G849" s="84"/>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row>
    <row r="850">
      <c r="B850" s="84"/>
      <c r="C850" s="20"/>
      <c r="D850" s="21"/>
      <c r="E850" s="133"/>
      <c r="F850" s="84"/>
      <c r="G850" s="84"/>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row>
    <row r="851">
      <c r="B851" s="84"/>
      <c r="C851" s="20"/>
      <c r="D851" s="21"/>
      <c r="E851" s="133"/>
      <c r="F851" s="84"/>
      <c r="G851" s="84"/>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row>
    <row r="852">
      <c r="B852" s="84"/>
      <c r="C852" s="20"/>
      <c r="D852" s="21"/>
      <c r="E852" s="133"/>
      <c r="F852" s="84"/>
      <c r="G852" s="84"/>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row>
    <row r="853">
      <c r="B853" s="84"/>
      <c r="C853" s="20"/>
      <c r="D853" s="21"/>
      <c r="E853" s="133"/>
      <c r="F853" s="84"/>
      <c r="G853" s="84"/>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row>
    <row r="854">
      <c r="B854" s="84"/>
      <c r="C854" s="20"/>
      <c r="D854" s="21"/>
      <c r="E854" s="133"/>
      <c r="F854" s="84"/>
      <c r="G854" s="84"/>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row>
    <row r="855">
      <c r="B855" s="84"/>
      <c r="C855" s="20"/>
      <c r="D855" s="21"/>
      <c r="E855" s="133"/>
      <c r="F855" s="84"/>
      <c r="G855" s="84"/>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row>
    <row r="856">
      <c r="B856" s="84"/>
      <c r="C856" s="20"/>
      <c r="D856" s="21"/>
      <c r="E856" s="133"/>
      <c r="F856" s="84"/>
      <c r="G856" s="84"/>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row>
    <row r="857">
      <c r="B857" s="84"/>
      <c r="C857" s="20"/>
      <c r="D857" s="21"/>
      <c r="E857" s="133"/>
      <c r="F857" s="84"/>
      <c r="G857" s="84"/>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row>
    <row r="858">
      <c r="B858" s="84"/>
      <c r="C858" s="20"/>
      <c r="D858" s="21"/>
      <c r="E858" s="133"/>
      <c r="F858" s="84"/>
      <c r="G858" s="84"/>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row>
    <row r="859">
      <c r="B859" s="84"/>
      <c r="C859" s="20"/>
      <c r="D859" s="21"/>
      <c r="E859" s="133"/>
      <c r="F859" s="84"/>
      <c r="G859" s="84"/>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row>
    <row r="860">
      <c r="B860" s="84"/>
      <c r="C860" s="20"/>
      <c r="D860" s="21"/>
      <c r="E860" s="133"/>
      <c r="F860" s="84"/>
      <c r="G860" s="84"/>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row>
    <row r="861">
      <c r="B861" s="84"/>
      <c r="C861" s="20"/>
      <c r="D861" s="21"/>
      <c r="E861" s="133"/>
      <c r="F861" s="84"/>
      <c r="G861" s="84"/>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row>
    <row r="862">
      <c r="B862" s="84"/>
      <c r="C862" s="20"/>
      <c r="D862" s="21"/>
      <c r="E862" s="133"/>
      <c r="F862" s="84"/>
      <c r="G862" s="84"/>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row>
    <row r="863">
      <c r="B863" s="84"/>
      <c r="C863" s="20"/>
      <c r="D863" s="21"/>
      <c r="E863" s="133"/>
      <c r="F863" s="84"/>
      <c r="G863" s="84"/>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row>
    <row r="864">
      <c r="B864" s="84"/>
      <c r="C864" s="20"/>
      <c r="D864" s="21"/>
      <c r="E864" s="133"/>
      <c r="F864" s="84"/>
      <c r="G864" s="84"/>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row>
    <row r="865">
      <c r="B865" s="84"/>
      <c r="C865" s="20"/>
      <c r="D865" s="21"/>
      <c r="E865" s="133"/>
      <c r="F865" s="84"/>
      <c r="G865" s="84"/>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row>
    <row r="866">
      <c r="B866" s="84"/>
      <c r="C866" s="20"/>
      <c r="D866" s="21"/>
      <c r="E866" s="133"/>
      <c r="F866" s="84"/>
      <c r="G866" s="84"/>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row>
    <row r="867">
      <c r="B867" s="84"/>
      <c r="C867" s="20"/>
      <c r="D867" s="21"/>
      <c r="E867" s="133"/>
      <c r="F867" s="84"/>
      <c r="G867" s="84"/>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row>
    <row r="868">
      <c r="B868" s="84"/>
      <c r="C868" s="20"/>
      <c r="D868" s="21"/>
      <c r="E868" s="133"/>
      <c r="F868" s="84"/>
      <c r="G868" s="84"/>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row>
    <row r="869">
      <c r="B869" s="84"/>
      <c r="C869" s="20"/>
      <c r="D869" s="21"/>
      <c r="E869" s="133"/>
      <c r="F869" s="84"/>
      <c r="G869" s="84"/>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row>
    <row r="870">
      <c r="B870" s="84"/>
      <c r="C870" s="20"/>
      <c r="D870" s="21"/>
      <c r="E870" s="133"/>
      <c r="F870" s="84"/>
      <c r="G870" s="84"/>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row>
    <row r="871">
      <c r="B871" s="84"/>
      <c r="C871" s="20"/>
      <c r="D871" s="21"/>
      <c r="E871" s="133"/>
      <c r="F871" s="84"/>
      <c r="G871" s="84"/>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row>
    <row r="872">
      <c r="B872" s="84"/>
      <c r="C872" s="20"/>
      <c r="D872" s="21"/>
      <c r="E872" s="133"/>
      <c r="F872" s="84"/>
      <c r="G872" s="84"/>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row>
    <row r="873">
      <c r="B873" s="84"/>
      <c r="C873" s="20"/>
      <c r="D873" s="21"/>
      <c r="E873" s="133"/>
      <c r="F873" s="84"/>
      <c r="G873" s="84"/>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row>
    <row r="874">
      <c r="B874" s="84"/>
      <c r="C874" s="20"/>
      <c r="D874" s="21"/>
      <c r="E874" s="133"/>
      <c r="F874" s="84"/>
      <c r="G874" s="84"/>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row>
    <row r="875">
      <c r="B875" s="84"/>
      <c r="C875" s="20"/>
      <c r="D875" s="21"/>
      <c r="E875" s="133"/>
      <c r="F875" s="84"/>
      <c r="G875" s="84"/>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row>
    <row r="876">
      <c r="B876" s="84"/>
      <c r="C876" s="20"/>
      <c r="D876" s="21"/>
      <c r="E876" s="133"/>
      <c r="F876" s="84"/>
      <c r="G876" s="84"/>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row>
    <row r="877">
      <c r="B877" s="84"/>
      <c r="C877" s="20"/>
      <c r="D877" s="21"/>
      <c r="E877" s="133"/>
      <c r="F877" s="84"/>
      <c r="G877" s="84"/>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row>
    <row r="878">
      <c r="B878" s="84"/>
      <c r="C878" s="20"/>
      <c r="D878" s="21"/>
      <c r="E878" s="133"/>
      <c r="F878" s="84"/>
      <c r="G878" s="84"/>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row>
    <row r="879">
      <c r="B879" s="84"/>
      <c r="C879" s="20"/>
      <c r="D879" s="21"/>
      <c r="E879" s="133"/>
      <c r="F879" s="84"/>
      <c r="G879" s="84"/>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row>
    <row r="880">
      <c r="B880" s="84"/>
      <c r="C880" s="20"/>
      <c r="D880" s="21"/>
      <c r="E880" s="133"/>
      <c r="F880" s="84"/>
      <c r="G880" s="84"/>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row>
    <row r="881">
      <c r="B881" s="84"/>
      <c r="C881" s="20"/>
      <c r="D881" s="21"/>
      <c r="E881" s="133"/>
      <c r="F881" s="84"/>
      <c r="G881" s="84"/>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row>
    <row r="882">
      <c r="B882" s="84"/>
      <c r="C882" s="20"/>
      <c r="D882" s="21"/>
      <c r="E882" s="133"/>
      <c r="F882" s="84"/>
      <c r="G882" s="84"/>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row>
    <row r="883">
      <c r="B883" s="84"/>
      <c r="C883" s="20"/>
      <c r="D883" s="21"/>
      <c r="E883" s="133"/>
      <c r="F883" s="84"/>
      <c r="G883" s="84"/>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row>
    <row r="884">
      <c r="B884" s="84"/>
      <c r="C884" s="20"/>
      <c r="D884" s="21"/>
      <c r="E884" s="133"/>
      <c r="F884" s="84"/>
      <c r="G884" s="84"/>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row>
    <row r="885">
      <c r="B885" s="84"/>
      <c r="C885" s="20"/>
      <c r="D885" s="21"/>
      <c r="E885" s="133"/>
      <c r="F885" s="84"/>
      <c r="G885" s="84"/>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row>
    <row r="886">
      <c r="B886" s="84"/>
      <c r="C886" s="20"/>
      <c r="D886" s="21"/>
      <c r="E886" s="133"/>
      <c r="F886" s="84"/>
      <c r="G886" s="84"/>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row>
    <row r="887">
      <c r="B887" s="84"/>
      <c r="C887" s="20"/>
      <c r="D887" s="21"/>
      <c r="E887" s="133"/>
      <c r="F887" s="84"/>
      <c r="G887" s="84"/>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row>
    <row r="888">
      <c r="B888" s="84"/>
      <c r="C888" s="20"/>
      <c r="D888" s="21"/>
      <c r="E888" s="133"/>
      <c r="F888" s="84"/>
      <c r="G888" s="84"/>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row>
    <row r="889">
      <c r="B889" s="84"/>
      <c r="C889" s="20"/>
      <c r="D889" s="21"/>
      <c r="E889" s="133"/>
      <c r="F889" s="84"/>
      <c r="G889" s="84"/>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row>
    <row r="890">
      <c r="B890" s="84"/>
      <c r="C890" s="20"/>
      <c r="D890" s="21"/>
      <c r="E890" s="133"/>
      <c r="F890" s="84"/>
      <c r="G890" s="84"/>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row>
    <row r="891">
      <c r="B891" s="84"/>
      <c r="C891" s="20"/>
      <c r="D891" s="21"/>
      <c r="E891" s="133"/>
      <c r="F891" s="84"/>
      <c r="G891" s="84"/>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row>
    <row r="892">
      <c r="B892" s="84"/>
      <c r="C892" s="20"/>
      <c r="D892" s="21"/>
      <c r="E892" s="133"/>
      <c r="F892" s="84"/>
      <c r="G892" s="84"/>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row>
    <row r="893">
      <c r="B893" s="84"/>
      <c r="C893" s="20"/>
      <c r="D893" s="21"/>
      <c r="E893" s="133"/>
      <c r="F893" s="84"/>
      <c r="G893" s="84"/>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row>
    <row r="894">
      <c r="B894" s="84"/>
      <c r="C894" s="20"/>
      <c r="D894" s="21"/>
      <c r="E894" s="133"/>
      <c r="F894" s="84"/>
      <c r="G894" s="84"/>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row>
    <row r="895">
      <c r="B895" s="84"/>
      <c r="C895" s="20"/>
      <c r="D895" s="21"/>
      <c r="E895" s="133"/>
      <c r="F895" s="84"/>
      <c r="G895" s="84"/>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row>
    <row r="896">
      <c r="B896" s="84"/>
      <c r="C896" s="20"/>
      <c r="D896" s="21"/>
      <c r="E896" s="133"/>
      <c r="F896" s="84"/>
      <c r="G896" s="84"/>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row>
    <row r="897">
      <c r="B897" s="84"/>
      <c r="C897" s="20"/>
      <c r="D897" s="21"/>
      <c r="E897" s="133"/>
      <c r="F897" s="84"/>
      <c r="G897" s="84"/>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row>
    <row r="898">
      <c r="B898" s="84"/>
      <c r="C898" s="20"/>
      <c r="D898" s="21"/>
      <c r="E898" s="133"/>
      <c r="F898" s="84"/>
      <c r="G898" s="84"/>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row>
    <row r="899">
      <c r="B899" s="84"/>
      <c r="C899" s="20"/>
      <c r="D899" s="21"/>
      <c r="E899" s="133"/>
      <c r="F899" s="84"/>
      <c r="G899" s="84"/>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row>
    <row r="900">
      <c r="B900" s="84"/>
      <c r="C900" s="20"/>
      <c r="D900" s="21"/>
      <c r="E900" s="133"/>
      <c r="F900" s="84"/>
      <c r="G900" s="84"/>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row>
    <row r="901">
      <c r="B901" s="84"/>
      <c r="C901" s="20"/>
      <c r="D901" s="21"/>
      <c r="E901" s="133"/>
      <c r="F901" s="84"/>
      <c r="G901" s="84"/>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row>
    <row r="902">
      <c r="B902" s="84"/>
      <c r="C902" s="20"/>
      <c r="D902" s="21"/>
      <c r="E902" s="133"/>
      <c r="F902" s="84"/>
      <c r="G902" s="84"/>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row>
    <row r="903">
      <c r="B903" s="84"/>
      <c r="C903" s="20"/>
      <c r="D903" s="21"/>
      <c r="E903" s="133"/>
      <c r="F903" s="84"/>
      <c r="G903" s="84"/>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row>
    <row r="904">
      <c r="B904" s="84"/>
      <c r="C904" s="20"/>
      <c r="D904" s="21"/>
      <c r="E904" s="133"/>
      <c r="F904" s="84"/>
      <c r="G904" s="84"/>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row>
    <row r="905">
      <c r="B905" s="84"/>
      <c r="C905" s="20"/>
      <c r="D905" s="21"/>
      <c r="E905" s="133"/>
      <c r="F905" s="84"/>
      <c r="G905" s="84"/>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row>
    <row r="906">
      <c r="B906" s="84"/>
      <c r="C906" s="20"/>
      <c r="D906" s="21"/>
      <c r="E906" s="133"/>
      <c r="F906" s="84"/>
      <c r="G906" s="84"/>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row>
    <row r="907">
      <c r="B907" s="84"/>
      <c r="C907" s="20"/>
      <c r="D907" s="21"/>
      <c r="E907" s="133"/>
      <c r="F907" s="84"/>
      <c r="G907" s="84"/>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row>
    <row r="908">
      <c r="B908" s="84"/>
      <c r="C908" s="20"/>
      <c r="D908" s="21"/>
      <c r="E908" s="133"/>
      <c r="F908" s="84"/>
      <c r="G908" s="84"/>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row>
    <row r="909">
      <c r="B909" s="84"/>
      <c r="C909" s="20"/>
      <c r="D909" s="21"/>
      <c r="E909" s="133"/>
      <c r="F909" s="84"/>
      <c r="G909" s="84"/>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row>
    <row r="910">
      <c r="B910" s="84"/>
      <c r="C910" s="20"/>
      <c r="D910" s="21"/>
      <c r="E910" s="133"/>
      <c r="F910" s="84"/>
      <c r="G910" s="84"/>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row>
    <row r="911">
      <c r="B911" s="84"/>
      <c r="C911" s="20"/>
      <c r="D911" s="21"/>
      <c r="E911" s="133"/>
      <c r="F911" s="84"/>
      <c r="G911" s="84"/>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row>
    <row r="912">
      <c r="B912" s="84"/>
      <c r="C912" s="20"/>
      <c r="D912" s="21"/>
      <c r="E912" s="133"/>
      <c r="F912" s="84"/>
      <c r="G912" s="84"/>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row>
    <row r="913">
      <c r="B913" s="84"/>
      <c r="C913" s="20"/>
      <c r="D913" s="21"/>
      <c r="E913" s="133"/>
      <c r="F913" s="84"/>
      <c r="G913" s="84"/>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row>
    <row r="914">
      <c r="B914" s="84"/>
      <c r="C914" s="20"/>
      <c r="D914" s="21"/>
      <c r="E914" s="133"/>
      <c r="F914" s="84"/>
      <c r="G914" s="84"/>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row>
    <row r="915">
      <c r="B915" s="84"/>
      <c r="C915" s="20"/>
      <c r="D915" s="21"/>
      <c r="E915" s="133"/>
      <c r="F915" s="84"/>
      <c r="G915" s="84"/>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row>
    <row r="916">
      <c r="B916" s="84"/>
      <c r="C916" s="20"/>
      <c r="D916" s="21"/>
      <c r="E916" s="133"/>
      <c r="F916" s="84"/>
      <c r="G916" s="84"/>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row>
    <row r="917">
      <c r="B917" s="84"/>
      <c r="C917" s="20"/>
      <c r="D917" s="21"/>
      <c r="E917" s="133"/>
      <c r="F917" s="84"/>
      <c r="G917" s="84"/>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row>
    <row r="918">
      <c r="B918" s="84"/>
      <c r="C918" s="20"/>
      <c r="D918" s="21"/>
      <c r="E918" s="133"/>
      <c r="F918" s="84"/>
      <c r="G918" s="84"/>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row>
    <row r="919">
      <c r="B919" s="84"/>
      <c r="C919" s="20"/>
      <c r="D919" s="21"/>
      <c r="E919" s="133"/>
      <c r="F919" s="84"/>
      <c r="G919" s="84"/>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row>
    <row r="920">
      <c r="B920" s="84"/>
      <c r="C920" s="20"/>
      <c r="D920" s="21"/>
      <c r="E920" s="133"/>
      <c r="F920" s="84"/>
      <c r="G920" s="84"/>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row>
    <row r="921">
      <c r="B921" s="84"/>
      <c r="C921" s="20"/>
      <c r="D921" s="21"/>
      <c r="E921" s="133"/>
      <c r="F921" s="84"/>
      <c r="G921" s="84"/>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row>
    <row r="922">
      <c r="B922" s="84"/>
      <c r="C922" s="20"/>
      <c r="D922" s="21"/>
      <c r="E922" s="133"/>
      <c r="F922" s="84"/>
      <c r="G922" s="84"/>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row>
    <row r="923">
      <c r="B923" s="84"/>
      <c r="C923" s="20"/>
      <c r="D923" s="21"/>
      <c r="E923" s="133"/>
      <c r="F923" s="84"/>
      <c r="G923" s="84"/>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row>
    <row r="924">
      <c r="B924" s="84"/>
      <c r="C924" s="20"/>
      <c r="D924" s="21"/>
      <c r="E924" s="133"/>
      <c r="F924" s="84"/>
      <c r="G924" s="84"/>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row>
    <row r="925">
      <c r="B925" s="84"/>
      <c r="C925" s="20"/>
      <c r="D925" s="21"/>
      <c r="E925" s="133"/>
      <c r="F925" s="84"/>
      <c r="G925" s="84"/>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row>
    <row r="926">
      <c r="B926" s="84"/>
      <c r="C926" s="20"/>
      <c r="D926" s="21"/>
      <c r="E926" s="133"/>
      <c r="F926" s="84"/>
      <c r="G926" s="84"/>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row>
    <row r="927">
      <c r="B927" s="84"/>
      <c r="C927" s="20"/>
      <c r="D927" s="21"/>
      <c r="E927" s="133"/>
      <c r="F927" s="84"/>
      <c r="G927" s="84"/>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row>
    <row r="928">
      <c r="B928" s="84"/>
      <c r="C928" s="20"/>
      <c r="D928" s="21"/>
      <c r="E928" s="133"/>
      <c r="F928" s="84"/>
      <c r="G928" s="84"/>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row>
    <row r="929">
      <c r="B929" s="84"/>
      <c r="C929" s="20"/>
      <c r="D929" s="21"/>
      <c r="E929" s="133"/>
      <c r="F929" s="84"/>
      <c r="G929" s="84"/>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row>
    <row r="930">
      <c r="B930" s="84"/>
      <c r="C930" s="20"/>
      <c r="D930" s="21"/>
      <c r="E930" s="133"/>
      <c r="F930" s="84"/>
      <c r="G930" s="84"/>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row>
    <row r="931">
      <c r="B931" s="84"/>
      <c r="C931" s="20"/>
      <c r="D931" s="21"/>
      <c r="E931" s="133"/>
      <c r="F931" s="84"/>
      <c r="G931" s="84"/>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row>
    <row r="932">
      <c r="B932" s="84"/>
      <c r="C932" s="20"/>
      <c r="D932" s="21"/>
      <c r="E932" s="133"/>
      <c r="F932" s="84"/>
      <c r="G932" s="84"/>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row>
    <row r="933">
      <c r="B933" s="84"/>
      <c r="C933" s="20"/>
      <c r="D933" s="21"/>
      <c r="E933" s="133"/>
      <c r="F933" s="84"/>
      <c r="G933" s="84"/>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row>
    <row r="934">
      <c r="B934" s="84"/>
      <c r="C934" s="20"/>
      <c r="D934" s="21"/>
      <c r="E934" s="133"/>
      <c r="F934" s="84"/>
      <c r="G934" s="84"/>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row>
    <row r="935">
      <c r="B935" s="84"/>
      <c r="C935" s="20"/>
      <c r="D935" s="21"/>
      <c r="E935" s="133"/>
      <c r="F935" s="84"/>
      <c r="G935" s="84"/>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row>
    <row r="936">
      <c r="B936" s="84"/>
      <c r="C936" s="20"/>
      <c r="D936" s="21"/>
      <c r="E936" s="133"/>
      <c r="F936" s="84"/>
      <c r="G936" s="84"/>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row>
    <row r="937">
      <c r="B937" s="84"/>
      <c r="C937" s="20"/>
      <c r="D937" s="21"/>
      <c r="E937" s="133"/>
      <c r="F937" s="84"/>
      <c r="G937" s="84"/>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row>
    <row r="938">
      <c r="B938" s="84"/>
      <c r="C938" s="20"/>
      <c r="D938" s="21"/>
      <c r="E938" s="133"/>
      <c r="F938" s="84"/>
      <c r="G938" s="84"/>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row>
    <row r="939">
      <c r="B939" s="84"/>
      <c r="C939" s="20"/>
      <c r="D939" s="21"/>
      <c r="E939" s="133"/>
      <c r="F939" s="84"/>
      <c r="G939" s="84"/>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row>
    <row r="940">
      <c r="B940" s="84"/>
      <c r="C940" s="20"/>
      <c r="D940" s="21"/>
      <c r="E940" s="133"/>
      <c r="F940" s="84"/>
      <c r="G940" s="84"/>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row>
    <row r="941">
      <c r="B941" s="84"/>
      <c r="C941" s="20"/>
      <c r="D941" s="21"/>
      <c r="E941" s="133"/>
      <c r="F941" s="84"/>
      <c r="G941" s="84"/>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row>
    <row r="942">
      <c r="B942" s="84"/>
      <c r="C942" s="20"/>
      <c r="D942" s="21"/>
      <c r="E942" s="133"/>
      <c r="F942" s="84"/>
      <c r="G942" s="84"/>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row>
    <row r="943">
      <c r="B943" s="84"/>
      <c r="C943" s="20"/>
      <c r="D943" s="21"/>
      <c r="E943" s="133"/>
      <c r="F943" s="84"/>
      <c r="G943" s="84"/>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row>
    <row r="944">
      <c r="B944" s="84"/>
      <c r="C944" s="20"/>
      <c r="D944" s="21"/>
      <c r="E944" s="133"/>
      <c r="F944" s="84"/>
      <c r="G944" s="84"/>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row>
    <row r="945">
      <c r="B945" s="84"/>
      <c r="C945" s="20"/>
      <c r="D945" s="21"/>
      <c r="E945" s="133"/>
      <c r="F945" s="84"/>
      <c r="G945" s="84"/>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row>
    <row r="946">
      <c r="B946" s="84"/>
      <c r="C946" s="20"/>
      <c r="D946" s="21"/>
      <c r="E946" s="133"/>
      <c r="F946" s="84"/>
      <c r="G946" s="84"/>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row>
    <row r="947">
      <c r="B947" s="84"/>
      <c r="C947" s="20"/>
      <c r="D947" s="21"/>
      <c r="E947" s="133"/>
      <c r="F947" s="84"/>
      <c r="G947" s="84"/>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row>
    <row r="948">
      <c r="B948" s="84"/>
      <c r="C948" s="20"/>
      <c r="D948" s="21"/>
      <c r="E948" s="133"/>
      <c r="F948" s="84"/>
      <c r="G948" s="84"/>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row>
    <row r="949">
      <c r="B949" s="84"/>
      <c r="C949" s="20"/>
      <c r="D949" s="21"/>
      <c r="E949" s="133"/>
      <c r="F949" s="84"/>
      <c r="G949" s="84"/>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row>
    <row r="950">
      <c r="B950" s="84"/>
      <c r="C950" s="20"/>
      <c r="D950" s="21"/>
      <c r="E950" s="133"/>
      <c r="F950" s="84"/>
      <c r="G950" s="84"/>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row>
    <row r="951">
      <c r="B951" s="84"/>
      <c r="C951" s="20"/>
      <c r="D951" s="21"/>
      <c r="E951" s="133"/>
      <c r="F951" s="84"/>
      <c r="G951" s="84"/>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row>
    <row r="952">
      <c r="B952" s="84"/>
      <c r="C952" s="20"/>
      <c r="D952" s="21"/>
      <c r="E952" s="133"/>
      <c r="F952" s="84"/>
      <c r="G952" s="84"/>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row>
    <row r="953">
      <c r="B953" s="84"/>
      <c r="C953" s="20"/>
      <c r="D953" s="21"/>
      <c r="E953" s="133"/>
      <c r="F953" s="84"/>
      <c r="G953" s="84"/>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row>
    <row r="954">
      <c r="B954" s="84"/>
      <c r="C954" s="20"/>
      <c r="D954" s="21"/>
      <c r="E954" s="133"/>
      <c r="F954" s="84"/>
      <c r="G954" s="84"/>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row>
    <row r="955">
      <c r="B955" s="84"/>
      <c r="C955" s="20"/>
      <c r="D955" s="21"/>
      <c r="E955" s="133"/>
      <c r="F955" s="84"/>
      <c r="G955" s="84"/>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row>
    <row r="956">
      <c r="B956" s="84"/>
      <c r="C956" s="20"/>
      <c r="D956" s="21"/>
      <c r="E956" s="133"/>
      <c r="F956" s="84"/>
      <c r="G956" s="84"/>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row>
    <row r="957">
      <c r="B957" s="84"/>
      <c r="C957" s="20"/>
      <c r="D957" s="21"/>
      <c r="E957" s="133"/>
      <c r="F957" s="84"/>
      <c r="G957" s="84"/>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row>
    <row r="958">
      <c r="B958" s="84"/>
      <c r="C958" s="20"/>
      <c r="D958" s="21"/>
      <c r="E958" s="133"/>
      <c r="F958" s="84"/>
      <c r="G958" s="84"/>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row>
    <row r="959">
      <c r="B959" s="84"/>
      <c r="C959" s="20"/>
      <c r="D959" s="21"/>
      <c r="E959" s="133"/>
      <c r="F959" s="84"/>
      <c r="G959" s="84"/>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row>
    <row r="960">
      <c r="B960" s="84"/>
      <c r="C960" s="20"/>
      <c r="D960" s="21"/>
      <c r="E960" s="133"/>
      <c r="F960" s="84"/>
      <c r="G960" s="84"/>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row>
    <row r="961">
      <c r="B961" s="84"/>
      <c r="C961" s="20"/>
      <c r="D961" s="21"/>
      <c r="E961" s="133"/>
      <c r="F961" s="84"/>
      <c r="G961" s="84"/>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row>
    <row r="962">
      <c r="B962" s="84"/>
      <c r="C962" s="20"/>
      <c r="D962" s="21"/>
      <c r="E962" s="133"/>
      <c r="F962" s="84"/>
      <c r="G962" s="84"/>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row>
    <row r="963">
      <c r="B963" s="84"/>
      <c r="C963" s="20"/>
      <c r="D963" s="21"/>
      <c r="E963" s="133"/>
      <c r="F963" s="84"/>
      <c r="G963" s="84"/>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row>
    <row r="964">
      <c r="B964" s="84"/>
      <c r="C964" s="20"/>
      <c r="D964" s="21"/>
      <c r="E964" s="133"/>
      <c r="F964" s="84"/>
      <c r="G964" s="84"/>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row>
    <row r="965">
      <c r="B965" s="84"/>
      <c r="C965" s="20"/>
      <c r="D965" s="21"/>
      <c r="E965" s="133"/>
      <c r="F965" s="84"/>
      <c r="G965" s="84"/>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row>
    <row r="966">
      <c r="B966" s="84"/>
      <c r="C966" s="20"/>
      <c r="D966" s="21"/>
      <c r="E966" s="133"/>
      <c r="F966" s="84"/>
      <c r="G966" s="84"/>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row>
    <row r="967">
      <c r="B967" s="84"/>
      <c r="C967" s="20"/>
      <c r="D967" s="21"/>
      <c r="E967" s="133"/>
      <c r="F967" s="84"/>
      <c r="G967" s="84"/>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row>
    <row r="968">
      <c r="B968" s="84"/>
      <c r="C968" s="20"/>
      <c r="D968" s="21"/>
      <c r="E968" s="133"/>
      <c r="F968" s="84"/>
      <c r="G968" s="84"/>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row>
    <row r="969">
      <c r="B969" s="84"/>
      <c r="C969" s="20"/>
      <c r="D969" s="21"/>
      <c r="E969" s="133"/>
      <c r="F969" s="84"/>
      <c r="G969" s="84"/>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row>
    <row r="970">
      <c r="B970" s="84"/>
      <c r="C970" s="20"/>
      <c r="D970" s="21"/>
      <c r="E970" s="133"/>
      <c r="F970" s="84"/>
      <c r="G970" s="84"/>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row>
    <row r="971">
      <c r="B971" s="84"/>
      <c r="C971" s="20"/>
      <c r="D971" s="21"/>
      <c r="E971" s="133"/>
      <c r="F971" s="84"/>
      <c r="G971" s="84"/>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row>
    <row r="972">
      <c r="B972" s="84"/>
      <c r="C972" s="20"/>
      <c r="D972" s="21"/>
      <c r="E972" s="133"/>
      <c r="F972" s="84"/>
      <c r="G972" s="84"/>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row>
    <row r="973">
      <c r="B973" s="84"/>
      <c r="C973" s="20"/>
      <c r="D973" s="21"/>
      <c r="E973" s="133"/>
      <c r="F973" s="84"/>
      <c r="G973" s="84"/>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row>
    <row r="974">
      <c r="B974" s="84"/>
      <c r="C974" s="20"/>
      <c r="D974" s="21"/>
      <c r="E974" s="133"/>
      <c r="F974" s="84"/>
      <c r="G974" s="84"/>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row>
    <row r="975">
      <c r="B975" s="84"/>
      <c r="C975" s="20"/>
      <c r="D975" s="21"/>
      <c r="E975" s="133"/>
      <c r="F975" s="84"/>
      <c r="G975" s="84"/>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row>
    <row r="976">
      <c r="B976" s="84"/>
      <c r="C976" s="20"/>
      <c r="D976" s="21"/>
      <c r="E976" s="133"/>
      <c r="F976" s="84"/>
      <c r="G976" s="84"/>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row>
    <row r="977">
      <c r="B977" s="84"/>
      <c r="C977" s="20"/>
      <c r="D977" s="21"/>
      <c r="E977" s="133"/>
      <c r="F977" s="84"/>
      <c r="G977" s="84"/>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row>
    <row r="978">
      <c r="B978" s="84"/>
      <c r="C978" s="20"/>
      <c r="D978" s="21"/>
      <c r="E978" s="133"/>
      <c r="F978" s="84"/>
      <c r="G978" s="84"/>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row>
    <row r="979">
      <c r="B979" s="84"/>
      <c r="C979" s="20"/>
      <c r="D979" s="21"/>
      <c r="E979" s="133"/>
      <c r="F979" s="84"/>
      <c r="G979" s="84"/>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row>
    <row r="980">
      <c r="B980" s="84"/>
      <c r="C980" s="20"/>
      <c r="D980" s="21"/>
      <c r="E980" s="133"/>
      <c r="F980" s="84"/>
      <c r="G980" s="84"/>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row>
    <row r="981">
      <c r="B981" s="84"/>
      <c r="C981" s="20"/>
      <c r="D981" s="21"/>
      <c r="E981" s="133"/>
      <c r="F981" s="84"/>
      <c r="G981" s="84"/>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row>
    <row r="982">
      <c r="B982" s="84"/>
      <c r="C982" s="20"/>
      <c r="D982" s="21"/>
      <c r="E982" s="133"/>
      <c r="F982" s="84"/>
      <c r="G982" s="84"/>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row>
    <row r="983">
      <c r="B983" s="84"/>
      <c r="C983" s="20"/>
      <c r="D983" s="21"/>
      <c r="E983" s="133"/>
      <c r="F983" s="84"/>
      <c r="G983" s="84"/>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row>
    <row r="984">
      <c r="B984" s="84"/>
      <c r="C984" s="20"/>
      <c r="D984" s="21"/>
      <c r="E984" s="133"/>
      <c r="F984" s="84"/>
      <c r="G984" s="84"/>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row>
    <row r="985">
      <c r="B985" s="84"/>
      <c r="C985" s="20"/>
      <c r="D985" s="21"/>
      <c r="E985" s="133"/>
      <c r="F985" s="84"/>
      <c r="G985" s="84"/>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row>
    <row r="986">
      <c r="B986" s="84"/>
      <c r="C986" s="20"/>
      <c r="D986" s="21"/>
      <c r="E986" s="133"/>
      <c r="F986" s="84"/>
      <c r="G986" s="84"/>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row>
    <row r="987">
      <c r="B987" s="84"/>
      <c r="C987" s="20"/>
      <c r="D987" s="21"/>
      <c r="E987" s="133"/>
      <c r="F987" s="84"/>
      <c r="G987" s="84"/>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row>
    <row r="988">
      <c r="B988" s="84"/>
      <c r="C988" s="20"/>
      <c r="D988" s="21"/>
      <c r="E988" s="133"/>
      <c r="F988" s="84"/>
      <c r="G988" s="84"/>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row>
    <row r="989">
      <c r="B989" s="84"/>
      <c r="C989" s="20"/>
      <c r="D989" s="21"/>
      <c r="E989" s="133"/>
      <c r="F989" s="84"/>
      <c r="G989" s="84"/>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row>
    <row r="990">
      <c r="B990" s="84"/>
      <c r="C990" s="20"/>
      <c r="D990" s="21"/>
      <c r="E990" s="133"/>
      <c r="F990" s="84"/>
      <c r="G990" s="84"/>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row>
    <row r="991">
      <c r="B991" s="84"/>
      <c r="C991" s="20"/>
      <c r="D991" s="21"/>
      <c r="E991" s="133"/>
      <c r="F991" s="84"/>
      <c r="G991" s="84"/>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row>
    <row r="992">
      <c r="B992" s="84"/>
      <c r="C992" s="20"/>
      <c r="D992" s="21"/>
      <c r="E992" s="133"/>
      <c r="F992" s="84"/>
      <c r="G992" s="84"/>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row>
    <row r="993">
      <c r="B993" s="84"/>
      <c r="C993" s="20"/>
      <c r="D993" s="21"/>
      <c r="E993" s="133"/>
      <c r="F993" s="84"/>
      <c r="G993" s="84"/>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row>
    <row r="994">
      <c r="B994" s="84"/>
      <c r="C994" s="20"/>
      <c r="D994" s="21"/>
      <c r="E994" s="133"/>
      <c r="F994" s="84"/>
      <c r="G994" s="84"/>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row>
    <row r="995">
      <c r="B995" s="84"/>
      <c r="C995" s="20"/>
      <c r="D995" s="21"/>
      <c r="E995" s="133"/>
      <c r="F995" s="84"/>
      <c r="G995" s="84"/>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row>
    <row r="996">
      <c r="B996" s="84"/>
      <c r="C996" s="20"/>
      <c r="D996" s="21"/>
      <c r="E996" s="133"/>
      <c r="F996" s="84"/>
      <c r="G996" s="84"/>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row>
    <row r="997">
      <c r="B997" s="84"/>
      <c r="C997" s="20"/>
      <c r="D997" s="21"/>
      <c r="E997" s="133"/>
      <c r="F997" s="84"/>
      <c r="G997" s="84"/>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row>
    <row r="998">
      <c r="B998" s="84"/>
      <c r="C998" s="20"/>
      <c r="D998" s="21"/>
      <c r="E998" s="133"/>
      <c r="F998" s="84"/>
      <c r="G998" s="84"/>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row>
    <row r="999">
      <c r="B999" s="84"/>
      <c r="C999" s="20"/>
      <c r="D999" s="21"/>
      <c r="E999" s="133"/>
      <c r="F999" s="84"/>
      <c r="G999" s="84"/>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row>
    <row r="1000">
      <c r="B1000" s="84"/>
      <c r="C1000" s="20"/>
      <c r="D1000" s="21"/>
      <c r="E1000" s="133"/>
      <c r="F1000" s="84"/>
      <c r="G1000" s="84"/>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row>
    <row r="1001">
      <c r="B1001" s="84"/>
      <c r="C1001" s="20"/>
      <c r="D1001" s="21"/>
      <c r="E1001" s="133"/>
      <c r="F1001" s="84"/>
      <c r="G1001" s="84"/>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row>
    <row r="1002">
      <c r="B1002" s="84"/>
      <c r="C1002" s="20"/>
      <c r="D1002" s="21"/>
      <c r="E1002" s="133"/>
      <c r="F1002" s="84"/>
      <c r="G1002" s="84"/>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row>
    <row r="1003">
      <c r="B1003" s="84"/>
      <c r="C1003" s="20"/>
      <c r="D1003" s="21"/>
      <c r="E1003" s="133"/>
      <c r="F1003" s="84"/>
      <c r="G1003" s="84"/>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row>
    <row r="1004">
      <c r="B1004" s="84"/>
      <c r="C1004" s="102"/>
      <c r="D1004" s="84"/>
      <c r="E1004" s="133"/>
      <c r="F1004" s="84"/>
      <c r="G1004" s="84"/>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row>
    <row r="1005">
      <c r="B1005" s="84"/>
      <c r="C1005" s="102"/>
      <c r="D1005" s="84"/>
      <c r="E1005" s="133"/>
      <c r="F1005" s="84"/>
      <c r="G1005" s="84"/>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row>
    <row r="1006">
      <c r="B1006" s="21"/>
      <c r="C1006" s="20"/>
      <c r="D1006" s="21"/>
      <c r="E1006" s="133"/>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row>
  </sheetData>
  <mergeCells count="36">
    <mergeCell ref="B1:I1"/>
    <mergeCell ref="Q1:T1"/>
    <mergeCell ref="Q3:Q4"/>
    <mergeCell ref="V3:V4"/>
    <mergeCell ref="W3:W4"/>
    <mergeCell ref="X3:X4"/>
    <mergeCell ref="Q7:Q12"/>
    <mergeCell ref="Q15:Q18"/>
    <mergeCell ref="Q21:Q23"/>
    <mergeCell ref="Q27:Q29"/>
    <mergeCell ref="Q32:Q34"/>
    <mergeCell ref="Q37:Q40"/>
    <mergeCell ref="Q43:Q46"/>
    <mergeCell ref="Q50:Q54"/>
    <mergeCell ref="V7:V8"/>
    <mergeCell ref="X7:X8"/>
    <mergeCell ref="V12:V13"/>
    <mergeCell ref="X12:X13"/>
    <mergeCell ref="V16:V17"/>
    <mergeCell ref="W16:W17"/>
    <mergeCell ref="X16:X17"/>
    <mergeCell ref="W37:W38"/>
    <mergeCell ref="X37:X38"/>
    <mergeCell ref="V43:V44"/>
    <mergeCell ref="W43:W44"/>
    <mergeCell ref="X43:X44"/>
    <mergeCell ref="V50:V51"/>
    <mergeCell ref="W50:W51"/>
    <mergeCell ref="X50:X51"/>
    <mergeCell ref="V28:V29"/>
    <mergeCell ref="W28:W29"/>
    <mergeCell ref="X28:X29"/>
    <mergeCell ref="V33:V34"/>
    <mergeCell ref="W33:W34"/>
    <mergeCell ref="X33:X34"/>
    <mergeCell ref="V37:V38"/>
  </mergeCells>
  <dataValidations>
    <dataValidation type="list" allowBlank="1" showErrorMessage="1" sqref="E3:E118">
      <formula1>"Conference,Journal"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2"/>
    </row>
    <row r="3">
      <c r="T3" s="14">
        <v>2020.0</v>
      </c>
    </row>
    <row r="4">
      <c r="T4" s="14">
        <v>2021.0</v>
      </c>
    </row>
    <row r="5">
      <c r="T5" s="14">
        <v>2022.0</v>
      </c>
    </row>
    <row r="6">
      <c r="T6" s="14">
        <v>2023.0</v>
      </c>
    </row>
    <row r="7">
      <c r="T7" s="14">
        <v>2024.0</v>
      </c>
    </row>
    <row r="8">
      <c r="T8" s="14">
        <v>2025.0</v>
      </c>
    </row>
  </sheetData>
  <drawing r:id="rId1"/>
</worksheet>
</file>