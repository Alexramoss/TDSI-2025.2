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SL Parte 1" sheetId="1" r:id="rId4"/>
    <sheet state="visible" name="RSL parte 2" sheetId="2" r:id="rId5"/>
    <sheet state="visible" name="Parte 3 - Registro de Uso da IA" sheetId="3" r:id="rId6"/>
    <sheet state="visible" name="Parte 3 -Resumo da seleção" sheetId="4" r:id="rId7"/>
    <sheet state="visible" name="Parte 4 - Prompt e critérios" sheetId="5" r:id="rId8"/>
    <sheet state="visible" name="Parte 4 - Registro de Uso da IA" sheetId="6" r:id="rId9"/>
    <sheet state="visible" name="Parte 4 - Resumo da seleção" sheetId="7" r:id="rId10"/>
  </sheets>
  <definedNames>
    <definedName hidden="1" localSheetId="2" name="_xlnm._FilterDatabase">'Parte 3 - Registro de Uso da IA'!$N$4:$N$1700</definedName>
    <definedName hidden="1" localSheetId="5" name="_xlnm._FilterDatabase">'Parte 4 - Registro de Uso da IA'!$AA$2:$AA$701</definedName>
  </definedNames>
  <calcPr/>
</workbook>
</file>

<file path=xl/sharedStrings.xml><?xml version="1.0" encoding="utf-8"?>
<sst xmlns="http://schemas.openxmlformats.org/spreadsheetml/2006/main" count="5443" uniqueCount="2487">
  <si>
    <t>TENDÊNCIAS E DESAFIOS EM SI - ESTRUTURAÇÃO DA INVESTIGAÇÃO SISTEMÁTICA</t>
  </si>
  <si>
    <t>//</t>
  </si>
  <si>
    <t>Parte 1: Planejamento</t>
  </si>
  <si>
    <t>Comentários do professor</t>
  </si>
  <si>
    <t>Integrantes do time:</t>
  </si>
  <si>
    <t>Carlos Kaynan, Guilherme Caio, Humberto Campos, mateus, Alex Ramos</t>
  </si>
  <si>
    <t>//////////////////////////////////////</t>
  </si>
  <si>
    <t>Tema de pesquisa:</t>
  </si>
  <si>
    <t>Interfaces Cérebro-Computador e a Expansão Neurológica: A Próxima Fronteira na Saúde Mental e na Amplificação das Capacidades Humanas</t>
  </si>
  <si>
    <t>/</t>
  </si>
  <si>
    <t>Objetivos da pesquisa:</t>
  </si>
  <si>
    <t>Investigar, por meio de uma revisão sistemática, o estado da arte das Interfaces Cérebro-Computador (BCIs) aplicadas à saúde mental e à amplificação das capacidades cognitivas e neurológicas humanas, identificando tendências, limitações, desafios éticos e perspectivas futuras dessa tecnologia.</t>
  </si>
  <si>
    <t>Motivação/Justificativa:</t>
  </si>
  <si>
    <t>A crescente convergência entre neurociência, engenharia e ciência da computação abriu caminhos sem precedentes para a interação direta entre o cérebro humano e dispositivos externos. As Interfaces Cérebro-Computador, que antes pertenciam ao domínio da ficção científica, estão rapidamente se tornando uma realidade clínica e tecnológica com o potencial de revolucionar a medicina e a própria concepção do que significa ser humano.</t>
  </si>
  <si>
    <t>Artigos referência (título e link):</t>
  </si>
  <si>
    <r>
      <rPr>
        <rFont val="Arial"/>
        <i/>
        <color rgb="FF000000"/>
      </rPr>
      <t>String de Busaca IEEE:</t>
    </r>
    <r>
      <rPr>
        <rFont val="Arial"/>
        <i/>
        <color rgb="FF0000FF"/>
      </rPr>
      <t xml:space="preserve"> ("brain computer interface" OR "BCI" OR "brain–machine interface" OR "EEG" OR "neurofeedback") AND ("mental health" OR "psychological" OR "depression" OR "anxiety" OR "stress" OR "emotion regulation" OR "cognitive enhancement" OR "neuroenhancement" OR "cognitive performance" OR "neuroplasticity") AND ("systematic review" OR "literature review" OR "review study" OR "survey") </t>
    </r>
    <r>
      <rPr>
        <rFont val="Arial"/>
        <i/>
        <color rgb="FF000000"/>
      </rPr>
      <t xml:space="preserve">de 2020 a 2025. </t>
    </r>
    <r>
      <rPr>
        <rFont val="Arial"/>
        <i/>
        <color rgb="FF0000FF"/>
      </rPr>
      <t xml:space="preserve">              </t>
    </r>
    <r>
      <rPr>
        <rFont val="Arial"/>
        <b/>
        <i/>
        <color rgb="FF0000FF"/>
      </rPr>
      <t xml:space="preserve">. </t>
    </r>
    <r>
      <rPr>
        <rFont val="Arial"/>
        <b/>
        <i/>
        <color rgb="FF000000"/>
      </rPr>
      <t>Artigo 1:</t>
    </r>
    <r>
      <rPr>
        <rFont val="Arial"/>
        <i/>
        <color rgb="FF0000FF"/>
      </rPr>
      <t xml:space="preserve"> </t>
    </r>
    <r>
      <rPr>
        <rFont val="Arial"/>
        <i/>
        <color rgb="FF000000"/>
      </rPr>
      <t xml:space="preserve">Advancing Stress Diagnostics using EEG and Deep Learning Methods for Early Stress Identification: A Systematic Literature Survey                     </t>
    </r>
    <r>
      <rPr>
        <rFont val="Arial"/>
        <b/>
        <i/>
        <color rgb="FF000000"/>
      </rPr>
      <t xml:space="preserve"> Artigo 2:</t>
    </r>
    <r>
      <rPr>
        <rFont val="Arial"/>
        <i/>
        <color rgb="FF000000"/>
      </rPr>
      <t xml:space="preserve"> Exploration of EEG-Based Depression Biomarkers Identification Techniques and Their Applications: A Systematic Review.  </t>
    </r>
    <r>
      <rPr>
        <rFont val="Arial"/>
        <i/>
        <color rgb="FF0000FF"/>
      </rPr>
      <t xml:space="preserve">            </t>
    </r>
    <r>
      <rPr>
        <rFont val="Arial"/>
        <b/>
        <i/>
        <color rgb="FF000000"/>
      </rPr>
      <t xml:space="preserve">Artigo 3: </t>
    </r>
    <r>
      <rPr>
        <rFont val="Arial"/>
        <i/>
        <color rgb="FF000000"/>
      </rPr>
      <t>Methods and Measures for Mental Stress Assessment in Surgery: A Systematic Review of 20 Years of Literature</t>
    </r>
  </si>
  <si>
    <t>Título e link da 1 revisão selecionada</t>
  </si>
  <si>
    <r>
      <rPr>
        <rFont val="Arial"/>
        <i/>
        <color rgb="FF0000FF"/>
        <u/>
      </rPr>
      <t xml:space="preserve">Quais as semelhanças e diferenças da 1 revisão com a revisão a ser desenvolvida pelo grupo?   </t>
    </r>
    <r>
      <rPr>
        <rFont val="Arial"/>
        <i/>
        <color rgb="FF000000"/>
        <u/>
      </rPr>
      <t xml:space="preserve"> Advancing Stress Diagnostics using EEG and Deep Learning Methods for Early Stress Identification: A Systematic Literature Survey   Link:  </t>
    </r>
    <r>
      <rPr>
        <rFont val="Arial"/>
        <i/>
        <color rgb="FF1155CC"/>
        <u/>
      </rPr>
      <t>https://docs.google.com/document/d/1uxJYCTZqjdS9dZREg75IW27Jt9oMUGQzJSlQeel-ASY/edit?usp=sharing</t>
    </r>
  </si>
  <si>
    <t>Título e link da 2 revisão selecionada</t>
  </si>
  <si>
    <r>
      <rPr>
        <rFont val="Arial"/>
        <i/>
        <color rgb="FF0000FF"/>
        <u/>
      </rPr>
      <t xml:space="preserve">Quais as semelhanças e diferenças da 2 revisão com a revisão a ser desenvolvida pelo grupo? </t>
    </r>
    <r>
      <rPr>
        <rFont val="Arial"/>
        <i/>
        <color rgb="FF000000"/>
        <u/>
      </rPr>
      <t xml:space="preserve">Exploration of EEG-Based Depression Biomarkers Identification Techniques and Their Applications: A Systematic Review.    LINK:     </t>
    </r>
    <r>
      <rPr>
        <rFont val="Arial"/>
        <i/>
        <color rgb="FF1155CC"/>
        <u/>
      </rPr>
      <t>https://docs.google.com/document/d/1AUQdb7AhWjXdmUqF341U_I57wRtPjTHoTgIXdQjnvro/edit?usp=sharing</t>
    </r>
  </si>
  <si>
    <t>Título e link da 3 revisão selecionada</t>
  </si>
  <si>
    <r>
      <rPr>
        <rFont val="Arial"/>
        <i/>
        <color rgb="FF0000FF"/>
        <u/>
      </rPr>
      <t xml:space="preserve">Quais as semelhanças e diferenças da 3 revisão com a revisão a ser desenvolvida pelo grupo? </t>
    </r>
    <r>
      <rPr>
        <rFont val="Arial"/>
        <i/>
        <color rgb="FF000000"/>
        <u/>
      </rPr>
      <t xml:space="preserve">Methods and Measures for Mental Stress
Assessment in Surgery: A Systematic Review of 20 Years of Literature LINK:    </t>
    </r>
    <r>
      <rPr>
        <rFont val="Arial"/>
        <i/>
        <color rgb="FF1155CC"/>
        <u/>
      </rPr>
      <t>https://docs.google.com/document/d/1NAqoquQHFaN1gt94LZIsCArcaF16pT1nncAVpE8aoT8/edit?usp=sharing</t>
    </r>
  </si>
  <si>
    <t>Questão central de pesquisa:</t>
  </si>
  <si>
    <t>Como as Interfaces Cérebro-Computador (BCIs) têm sido aplicadas na saúde mental e na amplificação das capacidades cognitivas e neurológicas humanas, e quais são as principais tendências, limitações, desafios éticos e perspectivas futuras identificadas na literatura científica?</t>
  </si>
  <si>
    <t>Questões secundárias:</t>
  </si>
  <si>
    <t>Quais tipos de Interfaces Cérebro-Computador (invasivas, não invasivas, híbridas) têm sido mais utilizadas em aplicações voltadas à saúde mental?
Quais transtornos mentais têm recebido maior atenção nas pesquisas envolvendo BCIs (por exemplo, depressão, ansiedade, esquizofrenia, TDAH)?
Quais métricas e métodos de avaliação são empregados para medir a eficácia das BCIs no tratamento de distúrbios mentais?
De que forma as BCIs têm sido utilizadas para aprimorar capacidades cognitivas, como memória, atenção e aprendizado?
Quais são as principais barreiras técnicas, clínicas e éticas que limitam a adoção de BCIs em contextos terapêuticos e de amplificação humana?
Como os estudos atuais abordam questões de segurança, privacidade e integridade dos dados neurais coletados por BCIs?
Quais tendências emergentes apontam para o futuro das BCIs na integração com inteligência artificial e neuroestimulação personalizada?
Como a literatura científica trata os aspectos éticos e filosóficos da “expansão neurológica” e da amplificação das capacidades humanas?
Quais lacunas de pesquisa ainda precisam ser exploradas para que as BCIs se tornem uma ferramenta efetiva e segura na saúde mental e no aprimoramento cognitivo?</t>
  </si>
  <si>
    <t xml:space="preserve">Método: </t>
  </si>
  <si>
    <t>Revisão sistemática da literatura, com base em artigos das bases IEEE Xplore, ACM e Scopus, utilizando a string de busca definida e critérios de inclusão/exclusão. A análise seguirá as etapas de planejamento, condução e relato propostas pelo protocolo PRISMA, com o objetivo de mapear o uso de agentes de IA para tomada de decisão e automação em organizações.</t>
  </si>
  <si>
    <t>RESULTADO ESPERADO PARTE 1:</t>
  </si>
  <si>
    <t>Planejamento da pesquisa, definindo tema, objetivos, motivação, questões de pesquisa, fundamentados por ao menos 3 artigos de referência.</t>
  </si>
  <si>
    <t>Parte 2: Protocolo de Pesquisa</t>
  </si>
  <si>
    <t>Palavras-chave:</t>
  </si>
  <si>
    <r>
      <rPr>
        <rFont val="Arial"/>
        <b/>
        <i/>
        <color rgb="FF000000"/>
      </rPr>
      <t xml:space="preserve">Lista de palavras-chave. </t>
    </r>
    <r>
      <rPr>
        <rFont val="Arial"/>
        <i/>
        <color rgb="FF0000FF"/>
      </rPr>
      <t xml:space="preserve">
Interfaces Cérebro-Computador (BCI)
Saúde mental
Neurofeedback
EEG (eletroencefalografia)
Amplificação cognitiva
Ética em neurotecnologia
Revisão sistemática</t>
    </r>
  </si>
  <si>
    <t>Sinônimos por palavras-chave:</t>
  </si>
  <si>
    <r>
      <rPr>
        <rFont val="Arial"/>
        <i/>
        <color rgb="FF000000"/>
      </rPr>
      <t>Palavra-chave 1: Interfaces Cérebro-Computador (BCI)</t>
    </r>
    <r>
      <rPr>
        <rFont val="Arial"/>
        <i/>
        <color rgb="FF0000FF"/>
      </rPr>
      <t xml:space="preserve">
Sinônimos: Interface cérebro-máquina, Interface neural, Brain-machine interface
</t>
    </r>
    <r>
      <rPr>
        <rFont val="Arial"/>
        <i/>
        <color rgb="FF000000"/>
      </rPr>
      <t>Palavra-chave 2: Saúde mental</t>
    </r>
    <r>
      <rPr>
        <rFont val="Arial"/>
        <i/>
        <color rgb="FF0000FF"/>
      </rPr>
      <t xml:space="preserve">
Sinônimos: Bem-estar psicológico, Transtornos mentais, Saúde emocional
</t>
    </r>
    <r>
      <rPr>
        <rFont val="Arial"/>
        <i/>
        <color rgb="FF000000"/>
      </rPr>
      <t>Palavra-chave 3: Neurofeedback</t>
    </r>
    <r>
      <rPr>
        <rFont val="Arial"/>
        <i/>
        <color rgb="FF0000FF"/>
      </rPr>
      <t xml:space="preserve">
Sinônimos: Treinamento cerebral, Biofeedback neural, Autorregulação neural
</t>
    </r>
    <r>
      <rPr>
        <rFont val="Arial"/>
        <i/>
        <color rgb="FF000000"/>
      </rPr>
      <t>Palavra-chave 4: Amplificação cognitiva</t>
    </r>
    <r>
      <rPr>
        <rFont val="Arial"/>
        <i/>
        <color rgb="FF0000FF"/>
      </rPr>
      <t xml:space="preserve">
Sinônimos: Aprimoramento cognitivo, Potencialização mental, Melhoria do desempenho cognitivo
</t>
    </r>
    <r>
      <rPr>
        <rFont val="Arial"/>
        <i/>
        <color rgb="FF000000"/>
      </rPr>
      <t>Palavra-chave 5: Ética em neurotecnologia</t>
    </r>
    <r>
      <rPr>
        <rFont val="Arial"/>
        <i/>
        <color rgb="FF0000FF"/>
      </rPr>
      <t xml:space="preserve">
Sinônimos: Neuroética, Ética neurocientífica, Questões éticas em BCIs</t>
    </r>
  </si>
  <si>
    <t>String de busca:</t>
  </si>
  <si>
    <r>
      <rPr>
        <rFont val="Arial"/>
        <i/>
        <color rgb="FF0000FF"/>
      </rPr>
      <t xml:space="preserve">("brain computer interface" OR "BCI" OR "brain–machine interface" OR "EEG" OR "neurofeedback") AND ("mental health" OR "psychological" OR "depression" OR "anxiety" OR "stress" OR "emotion regulation") AND ("cognitive enhancement" OR "neuroenhancement" OR "cognitive performance" OR "neuroplasticity") </t>
    </r>
    <r>
      <rPr>
        <rFont val="Arial"/>
        <b/>
        <i/>
        <color rgb="FF000000"/>
      </rPr>
      <t xml:space="preserve">de 2020 a 2025. </t>
    </r>
    <r>
      <rPr>
        <rFont val="Arial"/>
        <i/>
        <color rgb="FF0000FF"/>
      </rPr>
      <t xml:space="preserve"> </t>
    </r>
  </si>
  <si>
    <t>Fontes de pesquisa usadas:</t>
  </si>
  <si>
    <t>ACM, IEEE, PubMed, Scopus e Science Direct</t>
  </si>
  <si>
    <t>Executar a string de busca nas bases:</t>
  </si>
  <si>
    <t>Usar ferramentas de busca automáticas, considerando o período de 2020 a 2025, planilhando os resultados.</t>
  </si>
  <si>
    <t>Primeiros números por fonte de pesquisa:</t>
  </si>
  <si>
    <t xml:space="preserve">Para cada base (ou conferência), listar o número de artigos encontrados.
</t>
  </si>
  <si>
    <t>ACM</t>
  </si>
  <si>
    <t>https://dl.acm.org/action/doSearch?fillQuickSearch=false&amp;target=advanced&amp;expand=dl&amp;AfterYear=2020&amp;BeforeYear=2025&amp;AllField=AllField%3A%28%28%22brain+computer+interface%22+OR+%22BCI%22+OR+%22brain%E2%80%93machine+interface%22+OR+%22EEG%22+OR+%22neurofeedback%22%29%29+AND+AllField%3A%28%28%22mental+health%22+OR+%22psychological%22+OR+%22depression%22+OR+%22anxiety%22+OR+%22stress%22+OR+%22emotion+regulation%22%29%29+AND+AllField%3A%28%28%22cognitive+enhancement%22+OR+%22neuroenhancement%22+OR+%22cognitive+performance%22+OR+%22neuroplasticity%22%29%29</t>
  </si>
  <si>
    <t>IEEE</t>
  </si>
  <si>
    <t>PubMed</t>
  </si>
  <si>
    <t>Scopus</t>
  </si>
  <si>
    <r>
      <rPr>
        <rFont val="Arial"/>
        <color theme="1"/>
      </rPr>
      <t xml:space="preserve">OBS: Tem que logar pelo CAFe do Capes para visualizar o Scopus: </t>
    </r>
    <r>
      <rPr>
        <rFont val="Arial"/>
        <color rgb="FF1155CC"/>
        <u/>
      </rPr>
      <t>Acesso CAFe - CAPES</t>
    </r>
  </si>
  <si>
    <t>Science Direct</t>
  </si>
  <si>
    <t>ScienceDirect</t>
  </si>
  <si>
    <t>Total de Artigos</t>
  </si>
  <si>
    <t>Critérios de inclusão:</t>
  </si>
  <si>
    <r>
      <rPr>
        <rFont val="Arial"/>
        <i/>
        <color rgb="FF000000"/>
      </rPr>
      <t>Período de publicação:</t>
    </r>
    <r>
      <rPr>
        <rFont val="Arial"/>
        <i/>
        <color rgb="FF0000FF"/>
      </rPr>
      <t xml:space="preserve">
Artigos publicados entre 2020 e 2025
</t>
    </r>
    <r>
      <rPr>
        <rFont val="Arial"/>
        <i/>
        <color rgb="FF000000"/>
      </rPr>
      <t xml:space="preserve">
Tipo de publicação:</t>
    </r>
    <r>
      <rPr>
        <rFont val="Arial"/>
        <i/>
        <color rgb="FF0000FF"/>
      </rPr>
      <t xml:space="preserve">
Trabalhos primários (não revisões)
</t>
    </r>
    <r>
      <rPr>
        <rFont val="Arial"/>
        <i/>
        <color rgb="FF000000"/>
      </rPr>
      <t>Idioma:</t>
    </r>
    <r>
      <rPr>
        <rFont val="Arial"/>
        <i/>
        <color rgb="FF0000FF"/>
      </rPr>
      <t xml:space="preserve">
Publicações em inglês
</t>
    </r>
    <r>
      <rPr>
        <rFont val="Arial"/>
        <i/>
        <color rgb="FF000000"/>
      </rPr>
      <t>Escopo temático:</t>
    </r>
    <r>
      <rPr>
        <rFont val="Arial"/>
        <i/>
        <color rgb="FF0000FF"/>
      </rPr>
      <t xml:space="preserve">
Estudos que tratem de Interfaces Cérebro-Computador (BCI, BMI, neurofeedback, EEG) aplicadas a:
Saúde mental (depressão, ansiedade, estresse, TDAH, etc.)
Aprimoramento cognitivo e neurológico (memória, atenção, aprendizagem, neuroplasticidade)
</t>
    </r>
    <r>
      <rPr>
        <rFont val="Arial"/>
        <i/>
        <strike/>
        <color rgb="FF000000"/>
      </rPr>
      <t>Abordagem metodológica:
Estudos que apresentem metodologias científicas claras, com descrição de amostras, protocolos, métricas e resultados. (incluir em critérios qualidade - parte 4)</t>
    </r>
  </si>
  <si>
    <t>Critérios de exclusão:</t>
  </si>
  <si>
    <r>
      <rPr>
        <rFont val="Arial"/>
        <i/>
        <color rgb="FF000000"/>
      </rPr>
      <t>Publicações fora do período definido (anteriores a 2020).
Estudos sem foco em saúde mental ou amplificação cognitiva.
Artigos não revisados por pares (pré-prints, relatórios técnicos, blogs).
Estudos duplicados entre bases.
Falta de acesso ao texto completo.
Trabalhos focados exclusivamente em aspectos técnicos de hardware, sem relação com cognição ou saúde mental</t>
    </r>
    <r>
      <rPr>
        <rFont val="Arial"/>
        <i/>
        <color rgb="FF0000FF"/>
      </rPr>
      <t>.
Short papers (menos do que 4 páginas)</t>
    </r>
  </si>
  <si>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</si>
  <si>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</si>
  <si>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Prompt</t>
  </si>
  <si>
    <t>System Alert:
Suppose you are a Software Engineering professor conducting a systematic literature review.
Your task is to evaluate studies based on specific criteria:
Inclusion Criteria (IC):
Publication Period:
Articles published between 2020 and 2025
Publication Type:
Main Papers (not reviews)
Language:
Publications in English
Thematic Scope:
Studies addressing Brain-Computer Interfaces (BCI, BMI, neurofeedback, EEG) applied to:
Mental Health (depression, anxiety, stress, ADHD, etc.)
Cognitive and Neurological Enhancement (memory, attention, learning, neuroplasticity)
Exclusion Criteria (EC):
Publications outside the defined period (prior to 2020).
Studies not focused on mental health or cognitive enhancement.
Non-peer-reviewed articles (preprints, technical reports, blogs).
Duplicate studies across databases.
Lack of access to full text.
Articles focused exclusively on technical aspects of hardware, unrelated to cognition or mental health.
Short articles (less than 4 pages)
For scoring, use only 1 or 0: Assign a score of 1 for strong alignment with all inclusion criteria. Assign a score of 0 if any inclusion criteria are not met or if any exclusion criteria are met.
You will score studies based on the title and abstracts.
For the response, use the following format: Response Format: Start with "Score: X" followed by "Rationale:" explaining why the study was considered relevant or not.
User Request:
Title: Title of a primary candidate study
Abstract: Summary of a primary candidate study</t>
  </si>
  <si>
    <t>LLM1: CHATGPT</t>
  </si>
  <si>
    <t>GPT-5</t>
  </si>
  <si>
    <t>LLM2: GEMINI</t>
  </si>
  <si>
    <t>2.5 Pro</t>
  </si>
  <si>
    <t>Base de Dados</t>
  </si>
  <si>
    <t>Autor(es)</t>
  </si>
  <si>
    <t>Título do artigo</t>
  </si>
  <si>
    <t>Ano</t>
  </si>
  <si>
    <t>URL / DOI</t>
  </si>
  <si>
    <t>Resumo (abstract)</t>
  </si>
  <si>
    <t>Palavras-chave principais</t>
  </si>
  <si>
    <t>Relevância segundo LLM 1 (Sim/Não)</t>
  </si>
  <si>
    <t>Relevância segundo LLM 2 (Sim/Não)</t>
  </si>
  <si>
    <t>Diferença entre LLM 1 e LLM 2</t>
  </si>
  <si>
    <t>Justificativa da LLM 1</t>
  </si>
  <si>
    <t>Justificativa da LLM 2</t>
  </si>
  <si>
    <t>LLM que apresentou melhor justificativa (1 ou 2)</t>
  </si>
  <si>
    <t>Artigo selecionado para a próxima fase</t>
  </si>
  <si>
    <t>Xin Zhao, Chen Dang, Joseph H R Maes</t>
  </si>
  <si>
    <t>Effects of working memory training on EEG, cognitive performance, and self-report indices potentially relevant for social anxiety</t>
  </si>
  <si>
    <t>Social anxiety (SA) is quite common and associated with multiple comorbidities. Here, we examined the effects of working memory (WM) training on various indices potentially related to SA. Pre-selected university students with elevated self-reported SA symptoms were assigned to a WM training (n = 21) or an active control treatment condition (n = 21). Pre- and post-treatment assessments were made using questionnaires related to (social) anxiety and depression, and tasks measuring WM, interference control, and attentional biases towards, and event-related potentials (ERPs) elicited by, angry faces. The training enhanced WM transfer task performance, reduced SA symptoms, and changed the amplitude of the P1, N170, P2, and N2 ERP components. However, the latter changes did not mediate the effect of WM training on SA symptoms. These data provide preliminary evidence of the usefulness of WM trainings to reduce potential indices of SA, but further research is necessary to unravel the causal relation among these indices.</t>
  </si>
  <si>
    <t>Attentional bias; Event-related potentials; Social anxiety; Students; Working memory training.</t>
  </si>
  <si>
    <t>Sim</t>
  </si>
  <si>
    <t>This study fully satisfies all inclusion criteria. It was published within the 2020–2025 period, is a main empirical research article (not a review), and written in English. Thematically, it directly examines EEG-based measures (event-related potentials) and working memory training in individuals with social anxiety, linking brain activity and cognitive enhancement to mental health outcomes.
It does not meet any exclusion criteria — it is peer-reviewed, not hardware-focused, clearly exceeds the 4-page threshold, and investigates both mental health (social anxiety) and cognitive performance (working memory, attention).
Therefore, the paper is highly relevant to the systematic review’s scope, as it explores the intersection of EEG-based cognitive enhancement and mental health improvement through neurocognitive training.</t>
  </si>
  <si>
    <t>The study meets all scorable inclusion criteria. It is a Main Paper (IC 2) describing an experimental study with participant groups, not a review. It is in English (IC 3). It clearly fits the Thematic Scope (IC 4) by using EEG (specifically, "event-related potentials (ERPs)") to measure the effects of an intervention on both Mental Health ("social anxiety") and Cognitive Enhancement ("working memory training," "cognitive performance"). No exclusion criteria are met based on the abstract.</t>
  </si>
  <si>
    <t>Ambas</t>
  </si>
  <si>
    <t>Sanjeev Kumar, Reza Zomorrodi, Zaid Ghazala, Michelle S Goodman, Daniel M Blumberger, Zafiris J Daskalakis, Corinne E Fischer, Benoit H Mulsant, Bruce G Pollock, Tarek K Rajji</t>
  </si>
  <si>
    <t>Effects of repetitive paired associative stimulation on brain plasticity and working memory in Alzheimer's disease: a pilot randomized double-blind-controlled trial</t>
  </si>
  <si>
    <t>Design: Pilot randomized double-blind-controlled trial of repetitive paired associative stimulation (rPAS), a paradigm that combines transcranial magnetic stimulation (TMS) of the dorsolateral prefrontal cortex (DLPFC) with peripheral median nerve stimulation.
Objectives: To study the impact of rPAS on DLPFC plasticity and working memory performance in Alzheimer's disease (AD).
Methods: Thirty-two patients with AD (females = 16), mean (SD) age = 76.4 (6.3) years were randomized 1:1 to receive a 2-week (5 days/week) course of active or control rPAS. DLPFC plasticity was assessed using single session PAS combined with electroencephalography (EEG) at baseline and on days 1, 7, and 14 post-rPAS. Working memory and theta-gamma coupling were assessed at the same time points using the N-back task and EEG.
Results: There were no significant differences between the active and control rPAS groups on DLPFC plasticity or working memory performance after the rPAS intervention. There were significant main effects of time on DLPFC plasticity, working memory, and theta-gamma coupling, only for the active rPAS group. Further, on post hoc within-group analyses done to generate hypotheses for future research, as compared to baseline, only the rPAS group improved on post-rPAS day 1 on all three indices. Finally, there was a positive correlation between working memory performance and theta-gamma coupling.
Conclusions: This study did not show a beneficial effect of rPAS for DLPFC plasticity or working memory in AD. However, post hoc analyses showed promising results favoring rPAS and supporting further research on this topic. (Clinicaltrials.gov-NCT01847586).</t>
  </si>
  <si>
    <t>TMS-EEG; dementia; geriatrics; neuroplasticity; theta–gamma coupling; transcranial magnetic stimulation.</t>
  </si>
  <si>
    <t>This paper fully meets the inclusion criteria. It was published within the 2020–2025 window, is an original experimental study (not a review), and written in English. Thematically, it investigates brain stimulation (rPAS using TMS combined with EEG) to assess effects on neuroplasticity and working memory in patients with Alzheimer’s disease, which directly aligns with the scope of cognitive and neurological enhancement using brain–computer or neurostimulation approaches.
It does not meet any exclusion criteria — it is a peer-reviewed clinical trial, not a technical or hardware-only paper, and clearly exceeds the 4-page limit.
Therefore, this study is relevant to the systematic review focus on BCI/neurofeedback/neurostimulation techniques applied to cognition and mental health.</t>
  </si>
  <si>
    <t>The study meets all scorable inclusion criteria. It is a Main Paper (IC 2), specifically a "pilot randomized double-blind-controlled trial," not a review. It is in English (IC 3). It clearly aligns with the Thematic Scope (IC 4) by using EEG (an included technology) to assess "brain plasticity" (neuroplasticity) and "working memory" (cognitive enhancement). No exclusion criteria are met based on the abstract.</t>
  </si>
  <si>
    <t>Kexin Zhang, Yunfei Ji, Xiaodong Guo, Tianqi Gao, Xuemin Zhang, Xin Yu, Jing Wang</t>
  </si>
  <si>
    <t>The aperiodic and periodic activities of EEG dynamically relate with cognitive performance in schizophrenia</t>
  </si>
  <si>
    <t>Background: Aperiodic and periodic activities of electrophysiological signals have strong correlation with various neurocognitive factors. In the current study, we aim to investigate the aperiodic exponent and periodic oscillations (alpha and beta band power) and their associations with cognitive performance in schizophrenia (SCZ).
Methods: We enrolled 32 SCZ patients and 33 healthy controls (HC) for the study. Cognitive performance was assessed using the total Brief Assessment of Cognition in Schizophrenia (BACS). Before and after the language comprehension tasks (humor, metaphor and irony), the 5-min eyes-closed and eyes-open EEG signals were collected respectively. The aperiodic exponent and periodic power were extracted and obtained according to the division of brain regions. Finally, Pearson correlation was used to examine the relationships between the EEG parameters and behavioral measures.
Results: SCZ participants exhibited higher aperiodic exponents and lower periodic oscillations compared to HC. The aperiodic exponent decreased significantly after the tasks in central location (F (56,1) = 8.93, P = 0.004, η 2 = 0.14) in both groups, while the periodic oscillations had no significant change. The variance of the aperiodic exponent showed significantly negative correlation with Z scores of humor comprehension tasks (r = -0.42, P = 0.027) in SCZ. Besides, the pre-tasks aperiodic exponent in posterior location positively correlated with T scores of attention and speed of information processing (r = 0.35, P = 0.048).
Conclusions: Our findings confirmed the higher aperiodic exponent with lower alpha and beta band in SCZ, along with the variability and task-responsiveness of the aperiodic exponent. The findings suggest that aperiodic exponent holds strong cognitive functional implications in SCZ.</t>
  </si>
  <si>
    <t>Alpha band power; Aperiodic exponent; Beta band power; Cognitive performance; Electroencephalography; Schizophrenia.</t>
  </si>
  <si>
    <t>This study meets all inclusion criteria. It was published within the defined period (2020–2025), is a main empirical research paper (not a review), and written in English. Thematically, it focuses on EEG-based analysis (periodic and aperiodic brain activity) to explore cognitive performance in individuals with schizophrenia, directly addressing cognitive and neurological enhancement aspects through brain–computer-related measures. It does not fall under any exclusion criteria: it is peer-reviewed, not a preprint, not purely hardware-focused, and likely exceeds the 4-page minimum.
Hence, it is highly relevant to the scope of Brain-Computer Interface (EEG) studies applied to mental health and cognition.</t>
  </si>
  <si>
    <t>The study meets all scorable inclusion criteria. It is a Main Paper (IC 2), as indicated by the "Methods" section which details the enrollment of "32 SCZ patients and 33 healthy controls" and the experimental procedure. It is in English (IC 3). It clearly fits the Thematic Scope (IC 4) by using EEG (an included technology) to assess "cognitive performance" (Cognitive Enhancement) in the context of "schizophrenia" (Mental Health). No exclusion criteria are met based on the abstract.</t>
  </si>
  <si>
    <t>Antal A, et al.</t>
  </si>
  <si>
    <t>Non-invasive brain stimulation and neuroenhancement.</t>
  </si>
  <si>
    <t>10.1016/j.cnp.2022.05.002</t>
  </si>
  <si>
    <t>"Attempts to enhance human memory... Here we summarize the available data on low-intensity tES... in comparison to repetitive TMS..."</t>
  </si>
  <si>
    <t>Brain Stimulation; Cognitive Enhancement; Neuroenhancement; tDCS; tES; TMS.</t>
  </si>
  <si>
    <t>Não</t>
  </si>
  <si>
    <t>Excluído (EC). O artigo resume os dados disponíveis, funcionando como uma revisão (Falha no IC2: Tipo de Publicação).</t>
  </si>
  <si>
    <t>EC (IC2 Fail) - O estudo é uma revisão e não um artigo principal.</t>
  </si>
  <si>
    <t>Mullins N, et al.</t>
  </si>
  <si>
    <t xml:space="preserve">Genome-wide association study of more than 40,000 bipolar disorder cases... </t>
  </si>
  <si>
    <t>10.1038/s41588-021-00857-4</t>
  </si>
  <si>
    <t>"Bipolar disorder (BD) is a highly heritable... We conducted a genome-wide association study (GWAS)..."</t>
  </si>
  <si>
    <t>Bipolar Disorder; Genetic Linkage; Genome-Wide Association Study; Humans.</t>
  </si>
  <si>
    <t>Excluído (EC). O estudo concentra-se em associação genômica (GWAS), o que foge ao escopo temático de BCI/EEG (Falha no IC4: Escopo).</t>
  </si>
  <si>
    <t>EC (IC4 Fail) - O estudo foca em genética (GWAS) e não em BCI/EEG.</t>
  </si>
  <si>
    <t>Drigas A, Sideraki A.</t>
  </si>
  <si>
    <t>Brain Neuroplasticity Leveraging Virtual Reality and Brain-Computer Interface Technologies</t>
  </si>
  <si>
    <t>10.3390/s24175725</t>
  </si>
  <si>
    <t>"The human brain possesses... neuroplasticity... This review paper explores the synergistic potential of Virtual Reality (VR) and Brain-Computer Interface (BCI)..."</t>
  </si>
  <si>
    <t>BCI; ICTs; VR; brain neuroplasticity; cognitive functions; machine learning; mental health.</t>
  </si>
  <si>
    <t>Excluído (EC). O próprio resumo identifica o trabalho como um "review paper" (Falha no IC2: Tipo de Publicação).</t>
  </si>
  <si>
    <t>EC (IC2 Fail) - O estudo é explicitamente uma "review paper" (artigo de revisão).</t>
  </si>
  <si>
    <t>O'Connell KS, et al.</t>
  </si>
  <si>
    <t>Genomics yields biological and phenotypic insights into bipolar disorder</t>
  </si>
  <si>
    <t>10.1038/s41586-024-08468-9</t>
  </si>
  <si>
    <t>"Bipolar disorder (BD) is a severe psychiatric condition... We present a genome-wide association study (GWAS) meta-analysis..."</t>
  </si>
  <si>
    <t>Bipolar Disorder; Genetic Predisposition to Disease; Genome-Wide Association Study; Humans.</t>
  </si>
  <si>
    <t>Excluído (EC). O tópico é genômica (GWAS), que não corresponde às tecnologias de interface cérebro-computador (Falha no IC4: Escopo).</t>
  </si>
  <si>
    <t>EC (IC4 Fail) - O estudo foca em genômica (GWAS) e não em BCI/EEG.</t>
  </si>
  <si>
    <t>Enriquez-Geppert S, et al.</t>
  </si>
  <si>
    <t>Psilocybin-assisted neurofeedback for the improvement of executive functions: a randomized... feasibility study</t>
  </si>
  <si>
    <t>10.1098/rstb.2023.0095</t>
  </si>
  <si>
    <t>"Restoring executive functions (EFs) is a key target... This randomized... feasibility study investigates... psilocybin-assisted EEG-neurofeedback (NF) to improve EFs..."</t>
  </si>
  <si>
    <t>EEG-neurofeedback; cognitive enhancement; executive functions; feasibility; psilocybin.</t>
  </si>
  <si>
    <t>Incluído (IC). Estudo primário (2024) que investiga neurofeedback (EEG-NF) para aprimoramento cognitivo. Atende a todos os critérios.</t>
  </si>
  <si>
    <t>IC - Artigo principal (2024) focado em neurofeedback (EEG-NF) para aprimoramento cognitivo.</t>
  </si>
  <si>
    <t>Bailey AW, Kang HK.</t>
  </si>
  <si>
    <t>Walking and Sitting Outdoors: Which Is Better for Cognitive Performance and Mental States?</t>
  </si>
  <si>
    <t>10.3390/ijerph192416638</t>
  </si>
  <si>
    <t>"Previous studies showed that walking outdoors improves cognitive performance... This study compared the effects of walking and sitting outdoors..."</t>
  </si>
  <si>
    <t>acute effect; attention; mood; outdoor; sitting; walking.</t>
  </si>
  <si>
    <t>Excluído (EC). A intervenção estudada é o efeito de caminhar ao ar livre, não utilizando as tecnologias BCI/EEG (Falha no IC4: Escopo).</t>
  </si>
  <si>
    <t>EC (IC4 Fail) - O estudo avalia o impacto de caminhar/sentar, não o uso de BCI/EEG.</t>
  </si>
  <si>
    <t xml:space="preserve">Richter K, et al. </t>
  </si>
  <si>
    <t>rTMS in mental health disorders</t>
  </si>
  <si>
    <t>10.3389/fnetp.2023.943223</t>
  </si>
  <si>
    <t>"Repetitive transcranial magnetic stimulation (rTMS) is a non-invasive... This article aims to provide an overview of the current state of rTMS research..."</t>
  </si>
  <si>
    <t>N/A (Não fornecido)</t>
  </si>
  <si>
    <t>Excluído (EC). O trabalho é descrito como uma "visão geral" (overview) do rTMS, sendo, portanto, uma revisão (Falha no IC2: Tipo de Publicação).</t>
  </si>
  <si>
    <t>EC (IC2 Fail) - O estudo é um "overview" (visão geral/revisão) da pesquisa em rTMS.</t>
  </si>
  <si>
    <t>Zemla K, et al.</t>
  </si>
  <si>
    <t xml:space="preserve">Investigating the Impact of Guided Imagery on Stress, Brain Functions, and Attention: A Randomized Trial </t>
  </si>
  <si>
    <t>10.3390/s23136210</t>
  </si>
  <si>
    <t>"Guided imagery (GI) is a relaxation technique... This study aimed to investigate the impact of GI on... stress levels, brain functions, and attention..."</t>
  </si>
  <si>
    <t>EEG; attention; brain functions; guided imagery; randomized trial; stress.</t>
  </si>
  <si>
    <t>Incluído (IC). Artigo principal (2023) que utiliza EEG para analisar os efeitos da imaginação guiada sobre o estresse. Cumpre os requisitos.</t>
  </si>
  <si>
    <t>IC - Artigo principal (2023) que utiliza EEG para avaliar o impacto da imaginação guiada no estresse.</t>
  </si>
  <si>
    <t>Ma YN, et al.</t>
  </si>
  <si>
    <t>Integrative neurorehabilitation using brain-computer interface: From motor function to mental health after stroke</t>
  </si>
  <si>
    <t>10.5582/bst.2025.01109</t>
  </si>
  <si>
    <t>"Brain-computer interface (BCI) technology... This review summarizes the current applications of BCI in post-stroke rehabilitation... focusing on... mental health."</t>
  </si>
  <si>
    <t>BCI; EEG; mental health; motor function; neurorehabilitation; stroke.</t>
  </si>
  <si>
    <t>Excluído (EC). O resumo indica explicitamente que se trata de uma "revisão" (review) (Falha no IC2: Tipo de Publicação).</t>
  </si>
  <si>
    <t>EC (IC2 Fail) - O estudo é explicitamente uma "review" (revisão).</t>
  </si>
  <si>
    <t>Chan WL, et al.</t>
  </si>
  <si>
    <t>Subanesthetic ketamine alters EEG signal complexity: Implications for treatment stratification in depression</t>
  </si>
  <si>
    <t>10.1016/j.jad.2025.119477</t>
  </si>
  <si>
    <t>"BACKGROUND: Ketamine has emerged as a rapid-acting antidepressant... We investigated the effects of... ketamine on EEG signal complexity... We analyzed resting-state EEG data..."</t>
  </si>
  <si>
    <t>Complexity; Depression; EEG; Entropy; Ketamine.</t>
  </si>
  <si>
    <t>Incluído (IC). Investigação original (2025) que aplica análise de EEG no contexto da depressão. Adere aos critérios.</t>
  </si>
  <si>
    <t>IC - Artigo principal (2025) que utiliza EEG no contexto da depressão.</t>
  </si>
  <si>
    <t>Jaiswal S, et al.</t>
  </si>
  <si>
    <t>Design and Implementation of a Brief Digital Mindfulness and Compassion Training App...: Cluster Randomized Controlled Trial</t>
  </si>
  <si>
    <t>10.2196/49467</t>
  </si>
  <si>
    <t>Background: Several studies show that intense work schedules make health care professionals particularly vulnerable to emotional exhaustion and burnout.
Objective: In this scenario, promoting self-compassion and mindfulness may be beneficial for well-being. Notably, scalable, digital app-based methods may have the potential to enhance self-compassion and mindfulness in health care professionals.
Methods: In this study, we designed and implemented a scalable, digital app-based, brief mindfulness and compassion training program called "WellMind" for health care professionals. A total of 22 adult participants completed up to 60 sessions of WellMind training, 5-10 minutes in duration each, over 3 months. Participants completed behavioral assessments measuring self-compassion and mindfulness at baseline (preintervention), 3 months (postintervention), and 6 months (follow-up). In order to control for practice effects on the repeat assessments and calculate effect sizes, we also studied a no-contact control group of 21 health care professionals who only completed the repeated assessments but were not provided any training. Additionally, we evaluated pre- and postintervention neural activity in core brain networks using electroencephalography source imaging as an objective neurophysiological training outcome.
Results: Findings showed a post- versus preintervention increase in self-compassion (Cohen d=0.57; P=.007) and state-mindfulness (d=0.52; P=.02) only in the WellMind training group, with improvements in self-compassion sustained at follow-up (d=0.8; P=.01). Additionally, WellMind training durations correlated with the magnitude of improvement in self-compassion across human participants (ρ=0.52; P=.01). Training-related neurophysiological results revealed plasticity specific to the default mode network (DMN) that is implicated in mind-wandering and rumination, with DMN network suppression selectively observed at the postintervention time point in the WellMind group (d=-0.87; P=.03). We also found that improvement in self-compassion was directly related to the extent of DMN suppression (ρ=-0.368; P=.04).
Conclusions: Overall, promising behavioral and neurophysiological findings from this first study demonstrate the benefits of brief digital mindfulness and compassion training for health care professionals and compel the scale-up of the digital intervention.</t>
  </si>
  <si>
    <t>EEG; compassion; digital app; digital health; digital intervention; digital mental health; digital mindfulness; health workers; healthcare professionals; mindfulness; neuroplasticity; physicians; training.</t>
  </si>
  <si>
    <t>Incluído (IC). Ensaio clínico (artigo principal, 2024) que emprega EEG para avaliar os resultados de mindfulness. Adere aos critérios.</t>
  </si>
  <si>
    <t>IC - Artigo principal (ensaio clínico, 2024) que utiliza EEG para avaliar mindfulness.</t>
  </si>
  <si>
    <t>Tosti B, et al.</t>
  </si>
  <si>
    <t>Neurofeedback Training Protocols in Sports: A Systematic Review...</t>
  </si>
  <si>
    <t>10.3390/brainsci14101036</t>
  </si>
  <si>
    <t>Background. Neurofeedback has been used in sports since the 1990s, frequently showing positive outcomes in enhancing athletic performance. This systematic review provides an updated analysis of neurofeedback training in sports, evaluating reaction time, cognitive performance, and emotional regulation to address literature gaps and suggest future research directions. (2) Methods. A systematic search was conducted using PubMed, Scopus, Science Direct, and Web of Science databases for articles published from January 2016 to April 2023. The search included only original articles written in English, resulting in 24 studies meeting the inclusion criteria. (3) Results. The reviewed studies cover a wide range of sports, including golf, basketball, swimming, rifle shooting, football, volleyball, athletics, judo, ice hockey, triathlon, handball, fencing, taekwondo, and darts. They involved athletes of varying experience levels (beginners, professionals, and experts) and utilized neurofeedback training targeting different frequency bands (alpha, beta, theta, and SMR), either individually or in mixed protocols. Findings show improvements in sports and cognitive performance, emotional regulation, and anxiety management. (4) Conclusions. This systematic review supports the effectiveness of neurofeedback in enhancing sports and cognitive performance across various disciplines and experience levels. Notable improvements were observed in technical skills, physical performance parameters, scoring, attention, concentration, reaction time, short-term and working memory, self-regulation, and cognitive anxiety. Future research should standardize protocols, include more diverse samples, and explore long-term effects to further validate these findings.</t>
  </si>
  <si>
    <t>EEG biofeedback; alpha-band training; anxiety management; athletic training; beta-band training; cognitive performance; emotional regulation; neurofeedback; reaction time; sports performance.</t>
  </si>
  <si>
    <t>Excluído (EC). O título classifica o trabalho como uma "Revisão Sistemática" (Falha no IC2: Tipo de Publicação).</t>
  </si>
  <si>
    <t>EC (IC2 Fail) - O estudo é explicitamente uma "Systematic Review" (Revisão Sistemática).</t>
  </si>
  <si>
    <t>Miskowiak KW, et al.</t>
  </si>
  <si>
    <t>Randomised controlled cognition trials...: A systematic review by the International Society for Bipolar Disorders...</t>
  </si>
  <si>
    <t>10.1111/bdi.13193</t>
  </si>
  <si>
    <t>Background: Cognitive impairments are an emerging treatment target in mood disorders, but currently there are no evidence-based pro-cognitive treatments indicated for patients in remission. With this systematic review of randomised controlled trials (RCTs), the International Society for Bipolar Disorders (ISBD) Targeting Cognition Task force provides an update of the most promising treatments and methodological recommendations.
Methods: The review included RCTs of candidate pro-cognitive interventions in fully or partially remitted patients with major depressive disorder or bipolar disorder. We followed the procedures of the Preferred Reporting Items for Systematic reviews and Meta-Analysis (PRISMA) 2020 statement. Searches were conducted on PubMed/MEDLINE, PsycInfo, EMBASE and Cochrane Library from January 2015, when two prior systematic reviews were conducted, until February 2021. Two independent authors reviewed the studies with the Revised Cochrane Collaboration's Risk of Bias tool for Randomised trials.
Results: We identified 16 RCTs (N = 859) investigating cognitive remediation (CR; k = 6; N = 311), direct current or repetitive magnetic stimulation (k = 3; N = 127), or pharmacological interventions (k = 7; N = 421). CR showed most consistent cognitive benefits, with two trials showing improvements on primary outcomes. Neuromodulatory interventions revealed no clear efficacy. Among pharmacological interventions, modafinil and lurasidone showed early positive results. Sources of bias included small samples, lack of pre-screening for objective cognitive impairment, no primary outcome and no information on allocation sequence masking.
Conclusions: Evidence for pro-cognitive treatments in mood disorders is emerging. Recommendations are to increase sample sizes, pre-screen for impairment in targeted domain(s), select one primary outcome, aid transfer to real-world functioning, investigate multimodal interventions and include neuroimaging.</t>
  </si>
  <si>
    <t>ISBD Task Force; bipolar disorder; cognitive impairment; intervention; major depressive disorder; randomised controlled trials; recommendations; systematic review.</t>
  </si>
  <si>
    <t>Excluído (EC). O título classifica o trabalho como uma "revisão sistemática" (Falha no IC2: Tipo de Publicação).</t>
  </si>
  <si>
    <t>EC (IC2 Fail) - O estudo é explicitamente uma "systematic review" (Revisão Sistemática).</t>
  </si>
  <si>
    <t>Jacques C, et al.</t>
  </si>
  <si>
    <t>Interest of neurofeedback training for cognitive performance and risk of brain disorders in the military context</t>
  </si>
  <si>
    <t>10.3389/fpsyg.2024.1412289</t>
  </si>
  <si>
    <t>Operational environments are characterized by a range of psycho-physiological constraints that can degrade combatants' performance and impact on their long-term health. Neurofeedback training (NFT), a non-invasive, safe and effective means of regulating brain activity, has been shown to be effective for mental disorders, as well as for cognitive and motor capacities and aiding sports performance in healthy individuals. Its value in helping soldiers in operational condition or suffering from post-traumatic stress (PTSD) is undeniable, but relatively unexplored. The aim of this narrative review is to show the applicability of NFT to enhance cognitive performance and to treat (or manage) PTSD symptoms in the military context. It provides an overview of NFT use cases before, during or after military operations, and in the treatment of soldiers suffering from PTSD. The position of NFT within the broad spectrum of performance enhancement techniques, as well as several key factors influencing the effectiveness of NFT are discussed. Finally, suggestions for the use of NFT in the military context (pre-training environments, and during and post-deployments to combat zones or field operations), future research directions, recommendations and caveats (e.g., on transfer to operational situations, inter-individual variability in responsiveness) are offered. This review is thus expected to draw clear perspectives for both researchers and armed forces regarding NFT for cognitive performance enhancement and PTSD treatment related to the military context.</t>
  </si>
  <si>
    <t>cognitive capacities; human performance; mental health; military context; neurofeedback training.</t>
  </si>
  <si>
    <t>Excluído (EC). O título classifica o trabalho como uma "revisão narrativa" (Falha no IC2: Tipo de Publicação).</t>
  </si>
  <si>
    <t>EC (IC2 Fail) - O estudo é explicitamente uma "narrative review" (revisão narrativa).</t>
  </si>
  <si>
    <t>Tröger A, et al.</t>
  </si>
  <si>
    <t>EEG markers of cognitive performance in bipolar disorder - A systematic review</t>
  </si>
  <si>
    <t>10.1016/j.neubiorev.2025.106157</t>
  </si>
  <si>
    <t>Background: People with bipolar disorder (BD) may experience impairing cognitive deficits, even in remission. Electroencephalographic (EEG) measures can depict neurophysiological activity with high temporal resolution. They could therefore be an adequate method to pinpoint the cognitive impairments in BD, facilitating understanding of when exactly the cognitive processing is disrupted and what neurophysiological systems are involved. In the absence of a previous literature examination, this systematic review aimed to synthesize the evidence of associations between EEG and cognitive measures to identify electrophysiological markers of cognitive performance in BD.
Methods: A systematic search across PubMed, EMBASE, APA PsycInfo and Cochrane Library until November 2023 was undertaken to identify studies in which a direct correlation between any continuous EEG measure and any continuous cognitive measure in participants with BD was reported. A narrative synthesis approach was used to present the identified correlations, across five cognitive (attention and processing speed, working memory, episodic memory, executive function, and intellectual capacity) and four EEG domains (event-related potentials (ERP), spectral, connectivity and other measures).
Results: A total of 16 articles describing 15 studies were included in the review. Six studies identified significant correlations. Most significant correlations were reported between ERP measures and attention and processing speed performance, several between ERP measures and executive functioning and one within the working memory and the intellectual capacity domain respectively. However, most of the identified significant correlations were conflicting within (different measures or mood states) and across studies with no consistent significant correlation across studies. The majority of identified correlations were non-significant.
Conclusions: As yet no robust EEG markers of cognitive performance in people with BD are known. This review highlights the heterogeneity in measures and participant characteristics between studies and the need for standardization. Further studies with homogeneous methods and participant groups may help to establish consistent associations.</t>
  </si>
  <si>
    <t xml:space="preserve">Bipolar disorder; Cognition; EEG; Systematic review.
</t>
  </si>
  <si>
    <t>Ismail LE, Karwowski W.</t>
  </si>
  <si>
    <t>Applications of EEG indices for the quantification of human cognitive performance: A systematic review and bibliometric analysis</t>
  </si>
  <si>
    <t>10.1371/journal.pone.0242857</t>
  </si>
  <si>
    <t>Background: Neuroergonomics combines neuroscience with ergonomics to study human performance using recorded brain signals. Such neural signatures of performance can be measured using a variety of neuroimaging techniques, including functional magnetic resonance imaging (fMRI), functional near-infrared spectroscopy (fNIRS), and electroencephalography (EEG). EEG has an excellent temporal resolution, and EEG indices are highly sensitive to human brain activity fluctuations.
Objective: The focus of this systematic review was to explore the applications of EEG indices for quantifying human performance in a variety of cognitive tasks at the macro and micro scales. To identify trends and the state of the field, we examined global patterns among selected articles, such as journal contributions, highly cited papers, affiliations, and high-frequency keywords. Moreover, we discussed the most frequently used EEG indices and synthesized current knowledge regarding the EEG signatures of associated human performance measurements.
Methods: In this systematic review, we analyzed articles published in English (from peer-reviewed journals, proceedings, and conference papers), Ph.D. dissertations, textbooks, and reference books. All articles reviewed herein included exclusively EEG-based experimental studies in healthy participants. We searched Web-of-Science and Scopus databases using specific sets of keywords.
Results: Out of 143 papers, a considerable number of cognitive studies focused on quantifying human performance with respect to mental fatigue, mental workload, mental effort, visual fatigue, emotion, and stress. An increasing trend for publication in this area was observed, with the highest number of publications in 2017. Most studies applied linear methods (e.g., EEG power spectral density and the amplitude of event-related potentials) to evaluate human cognitive performance. A few papers utilized nonlinear methods, such as fractal dimension, largest Lyapunov exponent, and signal entropy. More than 50% of the studies focused on evaluating an individual's mental states while operating a vehicle. Several different methods of artifact removal have also been noted. Based on the reviewed articles, research gaps, trends, and potential directions for future research were explored.
Conclusion: This systematic review synthesized current knowledge regarding the application of EEG indices for quantifying human performance in a wide variety of cognitive tasks. This knowledge is useful for understanding the global patterns of applications of EEG indices for the analysis and design of cognitive tasks.</t>
  </si>
  <si>
    <t>Hertenstein E, et al.</t>
  </si>
  <si>
    <t>Comparing subjective and objective nighttime- and daytime variables... - a systematic umbrella review of meta-analyses</t>
  </si>
  <si>
    <t>10.1016/j.smrv.2025.102153</t>
  </si>
  <si>
    <t>Insomnia disorder is a prevalent health problem with adverse consequences for mental health and quality of life. Although insomnia disorder is defined in diagnostic systems as a subjective complaint about sleep, this understanding is not consistently applied in clinical settings. There remains a lack of clarity regarding the mechanisms underlying subjective sleep complaints and associated daytime impairments. This systematic umbrella review of meta-analyses aimed to compare subjective and objective health-related variables between patients with insomnia disorder and controls, characterizing insomnia comprehensively. After a systematic literature search, we included six meta-analyses comparing patients with insomnia disorder and controls in terms of subjective sleep (sleep diaries), objective sleep (polysomnography), peripheral brain-derived neurotrophic factor, cortisol, objective cognitive performance, blood pressure and EEG spectral power. The pattern of results suggests that differences between patients with insomnia disorder and healthy controls are largest and most consistent for subjective sleep. Objective between-group effect sizes were largest for unspecific stress markers such as brain-derived neurotrophic factor and cortisol. Variables expected to be abnormal in those with objective sleep deprivation, such as objective attention and alertness, showed minimal group differences. Also in terms of sleep, effect sizes for subjective variables were consistently larger than those for objective variables. Critical appraisal of the quality of the included meta-analyses using the AMSTAR 2 tool suggested moderate overall confidence in the results, whereby shortcomings in several critical domains such as pre-registration of the study protocol and justification for the inclusion of individual studies have been identified. Our findings highlight that insomnia disorder is characterized by large reductions in subjective sleep quality, in the absence of large objective alterations. This body of evidence supports a biopsychosocial conceptualization of chronic insomnia disorder with a strong psychological component.</t>
  </si>
  <si>
    <t>Excluído (EC). O título classifica o trabalho como uma "revisão sistemática guarda-chuva" (Falha no IC2: Tipo de Publicação).</t>
  </si>
  <si>
    <t>EC (IC2 Fail) - O estudo é explicitamente uma "systematic umbrella review" (revisão guarda-chuva).</t>
  </si>
  <si>
    <t>Babel S, et al.</t>
  </si>
  <si>
    <t xml:space="preserve">Impact of Listening to Indian Classical Music, or Rāgas, on the Electroencephalogram: A Meta-Analysis </t>
  </si>
  <si>
    <t>10.7759/cureus.49592</t>
  </si>
  <si>
    <t>Ancient Indian classical music (ICM) has long been lauded and recognized for influencing emotional responses by influencing the human body's resonance. A meta-analysis of prospective case studies published in the last ten years on the effect of ancient Indian music rāgas on brain waves is investigated. This meta-analysis aimed to analyze published prospective studies investigating the effect of ancient Indian rāgas on EEG in healthy subjects. The present study included prospective studies published since 2012. Studies were obtained by searching four databases, such as PsychINFO, PubMed, Google Scholar, and JSTOR, and searching related journals. Eligibility criteria included studies assessing the impact of listening to Indian classical music on the EEG. Primary outcomes were changes in the brain waves, frequency, and power and their relationship to activity-related arousal, attention, and mental tasks. The studies were analyzed according to the PRISMA guidelines. There were a total of five included studies with 71 participants in the age range of 19-30, and the conditions for the test groups were generally similar except for varying types of rāgas used and time of day. Analysis of the data collected from 71 participants revealed that music interventions had statistically significant effects on increasing alpha activity and attention scores. Fractal analysis was sensitive enough to detect EEG brainwave changes while and after listening to the rāga musical intervention. Rāgas stimulate arousal in different areas of the brain, depending on the emotions they are designed to evoke. However, the synchronized studies together could not highlight a significant relationship between rāgas and EEG fractal dimension values. Although the meta-analysis failed to reproduce the same results from the individual studies, potentially due to the small sample size and study variation, the meta-analysis opens doors to the potential of rāgas to elicit distinct emotions and serve as robust predictors of emotional response. Future studies can explore the therapeutic potential of various rāgas in the clinical setting, such as in the management of cognitive disorders and stress or in modulating heart rate variability and cognitive performance.</t>
  </si>
  <si>
    <t>classical music; electroencephalography (eeg); holistic medicine; indian classical music; integrative; neuromodulation; raga; systematic review and meta analysis.</t>
  </si>
  <si>
    <t>Excluído (EC). O trabalho é uma "Metanálise", um formato de estudo de revisão (Falha no IC2: Tipo de Publicação).</t>
  </si>
  <si>
    <t>EC (IC2 Fail) - O estudo é explicitamente uma "Meta-Analysis" (Metanálise).</t>
  </si>
  <si>
    <t>Ding C, et al.</t>
  </si>
  <si>
    <t>Does music counteract mental fatigue? A systematic review</t>
  </si>
  <si>
    <t>10.1371/journal.pone.0316252</t>
  </si>
  <si>
    <t>Introduction: Mental fatigue, a psychobiological state induced by prolonged and sustained cognitive tasks, impairs both cognitive and physical performance. Several studies have investigated strategies to counteract mental fatigue. However, potential health risks and contextual restrictions often limit these strategies, which hinder their practical application. Due to its noninvasive and portable nature, music has been proposed as a promising strategy to counteract mental fatigue. However, the effects of music on performance decrements vary with different music styles. Synthesizing studies that systematically report music style and its impact on counteracting performance decrements is crucial for theoretical and practical applications.
Objectives: This review aims to provide a comprehensive systematic analysis of different music styles in counteracting mental fatigue and their effects on performance decrements induced by mental fatigue. Additionally, the mechanisms by which music counteracts mental fatigue will be discussed.
Methods: A comprehensive search was conducted across five databases-Web of Science, PubMed, SCOPUS, SPORTDiscus via EBSCOhost, and the Psychological and Behavioral Sciences Collection via EBSCOhost-up to November 18, 2023. The selected studies focused solely on music interventions, with outcomes including subjective feelings of mental fatigue, physiological markers, and both cognitive and behavioral performance.
Results: Nine studies met the predetermined criteria for inclusion in this review. The types of music interventions that counteract mental fatigue include relaxing, exciting, and personal preference music, all of which were associated with decreased subjective feelings of mental fatigue and changes in objective physiological markers. Cognitive performance, particularly in inhibition and working memory tasks impaired by mental fatigue, was countered by both relaxing and exciting music. Exciting music was found to decrease reaction time more effectively than relaxing music in working memory tasks. The physiological marker of steady-state visually evoked potential-based brain-computer interface (SSVEP-BCI) amplitude increased, confirming that exciting music counteracts mental fatigue more effectively than relaxing music. Behavioral performance in tasks such as arm-pointing, the Yo-Yo intermittent test, and the 5 km time-trial, which were impaired by mental fatigue, were counteracted by personal preference music.
Conclusion: Relaxing music, exciting music, and personal preference music effectively counteract mental fatigue by reducing feelings of fatigue and mitigating performance decrements. Individuals engaged in mentally demanding tasks can effectively counteract concurrent or subsequent cognitive performance decrements by simultaneously listening to relaxing or exciting music without lyrics or by using music during recovery from mental fatigue. Exciting music is more effective than relaxing music in counteracting mental fatigue. Personal preference music is effective in counteracting behavioral performance decrements in motor control and endurance tasks. Mentally fatigued individuals could apply personal preference music to counteract subsequent motor control performance decrements or simultaneously listen to it to counteract endurance performance decrements. Future studies should specify and examine the effects of different music genres, tempos, and intensities in counteracting mental fatigue. Additionally, the role of music in counteracting mental fatigue in contexts such as work productivity, traffic accident risk, and sports requires further investigation, along with the underlying mechanisms.</t>
  </si>
  <si>
    <t>Stango A, et al.</t>
  </si>
  <si>
    <t>Unveiling Major Depressive Disorder Through TMS-EEG: From Traditional to Emerging Approaches</t>
  </si>
  <si>
    <t>10.3390/biomedicines13102474</t>
  </si>
  <si>
    <t>N/A (Resumo não fornecido)</t>
  </si>
  <si>
    <t>Excluído (EC). O título ("From Traditional to Emerging Approaches") indica fortemente um formato de revisão (Falha no IC2: Tipo de Publicação).</t>
  </si>
  <si>
    <t>EC (IC2 Fail) - O título sugere fortemente que se trata de um artigo de revisão.</t>
  </si>
  <si>
    <t>Grinschgl S, et al.</t>
  </si>
  <si>
    <t>To enhance or not to enhance: A debate about cognitive enhancement...</t>
  </si>
  <si>
    <t>10.1016/j.plrev.2025.05.002</t>
  </si>
  <si>
    <t>The enhancement of humans' core cognitive abilities-such as intelligence-is a frequently debated topic in scientific and public discourse. Different enhancement methods such as cognitive trainings, smart drugs, and brain stimulation techniques have been proposed and tested to enhance human's cognition. In this narrative review, we summarize the main psychological and neuroscientific findings regarding those cognitive enhancement methods. We thereby distinguish passive (e.g., smart drugs) and active enhancement methods (e.g., working memory training)-which require different levels of agency. While for both forms of enhancement there is no (or only little) empirical evidence on their effectiveness to improve overall cognitive abilities, passive methods entail severe risks. Thus, we criticize promoting an overly optimistic view on especially passive enhancement. Furthermore, we highlight which individuals might be willing to enhance themselves, related motivational aspects of cognitive enhancement, and ethical considerations thereof. To raise awareness for the (in)effectiveness and risks of passive and active enhancement, we propose a category framework that distinguishes cognitive enhancement from clinical methods to treat disorders or diagnosed deficits and introduces important dimensions thereof. Finally, we present open questions for psychological and neuroscientific research which should become part of enhancement debates. Taken together, our narrative review provides a broad overview and critical assessment of enhancement-related topics such as effectiveness and risks of enhancement methods, motivational aspects to apply enhancement, and societal implications of cognitive enhancement.</t>
  </si>
  <si>
    <t>Gammon D, et al.</t>
  </si>
  <si>
    <t>Clozapine: Why Is It So Uniquely Effective in the Treatment of a Range of Neuropsychiatric Disorders?</t>
  </si>
  <si>
    <t>10.3390/biom11071030</t>
  </si>
  <si>
    <t>Clozapine is superior to other antipsychotics as a therapy for treatment-resistant schizophrenia and schizoaffective disorder with increased risk of suicidal behavior. This drug has also been used in the off-label treatment of bipolar disorder, major depressive disorder (MDD), and Parkinson's disease (PD). Although usually reserved for severe and treatment-refractory cases, it is interesting that electroconvulsive therapy (ECT) has also been used in the treatment of these psychiatric disorders, suggesting some common or related mechanisms. A literature review on the applications of clozapine and electroconvulsive therapy (ECT) to the disorders mentioned above was undertaken, and this narrative review was prepared. Although both treatments have multiple actions, evidence to date suggests that the ability to elicit epileptiform activity and alter EEG activity, to increase neuroplasticity and elevate brain levels of neurotrophic factors, to affect imbalances in the relationship between glutamate and γ-aminobutyric acid (GABA), and to reduce inflammation through effects on neuron-glia interactions are common underlying mechanisms of these two treatments. This evidence may explain why clozapine is effective in a range of neuropsychiatric disorders. Future increased investigations into epigenetic and connectomic changes produced by clozapine and ECT should provide valuable information about these two treatments and the disorders they are used to treat.</t>
  </si>
  <si>
    <t>Parkinson’s disease; antipsychotics; bipolar disorder; clozapine; electroconvulsive therapy; major depressive disorder; schizophrenia; suicide.</t>
  </si>
  <si>
    <t>Wider W, et al.</t>
  </si>
  <si>
    <t>Mapping the evolution of neurofeedback research: a bibliometric analysis...</t>
  </si>
  <si>
    <t>10.3389/fnhum.2024.1339444</t>
  </si>
  <si>
    <t>Introduction: This study conducts a bibliometric analysis on neurofeedback research to assess its current state and potential future developments.
Methods: It examined 3,626 journal articles from the Web of Science (WoS) using co-citation and co-word methods.
Results: The co-citation analysis identified three major clusters: "Real-Time fMRI Neurofeedback and Self-Regulation of Brain Activity," "EEG Neurofeedback and Cognitive Performance Enhancement," and "Treatment of ADHD Using Neurofeedback." The co-word analysis highlighted four key clusters: "Neurofeedback in Mental Health Research," "Brain-Computer Interfaces for Stroke Rehabilitation," "Neurofeedback for ADHD in Youth," and "Neural Mechanisms of Emotion and Self-Regulation with Advanced Neuroimaging.
Discussion: This in-depth bibliometric study significantly enhances our understanding of the dynamic field of neurofeedback, indicating its potential in treating ADHD and improving performance. It offers non-invasive, ethical alternatives to conventional psychopharmacology and aligns with the trend toward personalized medicine, suggesting specialized solutions for mental health and rehabilitation as a growing focus in medical practice.</t>
  </si>
  <si>
    <t>bibliometrics analysis; co-citation analysis; co-word analysis; human health; neurofeedback; web of science.</t>
  </si>
  <si>
    <t>Excluído (EC). Trata-se de uma "análise bibliométrica", que é um método de revisão da literatura (Falha no IC2: Tipo de Publicação).</t>
  </si>
  <si>
    <t>EC (IC2 Fail) - O estudo é uma "bibliometric analysis" (análise bibliométrica/revisão).</t>
  </si>
  <si>
    <t>Can magnetic resonance imaging enhance the assessment... A systematic review and position paper...</t>
  </si>
  <si>
    <t>10.1111/bdi.13247</t>
  </si>
  <si>
    <t>Background: Developing treatments for cognitive impairment is key to improving the functioning of people with mood disorders. Neuroimaging may assist in identifying brain-based efficacy markers. This systematic review and position paper by the International Society for Bipolar Disorders Targeting Cognition Task Force examines the evidence from neuroimaging studies of pro-cognitive interventions.
Methods: We included magnetic resonance imaging (MRI) studies of candidate interventions in people with mood disorders or healthy individuals, following the procedures of the Preferred Reporting Items for Systematic reviews and Meta-Analysis 2020 statement. Searches were conducted on PubMed/MEDLINE, PsycInfo, EMBASE, Cochrane Library, and Clinicaltrials.gov from inception to 30th April 2021. Two independent authors reviewed the studies using the National Heart, Lung, Blood Institutes of Health Quality Assessment Tool for Controlled Intervention Studies and the quality of neuroimaging methodology assessment checklist.
Results: We identified 26 studies (N = 702). Six investigated cognitive remediation or pharmacological treatments in mood disorders (N = 190). In healthy individuals, 14 studies investigated pharmacological interventions (N = 319), 2 cognitive training (N = 73) and 4 neuromodulatory treatments (N = 120). Methodologies were mostly rated as 'fair'. 77% of studies investigated effects with task-based fMRI. Findings varied but most consistently involved treatment-associated cognitive control network (CCN) activity increases with cognitive improvements, or CCN activity decreases with no cognitive change, and increased functional connectivity. In mood disorders, treatment-related default mode network suppression occurred.
Conclusions: Modulation of CCN and DMN activity is a putative efficacy biomarker. Methodological recommendations are to pre-declare intended analyses and use task-based fMRI, paradigms probing the CCN, longitudinal assessments, mock scanning, and out-of-scanner tests.</t>
  </si>
  <si>
    <t>Excluído (EC). A tecnologia central é "MRI" (Ressonância Magnética), que não faz parte dos critérios de inclusão (Falha no IC4: Escopo).</t>
  </si>
  <si>
    <t>EC (IC4 Fail) - O estudo foca em "magnetic resonance imaging (MRI)", não em BCI/EEG.</t>
  </si>
  <si>
    <t>Horváth D, et al.</t>
  </si>
  <si>
    <t>Feasibility of a novel neurofeedback system: a parallel randomized single-blinded pilot study</t>
  </si>
  <si>
    <t>10.1038/s41598-023-44545-1</t>
  </si>
  <si>
    <t>Neurocognitive assessment tools have been proposed to optimize, maintain, and improve perceptual-cognitive performance. Here, we investigated the feasibility and efficacy of a novel neurofeedback system, neuroMoon (nM), on cognitive abilities compared with one of the most popular perceptual-cognitive training (PCT) tools both in sports and rehabilitation called NeuroTracker (NT). Thirty-one young athletes performed a comprehensive battery of cognitive tests from the Vienna Test System before and after a 12-session computer-based cognitive training program using nM (n = 11, age 22.6 ± 3.8 years), nM sham (CON, n = 10, age 20.3 ± 1.2 years) or NT (n = 10, age 20.5 ± 1.7 years) device. A series of repeated-measures ANOVA was performed to detect changes in cognitive abilities in response to the training. Participants had faster median reaction time in both the color-naming and word-reading conditions of the Stroop test (all p &lt; 0.005), regardless of group. Regarding the task switching test, statistical analysis indicated faster working time and mean reaction time of the incongruent stimuli, repetition task, and shifting task (all p &lt; 0.005), nevertheless, these changes were also regardless of group. In addition, we found fewer omitted (pre: 17.5 ± 8.3, post: 6.4 ± 1.5, d = 1.311) and more correct (pre: 261.6 ± 36.1, post: 278.6 ± 38.7, d = - 1.020) post-intervention answers in the determination test, regardless of group. Finally, participants in each group performed the digit span backward test with larger post (6.42 ± 1.54) vs. pre (5.55 ± 1.43) scores following the PCT (d = - 0.801). Overall, PCT with nM as compared with NT induced similar results in cognitive abilities suggesting its potential to be used to achieve and maintain better mental performance. However, considering that the sham stimulation also induced similar improvements in cognitive abilities, future studies should clearly determine the cognitive measures that could benefit from NF training.</t>
  </si>
  <si>
    <t>Incluído (IC). Estudo piloto (artigo principal, 2023) que avalia um sistema de neurofeedback para ganho cognitivo. Alinhado com os critérios.</t>
  </si>
  <si>
    <t>IC - Artigo principal (estudo piloto, 2023) focado em neurofeedback para aprimoramento cognitivo.</t>
  </si>
  <si>
    <t>Chmiel J, et al.</t>
  </si>
  <si>
    <t>The Effectiveness of Mindfulness in the Treatment of Methamphetamine Addiction Symptoms...</t>
  </si>
  <si>
    <t>10.3390/brainsci14040320</t>
  </si>
  <si>
    <t>Introduction: Methamphetamine is a highly stimulating psychoactive drug that causes life-threatening addictions and affects millions of people around the world. Its effects on the brain are complex and include disturbances in the neurotransmitter systems and neurotoxicity. There are several known treatment methods, but their effectiveness is moderate. It must be emphasised that no drugs have been approved for treatment. For this reason, there is an urgent need to develop new, effective, and safe treatments for methamphetamine. One of the potential treatments is mindfulness meditation. In recent years, this technique has been researched extensively in the context of many neurological and psychiatric disorders.
Methods: This review explores the use of mindfulness in the treatment of methamphetamine addiction. Searches were conducted in the PubMed/Medline, Research Gate, and Cochrane databases.
Results: Ten studies were identified that used mindfulness-based interventions in the treatment of methamphetamine addiction. The results show that mindfulness is an effective form of reducing hunger, risk of relapses, stress indicators, depression, and aggression, alone or in combination with transcranial direct current stimulation (tDCS). Mindfulness also improved the cognitive function in addicts. The included studies used only behavioural measures. The potential mechanisms of mindfulness in addiction were explained, and it was proposed that it can induce neuroplasticity, alleviating the symptoms of addiction.
Conclusions: Evidence from the studies suggest that mindfulness may be an effective treatment option for methamphetamine addiction, used alone or in combination with tDCS. However, further high-quality research is required to establish the role of this treatment option in this field. The use of neuroimaging and neurophysiological measures is fundamental to understand the mechanisms of mindfulness.</t>
  </si>
  <si>
    <t>addiction; methamphetamine; methamphetamine use disorder; mindfulness.</t>
  </si>
  <si>
    <t>Excluído (EC). O foco é "tDCS", uma tecnologia de estimulação não listada nos critérios (Falha no IC4: Escopo).</t>
  </si>
  <si>
    <t>EC (IC4 Fail) - O estudo foca em "tDCS", não em BCI/EEG. (Também é uma revisão).</t>
  </si>
  <si>
    <t>Scott J, et al.</t>
  </si>
  <si>
    <t>An evidence map of actigraphy studies exploring longitudinal associations...</t>
  </si>
  <si>
    <t>10.1186/s40345-020-00200-6</t>
  </si>
  <si>
    <t>Background: Evidence mapping is a structured approach used to synthesize the state-of-the-art in an emerging field of research when systematic reviews or meta-analyses are deemed inappropriate. We employed this strategy to summarise knowledge regarding longitudinal ecological monitoring of rest-activity rhythms (RAR) and disease modifiers, course of illness, treatment response or outcome in bipolar disorders (BD).
Structure: We had two key aims: (1) to determine the number and type of actigraphy studies of in BD that explored data regarding: outcome over time (e.g. relapse/recurrence according to polarity, or recovery/remission), treatment response or illness trajectories and (2) to examine the range of actigraphy metrics that can be used to estimate disruptions of RAR and describe which individual circadian rhythm or sleep-wake cycle parameters are most consistently associated with outcome over time in BD. The mapping process incorporated four steps: clarifying the project focus, describing boundaries and 'coordinates' for mapping, searching the literature and producing a brief synopsis with summary charts of the key outputs. Twenty-seven independent studies (reported in 29 publications) were eligible for inclusion in the map. Most were small-scale, with the median sample size being 15 per study and median duration of actigraphy being about 7 days (range 1-210). Interestingly, 17 studies comprised wholly or partly of inpatients (63%). The available evidence indicated that a discrete number of RAR metrics are more consistently associated with transition between different phases of BD and/or may be predictive of longitudinal course of illness or treatment response. The metrics that show the most frequent associations represent markers of the amount, timing, or variability of RAR rather than the sleep quality metrics that are frequently targeted in contemporary studies of BD.
Conclusions: Despite 50 years of research, use of actigraphy to assess RAR in longitudinal studies and examination of these metrics and treatment response, course and outcome of BD is under-investigated. This is in marked contrast to the extensive literature on case-control or cross-sectional studies of actigraphy, especially typical sleep analysis metrics in BD. However, given the encouraging findings on putative RAR markers, we recommend increased study of putative circadian phenotypes of BD.</t>
  </si>
  <si>
    <t>Actigraphy; Bipolar; Course; Domains; Evidence map; Lithium; Longitudinal; Modifiers; Phenotype; Response.</t>
  </si>
  <si>
    <t>Excluído (EC). A tecnologia utilizada é "actigrafia", que está fora do escopo definido (Falha no IC4: Escopo).</t>
  </si>
  <si>
    <t>EC (IC4 Fail) - O estudo foca em "actigraphy", não em BCI/EEG. (Também é uma revisão).</t>
  </si>
  <si>
    <t>Meechan CF, et al.</t>
  </si>
  <si>
    <t>A critique of narrative reviews of the evidence-base for ECT in depression</t>
  </si>
  <si>
    <t>10.1017/S2045796021000731</t>
  </si>
  <si>
    <t>There has been recent debate regarding the efficacy of electroconvulsive therapy in the treatment of depression. This has been based on narrative reviews that contradict existing systematic reviews and meta-analyses. In this special article, we highlight the mistakes that occur when interpreting evidence using narrative reviews, as opposed to conventional systematic reviews and meta-analyses.</t>
  </si>
  <si>
    <t>Electroconvulsive therapy; depression; evidence-based medicine; meta-analysis.</t>
  </si>
  <si>
    <t>Excluído (EC). O foco é "ECT" (Eletroconvulsoterapia), que não é BCI, EEG ou neurofeedback (Falha no IC4: Escopo).</t>
  </si>
  <si>
    <t>EC (IC4 Fail) - O estudo foca em "ECT", não em BCI/EEG.</t>
  </si>
  <si>
    <t>Krylova M, et al.</t>
  </si>
  <si>
    <t>Comprehensive Mitigation of Peripheral and Central Stress Responses by Nx4: Insights From EEG and Heart Rate Variability...</t>
  </si>
  <si>
    <t>10.1002/hup.70020</t>
  </si>
  <si>
    <t>Objective: Stress from daily psychosocial challenges is a significant health concern with limited pharmacological treatment options. Psychosocial stress triggers distinct responses in the autonomic and central nervous systems, measurable via heart rate variability (HRV) and electroencephalogram (EEG). This post hoc analysis of clinical trial data explores the impact of the anti-stress medication Neurexan (Nx4) on HRV and EEG signals, and their correlation in a resting state following acute psychosocial stress induction.
Methods: Data from the NEURIM trial (NCT02602275), a randomized, placebo-controlled, double-blind, cross-over study, were utilized. Participants received Nx4 before exposure to ScanSTRESS, a psychosocial stress paradigm. EEG and photoplethysmogram data were collected at rest before and after stress exposure. Stress responsivity under both placebo and Nx4 conditions was evaluated through HRV and EEG signals.
Results: Psychosocial stress altered HRV parameters (increased LF/HF ratio, elevated Baevsky's Stress Index, reduced RMSSD) and EEG activity (decreased aperiodic offset, increased alpha power). Nx4 significantly mitigated stress-induced changes in LF/HF ratio, Baevsky's Stress Index, and aperiodic offset. A significant correlation was observed between Nx4 effects on HRV and EEG activity.
Conclusion: Nx4 attenuates peripheral and central physiological stress responses, suggesting a comprehensive approach to mitigating stress responses in daily life.</t>
  </si>
  <si>
    <t>autonomic nervous system; electroencephalography; heart rate variability; natural multicomponent multitarget medication; psychosocial stress; resting state.</t>
  </si>
  <si>
    <t>Incluído (IC). Análise de dados primários (2025) usando EEG para avaliar respostas ao estresse. Cumpre os requisitos.</t>
  </si>
  <si>
    <t>IC - Artigo principal (análise post hoc, 2025) que utiliza EEG para avaliar respostas ao estresse.</t>
  </si>
  <si>
    <t>Chmiel J, Malinowska A.</t>
  </si>
  <si>
    <t>The Neural Correlates of Chewing Gum-A Neuroimaging Review</t>
  </si>
  <si>
    <t>10.3390/brainsci15060657</t>
  </si>
  <si>
    <t>ntroduction: Chewing gum is a widespread, seemingly mundane behaviour that has been linked to diverse benefits such as improved cognitive performance, reduced stress, and enhanced alertness. While animal and human research indicate that mastication engages extensive sensorimotor networks and may also modulate higher-order cognitive and emotional processes, questions remain about the specific neural mechanisms involved. This review combines findings from neuroimaging studies-including fMRI, fNIRS, and EEG-that investigate how chewing gum alters brain activity in humans.
Methods: Using a targeted search strategy, we screened the major databases (PubMed/Medline, Scopus, ResearchGate, Google Scholar, and Cochrane) from January 1980 to March 2025 for clinical studies published in English. Eligible studies explicitly measured brain activity during gum chewing using EEG, fNIRS, or fMRI.
Results: After a title/abstract screening and a full-text review, thirty-two studies met the inclusion criteria for this review: 15 utilising fMRI, 10 using fNIRS, 2 using both fNIRS and EEG, and 5 employing EEG. Overall, the fMRI investigations consistently reported strong activation in bilateral motor and somatosensory cortices, the supplementary motor area, the insula, the cerebellum, and the thalamus, during gum chewing, with several studies also noting involvement of higher-order prefrontal and cingulate regions, particularly under stress conditions or when participants chewed flavoured gum. The fNIRS findings indicated that chewing gum increased oxygenated haemoglobin in the prefrontal cortex, reflecting heightened cortical blood flow; these effects were often amplified when the gum was flavoured or when participants were exposed to stressful stimuli, suggesting that both sensory and emotional variables can influence chewing-related cortical responses. Finally, the EEG studies documented transient increases in alpha and beta wave power during gum chewing, particularly when flavoured gum was used, and reported short-lived enhancements in vigilance or alertness, which tended to subside soon after participants ceased chewing.
Conclusions: Neuroimaging data indicate that chewing gum reliably engages broad sensorimotor circuits while also influencing regions tied to attention, stress regulation, and possibly memory. Although these effects are often short-lived, the range of outcomes-from changes in cortical oxygenation to shifts in EEG power-underscores chewing gum's capacity to modulate brain function beyond simple oral motor control. However, at this time, the neural changes associated with gum chewing cannot be directly linked to the positive behavioural and functional outcomes observed in studies that measure these effects without the use of neuroimaging techniques. Future research should address longer-term impacts, refine methods to isolate flavour or stress variables, and explore potential therapeutic applications for mastication-based interventions.</t>
  </si>
  <si>
    <t>EEG; QEEG; chewing; chewing gum; electroencephalogram; electroencephalography; fMRI; fNIRS; gum chewing; neuroimaging; quantitative electroencephalography.</t>
  </si>
  <si>
    <t>Excluído (EC). O título classifica o trabalho como uma "Revisão" (Falha no IC2: Tipo de Publicação).</t>
  </si>
  <si>
    <t>EC (IC2 Fail) - O estudo é explicitamente uma "Review" (Revisão).</t>
  </si>
  <si>
    <t>Stokes PRA, et al.</t>
  </si>
  <si>
    <t>Pharmacological Treatment of Mood Disorders...: A Systematic Review and Meta-Analysis...</t>
  </si>
  <si>
    <t>10.1177/0706743720915420</t>
  </si>
  <si>
    <t>Objective: Addiction comorbidity is an important clinical challenge in mood disorders, but the best way of pharmacologically treating people with mood disorders and addictions remains unclear. The aim of this study was to assess the efficacy of pharmacological treatments for mood and addiction symptoms in people with mood disorders and addiction comorbidity.
Methods: A systematic search of placebo-controlled randomized controlled trials investigating the effects of pharmacological treatments in people with bipolar disorder (BD) or major depressive disorder (MDD), and comorbid addictions was performed. Treatment-related effects on mood and addiction measures were assessed in a meta-analysis, which also estimated risks of participant dropout and adverse effects.
Results: A total of 32 studies met systematic review inclusion criteria. Pharmacological therapy was more effective than placebo for improving manic symptoms (standardized mean difference [SMD] = -0.15; 95% confidence interval [95% CI], -0.29 to -0.02; P = 0.03) but not BD depressive symptoms (SMD = -0.09; 95% CI, -0.22 to 0.03; P = 0.15). Quetiapine significantly improved manic symptoms (SMD = -0.23; 95% CI, -0.39 to -0.06; P = 0.008) but not BD depressive symptoms (SMD = -0.07; 95% CI, -0.23 to 0.10; P = 0.42). Pharmacological therapy was more effective than placebo for improving depressive symptoms in MDD (SMD = -0.16; 95% CI, -0.30 to -0.03; P = 0.02). Imipramine improved MDD depressive symptoms (SMD = -0.58; 95% CI, -1.03 to -0.13; P = 0.01) but Selective serotonin reuptake Inhibitors (SSRI)-based treatments had no effect (SMD = -0.06; 95% CI, -0.30 to 0.17; P = 0.60). Pharmacological treatment improved the odds of alcohol abstinence in MDD but had no effects on opiate abstinence.
Conclusions: Pharmacological treatments were significantly better than placebo in improving manic symptoms, MDD depressive symptoms, and alcohol abstinence but were not better for bipolar depression symptoms. Importantly, quetiapine was not more effective than placebo in improving bipolar depression symptoms nor were SSRI's for the treatment of MDD depression. Our findings highlight the need for further high-quality clinical trials of treatments for mood disorders and comorbid addictions.</t>
  </si>
  <si>
    <t>addictions; antidepressants; bipolar disorders; comorbidity; major depressive disorder; meta-analysis; pharmacotherapy; randomized controlled trial; systematic reviews.</t>
  </si>
  <si>
    <t>Excluído (EC). Avalia tratamento farmacológico, não as tecnologias BCI/EEG (Falha no IC4: Escopo).</t>
  </si>
  <si>
    <t>EC (IC4 Fail) - O estudo foca em tratamento farmacológico, não em BCI/EEG. (Também é uma Revisão).</t>
  </si>
  <si>
    <t>Arnone D, et al.</t>
  </si>
  <si>
    <t>Efficacy of onabotulinumtoxinA in the treatment of... depression: Systematic review, meta-analysis...</t>
  </si>
  <si>
    <t>10.1177/0269881121991827</t>
  </si>
  <si>
    <t>Background: OnabotulinumtoxinA is a novel therapeutic intervention whose mechanism of action is believed to modify the negative facial feedback, thus abating symptoms of depression. This putative new antidepressant agent offers minimal systemic side effects and negligible risk of pharmacological interactions. We set out to examine the evidence for the use of onabotulinumtoxinA in major depression.
Methods: A systematic search of the literature identified double-blind randomised controlled trials (RCTs) investigating the use of onabotulinumtoxinA in the treatment of major depression versus placebo. Data, reported according to the Preferred Reporting Items for Systematic reviews and Meta-Analyses (PRISMA), was combined in meta-analyses (PROSPERO registration ID: CRD42020183538).
Results: The search identified five RCTs (four double-blind) comparing onabotulinumtoxinA to placebo. OnabotulinumtoxinA was more effective than placebo when administered within the 20-40 IU dose range in double-blind RCTs. The analysis was free of publication bias and significantly heterogeneous. Meta-regression analyses indicated that onabotulinumtoxinA was more efficacious in women and in higher doses in female patients and less effective with polypharmacy, especially when an increasing number of antidepressants were prescribed. The effectiveness of onabotulinumtoxinA was higher in more recently published double-blind RCTs.
Conclusion: The meta-analysis supports the efficacy of the intervention with the results being highly heterogeneous across studies. In view of the heterogeneity of the findings and the significant moderators of benefit (sex, year of study completion and the interaction between sex and dose), more research is required to better understand the role of onabotulinumtoxinA in the treatment of depression.</t>
  </si>
  <si>
    <t>OnabotulinumtoxinA; double-blind randomised controlled trial; major depression; meta-analysis.</t>
  </si>
  <si>
    <t>Excluído (EC). Avalia tratamento com Botox (farmacológico), não BCI/EEG (Falha no IC4: Escopo).</t>
  </si>
  <si>
    <t>EC (IC4 Fail) - O estudo foca em tratamento farmacológico (Botox), não em BCI/EEG. (Também é uma Revisão).</t>
  </si>
  <si>
    <t>Attoh-Mensah E, et al.</t>
  </si>
  <si>
    <t>Neurobiological effects of exergame interventions...: A systematic review</t>
  </si>
  <si>
    <t>10.1016/j.neurobiolaging.2025.06.009</t>
  </si>
  <si>
    <t>Exergames (EG) are interactive video games that require physical activity and use gamification to make exercise more engaging. EG interventions demonstrated various benefits for older adults including improved mental health, quality of life, and a reduced risk of falls. Enhanced cognition is considered one of the principal targets driving these benefits. This systematic review aimed to identify the neurobiological effects of EG interventions in healthy older adults and those with neurocognitive disorders. We systematically searched major databases for studies from inception up until June 2024 and included 12 reports. Findings revealed that EG interventions induced structural and functional brain changes, accompanied by improved cognitive and motor performance, as well as neuroplastic adaptations, such as elevated BDNF levels and enhanced neurovascular coupling, in healthy older adults. Similar findings were reported in older adults with neurocognitive disorders, though only in two studies, one showing increased frontal and temporal activity at rest, and the other reporting an increase in brain volume. Notably, methodological limitations in some studies, particularly those involving neuroimaging, underline the preliminary nature of the findings. Furthermore, the small number of studies included, especially those focusing on older adults with neurocognitive disorders, who often present with diverse clinical profiles, emphasizes the need for further research to validate these encouraging but currently low-evidence findings.</t>
  </si>
  <si>
    <t>Aging brain; BDNF; Brain; EEG; Exergame; MRI; Neurocognitive disorders; Neuroplasticity; Older adults</t>
  </si>
  <si>
    <t>Efficacy of Transcranial Direct Current Stimulation (tDCS)... - A Review...</t>
  </si>
  <si>
    <t>10.3390/jcm14041337</t>
  </si>
  <si>
    <t>Introduction: Substance use disorder (SUD) is a significant global clinical issue marked by the excessive consumption of alcohol, nicotine, and various psychoactive substances, leading to impaired social, cognitive, and occupational functioning. Individuals with SUD frequently experience depression and anxiety disorders, which exacerbate their prognosis and contribute to substantial health and social burdens. The pathophysiology of SUD and its associated conditions is multifaceted, involving multiple dysfunctions in the brain. This complexity underscores an urgent need for the development of noninvasive treatments that can directly target the brain. One of them is transcranial direct current stimulation (tDCS), an intensively studied technique for safely modulating cortical excitability. The aim of this study is to investigate the effectiveness of tDCS in treating symptoms of depression and anxiety in SUD. Methods: With an emphasis on the underlying mechanisms of action, this mechanistic review investigates the effectiveness of tDCS in treating anxiety and depression in SUD patients. Literature searches were conducted using the PubMed/Medline, ResearchGate, Cochrane, and Google Scholar databases. Results: The review identified 12 relevant studies. The results showed that left dorsolateral prefrontal cortex (DLPFC) stimulation is an effective treatment option for depression in SUD. In anxiety disorders, left and right DLPFC stimulation is effective, with better results observed with right DLPFC stimulation. However, the included studies differed in their methodology, sample characteristics, and measurement methods, which could have influenced the final results of the analysis. The central focus of this mechanistic review is to discuss the potential mechanisms of action of tDCS in treating depression and anxiety in SUD. These mechanisms include the modulation of brain networks, a reduction in neuroinflammation, an enhancement in neuroplasticity, and an increase in P300 amplitude. We also discuss the limitations of the included studies and propose ways to address them in future research. Conclusions: This review provides evidence that tDCS is an effective treatment option for anxiety and depression in SUD. Stimulation of the left DLPFC reduces symptoms of depression, while stimulation of the right DLPFC reduces symptoms of anxiety. However, future research is required to confirm these findings and to deepen our understanding of the mechanisms through which tDCS exerts its effects in this context. Neuroimaging methods (fMRI and EEG) and blood tests could be particularly useful.</t>
  </si>
  <si>
    <t>addiction; anxiety; dependence; depression; neuromodulation; neurostimulation; noninvasive brain stimulation; substance use disorder; tDCS; transcranial direct current stimulation.</t>
  </si>
  <si>
    <t>Excluído (EC). O foco é "tDCS", uma tecnologia não incluída nos critérios (Falha no IC4: Escopo).</t>
  </si>
  <si>
    <t>EC (IC4 Fail) - O estudo foca em "tDCS", não em BCI/EEG. (Também é uma Revisão).</t>
  </si>
  <si>
    <t>Coleman JRI, et al.</t>
  </si>
  <si>
    <t>The Genetics of the Mood Disorder Spectrum: Genome-wide Association Analyses...</t>
  </si>
  <si>
    <t>10.1016/j.biopsych.2019.10.015</t>
  </si>
  <si>
    <t>Background: Mood disorders (including major depressive disorder and bipolar disorder) affect 10% to 20% of the population. They range from brief, mild episodes to severe, incapacitating conditions that markedly impact lives. Multiple approaches have shown considerable sharing of risk factors across mood disorders despite their diagnostic distinction.
Methods: To clarify the shared molecular genetic basis of major depressive disorder and bipolar disorder and to highlight disorder-specific associations, we meta-analyzed data from the latest Psychiatric Genomics Consortium genome-wide association studies of major depression (including data from 23andMe) and bipolar disorder, and an additional major depressive disorder cohort from UK Biobank (total: 185,285 cases, 439,741 controls; nonoverlapping N = 609,424).
Results: Seventy-three loci reached genome-wide significance in the meta-analysis, including 15 that are novel for mood disorders. More loci from the Psychiatric Genomics Consortium analysis of major depression than from that for bipolar disorder reached genome-wide significance. Genetic correlations revealed that type 2 bipolar disorder correlates strongly with recurrent and single-episode major depressive disorder. Systems biology analyses highlight both similarities and differences between the mood disorders, particularly in the mouse brain cell types implicated by the expression patterns of associated genes. The mood disorders also differ in their genetic correlation with educational attainment-the relationship is positive in bipolar disorder but negative in major depressive disorder.
Conclusions: The mood disorders share several genetic associations, and genetic studies of major depressive disorder and bipolar disorder can be combined effectively to enable the discovery of variants not identified by studying either disorder alone. However, we demonstrate several differences between these disorders. Analyzing subtypes of major depressive disorder and bipolar disorder provides evidence for a genetic mood disorders spectrum.</t>
  </si>
  <si>
    <t>Affective disorders; Bipolar disorder; Genetic correlation; Genome-wide association study; Major depressive disorder; Mood disorders.</t>
  </si>
  <si>
    <t>Zhao, Xin; Dang, Chen; Maes, Joseph H.R.</t>
  </si>
  <si>
    <t>2020</t>
  </si>
  <si>
    <t>https://doi.org/10.1016/j.biopsycho.2019.107840</t>
  </si>
  <si>
    <t>Social anxiety (SA) is quite common and associated with multiple comorbidities. Here, we examined the effects of working memory (WM) training on various indices potentially related to SA. Pre-selected university students with elevated self-reported SA symptoms were assigned to a WM training (n = 21) or an active control treatment condition (n = 21). Pre- and post-treatment assessments were made using questionnaires related to (social) anxiety and depression, and tasks measuring WM, interference control, and attentional biases towards, and event-related potentials (ERPs) elicited by, angry faces. The training enhanced WM transfer task performance, reduced SA symptoms, and changed the amplitude of the P1, N170, P2, and N2 ERP components. However, the latter changes did not mediate the effect of WM training on SA symptoms. These data provide preliminary evidence of the usefulness of WM trainings to reduce potential indices of SA, but further research is necessary to unravel the causal relation among these indices.</t>
  </si>
  <si>
    <t>Social anxiety; Working memory training; Attentional bias; Event-related potentials; Students</t>
  </si>
  <si>
    <t>Publication period: 2020 → ✔️ within 2020–2025.
Type: Primary empirical study, not a review → ✔️
Language: English → ✔️
Thematic scope: Uses EEG/ERPs and investigates working memory training effects on social anxiety (mental health) and cognition → ✔️
Not excluded: Not hardware-only, not a preprint, not too short, full abstract provided → ✔️
All inclusion criteria are met and no exclusion criteria are triggered.</t>
  </si>
  <si>
    <t>Score: 1 Rationale: This study strongly aligns with all Inclusion Criteria (IC) and meets none of the Exclusion Criteria (EC) based on the title and abstract.
Alignment Check
Publication Period (IC): Published in 2020, which is within the 2020–2025 period.
Publication Type (IC): It is a primary candidate study describing an experiment and results (an intervention with pre- and post-assessments), indicating it is a Main Paper, not a review.
Language (IC): The text is in English.
Thematic Scope (IC):
It addresses EEG (through Event-Related Potentials (ERPs), which are derived from EEG), fulfilling the BCI/EEG part.
It is applied to Social Anxiety (SA), a condition under the Mental Health scope.
It also involves Working Memory (WM) training and changes in cognitive performance, aligning with the Cognitive and Neurological Enhancement scope.
Exclusion Criteria (EC): None of the EC are met. It is not an SLR, focuses on the relevant themes, is peer-reviewed (implied by the study structure), and is not a short/technical-only article (it reports results on cognitive performance and anxiety symptoms).</t>
  </si>
  <si>
    <t>Neva, Jason L.</t>
  </si>
  <si>
    <t>Exercise-induced neuroplasticity</t>
  </si>
  <si>
    <t>2025</t>
  </si>
  <si>
    <t>https://doi.org/10.1016/B978-0-12-820480-1.00218-7</t>
  </si>
  <si>
    <t>Aerobic exercise positively impacts our body, brain, and behavior. It is thought that neuroplasticity (i.e., the ability of the brain to alter its structure and function based on experience) underlies the beneficial effects of exercise training on our behavior, such as cognition, mood, and learning. Over the past three decades, many exercise-induced effects on behavior and underlying neuroplasticity mechanisms have been uncovered due to advancements in research and technology. In this chapter, we will cover selected research that used cross-sectional, interventional, and acute study designs to investigate the impact of aerobic exercise on behavior and the brain. Specifically, we will discuss the impact of exercise on cognition and executive function, mood, and learning (word/language and motor skill). This chapter focuses on exercise-induced neuroplasticity at the systems-level in humans as measured by modern techniques, such as magnetic resonance imaging (MRI) and functional MRI (fMRI), electroencephalography (EEG) and transcranial magnetic stimulation (TMS). Throughout this chapter, we will highlight the impact of regular physical activity and/or cardiorespiratory fitness (cross-sectional designs), implementation of an aerobic exercise training program (interventional designs) and a single bout of aerobic exercise (acute designs) on behavior and brain plasticity. Applications of exercise-induced neural and behavioral plasticity in selected clinical populations (i.e., stroke, Parkinson's disease, and Multiple Sclerosis) will be discussed. Finally, we will close the chapter with future/unanswered research questions, general conclusions, and perspectives on this exciting field of research.</t>
  </si>
  <si>
    <t>Aerobic exercise; Neuroplasticity; Neurophysiology; Cognition; Executive function; Mood; Word/language learning; Motor learning; MRI; Functional MRI (fMRI); Electroencephalography (EEG); Transcranial magnetic stimulation (TMS); Stroke; Parkinson's disease; Multiple sclerosis</t>
  </si>
  <si>
    <t>Although the topic involves neuroplasticity, cognition, mood, and uses EEG/fMRI/TMS—which fits the thematic scope—the publication is explicitly described as a book chapter, summarizing and discussing prior research rather than presenting original primary empirical data.
This violates the inclusion criterion requiring main papers (primary studies) and triggers the exclusion of review or non-primary publications.</t>
  </si>
  <si>
    <t>The study is excluded because it is a Chapter detailing a comprehensive overview of a topic ("In this chapter, we will cover..."), indicating it is a review or synthesis of existing research, violating the Inclusion Criterion (IC) for Publication Type (must be Main Papers, not reviews).
Additionally, while the paper mentions EEG and neuroplasticity related to cognition and mood (aligning with the Thematic Scope), its primary focus is on the effects of aerobic exercise as the intervention. This violates the implicit expectation of the Thematic Scope that the study should be addressing Brain-Computer Interfaces (BCI, BMI, neurofeedback) as the intervention applied to mental health/cognitive enhancement, not just using EEG/fMRI as a measurement tool for an unrelated intervention like physical exercise.</t>
  </si>
  <si>
    <t>Guleken, Zozan; Eskikurt, Gökçer; Karamürsel, Sacit</t>
  </si>
  <si>
    <t>Investigation of the effects of transcranial direct current stimulation and neurofeedback by continuous performance test</t>
  </si>
  <si>
    <t>https://doi.org/10.1016/j.neulet.2019.134648</t>
  </si>
  <si>
    <t>Transcranial direct current stimulation (tDCS) is a noninvasive neuromodulation technique based on weak direct current stimulation through the scalp. Neurofeedback (NFB) is a learning strategy that may help alter to brain wave parameters, by monitoring electroencephalography (EEG) feedback via special programs. We aimed to investigate the supportive effects of tDCS in addition to NFB training. 16 healthy volunteers were divided equally into two groups. One of the groups was trained by NFB with the sensorimotor rhythm (SMR) protocol; 2 days per week, 10 sessions of 30 min, the other group received 10 min of tDCS before each NFB sessions. Continuous Performance Test (CPT) was used to measure, response time and suppression and to determine selective attention condition. Also, Beck Depression and Anxiety Inventories were used to exclude people with depression and anxiety. Depression scores of NFB + tDCS group were decreased significantly. CPT scores were better at last sessions for both groups compared to the first sessions. Sessions were analyzed by comparing 1st, 2nd, 5th and 10th sessions. While the NFB + tDCS group had statistically significant changes at theta/beta ratios with SMR and alpha band amplitudes, NFB group statistics had changed at theta/SMR ratios. NFB training shows its effects at the end of 10 sessions. Despite an increase in the latencies of correct and commission responses on the task of CPT, additional use of tDCS improves cognitive performance. Also, tDCS has a supportive effect on the healthy participants who have mild anxiety and depression; also inhibition deficits of subjects were clear.</t>
  </si>
  <si>
    <t>Neurofeedback; Transcranial direct current stimulation; Continuous performance test; Sensorimotor rhythm; Inhibition; Neuromodulation</t>
  </si>
  <si>
    <t>Publication period: 2020 → ✔️ within 2020–2025
Type: Primary empirical study with experimental groups → ✔️
Language: English → ✔️
Thematic scope: Uses EEG-based neurofeedback and tDCS, investigating effects on cognitive performance (attention) and mild anxiety/depression indicators → ✔️ fits cognitive enhancement and mental health criteria
Not excluded: Not a review, not hardware-only, not a preprint, sample size acceptable, full abstract provided → ✔️
All inclusion criteria are met, with no exclusion criteria triggered.</t>
  </si>
  <si>
    <t>The study is excluded because the Thematic Scope is not met.
The study investigates a combination of Transcranial Direct Current Stimulation (tDCS) and Neurofeedback (NFB). While Neurofeedback (a type of BCI) is aligned with the required theme, tDCS is a non-invasive neuromodulation technique, not an EEG-based BCI/neurofeedback technique.
Crucially, the study was conducted on 16 healthy volunteers and the Beck Depression and Anxiety Inventories were used to exclude people with depression and anxiety, meaning the primary focus of the study was not on treating or enhancing individuals with a defined Mental Health or Cognitive/Neurological Enhancement condition, but rather assessing the supportive effects of tDCS on NFB training in a healthy population. The finding regarding decreased depression scores in the NFB + tDCS group is a secondary observation about participants who already had mild scores, not the primary focus of the intervention applied to a clinical population.</t>
  </si>
  <si>
    <t>LLM 2</t>
  </si>
  <si>
    <t>Tedrus, Glória Maria Almeida Souza; Limongi, Jose Mario; Zuntini, Jose Victor Roveroni</t>
  </si>
  <si>
    <t>Resilience, quality of life, and clinical aspects of patients with epilepsy</t>
  </si>
  <si>
    <t>https://doi.org/10.1016/j.yebeh.2019.06.041</t>
  </si>
  <si>
    <t>Clinical and psychosocial factors can influence the quality of life (QoL) of patients with epilepsy (PWE). Objective The aim of this study was to investigate the association between the Resilience Scale (RS) and the QOLIE-31 (Quality of Life in Epilepsy Inventory), Neurological Disorders Depression Inventory for Epilepsy, and clinical aspects of 137 PWE, at a significance level of p &lt; 0.05. Results Seizure control, normal EEG (electroencephalographic) background activity, and antiepileptic drug (AED) monotherapy were associated with greater resilience. There was a correlation between resilience and depressive episodes (Pearson correlation: −0.462; p &lt; 0.000) and performance in the MMSE (Mini-Mental State Examination) (0.221, p = 0.015). Improved QoL was associated with greater resilience, self-sufficiency, equanimity, and perseverance. Greater resilience was significantly related to the absence of depressive symptoms (p = 0.001), normal EEG background activity (p = 0.024), and AED monotherapy (p = 0.049) in the linear regression model. Conclusion Clinical, cognitive, and EEG aspects were related to resilience. Depressive symptoms correlate negatively with resilience. Individuals with greater resilience perceive better QoL.</t>
  </si>
  <si>
    <t>Epilepsy; Resilience; Quality of life</t>
  </si>
  <si>
    <t>Although the study mentions EEG, it is not a BCI, neurofeedback, EEG-based intervention, or neurotechnology applied for mental health or cognitive enhancement. EEG is used only as a clinical descriptor (normal vs. abnormal background activity), not as a methodological tool to modulate or assess cognitive/mental-health functions via neurotechnology.
Additionally:
The study focuses on resilience, quality of life, epilepsy, and clinical correlates, not on BCI/EEG-based cognitive or mental-health interventions.
There is no cognitive enhancement intervention, no neurofeedback, no stimulation (tDCS/TMS), and no BCI framework.
Therefore, it fails the thematic inclusion criterion, leading to a score of 0.</t>
  </si>
  <si>
    <t>The study is excluded because the Thematic Scope is not met.
The core subject of the paper is epilepsy and the association between clinical/psychosocial factors, resilience, and quality of life (QoL) in patients with the condition.
While the abstract mentions EEG (electroencephalographic) background activity, it is used only as a diagnostic or clinical measure of the patient's neurological state (e.g., "normal EEG background activity" was associated with greater resilience). This does not align with the required Thematic Scope, which specifies studies must address Brain-Computer Interfaces (BCI, BMI, neurofeedback, EEG) applied as an intervention for mental health or cognitive enhancement. The study does not apply any BCI or neurofeedback training.</t>
  </si>
  <si>
    <t>Gao, Xinting; Chen, Weiming; Spengler, John D.; Yan, Chaogan; Geng, Yang; Zhuang, Weimin</t>
  </si>
  <si>
    <t>Larger or smaller? The effects of open-plan office spatial dimensions on human mood, productivity and economic benefit</t>
  </si>
  <si>
    <t>https://doi.org/10.1016/j.buildenv.2025.113067</t>
  </si>
  <si>
    <t>The open-plan office layout has gained popularity in modern interior design, yet its benefits for occupants remain unclear. This study uses psychological, physiological, and cognitive testing to assess how spatial dimensions impact work performance. In a CAVE laboratory with VR, three settings—small (9 × 9 m), medium (18×9 m), and large (27×9 m)—were simulated, with 52 participants completing the Stroop and Digit Span Tests. Data were collected via electroencephalography (EEG), eye tracking, skin conductance levels (SCL), and self-reported State-Trait Anxiety Inventory (STAI) scores. Results show that smaller spaces (9 × 9 m) improve cognitive performance, while larger spaces may benefit collaborative tasks. An economic analysis demonstrates that smaller spaces achieve a 23.37 % increase in benefits compared to larger spaces, sufficient to offset the higher construction costs. These findings emphasize the impact of spatial dimensions on employee well-being, health, and productivity, introducing a brain-computer interface framework for spatial evaluation to promote a healthier, more efficient workplace.</t>
  </si>
  <si>
    <t>Architectural design features; Electroencephalogram (EEG); Eye-tracking; Virtual reality; Human-centered design</t>
  </si>
  <si>
    <t>Publication period: 2025 → ✔️
Type: Primary empirical study → ✔️
Language: English → ✔️
Thematic Scope:
Uses EEG, a core BCI/neurotechnology method.
Investigates cognitive performance (Stroop, Digit Span), which fits the criterion of cognitive enhancement / cognitive functioning research.
Includes anxiety (STAI) as a mental-health–related measure.
Introduces a BCI framework for spatial evaluation → aligns well with BCI-based cognitive assessment.
Not excluded:
Not a review, not hardware-only, not a preprint, not short, no access issues → ✔️
Although the topic is workplace ergonomics, the study directly applies EEG/BCI methods to assess cognition and anxiety, fitting the inclusion criteria.</t>
  </si>
  <si>
    <t>The study is excluded because the Thematic Scope is not met.
The core intervention and focus of the study is investigating the effects of open-plan office spatial dimensions on mood and productivity. While the study uses electroencephalography (EEG), it is used only as a measurement tool to assess the neurological effects of the architectural environment (the office space), not as the intervention itself (i.e., the study does not involve the application of BCI, BMI, or neurofeedback training). The primary research question is about office design, not the application of BCI/neurofeedback technology for mental health or cognitive enhancement.</t>
  </si>
  <si>
    <t>Tsuchiyagaito, Aki; Smith, Jared L.; El-Sabbagh, Nour; Zotev, Vadim; Misaki, Masaya; Al Zoubi, Obada; Kent Teague, T.; Paulus, Martin P.; Bodurka, Jerzy; Savitz, Jonathan</t>
  </si>
  <si>
    <t>Real-time fMRI neurofeedback amygdala training may influence kynurenine pathway metabolism in major depressive disorder</t>
  </si>
  <si>
    <t>2021</t>
  </si>
  <si>
    <t>https://doi.org/10.1016/j.nicl.2021.102559</t>
  </si>
  <si>
    <t>Real-time fMRI neurofeedback (rtfMRI-nf) left amygdala (LA) training is a promising intervention for major depressive disorder (MDD). We have previously proposed that rtfMRI-nf LA training may reverse depression-associated regional impairments in neuroplasticity and restore information flow within emotion-regulating neural circuits. Inflammatory cytokines as well as the neuroactive metabolites of an immunoregulatory pathway, i.e. the kynurenine pathway (KP), have previously been implicated in neuroplasticity. Therefore, in this proof-of-principle study, we investigated the association between rtfMRI-nf LA training and circulating inflammatory mediators and KP metabolites. Based on our previous work, the primary variable of interest was the ratio of the NMDA-receptor antagonist, kynurenic acid to the NMDA receptor agonist, quinolinic acid (KynA/QA), a putative neuroprotective index. We tested two main hypotheses. i. Whether rtfMRI-nf acutely modulates KynA/QA, and ii. whether baseline KynA/QA predicts response to rtfMRI-nf. Twenty-nine unmedicated participants who met DSM-5 criteria for MDD based on the Mini-International Neuropsychiatric Interview and had current depressive symptoms (Montgomery-Åsberg Depression Rating Scale (MADRS) score &gt; 6) completed two rtfMRI-nf sessions to upregulate LA activity (Visit1 and 2), as well as a follow-up (Visit3) without rtfMRI-nf. All visits occurred at two-week intervals. At all three visits, the MADRS was administered to participants and serum samples for the quantification of inflammatory cytokines and KP metabolites were obtained. First, the longitudinal changes in the MADRS score and immune markers were tested by linear mixed effect model analysis. Further, utilizing a linear regression model, we investigated the relationship between rtfMRI-nf performance and immune markers. After two sessions of rtfMRI-nf, MADRS scores were significantly reduced (t[58] = −4.07, p = 0.009, d = 0.56). Thirteen participants showed a ≥ 25% reduction in the MADRS score (the partial responder group). There was a significant effect of visit (F[2,58] = 3.17, p = 0.05) for the neuroprotective index, KynA to 3-hydroxykynurenine (3-HK), that was driven by a significant increase in KynA/3-HK between Visit1 and Visit3 (t[58] = 2.50, p = 0.03, d = 0.38). A higher baseline level of KynA/QA (β = 5.23, p = 0.06; rho = 0.49, p = 0.02) was associated with greater ability to upregulate the LA. Finally, for exploratory purposes correlation analyses were performed between the partial responder and the non-responder groups as well as in the whole sample including all KP metabolites and cytokines. In the partial responder group, greater ability to upregulate the LA was correlated with an increase in KynA/QA after rtfMRI-nf (rho = 0.75, p = 0.03). The results are consistent with the possibility that rtfMRI-nf decreases metabolism down the so-called neurotoxic branch of the KP. Nevertheless, non-specific effects cannot be ruled out due to the lack of a sham control. Future, controlled studies are needed to determine whether the increase in KynA/3HK and KynA/QA is specific to rtfMRI-nf or whether it is a non-specific correlate of the resolution of depressive symptoms. Similarly, replication studies are needed to determine whether KynA/QA has clinical utility as a treatment response biomarker.</t>
  </si>
  <si>
    <t>fMRI neurofeedback; Amygdala; Blood markers; Inflammation; Kynurenine pathway; Depression</t>
  </si>
  <si>
    <t>Publication period: 2021 → ✔️
Type: Primary empirical study with experimental intervention (real-time fMRI neurofeedback) → ✔️
Language: English → ✔️
Thematic scope:
Uses real-time fMRI neurofeedback, which falls squarely under BCI/neurofeedback technologies.
Targets Major Depressive Disorder (MDD) → mental health criterion fully met.
Focuses on neuroplasticity-related biomarkers and depressive-symptom improvement → ✔️
Not excluded:
Not a review, not hardware-only, not a preprint, full abstract provided, adequate length → ✔️
The study meets all inclusion criteria and none of the exclusion criteria.</t>
  </si>
  <si>
    <t>This study strongly aligns with all Inclusion Criteria (IC) and meets none of the Exclusion Criteria (EC) based on the title and abstract.
Alignment Check
Publication Period (IC): Published in 2021, which is within the 2020–2025 period.
Publication Type (IC): It is a proof-of-principle study detailing an experiment on human participants (29 unmedicated MDD participants) with specific methodology and results (e.g., MADRS score reduction, statistical values), indicating it is a Main Paper, not a review.
Language (IC): The text is in English.
Thematic Scope (IC):
The intervention is real-time fMRI neurofeedback (rtfMRI-nf), which falls directly under the BCI/neurofeedback scope.
The application is to Major Depressive Disorder (MDD), which is a key condition under the Mental Health scope.
The mechanism investigated relates to neuroplasticity and neuroactive metabolites, aligning with the broader Cognitive and Neurological Enhancement scope.
Exclusion Criteria (EC): None of the EC are met. It is within the correct time frame, focuses on the required theme/intervention, is a primary paper, and is not focused exclusively on technical hardware aspects unrelated to cognition/mental health.</t>
  </si>
  <si>
    <t>Jaiswal, Satish; Purpura, Suzanna R; Manchanda, James K; Nan, Jason; Azeez, Nihal; Ramanathan, Dhakshin; Mishra, Jyoti</t>
  </si>
  <si>
    <t>Design and Implementation of a Brief Digital Mindfulness and Compassion Training App for Health Care Professionals: Cluster Randomized Controlled Trial</t>
  </si>
  <si>
    <t>2024</t>
  </si>
  <si>
    <t>https://doi.org/10.2196/49467</t>
  </si>
  <si>
    <t>Background Several studies show that intense work schedules make health care professionals particularly vulnerable to emotional exhaustion and burnout. Objective In this scenario, promoting self-compassion and mindfulness may be beneficial for well-being. Notably, scalable, digital app–based methods may have the potential to enhance self-compassion and mindfulness in health care professionals. Methods In this study, we designed and implemented a scalable, digital app–based, brief mindfulness and compassion training program called “WellMind” for health care professionals. A total of 22 adult participants completed up to 60 sessions of WellMind training, 5-10 minutes in duration each, over 3 months. Participants completed behavioral assessments measuring self-compassion and mindfulness at baseline (preintervention), 3 months (postintervention), and 6 months (follow-up). In order to control for practice effects on the repeat assessments and calculate effect sizes, we also studied a no-contact control group of 21 health care professionals who only completed the repeated assessments but were not provided any training. Additionally, we evaluated pre- and postintervention neural activity in core brain networks using electroencephalography source imaging as an objective neurophysiological training outcome. Results Findings showed a post- versus preintervention increase in self-compassion (Cohen d=0.57; P=.007) and state-mindfulness (d=0.52; P=.02) only in the WellMind training group, with improvements in self-compassion sustained at follow-up (d=0.8; P=.01). Additionally, WellMind training durations correlated with the magnitude of improvement in self-compassion across human participants (ρ=0.52; P=.01). Training-related neurophysiological results revealed plasticity specific to the default mode network (DMN) that is implicated in mind-wandering and rumination, with DMN network suppression selectively observed at the postintervention time point in the WellMind group (d=–0.87; P=.03). We also found that improvement in self-compassion was directly related to the extent of DMN suppression (ρ=–0.368; P=.04). Conclusions Overall, promising behavioral and neurophysiological findings from this first study demonstrate the benefits of brief digital mindfulness and compassion training for health care professionals and compel the scale-up of the digital intervention. Trial Registration Trial Registration: International Standard Randomized Controlled Trial Number Registry ISRCTN94766568, https://www.isrctn.com/ISRCTN94766568</t>
  </si>
  <si>
    <t>compassion; digital app; digital health; digital intervention; digital mental health; digital mindfulness; EEG; health workers; healthcare professionals; mindfulness; neuroplasticity; physicians; training</t>
  </si>
  <si>
    <t>Publication period: 2024 → ✔️ within 2020–2025
Type: Primary empirical study (cluster RCT) → ✔️
Language: English → ✔️
Thematic scope:
Uses EEG source imaging to measure neural activity and neuroplasticity → fits BCI/EEG-based assessment criteria.
Focuses on mindfulness, compassion, emotional well-being, burnout, all aligned with mental health → ✔️
Demonstrates neurophysiological changes (DMN suppression) following a digital intervention → ✔️
Not excluded:
Not a review, not hardware-only, not a preprint, adequate study length, full text accessible → ✔️
The study satisfies all inclusion criteria and none of the exclusion criteria, earning a score of 1.</t>
  </si>
  <si>
    <t>The study is excluded because the Thematic Scope is not met.
The core intervention of the study is Brief Digital Mindfulness and Compassion Training delivered via a mobile app ("WellMind"). The use of electroencephalography (EEG) source imaging to evaluate neural activity is a measurement tool used to observe the outcome of the mindfulness training, not the intervention itself.
The Inclusion Criteria require the study to be addressing Brain-Computer Interfaces (BCI, BMI, neurofeedback, EEG) as the intervention applied to mental health or cognitive enhancement. Since the intervention is a standard digital mindfulness training program (meditations/compassion exercises) and not a real-time EEG-guided neurofeedback/BCI protocol, the study falls outside the defined technological scope.</t>
  </si>
  <si>
    <t>Faller, Josef; Doose, Jayce; Sun, Xiaoxiao; Mclntosh, James R.; Saber, Golbarg T.; Lin, Yida; Teves, Joshua B.; Blankenship, Aidan; Huffman, Sarah; Goldman, Robin I.; George, Mark S.; Brown, Truman R.; Sajda, Paul</t>
  </si>
  <si>
    <t>Daily prefrontal closed-loop repetitive transcranial magnetic stimulation (rTMS) produces progressive EEG quasi-alpha phase entrainment in depressed adults</t>
  </si>
  <si>
    <t>2022</t>
  </si>
  <si>
    <t>https://doi.org/10.1016/j.brs.2022.02.008</t>
  </si>
  <si>
    <t>Background Transcranial magnetic stimulation (TMS) is a non-invasive neuromodulation modality that can treat depression, obsessive-compulsive disorder, or help smoking cessation. Research suggests that timing the delivery of TMS relative to an endogenous brain state may affect efficacy and short-term brain dynamics. Objective To investigate whether, for a multi-week daily treatment of repetitive TMS (rTMS), there is an effect on brain dynamics that depends on the timing of the TMS relative to individuals’ prefrontal EEG quasi-alpha rhythm (between 6 and 13 Hz). Method We developed a novel closed-loop system that delivers personalized EEG-triggered rTMS to patients undergoing treatment for major depressive disorder. In a double blind study, patients received daily treatments of rTMS over a period of six weeks and were randomly assigned to either a synchronized or unsynchronized treatment group, where synchronization of rTMS was to their prefrontal EEG quasi-alpha rhythm. Results When rTMS is applied over the dorsal lateral prefrontal cortex (DLPFC) and synchronized to the patient's prefrontal quasi-alpha rhythm, patients develop strong phase entrainment over a period of weeks, both over the stimulation site as well as in a subset of areas distal to the stimulation site. In addition, at the end of the course of treatment, this group's entrainment phase shifts to be closer to the phase that optimally engages the distal target, namely the anterior cingulate cortex (ACC). These entrainment effects are not observed in the group that is given rTMS without initial EEG synchronization of each TMS train. Conclusions The entrainment effects build over the course of days/weeks, suggesting that these effects engage neuroplastic changes which may have clinical consequences in depression or other diseases.</t>
  </si>
  <si>
    <t>Closed-loop neurostimulation; Electroencephalography (EEG); Repetitive transcranial magnetic stimulation (rTMS); Inter-trial phase coherence (ITPC); Major depressive disorder (MDD)</t>
  </si>
  <si>
    <t>Publication period: 2022 → ✔️ (within 2020–2025).
Type: Primary empirical study introducing a novel closed-loop rTMS + EEG system → ✔️.
Language: English → ✔️.
Thematic scope:
Uses closed-loop EEG-guided rTMS, which falls squarely into BCI/neurotechnology.
Targets Major Depressive Disorder (MDD) → fully aligned with mental health.
Investigates neuroplasticity, phase entrainment, and brain dynamics → ✔️.
Exclusion criteria:
Not a review, not hardware-only, not a preprint, not a short article, full study description available → ✔️.
This study meets all inclusion criteria and none of the exclusion criteria.</t>
  </si>
  <si>
    <t>This study strongly aligns with all Inclusion Criteria (IC) and meets none of the Exclusion Criteria (EC) based on the title and abstract.
Alignment Check
Publication Period (IC): Published in 2022, which is within the 2020–2025 period.
Publication Type (IC): It is a primary candidate study describing a double-blind intervention trial on depressed adults, indicating it is a Main Paper, not a review.
Language (IC): The text is in English.
Thematic Scope (IC):
The intervention is closed-loop repetitive Transcranial Magnetic Stimulation (rTMS) that is personalized, EEG-triggered and synchronized to the patient's prefrontal quasi-alpha rhythm. This specific setup, where EEG is actively used to time and control the neuromodulation delivery, constitutes a form of Brain-Computer Interface (BCI) (specifically, a closed-loop neuro-modulation system).
The application is to depressed adults (Major Depressive Disorder), which falls under the Mental Health scope.
The study investigates effects like phase entrainment and neuroplastic changes, which align with the Cognitive and Neurological Enhancement scope.
Exclusion Criteria (EC): None of the EC are met. It is within the correct time frame, uses a BCI-like method (EEG-triggered rTMS), is a primary paper, and is not focused exclusively on technical hardware unrelated to cognition/mental health.</t>
  </si>
  <si>
    <t>Alsamri, Jamal; Alamgeer, Mohammad; Alamri, Malak Zayed; Ghaleb, Mukhtar; Asklany, Somia A.; Almansour, Hamad; Alsafari, Safa; Alghamdi, Elham Abdullah</t>
  </si>
  <si>
    <t>Longitudinal EEG-based assessment of neuroplasticity and adaptive responses to transcranial focused ultrasound stimulation</t>
  </si>
  <si>
    <t>https://doi.org/10.1016/j.jneumeth.2025.110521</t>
  </si>
  <si>
    <t>Background An emerging non-invasive neuromodulation technique named Transcranial-focused ultrasound stimulation (tFUS) offered several advantages than the conventional methods in terms of high spatial precision and penetration depth. In neurological disorders, this emerging method have gained a lot of attention, because of has the potential for therapeutic modulation of brain activity. Then, lack of standardized, Real-Time (RT) assessment protocols will result in unclear comprehension regarding the way the repeated tFUS applications may impacts the neuroplasticity and adaptive brain responses in a long-term. Here, the short-term and long-term neuroplastic modifications were effectively identified by the the longitudinal integration of EEG biomarkers with tFUS stimulation sessions. An adaptive modulation strategies customized for individual neural responses are also facilitated by this hypothesis. New methods To integrate the tFUS with high-resolution electroencephalogram (EEG) monitoring in many sessions, Integrated Longitudinal Evaluation Protocol (ILEP) model was suggested in this study. To extract amplitude, latency, spectral dynamics, and connectivity features from evoked potentials, pre-, during-, and post-stimulation EEG signals were identified by the protocol. Then, for monitoring neuroadaptive trajectories over time, the intrgration of the statistical modeling and neural network (NN)-based pattern recognition was employed, and it will assist in analysing those features. For the purpose of differentiating the short-term oscillatory effects from long-term neuroplastic shifts, the following ways will helps in processing the EEG signals: time-frequency decomposition, event-related potential (ERP) analysis, and machine learning (ML) classifiers. Here, the subject-specific response patterns and temporal evolution of brain dynamics were effectively detected by the application of the Deep learning (DL) models. Results analysis After the tFUS, both the short-term and long-term modifications in brain activity were effectively detected by the application of ILEP, and it was demonstrated by the outcomes of the simulation and empirical data. Here, the location-specific, session-dependent EEG modifications are consistent with the adaptive neuroplastic processes, and it was revealed by the outcomes of the simulation. Then, accurate neuroadaptive signals were separated from noise and temporary conditions, and it was facilitated by the potential of the model. Comparison with existing methods A dynamic, session-over-session monitoring of brain responses was facilitated by the ILEP model. But static images was offered by those conventional methods. With an integration of closed-loop feedback and advanced neural modelling, the suggested model executes better than the conventional methods. This suggested model also facilitates in offering a customized neuromodulation therapies. Conclusion For monitoring the neuroplastic modifications induced by tFUS,this suggested ILEP model becomes an effective, sacalable. So, this suggested model facilitates an adaptive assessment model for that tracking, and it was demonstrated in this study. The future, RT, closed-loop neuromodulation systems in therapeutic and cognitive enhancement contexts may get benefits from the integration of EEG feedback mechanisms in the suggested model.</t>
  </si>
  <si>
    <t>Transcranial Focused Ultrasound Stimulation (tFUS); Longitudinal EEG (LEEG) Monitoring; Neuroplasticity Assessment (NPA); Adaptive Neuromodulation (AN); Closed-Loop Brain Stimulation (CLBS); Brain-Computer Interface (BCI); Evoked Potentials Analysis (EPA); Neural Network-Based Signal Processing (NN-SP); Personalized Neurotherapy (PNT); Integrated Longitudinal Evaluation Protocol (ILEP)</t>
  </si>
  <si>
    <t>Although the topic is highly relevant to EEG, neuroplasticity, neuromodulation, and BCI-like adaptive modeling, this paper cannot be included because it does not present primary empirical data from a real human sample.
Instead, it:
Proposes a methodological framework (ILEP model).
Uses simulation data and unspecified “empirical data” without describing sample characteristics, participants, or experimental procedures.
Functions as a methods/technical paper, not a true experimental primary study with human subjects.
This violates the inclusion criterion requiring main papers (primary empirical studies) and triggers exclusion criteria for non-primary, methods-focused, or simulation-based papers.
Therefore, it must be excluded (Score = 0).</t>
  </si>
  <si>
    <t>The study is excluded because the Thematic Scope is not met.
The primary intervention investigated is Transcranial-Focused Ultrasound Stimulation (tFUS), which is a non-invasive neuromodulation technique that uses focused acoustic energy. The study uses EEG only as a longitudinal assessment and monitoring tool to measure the neuroplastic effects of the tFUS intervention (e.g., extracting biomarkers from pre-, during-, and post-stimulation EEG signals).
The Inclusion Criteria require the study to be addressing Brain-Computer Interfaces (BCI, BMI, neurofeedback, EEG) as the intervention applied to mental health or cognitive enhancement. Since the intervention is tFUS and not an EEG-based BCI/neurofeedback protocol, the study falls outside the defined technological scope.</t>
  </si>
  <si>
    <t>Li, Junjie; Wu, Wei; Jin, Yichun; Zhao, Ruyue; Bian, Wenyan</t>
  </si>
  <si>
    <t>Research on environmental comfort and cognitive performance based on EEG+VR+LEC evaluation method in underground space</t>
  </si>
  <si>
    <t>https://doi.org/10.1016/j.buildenv.2021.107886</t>
  </si>
  <si>
    <t>Significant research on space has been conducted to stimulate the potential of the environment to positively impact the human body and accurately optimize the quality of the living environment. In underground spaces, there is a reduced ability to connect with the outdoor natural environment; thus, it is very important to study methods of optimizing the quality of underground space by exploring people's feelings as they relate to the built environment. This study adopted an electroencephalogram (EEG) + virtual reality (VR) + laboratory environmental control (LEC) method to simulate the underground building environment, explore the mechanisms operating between building space information and human perception feedback, and reveal the laws of interaction between the two. The space prototype was a typical independent underground office space. Three experimental scenes were created using VR. An EEG test, blood oxygen rhythm evaluation, and subjective questionnaire were employed to identify the influence of the space on environmental comfort and cognitive performance. Through an analysis of the EEG energy distribution, CP6 was found to be the most significant active degree. Regarding regional distribution, the active areas of the scene elements were located in the posterior and central zones. Additionally, by analyzing the EEG rhythm, a correlational relationship between β H/β L and cognitive performance was identified. The results strongly indicate that in different scenes, subjects' cognitive performance was affected by changes in the environment. Therefore, this study provides accurate reference information for designers of architectural spaces, based on user satisfaction and physical and mental health.</t>
  </si>
  <si>
    <t>EEG; VR; LEC; Human perception feedback; Building environment</t>
  </si>
  <si>
    <t>✔ Why it fits the inclusion criteria
This study does present original, primary experimental data, which is required. It includes:
Human participants exposed to VR-simulated underground environments.
EEG-based cognitive performance measurements (primary physiological data).
Environmental manipulation using LEC (Laboratory Environmental Control).
Outcome measures directly evaluating cognitive performance and environmental comfort.
Analyses of EEG rhythms (e.g., βH/βL) and their relationship with cognition.
This fully satisfies the requirement for main papers with empirical data using a BCI method (EEG).
✔ Why it does NOT violate exclusion criteria
Not a review.
Not a systematic review or secondary analysis.
Not a methods-only paper; it includes full experimental results.
Not just a discussion or theoretical chapter.
Conclusion:
This is an empirical EEG study examining cognition, so Score = 1.</t>
  </si>
  <si>
    <t>The study is excluded because the Thematic Scope is not met.The core intervention and primary focus of the research is investigating the effects of the built environment (specifically underground office space) and its spatial dimensions (simulated using VR and controlled by LEC) on human comfort and cognitive performance.While the study uses electroencephalography (EEG), it is employed only as a measurement tool (a physiological sensor) to record and analyze brain activity (e.g., energy distribution, $\beta H / \beta L$ ratio) that results from exposure to the different architectural environments.The Inclusion Criteria mandate that the study must address Brain-Computer Interfaces (BCI, BMI, neurofeedback, EEG) as the intervention applied to mental health or cognitive enhancement. Since the intervention is architectural design/environmental exposure and not an EEG-based BCI/neurofeedback protocol, the study falls outside the defined technological scope.</t>
  </si>
  <si>
    <t>Hertenstein, Elisabeth; Angelillo, Marie; Henckaerts, Pauline; Schneider, Carlotta L.; Fehér, Kristoffer D.; Riemann, Dieter; Feige, Bernd; Spiegelhalder, Kai; Johann, Anna; Türkmen, Cagdas; Nissen, Christoph</t>
  </si>
  <si>
    <t>Comparing subjective and objective nighttime- and daytime variables between patients with insomnia disorder and controls – a systematic umbrella review of meta-analyses</t>
  </si>
  <si>
    <t>https://doi.org/10.1016/j.smrv.2025.102153</t>
  </si>
  <si>
    <t>✔ Rationale
This article is explicitly a:
Systematic umbrella review
Of meta-analyses
Therefore, it summarizes secondary evidence rather than presenting original primary experimental data.
✔ Why it is excluded
It matches the exclusion criteria:
❌ “Review papers or meta-analyses”
❌ “Umbrella reviews”
❌ “Non-original, secondary analyses of existing data”
Even though EEG spectral power is discussed, the study itself does not collect new EEG or cognitive data, disqualifying it under the required inclusion criteria.
Conclusion:
This publication is a secondary review, not an original BCI/EEG experimental study → Score = 0.</t>
  </si>
  <si>
    <t>The study is excluded because it is a Systematic Umbrella Review of Meta-analyses, which violates the Inclusion Criterion (IC) for Publication Type (must be Main Papers, not reviews).
Although the study mentions EEG spectral power and addresses a Mental Health concern (Insomnia Disorder), the nature of the publication as a review of existing meta-analyses makes it ineligible for a systematic literature review focused on primary research papers.</t>
  </si>
  <si>
    <t>Whitehead, Jocelyne C; Neeman, Ron; Doniger, Glen M</t>
  </si>
  <si>
    <t>Preliminary Real-World Evidence Supporting the Efficacy of a Remote Neurofeedback System in Improving Mental Health: Retrospective Single-Group Pretest-Posttest Study</t>
  </si>
  <si>
    <t>https://doi.org/10.2196/35636</t>
  </si>
  <si>
    <t>Background Neurofeedback training (NFT) has been shown to be effective in treating several disorders (eg, attention-deficit/hyperactivity disorder [ADHD], anxiety, and depression); however, little is currently known regarding the effectiveness of remote NFT systems. Objective This retrospective study provides real-world data (N=593) to assess the efficacy of app-based remote NFT in improving brain health and cognitive performance. Methods Improvement was measured from pre- to postintervention of in-app assessments that included validated symptom questionnaires (the 12-item General Health Questionnaire, the ADHD Rating Scale IV, the Adult ADHD Self-Report Scale, the 7-item Generalized Anxiety Disorder scale, and the 9-item Patient Health Questionnaire), a cognitive test of attention and executive functioning (ie, continuous performance task), and resting electroencephalography (EEG) markers. Clinically significant improvement was evaluated using standard approaches. Results The greatest improvement was reported for the anxiety questionnaire, for which 69% (68/99) of participants moved from abnormal to healthy score ranges. Overall, adult and child participants who engaged in neurofeedback to improve attention and executive functions demonstrated improved ADHD scores and enhanced performance on a cognitive (ie, response inhibition) task. Adults with ADHD additionally demonstrated elevated delta/alpha and theta/alpha ratios at baseline and a reduction in the delta/alpha ratio indicator following neurofeedback. Conclusions Preliminary findings suggest the efficacy of app-based remote neurofeedback in improving mental health, given the reduced symptom severity from pre- to postassessment for general psychological health, ADHD, anxiety, and depression, as well as adjusted resting EEG neural markers for individuals with symptoms of ADHD. Collectively, this supports the utility of the in-app assessment in monitoring behavioral and neural indices of mental health.</t>
  </si>
  <si>
    <t>EEG biofeedback; remote care; neurofeedback; attention-deficit/hyperactivity disorder; delta/alpha ratio</t>
  </si>
  <si>
    <t>✔ Why the score is 1
It satisfies the inclusion criteria:
Human participants (N = 593).
Original experimental data were collected.
EEG recordings were used (resting EEG markers, delta/alpha, theta/alpha ratios).
Cognitive performance was measured (continuous performance task).
Behavioral/clinical outcomes were assessed (ADHD, anxiety, depression questionnaires).
Intervention involved neurofeedback, a valid EEG/BCI-related method.
It does not violate any exclusion criteria:
Not a review, commentary, protocol, or secondary analysis.
Uses real-world data but still collects original experimental EEG results.
Not purely theoretical.
No excluded domain such as purely spiritual/theosophical EEG speculation.
✔ Conclusion
Because it provides original EEG experimental data on mental health and cognitive performance influenced by a neurofeedback intervention, the study qualifies for inclusion.
Final score: 1</t>
  </si>
  <si>
    <t>This study strongly aligns with all Inclusion Criteria (IC) and meets none of the Exclusion Criteria (EC) based on the title and abstract.
Alignment Check
Publication Period (IC): Published in 2022, which is within the 2020–2025 period.
Publication Type (IC): It is a retrospective single-group pretest-posttest study reporting primary, real-world data and results from an intervention, indicating it is a Main Paper, not a review.
Language (IC): The text is in English.
Thematic Scope (IC):
The intervention is remote Neurofeedback Training (NFT) delivered via an app and monitored using EEG markers, which directly falls under the BCI/neurofeedback/EEG scope.
The application targets Mental Health (ADHD, anxiety, depression, and general psychological health) and Cognitive Performance (attention and executive functioning), fulfilling both required thematic areas.
Exclusion Criteria (EC): None of the EC are met. It is within the correct time frame, focuses on the required theme/intervention, is a primary paper, and is not focused exclusively on technical hardware unrelated to cognition/mental health.</t>
  </si>
  <si>
    <t>Serra Maia, Márcia de Lorena; Arêas, Fernando Zanela da Silva; Boechat, Antônio Luiz Ribeiro; Arêas, Guilherme Peixoto Tinoco</t>
  </si>
  <si>
    <t>Transcranial direct-current stimulation over the motor cortex in patients suffering from anxiety and depression related to rheumatoid arthritis: Study protocol for a randomized, double-blind, placebo-controlled trial</t>
  </si>
  <si>
    <t>2023</t>
  </si>
  <si>
    <t>https://doi.org/10.1016/j.bbih.2022.100566</t>
  </si>
  <si>
    <t>Rheumatoid arthritis is up to three times more prevalent in women. It is often associated with anxiety and depression, comorbidities causing psychic suffering and potentiating pain perception. It is also related to a higher risk of suicide among diagnosed patients. The high rates of discontinuation of conventional pharmacological treatments are the predominant factor in the search for new therapeutic approaches for the treatment of anxiety and depression. Transcranial direct-current stimulation (tDCS) is a promising, safe and low-cost technique that is very associative with other therapies. When applied to the primary motor cortex (M1) it can induce long-term changes in the synaptic level leading to the improvement of neuroplasticity. The primary aim of this study is to evaluate the effect of tDCS on the symptoms of anxiety and depression. The secondary aim is to evaluate the interference of tDCS on the inflammatory profile, cardiac autonomic behavior and quality of life of patients with rheumatoid arthritis. This is a randomized, double-blind, placebo-controlled clinical trial. The intervention consists of 10 consecutive sessions (once a day) applying tDCS with a 2mA current for 20 minutes. The electrode assembly on the scalp is in accordance with the International Electroencephalogram System 10–20 (EEG) and the anodal electrode is placed over the area of the primary motor cortex (M1 - C3 or C4) and the cathodal electrode on the supraorbital contralateral area (SO - Fp1 or Fp2). The analysis of continuous variables will be described by mean and standard deviation for parametric data and median and interquartile interval for nonparametric data. The evaluation of the effect of tDCS on the inflammatory profile, heart rate variability and quality of life will be obtained by the ANOVA two-way test. tDCS is expected to have a greater effect on reducing anxiety and depression symptoms compared to the placebo, being able to decrease inflammation and improve the quality of life of volunteers.</t>
  </si>
  <si>
    <t>Anxiety; Depression; Rheumatoid arthritis; Inflammation; Neurostimulation</t>
  </si>
  <si>
    <t>❌ Why this study is excluded
Although the study:
uses tDCS,
places electrodes according to the EEG 10–20 system,
and investigates neuroplasticity-related outcomes,
…it does not involve EEG acquisition, EEG analysis, or EEG-derived metrics as part of the experimental outcomes.
✔ It fails the key inclusion requirement:
The methodology uses EEG only as a scalp-coordinate reference system, not as a measurement or data modality.
✔ It also provides no electrophysiological data:
No EEG signals are recorded.
No EEG bands, ERP components, connectivity, power measures, or neural markers are analyzed.
✔ Other aspects (clinical trial, neurostimulation, mental health outcomes) are allowed,
but without EEG data, the study cannot be included.
Final classification
Score = 0
Because the study does not use EEG as a measurement modality and therefore does not meet the inclusion criteria.</t>
  </si>
  <si>
    <t>The study is excluded because the Thematic Scope is not met.
The core intervention used in this study is Transcranial Direct Current Stimulation (tDCS), which is a non-invasive neuromodulation technique that uses weak direct electrical current. This technique is not a form of Brain-Computer Interface (BCI), Brain-Machine Interface (BMI), or neurofeedback (EEG-guided or fMRI-guided).
While the abstract mentions using the International Electroencephalogram System 10–20 (EEG) for electrode placement, this reference is only for anatomical landmarking on the scalp for the tDCS electrodes, not for the application of BCI/neurofeedback where EEG signals are actively measured, processed, and fed back to the participant to achieve self-regulation. Therefore, the study does not align with the required technological scope (BCI, BMI, neurofeedback, or EEG applied as an intervention).</t>
  </si>
  <si>
    <t>Pinto, Janaina V; Hunt, Caroline; O'Toole, Brian</t>
  </si>
  <si>
    <t>Advancing Posttraumatic Stress Disorder Diagnosis and the Treatment of Trauma in Humanitarian Emergencies via Mobile Health: Protocol for a Proof-of-Concept Nonrandomized Controlled Trial</t>
  </si>
  <si>
    <t>https://doi.org/10.2196/38223</t>
  </si>
  <si>
    <t>Background Decentralized health systems in low- and middle-income countries (LMICs) affected by humanitarian crises lack resources and a qualified workforce to attend to the overwhelming demand for mental health care in emergencies. Innovative approaches that are safe, cost-effective, and scalable are needed to address the burden of traumatic stress caused by emergencies. High mobile phone ownership rates combined with the precision of neural, cognitive, and biometric measures of trauma and their feasible integration with artificial intelligence makes digital app interventions a promising pathway to promote precision diagnosis and high-impact care. Objective This study aimed to advance methods for the objective diagnosis and treatment of trauma in emergencies across LMICs by examining neural, cognitive, and biometric markers and the efficacy of the eResilience app, a neuroscience-informed mobile health mental health app intervention, via changes in clinical symptomatology, cognitive performance, and brain activity. Methods Trauma-exposed African refugees residing in Australia were selected for this study. A research software version of the eResilience app with advanced monitoring capabilities was designed for this trial. Participants completed the eResilience app at home during a 7-day period. Clinical, cognitive, and electrophysiological data were collected at baseline, along with posttest measurements to examine biomarkers of trauma and the efficacy of the proposed digital intervention for the treatment of trauma and its potential outcomes, including depression, anxiety, physical symptoms, self-harm, substance misuse, and cognitive impairment. In addition, biofeedback, well-being, and subjective stress data points were collected via the app during the treatment week, followed by clinical interviews at 1, 3, 6, and 12 months after the intervention. Results Data collection was conducted between 2018 and 2020. A total of 100 participants exposed to war were screened; 75 (75%) were enrolled and assigned to a trauma-exposed control (38/75, 51%) or posttraumatic stress disorder condition (37/75, 49%); and 70 (70%) completed all baseline, treatment, and posttest assessments. A total of 89% (62/70) of those who completed the intervention opted to enroll in the 3-, 6-, and 12-month follow-ups. Data collection is complete. As of May 2022, the results of all proposed analyses are being prepared for publication. If proven efficacious, this proof-of-concept clinical trial will inform fully powered randomized clinical trials in LMICs to further develop artificial intelligence–powered, app-based diagnostic and prognostic features and determine the app’s cross-cultural efficacy for the treatment of trauma in emergency settings. Conclusions This protocol provides researchers with a comprehensive background of the study rationale, a detailed guideline for replication studies interested in examining the feasibility and efficacy of the eResilience app across varied demographics, and a robust framework for investigating low-cost objective diagnostic markers in mental health interventions. Methodological limitations and suggestions are also provided. Trial Registration Australian New Zealand Clinical Trials Registry ACTRN12616001205426; https://tinyurl.com/yckwc4d7 International Registered Report Identifier (IRRID) RR1-10.2196/38223</t>
  </si>
  <si>
    <t>posttraumatic stress disorder; PTSD; trauma; humanitarian; emergencies; mobile health; mHealth; technology; neuroscience; electrophysiology; electroencephalogram; EEG; cognition; health system; biometric; health application; mental health; cognition; trauma; health intervention; mobile phone</t>
  </si>
  <si>
    <t>This study is included because it uses electrophysiological (EEG) recording as a central measurement tool to assess neural biomarkers of trauma, monitor brain activity changes before and after app-based intervention, and evaluate objective treatment outcomes. Unlike studies that mention EEG only for electrode placement, this protocol explicitly collects and analyzes EEG data alongside cognitive and clinical variables, satisfying the requirement that included studies must incorporate EEG acquisition or EEG-derived metrics to investigate neurophysiological processes or treatment effects. Therefore, it meets the methodological criteria for inclusion.</t>
  </si>
  <si>
    <t>The study is excluded because of two violations:
Publication Type (EC): The article is a Protocol for a clinical trial ("Protocol for a Proof-of-Concept Nonrandomized Controlled Trial"), not the final "Main Paper" reporting primary results. While the abstract mentions that data collection is complete and results are being prepared for publication (as of May 2022), the publication itself is the protocol, not the primary results paper.
Thematic Scope (IC/EC): The primary intervention is the eResilience app, which is described as a "neuroscience-informed mobile health mental health app intervention." The abstract mentions collecting electrophysiological data (EEG) and biofeedback data as part of the assessment, and using an Artificial Intelligence (AI)-powered framework for diagnosis. However, the intervention itself is not clearly described as a Brain-Computer Interface (BCI), Brain-Machine Interface (BMI), or neurofeedback system (i.e., a closed-loop system where EEG signals are actively measured, processed, and fed back to the participant for real-time self-regulation). The intervention is primarily an app-based digital mindfulness/mental health training program that uses EEG and biofeedback for monitoring and future AI development, not as the core treatment mechanism required by the IC.</t>
  </si>
  <si>
    <t>Tynan, Mara; Martinez, Erica; Chu, Gage; Ramanathan, Dhakshin; Herbert, Matthew S.</t>
  </si>
  <si>
    <t>Neuromodulation-Assisted Psychotherapy: Can Transcranial Magnetic Stimulation Increase The Efficacy Of Acceptance And Commitment Therapy For Comorbid Chronic Pain And Depression?</t>
  </si>
  <si>
    <t>https://doi.org/10.1016/j.jpain.2023.02.188</t>
  </si>
  <si>
    <t>Chronic pain (CP) is a highly disabling condition that affects approximately 50% of Veterans. Major depression cooccurs in up to 66% of CP patients and is associated with greater CP severity and poorer response to both pharmacological and non-pharmacological intervention compared to having CP alone. Acceptance and Commitment Therapy (ACT) is a mindfulness-based psychosocial intervention with demonstrated efficacy for the treatment of CP; however, comorbid depression significantly limits pain-related functional improvement observed in ACT trials. Repeated transcranial magnetic stimulation (rTMS) over the left dorsolateral prefrontal cortex (DLPFC) is FDA-approved for the treatment of depression and has been shown to be helpful for individuals with depression and CP with regards to depression and pain intensity, respectively, but has less impact on function and pain disability. Therefore, combining ACT with rTMS may overcome the limitations of each of these treatments independently for individuals with comorbid CP and depression. The current study describes the protocol of an ongoing integrated rTMS and ACT intervention for Veterans with comorbid CP and depression. Study design, including the timing of sessions to capitalize on rTMS-induced neuroplasticity, and study methods, which consist of standard and ecological momentary assessment, cognitive control tasks with concurrent EEG, and quantitative sensory testing, will be discussed along with preliminary data from this ongoing trial. Department of Veterans Affairs RR&amp;D Small Projects in Rehabilitation Research (SPiRE) (I21) 1 I21RX004090-01.</t>
  </si>
  <si>
    <t>This study is included because EEG is explicitly used as part of the experimental protocol through cognitive control tasks with concurrent EEG, meaning that electrophysiological data are actively acquired and analyzed to assess neural mechanisms underlying treatment effects. EEG is not mentioned only as a theoretical or placement reference but is an integral component of the study design, meeting the inclusion criterion that studies must collect EEG or EEG-derived measures to investigate neurophysiology, cognition, treatment response, or clinical status. Therefore, the study fits fully within the scope required for inclusion.</t>
  </si>
  <si>
    <t>The study is excluded because the core intervention described is the combination of Acceptance and Commitment Therapy (ACT) and Repeated Transcranial Magnetic Stimulation (rTMS).
While the abstract mentions using EEG concurrently with cognitive control tasks as a measurement tool to assess brain activity and study methods, the actual therapeutic intervention is rTMS + ACT. rTMS is an electromagnetic neuromodulation technique, not a form of Brain-Computer Interface (BCI), Brain-Machine Interface (BMI), or Neurofeedback (EEG-guided or fMRI-guided).
The Inclusion Criteria require the study to address BCI, BMI, neurofeedback, or EEG as the intervention itself. Since the intervention is rTMS and ACT, the study falls outside the defined technological scope.</t>
  </si>
  <si>
    <t>Kaneko, Naotsugu; Wada, Masakata; Takano, Mayuko; Taniguchi, Keita; Honda, Shiori; Nakajima, Shinichiro; Mimura, Masaru; Noda, Yoshihiro</t>
  </si>
  <si>
    <t>Impaired neuroplasticity in the dorsolateral prefrontal cortex of patients with treatment-resistant depression indexed by paired associative stimulation paradigm and a combined TMS-EEG measurements</t>
  </si>
  <si>
    <t>https://doi.org/10.1016/j.brs.2023.01.371</t>
  </si>
  <si>
    <t>Sem resumo</t>
  </si>
  <si>
    <t>No Abstract</t>
  </si>
  <si>
    <t>Nenhuma</t>
  </si>
  <si>
    <t>Hazime, Mahmoud; Alasoadura, Michael; Lamtahri, Rhita; Quilichini, Pascale; Leprince, Jérôme; Vaudry, David; Chuquet, Julien</t>
  </si>
  <si>
    <t>Prolonged deficit of low gamma oscillations in the peri-infarct cortex of mice after stroke</t>
  </si>
  <si>
    <t>https://doi.org/10.1016/j.expneurol.2021.113696</t>
  </si>
  <si>
    <t>Days and weeks after an ischemic stroke, the peri-infarct area adjacent to the necrotic tissue exhibits very intense synaptic reorganization aimed at regaining lost functions. In order to enhance functional recovery, it is important to understand the mechanisms supporting neural repair and neuroplasticity in the cortex surrounding the lesion. Brain oscillations of the local field potential (LFP) are rhythmic fluctuations of neuronal excitability that synchronize neuronal activity to organize information processing and plasticity. Although the oscillatory activity of the brain has been probed after stroke in both animals and humans using electroencephalography (EEG), the latter is ineffective to precisely map the oscillatory changes in the peri-infarct zone where synaptic plasticity potential is high. Here, we worked on the hypothesis that the brain oscillatory system is altered in the surviving peri-infarct cortex, which may slow down the functional repair and reduce the recovery. In order to document the relevance of this hypothesis, oscillatory power was measured at various distances from the necrotic core at 7 and 21 days after a permanent cortical ischemia induced in mice. Delta and theta oscillations remained at a normal power in the peri-infarct cortex, in contrast to low gamma oscillations that displayed a gradual decrease, when approaching the border of the lesion. A broadband increase of power was also observed in the homotopic contralateral sites. Thus, the proximal peri-infarct cortex could become a target of therapeutic interventions applied to correct the oscillatory regimen in order to boost post-stroke functional recovery.</t>
  </si>
  <si>
    <t>Stroke; Cerebral ischemia; Peri-infarct cortex; Functional recovery; Plasticity; Brain oscillations; Local field potential</t>
  </si>
  <si>
    <t>This study should be excluded because it does not use EEG or EEG-derived measures directly; instead, it relies exclusively on local field potential (LFP) recordings in mice to assess post-stroke oscillatory changes. Although the introduction mentions EEG conceptually, EEG is not collected, analyzed, or used to generate any results in this study. Because the inclusion criteria require that EEG be an active component of the methodology—rather than a general reference—this paper does not meet the standards for inclusion.</t>
  </si>
  <si>
    <t>The study is excluded because the Thematic Scope is not met.
The study investigates the changes in low gamma oscillations in the peri-infarct cortex of mice after stroke.
Intervention Violation: The study is purely observational/diagnostic. It measures oscillatory power (a proxy for EEG) to understand the mechanisms of neuroplasticity after a stroke; it does not employ or test an intervention based on Brain-Computer Interfaces (BCI), Neurofeedback, or EEG-based training for treating or enhancing the condition.
Condition/Application Violation (Primary Focus): While the findings are related to neuroplasticity (a relevant theme), the primary focus and subject of the study are the pathophysiological changes following an ischemic stroke in mice, not the application of BCI/neurofeedback to treat a defined Mental Health condition (e.g., depression, anxiety, ADHD) or to achieve Cognitive Enhancement in a non-pathological or specific clinical group listed in the IC. The study's focus is on fundamental stroke pathology and recovery mechanisms.</t>
  </si>
  <si>
    <t>Li, Jiaxin; Xiong, Dongsheng; Gao, Chenyang; Huang, Yuanyuan; Li, Zhaobo; Zhou, Jing; Ning, Yuping; Wu, Fengchun; Wu, Kai</t>
  </si>
  <si>
    <t>Individualized Spectral Features in First-Episode and Drug-Naïve Major Depressive Disorder: Insights From Periodic and Aperiodic Electroencephalography Analysis</t>
  </si>
  <si>
    <t>https://doi.org/10.1016/j.bpsc.2024.12.014</t>
  </si>
  <si>
    <t>Background The detection of abnormal brain activity plays an important role in the early diagnosis and treatment of major depressive disorder (MDD). Recent studies have shown that the decomposition of the electroencephalography (EEG) spectrum into periodic and aperiodic components is useful for identifying the drivers of electrophysiologic abnormalities and avoiding individual differences. Methods In this study, we aimed to elucidate the pathological changes in individualized periodic and aperiodic activities and their relationships with the symptoms of MDD. EEG data in the eyes-closed resting state were continuously recorded from 97 first-episode and drug-naïve patients with MDD and 90 healthy control participants. Both periodic oscillations and aperiodic components were obtained via the fitting oscillations and one-over f (FOOOF) algorithm and then used to compute individualized spectral features. Results Patients with MDD presented higher canonical alpha and beta band power but lower aperiodic-adjusted alpha and beta power. Furthermore, we found that alpha power was strongly correlated with the age of patients but not with disease symptoms. The aperiodic intercept was lower in the parieto-occipital region and was positively correlated with Hamilton Depression Rating Scale scores after accounting for age and sex. In the asymmetry analysis, alpha activity appeared asymmetrical only in the healthy control group, whereas aperiodic activity was symmetrical in both groups. Conclusions The findings of this study provide insights into the role of abnormal neural spiking activity and impaired neuroplasticity in MDD progression and suggest that the aperiodic intercept in resting-state EEG may be a potential biomarker of MDD.</t>
  </si>
  <si>
    <t>Aperiodic exponent; Aperiodic intercept; Individualized alpha activity; Individualized beta activity; Major depressive disorder; Resting-state electroencephalography</t>
  </si>
  <si>
    <t>This study is included because EEG is the primary method used to investigate neural abnormalities in first-episode, drug-naïve major depressive disorder. Resting-state EEG was recorded from all participants, and the analyses rely directly on EEG spectral decomposition (periodic and aperiodic components) using the FOOOF algorithm to derive individualized neural biomarkers. EEG features—including canonical band power, aperiodic-adjusted power, the aperiodic intercept, and hemispheric asymmetry—are central to the study’s methodology and conclusions. Because EEG is actively collected, processed, and used to derive clinical and neurophysiological insights, the study meets full inclusion criteria.</t>
  </si>
  <si>
    <t>The study is excluded because the Thematic Scope is not met.
The study's focus is the detection and analysis of abnormal brain activity (EEG spectral features) in patients with Major Depressive Disorder (MDD) to find potential biomarkers for diagnosis and understanding pathology.
The study uses Electroencephalography (EEG) as a diagnostic measurement tool to record resting-state data. It does not employ or test an intervention based on Brain-Computer Interfaces (BCI), Brain-Machine Interfaces (BMI), or neurofeedback for the treatment or enhancement of MDD. Therefore, the study falls outside the defined technological scope requiring the application of BCI/Neurofeedback technology.</t>
  </si>
  <si>
    <t>Yang, Li; Zhang, Jiaxing; Yang, Yukai; Wang, Nan; Zhang, Zhen; Chen, Liqun</t>
  </si>
  <si>
    <t>Effects of high carbon dioxide concentration on emotional processing: Based on multimodal evidence</t>
  </si>
  <si>
    <t>https://doi.org/10.1016/j.buildenv.2024.111434</t>
  </si>
  <si>
    <t>The effects of CO2 on emotional processing are still incompletely understood, although its effects on cognitive performance are widely recognized. This study hypothesized that elevated CO2 concentration would affect the processing of different valence emotions, which leads to more negative emotions and fewer positive emotions. A within-subject experiment was conducted to compare subjective emotional scores, emotional processing behavioral performance, EEG patterns, and other physiological changes of 30 participants exposed to CO2 concentration at 600 ppm and 5000 ppm. The results suggested that CO2 concentration could affect neural arousal patterns during emotional processing, changes in blood pressure, and salivary cortisol secretion in healthy participants. Emotional experience task performance of participants was also affected by CO2, which was not statistically significant. At the high CO2 concentration, the systolic blood pressure (SBP) level was significantly lower (p = 0.005), while the salivary cortisol level was significantly higher (p = 0.037). Power spectral density analysis showed that there was a significant interaction between CO2 concentration and emotional valence for theta waves in frontal regions (p = 0.029), beta waves in temporal regions (p = 0.017), and gamma waves in frontal-parietal occipital regions (p = 0.013). The present study found that CO2 has a negative effect on emotional processing, such as reducing the speed and accuracy of emotional processing. To some extent, there are also some positive effects, like reducing emotionally-induced increases in blood pressure. This finding warrants further research.</t>
  </si>
  <si>
    <t>CO; Indoor air quality; Emotion processing; Multimodal</t>
  </si>
  <si>
    <t>This study should be included because EEG plays a direct and central role in assessing how different CO₂ concentrations influence neural dynamics during emotional processing. The experiment uses EEG to analyze power spectral density across theta, beta, and gamma bands in specific cortical regions, and these EEG-based neural markers are key components of the results and interpretations. The findings on EEG–CO₂ interactions complement behavioral, hormonal, and cardiovascular measures, but the EEG analysis is essential to the study’s conclusions about altered neural arousal and emotional processing. Therefore, the article fully meets the inclusion criteria.</t>
  </si>
  <si>
    <t>The study is excluded because the Thematic Scope is not met.
The core intervention being investigated is the effect of elevated CO2 concentration (5000 ppm vs. 600 ppm) on emotional processing and cognitive performance.
While the study uses Electroencephalography (EEG) as a measurement tool (power spectral density analysis) and relates the findings to emotional processing (a mental health/cognitive topic), the actual intervention is the alteration of the surrounding air quality (CO2 levels). This does not align with the required Technological Scope, which specifies studies must address Brain-Computer Interfaces (BCI, BMI, neurofeedback, EEG) as the intervention applied to mental health or cognitive enhancement. The intervention is atmospheric/environmental, not neuro-technological.</t>
  </si>
  <si>
    <t>Hebel, T.; Langguth, B.; Schecklmann, M.; Schoisswohl, S.; Staudinger, S.; Schiller, A.; Ustohal, L.; Sverak, T.; Horky, M.; Kasparek, T.; Skront, T.; Hyza, M.; Poeppl, T.B.; Riester, M.L.; Schwemmer, L.; Zimmermann, S.; Sakreida, K.</t>
  </si>
  <si>
    <t>Rationale and study design of a trial to assess rTMS add-on value for the amelioration of negative symptoms of schizophrenia (RADOVAN)</t>
  </si>
  <si>
    <t>https://doi.org/10.1016/j.conctc.2022.100891</t>
  </si>
  <si>
    <t>Background Schizophrenia is a severe and often difficult to treat psychiatric illness. In many patients, negative symptoms dominate the clinical picture. Meta-analysis has suggested moderate, but significant effects of high-frequency repetitive transcranial magnetic stimulation (HF-rTMS) on these symptoms. For treatment of depression a much shorter protocol - intermittent theta burst stimulation (iTBS) - has shown to be non-inferior to conventional high-frequency rTMS. This randomized, sham-controlled, rater-blinded clinical trial assesses the effects of conventional HF-rTMS as well as of iTBS of the left dorsolateral prefrontal cortex in comparison with sham. Methods The study will be conducted at two psychiatric university hospitals in Germany and at two in the Czech Republic. Assuming an effect size of 0.64 to be detected with a power of 80%, the calculated sample size is 90 patients. Primary outcome will be the difference in the Scale for the Assessment of Negative Symptoms (SANS) score between each active arm and the sham arm at end of treatment. In addition, the trial investigates effects on depressive symptoms, cognitive performance and cigarette smoking. Recording magnetic resonance imaging (MRI) and electroencephalography (EEG) data will serve to assess whether treatment success can be predicted by neural markers and is related to specific neurobiological changes. Discussion This is a clinical trial directly comparing 10 Hz-rTMS and iTBS in a sham-controlled manner in treating negative symptoms of schizophrenia. If successful, this would present an interesting treatment option for a chronic and severe condition that can be applied at most psychiatric hospitals and only takes up a few minutes per day. Trial registration number This trial has been registered at clinicaltrials.gov, Identifier: NCT04318977. Data dissemination Results from the trial shall be published in peer-reviewed journals and presented at meetings and conferences.</t>
  </si>
  <si>
    <t>Schizophrenia; Negative symptoms; Transcranial magnetic stimulation; TMS; Neuromodulation</t>
  </si>
  <si>
    <t>This study should be included because EEG is explicitly used as a core methodological component to evaluate neural markers associated with treatment response to rTMS and iTBS in schizophrenia. Although the primary outcomes are clinical (negative symptoms), the protocol incorporates EEG recordings alongside MRI to determine whether baseline or treatment-related neurophysiological changes can predict therapeutic efficacy. Because EEG acquisition and analysis are integral to the study’s secondary objectives and contribute to understanding neurobiological mechanisms, the article meets full inclusion criteria.</t>
  </si>
  <si>
    <t>The study is excluded because the core intervention described is high-frequency repetitive Transcranial Magnetic Stimulation (HF-rTMS) and intermittent Theta Burst Stimulation (iTBS).
While the study addresses a Mental Health condition (Schizophrenia, focusing on negative symptoms) and mentions recording EEG data to assess neurobiological changes and prediction of success, the primary therapeutic intervention is rTMS/iTBS. rTMS/iTBS are electromagnetic neuromodulation techniques, not forms of Brain-Computer Interface (BCI), Brain-Machine Interface (BMI), or Neurofeedback (EEG-guided or fMRI-guided).
The Inclusion Criteria strictly require the study to address BCI, BMI, neurofeedback, or EEG as the intervention itself. Therefore, the study falls outside the defined technological scope.</t>
  </si>
  <si>
    <t>Couto, Tania A.; Gao, Fei; Lak, Davis C.; Yuan, Zhen</t>
  </si>
  <si>
    <t>Combined EEG-tDCS approach in resting state to reduce comorbid anxiety and depressive symptoms in affective disorders: A sham-controlled pilot study</t>
  </si>
  <si>
    <t>https://doi.org/10.1016/j.ibneur.2024.04.007</t>
  </si>
  <si>
    <t>Continuous challenges have been imposed on mental health science by Anxiety and Depression disorders as the most prevalent and debilitating psychiatric conditions worldwide. Pharmacologic and cognitive behavioral therapies, either alone or in combination, have been considered as the first-line therapies, however, resistant symptomatology is prevalent in comorbid conditions with symptoms remaining after interventions. The demand for new therapeutic solutions has given space to the development of non-invasive brain stimulation techniques (NIBS), and the transmagnetic direct current stimulation (tDCS) has been reported as a safe and well-tolerated technique for the treatment of several mental health conditions, including Anxiety and Depression disorders. Relying on quantitative electroencephalography(qEEG)- tDCS approach, the current study aims to inspect the effect of tDCS intervention on patients who suffer from anxiety-depression comorbidity, in particular, the impact of tDCS intervention on qEEG spectral power activity and resting-state connectivity organization during eyes closed and eyes open protocols. QEEG data were acquired from eight patients suffering from moderate to severe anxiety-depression comorbid symptoms along with poor coping skills to manage stress and negative affect. Twelve control subjects allocated in the control group exhibiting low to moderate symptoms in both anxiety and depression conditions went also through the qEEG data acquisition. In addition, a sham-controlled study was conducted, and the patient group went through resting-state qEEG-tDCS neuromodulation once a week for ten weeks. Various-stage qEEG recordings were performed to inspect the efficacy of tDCS treatment during the modulation of brain regions involved in the regulation of affective responses. Our results demonstrated that after tDCS neuromodulation, the patients' groups exhibited decreased absolute power abnormalities over the left anterior cingulate cortex and reduced abnormal activity in the alpha band over posterior regions; improved functional connectivity indexes; decreased anxiety and depressive scores while positive affect score was improved. Besides the promising improvements, our study did not find a significant tDCS effect on perceived stress and negative affect scores. Consistently, significant differences in absolute spectral power over the left anterior cingulate cortex were detected among the patient group, as compared to the controls, as expected. Therefore, our study offers preliminary data to understand the neuroplasticity changes that potentially result from the manipulation of cortical excitability during affective regulation protocols followed by the consequent decrease of comorbid anxiety and depressive symptomatology. The pilot study was followed by prospective registration with ChiCTR2200062142.</t>
  </si>
  <si>
    <t>Neural plasticity; Affective disorders; Comorbidity; QEEG; Sham tDCS</t>
  </si>
  <si>
    <t>This study fully meets the inclusion criteria because EEG—specifically quantitative EEG (qEEG)—is central to the study’s aims, methods, and outcomes. EEG spectral power and resting-state connectivity are used to evaluate neurophysiological abnormalities in anxiety–depression comorbidity and to assess changes following tDCS neuromodulation across multiple sessions. EEG is not ancillary but a primary measurement tool to characterize baseline differences, track intervention effects, and infer neuroplasticity mechanisms. Since EEG acquisition, processing, and interpretation are integral to both the methodology and outcome evaluation, the article qualifies for inclusion.</t>
  </si>
  <si>
    <t>The study is excluded because the core intervention is Transcranial Direct Current Stimulation (tDCS).
The abstract explicitly states: "The demand for new therapeutic solutions has given space to the development of non-invasive brain stimulation techniques (NIBS), and the transmagnetic direct current stimulation (tDCS) has been reported as a safe and well-tolerated technique for the treatment of several mental health conditions... The current study aims to inspect the effect of tDCS intervention on patients who suffer from anxiety-depression comorbidity..."
While the study uses quantitative electroencephalography (qEEG) for data acquisition and outcome assessment ("relying on qEEG-tDCS approach," "Various-stage qEEG recordings were performed to inspect the efficacy of tDCS treatment"), the therapeutic intervention itself is tDCS.
tDCS is a non-invasive neuromodulation technique involving electrical stimulation, not a form of Brain-Computer Interface (BCI), Brain-Machine Interface (BMI), or Neurofeedback (where EEG signals are measured, processed, and actively fed back to the participant for self-regulation). The Inclusion Criteria require the study to address BCI, BMI, neurofeedback, or EEG as the intervention. Since the intervention is tDCS, the study falls outside the defined technological scope.</t>
  </si>
  <si>
    <t>Ibarra-Zarate, David I.; Naal-Ruiz, Norberto E.; Alonso-Valerdi, Luz María</t>
  </si>
  <si>
    <t>Binaural sound therapy for tinnitus treatment: A psychometric and neurophysiological evaluation</t>
  </si>
  <si>
    <t>https://doi.org/10.1016/j.amjoto.2021.103248</t>
  </si>
  <si>
    <t>Introduction Tinnitus is an annoying buzz that manifests itself in many ways. In addition, it can provoke anxiety, stress, depression, and fatigue. The acoustic therapies have become the most commonly applied treatment for tinnitus, either self-administered or clinically prescribed. Binaural Sound Therapy (BST) and Music Therapy (MT) aim to reverse the neuroplasticity phenomenon related to tinnitus by adequately stimulating the auditory path-way. The goal of this research is to evaluate the feasibility of applying BST for tinnitus treatment by comparing its effect with MT effect. Materials and methods 34 patients with tinnitus from 29 to 60 years were informed about the experimental procedure and consented their participation. Patients were divided into two groups: 1) MT and 2) BST. They applied their sound-based treatment for one hour every day along eight weeks. Each treatment was adjusted to Hearing Loss (HL) and tinnitus characteristics of each participant. To record EEG data, a bio-signal amplifier with sixteen EEG channels was used. The system recorded data at a sampling frequency of 256 Hz within a bandwidth between 0.1 and 100 Hz. Results The questionnaire-monitoring reported that MT increased tinnitus perception in 30% of the patients, and increased anxiety and stress in 8% of them. Regarding EEG-monitoring, major neural synchronicity over the frontal lobe was found after the treatment. In the case of BST reduced stress in 23% of patients. Additionally, BST reduced tinnitus perception similar to MT (15% of patients). With respect to EEG-monitoring, slightly major neural synchronicity over the right frontal lobe was found after the treatment. Conclusions MT should be applied with caution since it could be worsening the tinnitus sufferer condition. On the other hand, BST is recommended for tinnitus sufferers who have side effects concerning stress but no anxiety.</t>
  </si>
  <si>
    <t>Tinnitus; Acoustic therapy; Binaural sound therapy; Electroencephalography; Music therapy</t>
  </si>
  <si>
    <t>This study should be included because EEG was directly recorded and analyzed as a core component of the methodology. Sixteen-channel EEG data were collected before and after sound-based interventions (BST and MT) to evaluate neural synchrony changes associated with tinnitus treatments. EEG outcomes are explicitly used to compare neural effects of the therapies and form part of the main results and conclusions. Since EEG measurement is essential—not peripheral—to understanding intervention impact and neuroplasticity mechanisms, the article fully meets the inclusion criteria.</t>
  </si>
  <si>
    <t>The study is excluded because the Thematic Scope is not met.
The primary intervention being evaluated is Acoustic Therapies, specifically Binaural Sound Therapy (BST) and Music Therapy (MT). These are auditory interventions based on sound stimulation.
While the study uses EEG for monitoring and data recording to assess neural synchronicity after the treatment, the sound-based therapies themselves are not forms of Brain-Computer Interface (BCI), Brain-Machine Interface (BMI), or Neurofeedback (where EEG signals are measured, processed, and actively fed back to the participant for real-time self-regulation).
The Inclusion Criteria require the study to address BCI, BMI, neurofeedback, or EEG as the intervention. Since the intervention is acoustic stimulation, the study falls outside the defined technological scope.</t>
  </si>
  <si>
    <t>Rajendran, V.G.; Jayalalitha, S.; Adalarasu, K.</t>
  </si>
  <si>
    <t>EEG Based Evaluation of Examination Stress and Test Anxiety Among College Students</t>
  </si>
  <si>
    <t>https://doi.org/10.1016/j.irbm.2021.06.011</t>
  </si>
  <si>
    <t>Background Adolescence is a crucial chapter in life and the presence of stress, depression, and anxiety at this stage is a great concern. Prolonged stress is one of the risk factors that may induce suicidal thoughts, destructive ideation, abuse of alcohol, and drugs in adulthood. Based on a record from National Crime Records Bureau, In India over 2320 children were committed suicide per year because of failure in examinations. This raised number implies the severity of this issue and its major impact on society. Objectives The main objective of this paper is to analyze the cognitive stress in students during examination period using EEG biomarkers. Methods and Results EEG signal was acquired in two different test conditions such as before examination with 12 minutes and after examination with 3 minutes from 14 subjects with eight electrodes located using wireless Enobio device (Neuro electrics) with 10-20 international lead system. The three brain waves such as theta, alpha, beta relative band energies were considered, and EEG band ratios such as heart rate, neural activity, arousal index, vigilance index and cognitive performance attentional resource index extracted between before and after examination condition using db4 wavelet family with 6 level decomposition. The statistical results suggest that after examination the relative sub-band energies α, β, and θ were decreased significantly (p &lt; 0.05) as compared to before examination. Also, the EEG band ratio such as heart rate and vigilance index shows significant (p &lt; 0.05) decrease after the examination as compared to before examination. It was found that there was a significant (p &lt; 0.05) rise in the arousal index, Cognitive performance attentional resource index (CPARI), and neural activity after the examination as compared to before examination. Conclusion The experimental results found that the memory and concentration were high before examination, which concludes that adolescence group examination stress was high before examination period as compared to after examination. In the case of gender group comparison, theta energy band for male students was found high compared to female students in before examination state such that it concludes that male students were highly stressed (before examination) than female students. Overall, our results suggest that after examination male students with lower heart rate index than female students which implies the male students control their stress levels as compared to females in the same stress situation.</t>
  </si>
  <si>
    <t>Electroencephalogram (EEG); Relative sub band energy; Vigilance index; Arousal index; Cognitive performance attentional resource index (CPARI)</t>
  </si>
  <si>
    <t>Rationale:
– Published within the required period (2022).
– Primary empirical study (not a review).
– Written in English.
– Uses EEG to evaluate stress and test anxiety, which falls directly within the mental health scope.
– Not focused solely on hardware or technical development.
– Abstract indicates a full-length study with methodology, results, and conclusions (not a short paper).
Therefore, it meets all inclusion criteria and violates none of the exclusion criteria.</t>
  </si>
  <si>
    <t>The study is excluded because the Thematic Scope is not met.
The study's primary objective is to analyze cognitive stress in students during the examination period and investigate the differences in EEG biomarkers before versus after the examination.
The study uses Electroencephalography (EEG) solely as a diagnostic measurement tool to acquire EEG signals and extract biomarkers (band energies and ratios) to quantify the effects of examination stress—an environmental/situational stressor.
The study does not employ or test an intervention based on Brain-Computer Interfaces (BCI), Brain-Machine Interfaces (BMI), or neurofeedback for the treatment or enhancement of mental health or cognition. The research is observational/diagnostic of a natural stress state, not interventional using the required technology.</t>
  </si>
  <si>
    <t>Luo, Xi; Che, Xianwei; Li, Hong</t>
  </si>
  <si>
    <t>Concurrent TMS-EEG and EEG reveal neuroplastic and oscillatory changes associated with self-compassion and negative emotions</t>
  </si>
  <si>
    <t>https://doi.org/10.1016/j.ijchp.2022.100343</t>
  </si>
  <si>
    <t>Background/Objective Self-compassion has a consensual relevance for overall mental health, but its mechanisms remain unknown. Using intermittent theta burst stimulation (iTBS) and concurrent transcranial magnetic stimulation-electroencephalography (TMS-EEG), this study investigated the causal relationship of the dorsolateral prefrontal cortex (DLPFC) with self-compassion and explored the changes in neuroplasticity and neural dynamics. Method Thirty-two healthy participants received iTBS or sham stimulation over the DLPFC, before and after which they were instructed to either use self-compassionate strategies or to be rejected in the context of social rejection and to report the level of self-compassion or negative affect. TMS-evoked potentials were evaluated as novel neuroplastic techniques with N45, P60, N100, and P180. Results iTBS uniquely decreased P180 amplitude measured with TMS-EEG whereby sham stimulation had no effect on neuroplasticity. In line with neuroplasticity changes, iTBS enhanced a widespread gamma band power and coherence, which correlated consistently with increased engagement in self-compassion. Meanwhile, iTBS demonstrated opposite effects on theta activity dependent on the social contexts whereby self-compassion decreased and social rejection enhanced it respectively. This unique effect of iTBS on theta activity was also supplemented by the enhancement of theta band coherence following iTBS. Conclusions We found a causal relationship between DLPFC and self-compassion. We also provide evidence to indicate widespread gamma activity and connectivity to correlate with self-compassion as well as the critical role of the DLPFC in modulating theta activity and negative emotions.</t>
  </si>
  <si>
    <t>Self-compassion; Social rejection; Theta burst stimulation; TMS-EEG; Connectivity</t>
  </si>
  <si>
    <t>Although the study clearly focuses on neuroplasticity, self-compassion, affect, and TMS-EEG, which fits the thematic scope of mental health and cognitive enhancement, one essential inclusion criterion cannot be verified: the publication year is not provided.
Since the scoring rule states that any missing inclusion criterion or any uncertainty results in a score of 0, the absence of the publication year prevents confirming eligibility (2020–2025).
If you provide the publication year, I can reassess.</t>
  </si>
  <si>
    <t>The study is excluded because the core intervention is intermittent Theta Burst Stimulation (iTBS), which is a form of Repetitive Transcranial Magnetic Stimulation (rTMS).
While the study uses TMS-EEG (concurrent Transcranial Magnetic Stimulation-Electroencephalography) to measure neuroplasticity and neural dynamics, and it addresses relevant Mental Health and Cognitive Enhancement themes (self-compassion, negative affect, neuroplasticity), the primary therapeutic intervention being tested is iTBS.
iTBS/rTMS is an electromagnetic neuromodulation technique, not a form of Brain-Computer Interface (BCI), Brain-Machine Interface (BMI), or Neurofeedback (where EEG signals are measured, processed, and actively fed back to the participant for self-regulation).
The Inclusion Criteria require the study to address BCI, BMI, neurofeedback, or EEG as the intervention itself. Since the intervention is iTBS, the study falls outside the defined technological scope.</t>
  </si>
  <si>
    <t>Athanasiou, Alkinoos; Mitsopoulos, Konstantinos; Praftsiotis, Apostolos; Astaras, Alexander; Antoniou, Panagiotis; Pandria, Niki; Petronikolou, Vasileia; Kasimis, Konstantinos; Lyssas, George; Terzopoulos, Nikos; Fiska, Vasilki; Kartsidis, Panagiotis; Savvidis, Theodoros; Arvanitidis, Athanasios; Chasapis, Konstantinos; Moraitopoulos, Alexandros; Nizamis, Kostas; Kalfas, Anestis; Iakovidis, Paris; Apostolou, Thomas; Magras, Ioannis; Bamidis, Panagiotis</t>
  </si>
  <si>
    <t>Neurorehabilitation Through Synergistic Man-Machine Interfaces Promoting Dormant Neuroplasticity in Spinal Cord Injury: Protocol for a Nonrandomized Controlled Trial</t>
  </si>
  <si>
    <t>https://doi.org/10.2196/41152</t>
  </si>
  <si>
    <t>Background Spinal cord injury (SCI) constitutes a major sociomedical problem, impacting approximately 0.32-0.64 million people each year worldwide; particularly, it impacts young individuals, causing long-term, often irreversible disability. While effective rehabilitation of patients with SCI remains a significant challenge, novel neural engineering technologies have emerged to target and promote dormant neuroplasticity in the central nervous system. Objective This study aims to develop, pilot test, and optimize a platform based on multiple immersive man-machine interfaces offering rich feedback, including (1) visual motor imagery training under high-density electroencephalographic recording, (2) mountable robotic arms controlled with a wireless brain-computer interface (BCI), (3) a body-machine interface (BMI) consisting of wearable robotics jacket and gloves in combination with a serious game (SG) application, and (4) an augmented reality module. The platform will be used to validate a self-paced neurorehabilitation intervention and to study cortical activity in chronic complete and incomplete SCI at the cervical spine. Methods A 3-phase pilot study (clinical trial) was designed to evaluate the NeuroSuitUp platform, including patients with chronic cervical SCI with complete and incomplete injury aged over 14 years and age-/sex-matched healthy participants. Outcome measures include BCI control and performance in the BMI-SG module, as well as improvement of functional independence, while also monitoring neuropsychological parameters such as kinesthetic imagery, motivation, self-esteem, depression and anxiety, mental effort, discomfort, and perception of robotics. Participant enrollment into the main clinical trial is estimated to begin in January 2023 and end by December 2023. Results A preliminary analysis of collected data during pilot testing of BMI-SG by healthy participants showed that the platform was easy to use, caused no discomfort, and the robotics were perceived positively by the participants. Analysis of results from the main clinical trial will begin as recruitment progresses and findings from the complete analysis of results are expected in early 2024. Conclusions Chronic SCI is characterized by irreversible disability impacting functional independence. NeuroSuitUp could provide a valuable complementary platform for training in immersive rehabilitation methods to promote dormant neural plasticity. Trial Registration ClinicalTrials.gov NCT05465486; https://clinicaltrials.gov/ct2/show/NCT05465486 International Registered Report Identifier (IRRID) PRR1-10.2196/41152</t>
  </si>
  <si>
    <t>body-machine interface; brain-computer interface; neural rehabilitation; serious games; spinal cord injury; wearable robotics</t>
  </si>
  <si>
    <t>Although the study uses EEG/BCI and focuses on neuroplasticity and rehabilitation—topics aligned with cognitive enhancement—the publication year is not provided.
Because the inclusion criteria require verification that the study was published between 2020 and 2025, and scoring rules state that any missing inclusion criterion results in a score of 0, the lack of publication date prevents confirming eligibility.
If you provide the publication year, I can re-evaluate accurately.</t>
  </si>
  <si>
    <t>The study is excluded for two reasons:
Publication Type (EC): The article is a Protocol for a clinical trial ("Pilot Study...was designed to evaluate the NeuroSuitUp platform," with findings expected in early 2024), not the final "Main Paper" reporting primary results.
Thematic Scope (EC - Condition): The primary condition addressed is Spinal Cord Injury (SCI). While the intervention uses BCI/BMI and promotes neuroplasticity (aligning with the technological and enhancement scope), the inclusion criteria specify studies addressing BCI applied to: Mental Health (depression, anxiety, stress, ADHD, etc.) OR Cognitive and Neurological Enhancement (memory, attention, learning, neuroplasticity). SCI rehabilitation is a major physical and motor impairment field, and while neuropsychological measures (depression, anxiety) are monitored as secondary outcomes, the primary focus and target population of the BCI intervention is motor function recovery/rehabilitation from SCI, not treatment of a primary mental health condition or general cognitive enhancement. The focus is too far outside the Mental Health or Cognitive Enhancement application areas defined in the thematic scope.</t>
  </si>
  <si>
    <t>Conroy, Carmen; Li, Francesca; Sprock, Joyce; Rabin, Borsika A.; Joshi, Yash B.</t>
  </si>
  <si>
    <t>A qualitative analysis of participant experience during an EEG-linked auditory targeted cognitive training exercise: Implications for implementation and protocol optimization</t>
  </si>
  <si>
    <t>https://doi.org/10.1016/j.psychres.2024.116254</t>
  </si>
  <si>
    <t>Auditory-based targeted cognitive training (ATCT) is an emerging adaptive neuroplasticity-based intervention. Previous studies have shown that electroencephalographic (EEG) biomarkers of auditory information processing assessed at the start of ATCT have predicted cognitive, clinical, and functional gains from a full 30–40 hour ATCT program, but participant attitudes related to coupling EEG to ATCT are not well-known. This study assessed stakeholder feedback related to EEG biomarker collection as part of ATCT to optimize future EEG-informed ATCT studies. Semi-structured interviews assessed attitudes of ATCT-naïve participants (n=50) living with a range of psychiatric disorders and cognitive function who underwent EEG assessment associated with a 1 hour ATCT exercise. A deductive approach was used to code the data and an iterative approach was employed to identify key emerging themes. Interview data yielded 62 unique themes related to EEG biomarker collection and ATCT. Qualitative analysis identified positive and negative elements of participants’ experience of EEG-informed ATCT as well as ways to streamline the EEG experience. Results suggest EEG-informed ATCT studies may be optimized using actionable improvements to current protocols leveraged from themes identified.</t>
  </si>
  <si>
    <t>Targeted cognitive training; EEG biomarkers; Qualitative approach; Schizophrenia; Major depressive disorder; Generalized anxiety disorder</t>
  </si>
  <si>
    <t>Rationale:
– Published in 2024, within the required 2020–2025 window.
– Primary empirical study (qualitative, not a review).
– Written in English.
– Uses EEG in the context of auditory cognitive training and involves participants with psychiatric disorders, which fits the thematic scope of mental health and cognitive enhancement.
– Not focused solely on hardware.
– Abstract indicates a full-length study with methods and results (not a short article).
Therefore, it meets all inclusion criteria and violates none of the exclusion criteria.</t>
  </si>
  <si>
    <t>The study is excluded because it is a Qualitative Analysis focused on participant experience, stakeholder feedback, and protocol optimization, rather than a Main Paper reporting primary results on the efficacy or mechanisms of the Auditory-based Targeted Cognitive Training (ATCT) intervention itself.
The Inclusion Criterion (IC) for Publication Type requires Main Papers (not reviews). While this study is not a review of the literature, it is a qualitative study whose primary findings are about attitudes and logistical themes for future studies, not the direct testing of the BCI/Neurofeedback intervention's effectiveness or the underlying neuroplasticity mechanisms. It fails to meet the expectation of a primary research paper reporting efficacy or mechanistic data from an intervention.</t>
  </si>
  <si>
    <t>Wendt, Karen; Denison, Timothy; Foster, Gaynor; Krinke, Lothar; Thomson, Alix; Wilson, Saydra; Widge, Alik S.</t>
  </si>
  <si>
    <t>Physiologically informed neuromodulation</t>
  </si>
  <si>
    <t>https://doi.org/10.1016/j.jns.2021.120121</t>
  </si>
  <si>
    <t>The rapid evolution of neuromodulation techniques includes an increasing amount of research into stimulation paradigms that are guided by patients' neurophysiology, to increase efficacy and responder rates. Treatment personalisation and target engagement have shown to be effective in fields such as Parkinson's disease, and closed-loop paradigms have been successfully implemented in cardiac defibrillators. Promising avenues are being explored for physiologically informed neuromodulation in psychiatry. Matching the stimulation frequency to individual brain rhythms has shown some promise in transcranial magnetic stimulation (TMS). Matching the phase of those rhythms may further enhance neuroplasticity, for instance when combining TMS with electroencephalographic (EEG) recordings. Resting-state EEG and event-related potentials may be useful to demonstrate connectivity between stimulation sites and connected areas. These techniques are available today to the psychiatrist to diagnose underlying sleep disorders, epilepsy, or lesions as contributing factors to the cause of depression. These technologies may also be useful in assessing the patient's brain network status prior to deciding on treatment options. Ongoing research using invasive recordings may allow for future identification of mood biomarkers and network structure. A core limitation is that biomarker research may currently be limited by the internal heterogeneity of psychiatric disorders according to the current DSM-based classifications. New approaches are being developed and may soon be validated. Finally, care must be taken when incorporating closed-loop capabilities into neuromodulation systems, by ensuring the safe operation of the system and understanding the physiological dynamics. Neurophysiological tools are rapidly evolving and will likely define the next generation of neuromodulation therapies.</t>
  </si>
  <si>
    <t>Neuromodulation; Biomarkers in psychiatry; Brain-state dependent stimulation; Deep brain stimulation; Transcranial magnetic stimulation; Electroencephalography</t>
  </si>
  <si>
    <t>Although the text discusses EEG, neuromodulation, neuroplasticity, and psychiatric applications—topics aligned with mental health and cognitive enhancement—it appears to be a review or conceptual overview, not a primary empirical study.
Additionally, the publication year is not provided, and missing any inclusion criterion requires assigning a score of 0.
Thus, it does not meet the inclusion criteria.</t>
  </si>
  <si>
    <t>The study is excluded because the provided text is an Editorial or Perspective/Review piece, discussing the evolution, rationale, and potential future applications of physiologically informed neuromodulation techniques in psychiatry (e.g., closed-loop paradigms, personalized TMS, EEG-guided stimulation).
The text uses phrases like:
"The rapid evolution of neuromodulation techniques includes an increasing amount of research into..."
"Promising avenues are being explored for physiologically informed neuromodulation..."
"These techniques are available today to the psychiatrist to diagnose..."
"Ongoing research using invasive recordings may allow for future identification..."
This structure indicates the document is a review of the field and its future direction, not a Main Paper reporting the primary results of a specific clinical trial or mechanistic study. This violates the Inclusion Criterion (IC) for Publication Type (must be Main Papers, not reviews).</t>
  </si>
  <si>
    <t>Kaneko, Naotsugu; Wada, Masataka; Nakajima, Shinichiro; Takano, Mayuko; Taniguchi, Keita; Mimura, Yu; Moriyama, Sotaro; Kitahata, Ryosuke; Mimura, Masaru; Noda, Yoshihiro</t>
  </si>
  <si>
    <t>Neurophysiological evaluation of neuroplasticity changes in the dorsolateral prefrontal cortex of patients with treatment-resistant depression using TMS-EEG paired association stimulation following bilateral transcranial magnetic stimulation therapy</t>
  </si>
  <si>
    <t>https://doi.org/10.1016/j.brs.2024.12.590</t>
  </si>
  <si>
    <t>Logan, Nicole E.; Occidental, Nicole; Watrous, Jennifer N.H.; Lloyd, Katherine M.; Raine, Lauren B.; Kramer, Arthur F.; Hillman, Charles H.</t>
  </si>
  <si>
    <t>Chapter Five - The complex associations between adiposity, fitness, mental wellbeing and neurocognitive function after exercise: A randomized crossover trial in preadolescent children</t>
  </si>
  <si>
    <t>https://doi.org/10.1016/bs.pbr.2023.11.004</t>
  </si>
  <si>
    <t>The aim of the present study was to examine the associations of adiposity and fitness on the preadolescent brain's response to acute exercise. In a sample of 58 children (ages 8–10; 19 females), demographic measures of age, sex, IQ, puberty, and socioeconomic status were considered. Children participated in a randomized crossover study, whereby they completed two different interventions; seated rest or treadmill walking, counterbalanced across participants. Associations between adiposity measures (standardized body mass index [BMI-Z], whole body percent fat [%Fat], visceral adipose tissue [VAT]), cardiorespiratory fitness measures (VO2max and Fat-Free VO2) were assessed on self-reported measures of mental wellbeing, and cognitive performance (response accuracy, reaction time) and neuroelectric (P3 amplitude and latency) indices of a Go/NoGo task following both exercise and rest interventions. Higher adiposity (whole-body percent fat, BMI-Z) was associated with higher trait anxiety (P's≤0.05) and disordered eating (P's≤0.05) scores. Higher fitness (VO2max) was associated with lower childhood depression scores (P=0.02). Regression analyses yielded specific post-exercise neurocognitive associations with adiposity-related (VAT, BMI-Z), and fitness-related (FF-VO2) outcomes, after controlling for post-rest neurocognitive outcomes. VAT was positively associated with post-exercise P3 ERP Latency for the Go task (P≤0.001); BMI-Z was negatively associated with P3 ERP amplitudes for the Go task (P's≤0.005); FF-VO2 was negatively associated with P3 ERP latency for the Go/NoGo task (P's≤0.05), and positively associated with NoGo task accuracy (P≤0.001). Overall, adiposity and fat-free fitness measures yield sensitive and differential associations with neurocognitive performance after exercise and after rest interventions.</t>
  </si>
  <si>
    <t>Childhood; Obesity; Mental health; Cognition; Brain function; EEG</t>
  </si>
  <si>
    <t>Rationale:
– Published in 2024, within the required 2020–2025 window.
– Empirical primary study (randomized crossover trial), not a review.
– Written in English.
– Uses EEG/ERP (P3 amplitude and latency) to assess neurocognitive responses, which fits the methodological scope (BCI-related neurophysiology, EEG).
– The thematic focus includes mental wellbeing, anxiety, depression, and cognitive performance, aligning with the mental health and cognitive enhancement criteria.
– Not a hardware-only technical paper.
– Abstract indicates a full, multi-method study (not a short paper).
Therefore, it fully meets all inclusion criteria and violates none of the exclusion criteria.</t>
  </si>
  <si>
    <t>The study is excluded because the Thematic Scope is not met.
The core intervention being studied is acute exercise (treadmill walking) compared to seated rest. While the study measures neuroelectric (P3 amplitude and latency) indices of a Go/NoGo task (EEG) and addresses Mental Health (anxiety, depression) and Cognitive Performance, the primary manipulation is physical activity/exercise, not a Brain-Computer Interface (BCI), Brain-Machine Interface (BMI), or Neurofeedback protocol.
The Inclusion Criteria require the study to address BCI, BMI, neurofeedback, or EEG as the intervention itself. Since the intervention is physical exercise, the study falls outside the defined technological scope.</t>
  </si>
  <si>
    <t>Chan, Weng-Lam; Olbrich, Sebastian; Jiang, Xinwen; Zhang, Haoyun; Ip, Cheng-Teng; Brunovsky, Martin</t>
  </si>
  <si>
    <t>https://doi.org/10.1016/j.jad.2025.119477</t>
  </si>
  <si>
    <t>Major depressive disorder, particularly its treatment-resistant form (TRD), poses significant treatment challenges. Ketamine, an N-methyl-d-aspartate receptor antagonist, has shown promise in rapidly alleviating depressive symptoms by influencing neuroplasticity and glutamatergic modulation, which are thought to influence brain activity complexity. In this placebo-controlled study, we examined the effects of subanesthetic doses of intravenous ketamine on EEG signal complexity in 24 MDD patients, 21 of whom had TRD. Treatment response was defined by a ≥ 33 % reduction in Montgomery-Åsberg Depression Rating Scale (MADRS) after ketamine administration. Patients underwent eyes-closed resting state EEG recording pre-, start-, end- and 24 h post-infusion, analyzed for temporospatial and spatiotemporal Lempel-Ziv complexity (LZCT and LZCS). Results indicated that ketamine significantly increased whole-brain LZCT during infusion compared to placebo (sodium chloride 0.9 %) (16.90 % vs. -4.84 %, 95 % CI 4.29 to 39.18, p = 0.017). Elevated LZCT at end-pre was associated with less short-term symptom improvement the following day. Conversely, lower pretreatment occipital LZCT (0.33 vs. 0.46, 95 % CI 0.007 to 0.26, p = 0.040) predicted a favorable response to ketamine, supported by a logistic regression model with an ROC area of 0.75. No significant changes were observed in LZCS, suggesting limited utility as a biomarker. In conclusion, occipital LZCT could serve as an effective predictive biomarker for ketamine's therapeutic effects in MDD, with implications for patients with TRD. This underscores the potential of EEG complexity measures in stratifying treatment and enhancing our understanding of the neural impacts of ketamine in depressive disorders.</t>
  </si>
  <si>
    <t>MDD; Ketamine; EEG; Biomarker; Lempel-Ziv complexity; Treatment response</t>
  </si>
  <si>
    <t>Rationale:
– Published in 2025, within the required time window (2020–2025).
– Primary placebo-controlled empirical study, not a review.
– Written in English.
– Uses EEG complexity measures (LZC) to study depression and treatment response, squarely within mental health and BCI/neurophysiology.
– Not focused solely on hardware.
– Abstract shows a full-length study with methods, results, and conclusions.
All inclusion criteria are satisfied, and none of the exclusion criteria are met.</t>
  </si>
  <si>
    <t>The study is excluded because the core intervention is the administration of subanesthetic ketamine (a pharmacological agent/drug), which is a chemical intervention, not a Brain-Computer Interface (BCI), Brain-Machine Interface (BMI), or Neurofeedback protocol.
While the study uses Electroencephalography (EEG) (specifically Lempel-Ziv Complexity, LZCT) to measure the effect of the drug and identify a biomarker for treatment stratification in Major Depressive Disorder (MDD), the Inclusion Criteria require the study to address BCI, BMI, neurofeedback, or EEG as the nonpharmacological intervention itself. This study's intervention is pharmacological (ketamine).</t>
  </si>
  <si>
    <t>Chiarpenello, Carola; Brodmann, Katja</t>
  </si>
  <si>
    <t>What can the psychoneuroimmunology of yoga teach us about depression's psychopathology?</t>
  </si>
  <si>
    <t>https://doi.org/10.1016/j.bbih.2024.100877</t>
  </si>
  <si>
    <t>Depression, the most prevailing mental health condition, remains untreated in over 30% of patients. This cluster presents with sub-clinical inflammation. Investigations trialling anti-inflammatory medications had mixed results. The lack of results may result from inflammation's complexity and targeting only a few of depression's abnormal pathways. Mind-body therapies' biological and neuro-imaging studies offer valuable insights into depression psychopathology. Interestingly, mind-body therapies, like yoga, reverse the aberrant pathways in depression. These aberrant pathways include decreased cognitive function, interoception, neuroplasticity, salience and default mode networks connectivity, parasympathetic tone, increased hypothalamic-pituitary-adrenal (HPA) axis activity, and metabolic hyper/hypofunction. Abundant evidence found yogic techniques improving self-reported depressive symptoms across various populations. Yoga may be more effective in treating depression in conjunction with pharmacological and cognitive therapies. Yoga's psychoneuroimmunology teaches us that reducing allostatic load is crucial in improving depressive symptoms. Mind-body therapies promote parasympathetic tone, downregulate the HPA axis, reduce inflammation and boost immunity. The reduced inflammation promotes neuroplasticity and, subsequently, neurogenesis. Improving interoception resolves the metabolic needs prediction error and restores homeostasis. Additionally, by improving functional connectivity within the salience network, they restore the dynamic switching between the default mode and central executive networks, reducing rumination and mind-wandering. Future investigations should engineer therapies targeting the mechanisms mentioned above. The creation of multi-disciplinary health teams offering a combination of pharmacological, gene, neurofeedback, behavioural, mind-body and psychological therapies may treat treatment-resistant depression.</t>
  </si>
  <si>
    <t>Mind-body therapies; Treatment-resistant depression; Therapeutic yoga; Psychoneuroimmunology; Interoception; Allostatic load; BDNF; HPA axis; Stress; TRD</t>
  </si>
  <si>
    <t>Rationale:
– The text is clearly a review/conceptual discussion, not a primary empirical study.
– It does not report original data, participants, methods, or results.
– Although it discusses mental health and neuroplasticity, it fails the publication type criterion (must be a main primary study).
– The publication year is also not provided, which alone is grounds for exclusion.
Therefore, it does not meet the inclusion criteria and is scored 0.</t>
  </si>
  <si>
    <t>The study is excluded because the core intervention being discussed is Mind-Body Therapies, specifically Yoga.
The text is a narrative/review summarizing the mechanisms by which yoga may reverse aberrant pathways in depression (e.g., reduced inflammation, enhanced neuroplasticity, HPA axis downregulation).
Intervention Violation (EC): The primary intervention discussed is yoga and mind-body therapies, which are behavioral/physical interventions, not a Brain-Computer Interface (BCI), Brain-Machine Interface (BMI), or neurofeedback protocol.
Publication Type Violation (IC/EC): The text is a general discussion/review of the field ("Abundant evidence found yogic techniques improving...", "Future investigations should engineer therapies...", "Mind-body therapies' biological and neuro-imaging studies offer valuable insights..."), and not a Main Paper reporting primary results from an intervention trial.
Technological Scope (IC/EC): Although the text mentions that neurofeedback should be considered in future multi-disciplinary health teams, it is not the focus or subject of the current investigation described in the abstract.
Therefore, it violates both the publication type and the technological scope criteria.</t>
  </si>
  <si>
    <t>Omisade, Antonina; Nugent, Madison; O’Grady, Christopher; Ikeda, Kristin; Woodroffe, Stephanie; Legg, Karen; Schmidt, Matthias; Biggs, Krista</t>
  </si>
  <si>
    <t>Cognitive dysfunction at epilepsy onset as a marker for seizure recurrence</t>
  </si>
  <si>
    <t>https://doi.org/10.1016/j.eplepsyres.2024.107335</t>
  </si>
  <si>
    <t>Background Cognitive dysfunction has been correlated with seizure control in chronic epilepsy and in newly diagnosed epilepsy, which potentially makes it a good marker for predicting disease course and seizure control. However, there is a lack of prospective studies examining the role of cognitive dysfunction in predicting seizure recurrence at the earliest stages of the disease, such as following the first unprovoked seizure (UFS) or new onset epilepsy (NOE). Methods Thirty three adult participants (FS=18, NOE=15) from the Halifax First Seizure Clinic (HFSC) completed a cognitive screening assessment at baseline (typically 3 months following diagnosis); seizure-recurrence was evaluated one year after the initial HFSC visit. Results Cognitive impairment, defined as at least one z-score in the impaired range (≤-1.5) relative to published test norms, was documented in 76% of the patients with seizure recurrence at follow-up and in 55% without seizure recurrence. Speed/executive functions and Memory were the most frequently affected domains, with impaired performance noted in 35% and 29% of the entire sample, respectively. Although the seizure recurrence vs. non-recurrence groups did not differ significantly on likelihood of impairment in any specific cognitive domains, a regression model of seizure recurrence that included years of education, baseline mood and anxiety scores, normal vs. abnormal baseline MRI, and impaired (vs. unimpaired) function in six cognitive domains was significant overall (Χ2 (10) = 24.04, p =.007*, R2N =.77). The regression model was no longer significant with the cognitive variables removed. Conclusions Subtle cognitive dysfunction, especially in the domains of executive functions and memory are prevalent in individuals at the earliest stages of epilepsy. In addition to abnormal MRI and EEG findings at baseline, which are far less prevalent in FS and NOE, cognitive factors show promise in helping predict seizure recurrence in these populations.</t>
  </si>
  <si>
    <t>New Onset Epilepsy; First Unprovoked Seizure; Cognition; Neuropsychology; Seizure Recurrence</t>
  </si>
  <si>
    <t>Rationale:
Although the study:
– Is recent (year not explicitly stated, but appears contemporary),
– Is a primary empirical study,
– Mentions EEG findings as part of baseline assessment,
…it does not meet the thematic inclusion criteria.
The study focuses on epilepsy, seizure recurrence, and cognitive dysfunction as a clinical predictor in neurological disease. This is not within the permitted scope of:
Mental health (depression, anxiety, stress, ADHD, etc.), or
Cognitive enhancement / neuroplasticity interventions.
The study does not examine BCI/EEG in the context of mental health treatment, neurofeedback, or cognitive enhancement. Cognitive dysfunction here is a clinical symptom of epilepsy, not the focus of enhancement or mental health assessment.
Therefore, it meets an exclusion criterion (study not focused on mental health or cognitive enhancement) and must receive a score of 0.</t>
  </si>
  <si>
    <t>The study is excluded because the Thematic Scope is not met.
The core subject of the paper is the role of cognitive dysfunction as a predictive marker for seizure recurrence in patients with epilepsy following a first unprovoked seizure (FS) or new onset epilepsy (NOE).
Intervention Violation: The study is observational/diagnostic, using cognitive screening assessment and MRI/EEG findings as predictive markers. It does not employ or test an intervention based on Brain-Computer Interfaces (BCI, BMI, neurofeedback, or EEG-based training) for the treatment or enhancement of mental health or cognition.
Condition/Application Violation (Primary Focus): While the paper addresses cognitive dysfunction (a relevant theme) and mentions EEG findings as a potential baseline marker, the primary clinical focus is on epilepsy and seizure prediction, not the application of BCI/Neurofeedback technology to treat a primary Mental Health condition (e.g., depression, anxiety, ADHD) or to achieve Cognitive Enhancement.</t>
  </si>
  <si>
    <t>Attoh-Mensah, Elpidio; Bel, Jean-François; El Ayoubi, Karim; Boujut, Arnaud; Ramanoël, Stephen; Perrochon, Anaïck</t>
  </si>
  <si>
    <t>Neurobiological effects of exergame interventions in older adults with or without a neurocognitive disorder: A systematic review</t>
  </si>
  <si>
    <t>https://doi.org/10.1016/j.neurobiolaging.2025.06.009</t>
  </si>
  <si>
    <t>Exergame; Older adults; Neurocognitive disorders; Brain; Aging brain; EEG; MRI; Neuroplasticity; BDNF</t>
  </si>
  <si>
    <t>Rationale:
– This is explicitly a systematic review, which is excluded under the criterion “Publication Type: Main Papers (not reviews).”
– Does not present original empirical data.
– Despite addressing cognition and neuroplasticity, it fails the publication type inclusion criterion, which alone results in exclusion.
Therefore, the study must receive 0.</t>
  </si>
  <si>
    <t>The study is excluded because it is a Systematic Review ("This systematic review aimed to identify the neurobiological effects..."), which violates the Inclusion Criterion (IC) for Publication Type (must be Main Papers, not reviews).
Additionally, the core intervention being studied is Exergames (EG), which are interactive video games requiring physical activity. This is a physical/behavioral intervention, not a Brain-Computer Interface (BCI), Brain-Machine Interface (BMI), or Neurofeedback protocol, thus violating the Thematic Scope regarding the required technological intervention.</t>
  </si>
  <si>
    <t>IEEE Explore</t>
  </si>
  <si>
    <t>Ciarán McGeady; Aleksandra Vučković; Sadasivan Puthusserypady</t>
  </si>
  <si>
    <t>A Hybrid MI-SSVEP based Brain Computer Interface for Potential Upper Limb Neurorehabilitation: A Pilot Study</t>
  </si>
  <si>
    <t>https://ieeexplore.ieee.org/document/8737333</t>
  </si>
  <si>
    <t>This pilot study implements a hybrid BCI system in an effort to deduce the effects of measuring more than one brain signal in a motor imagery (MI) task. In addition to sensorimotor rhythms (SMRs), a steady state visual evoked potential (SSVEP) was introduced to acquire additional information relating to user intention. A common spatial pattern (CSP) filter followed by a support vector machine (SVM) classifier were used to distinguish between MI and the resting state. The power spectral density (PSD) was used to classify the SSVEP. Results from online simulations of EEG data collected from 10 able-bodied participants showed that the hybrid BCI's performance achieved a classification accuracy of 77.3±8.2%, with an SSVEP classification accuracy of 94.4±3.5%, and MI classification accuracy of 80.9±8.1%, an improvement upon purely MI-based multi-class BCI paradigms.</t>
  </si>
  <si>
    <t>The study does not meet the thematic inclusion criteria, despite fitting some of the formal ones.
Publication Period: Likely within 2020–2025, given the terminology and recent hybrid BCI approaches — meets this criterion.
Publication Type: It is a primary research work, presenting an experimental pilot study with real participants — meets this criterion.
Language: Written in English — meets this criterion.
Thematic Scope: The focus is on motor imagery (MI) and upper limb neurorehabilitation, which primarily target motor function recovery rather than mental health (e.g., depression, anxiety, stress) or cognitive enhancement (e.g., memory, attention, neuroplasticity). The study does not mention psychological or cognitive outcomes.
Because its scope is neuromotor rehabilitation, not mental health or cognitive enhancement, it violates a key inclusion criterion.</t>
  </si>
  <si>
    <t>Justification: The study is excluded based on thematic scope (EC 2 / EC 6). The abstract's entire focus is on the technical implementation, signal processing (CSP, SVM), and classification accuracy of a hybrid BCI (MI-SSVEP). While the title mentions "Neurorehabilitation," the abstract's content is concerned with improving the BCI's performance for motor imagery in able-bodied participants, not with applying it to improve mental health or the specified cognitive enhancement domains (memory, attention, learning, etc.).</t>
  </si>
  <si>
    <t>LLM 1</t>
  </si>
  <si>
    <t>Mengxuan Hu; Jingxi Zhang; Guangying Pei; Tianyi Yan</t>
  </si>
  <si>
    <t>Closed-Loop Individual Music Neurofeedback Based on Brain-Computer Interaction for Student Stress Intervention</t>
  </si>
  <si>
    <t>https://ieeexplore.ieee.org/document/10973423</t>
  </si>
  <si>
    <t>Music neurofeedback is a non-invasive method for regulating neural activity and reducing stress based on brain-computer interface technology combined with music stimulation. However, the current music neurofeedback protocol is regulated by a single indicator, resulting in significant differences in individual effects. This study proposed a neurofeedback protocol based on personalized music selection and used three stress scales and two cognitive behavioral experiments to evaluate the stress regulation effect, and combined electroencephalogram (EEG) microstate analysis to explore the stress relief mechanism. Five university students participated in a five-session neurofeedback training. After the intervention, the results of the Depression-Anxiety-Stress Scale (DASS-21) and the Stroop task showed a significant decrease in the scores of stress-related symptoms and a significant improvement in response inhibition. The EEG results showed that the absolute power of the a band in the frontal and temporal lobes increased significantly, the coverage and duration of microstate C decreased significantly, and the duration of microstate D increased significantly, which was significantly correlated with the reduction of stress scores. Personalized music neurofeedback provides a potentially effective tool and innovative perspective for student stress management. The elucidation of spatiotemporal neurocognitive mechanisms provides a new theoretical framework for the development and optimization of neurofeedback protocols.</t>
  </si>
  <si>
    <t>Training , Temporal lobe , Protocols , Anxiety disorders , Regulation , Electroencephalography , Brain-computer interfaces , Spatiotemporal phenomena , Neurofeedback , Stress</t>
  </si>
  <si>
    <t>This study strongly satisfies all inclusion criteria and does not meet any exclusion criteria.
Publication Period: The abstract’s context and methodology (EEG microstate analysis, individualized neurofeedback, DASS-21) indicate it was published within 2020–2025, aligning with the inclusion period.
Publication Type: It is a primary research study, involving an experimental neurofeedback intervention with five student participants, not a review.
Language: The abstract is written in English.
Thematic Scope: The work directly employs a Brain-Computer Interface (BCI) using EEG-based neurofeedback applied to stress reduction in students, clearly within the domain of mental health. It also includes cognitive assessments (Stroop task) and discusses neurocognitive mechanisms (EEG microstate analysis), linking to cognitive enhancement and neuroplasticity.
No exclusion criteria apply — it is peer-reviewed, within the timeframe, thematically relevant, and presents accessible experimental findings.</t>
  </si>
  <si>
    <t>Justification: The study is a clear primary work ("This study proposed a neurofeedback protocol...", "Five university students participated...") that perfectly matches the inclusion criteria. It uses the specified technologies (neurofeedback, BCI, EEG) and is thematically focused on both mental health ("Student Stress Intervention," "reducing stress," "Depression-Anxiety-Stress Scale") and cognitive enhancement ("significant improvement in response inhibition"). The abstract's focus on protocol effects and neurocognitive mechanisms (EEG microstate analysis) confirms it is not exclusively a hardware paper (EC 6) and places it firmly within the 2020-2025 research landscape.</t>
  </si>
  <si>
    <t>sim</t>
  </si>
  <si>
    <t>Gaurav; R. S. Anand; Vinod Kuma</t>
  </si>
  <si>
    <t xml:space="preserve">Non-invasive EEG-metric based stress detection
</t>
  </si>
  <si>
    <t>https://ieeexplore.ieee.org/document/8269733/keywords#keywords</t>
  </si>
  <si>
    <t xml:space="preserve">Psychological stress is a vital parameter related to individual's health and cognitive performance which may affect emotions and professional efficiency. Regula stress profile generated can be used as neurofeedback for the clinical as personal assessment. This paper describes a method to detect mental stress level based on physiological parameters. In this method an electroencephalogram (EEG) parameter based binary stress classifier is developed which is validated through probabilistic stress profiler of differential stress inventory questionnaire. A non-invasive 9 channel EEG is used to extract physiological signal and an EEG-metric based cognitive state and workload outputs is generated for 41 healthy volunteers (37 males and 4 females, age; 24±5 years). All subjects were performed three simple tasks of closed eye, focusing vision on a red dot on center of dark screen and focusing on a white screen. Central tendencies (mean, median and mode) are extracted from of EEG-metric (sleep onset, distraction, low engagement, high engagement and cognitive states) as features. Either of the two classes as low stress or high stress are evaluated from probabilistic stress profiler of differential stress inventory and used as training output classes. A supervisory training of multiple layer perceptron based binary support vector machine classifier was used to detect stress class one by one. 40 subject's samples were used for training and interchanging one-by one 41th subject's stress class is determined from the designed classifier. Out of 41 subjects, stress level of 30 subjects is correctly identified.
</t>
  </si>
  <si>
    <t>Stress , Electroencephalography , Task analysis , Support vector machines , Physiology , Electrocardiography</t>
  </si>
  <si>
    <t>Justification:
Although the study is relevant thematically — focusing on EEG-based stress detection and mental health assessment — it fails to meet the publication period criterion.
Publication Period: The paper was published in 2017, which is prior to the inclusion window (2020–2025).
Publication Type, Language, and Thematic Scope: It is a primary work written in English, dealing with mental health and cognitive performance via EEG and neurofeedback, which would otherwise meet the inclusion criteria.
However, per the Exclusion Criteria (EC), any publication prior to 2020 must be excluded.</t>
  </si>
  <si>
    <t>Score: 0
Justification: The study is excluded. Its publication year (2017) falls outside the required 2020-2025 publication period (EC 1).</t>
  </si>
  <si>
    <t>Olga Bazanova; Ekaterina Nikolenko; Alexander Zakharov; Tatyana Maryanovsaya</t>
  </si>
  <si>
    <t>Theoretical Substantiations Of Registration And Analysis Of EEG To Increase The Reliability Of Neurofeedback Training (NFT)</t>
  </si>
  <si>
    <t>https://ieeexplore.ieee.org/document/10584063</t>
  </si>
  <si>
    <t>This paper presents a review of literature data and our own results of the study of the factors of the procedure of EEG recording and analysis that affect the personalization and, consequently, the effectiveness of neurofeedback training (NFT). Here will be discussed localization and montage of electrodes, environmental factors such as: the time of day, body position, visual condition, duration, and sequence of closed and open eye trials during EEG recording. As feedback it is supposed to use EEG indices established individually on the basis of analysis of endophenotypic index of alpha peak frequency and neuronal activation. In this article, based on an analysis of the literature and our own results, the procedure and sequence of EEG recording and analysis, which are supposed to be carried out before and after self-control training using Neurofeedback will be presented. A rationale for each step will be given from the point of view of how this or that issue can influence the personalization and consequently, effectiveness of self-regulation training with neurofeedback to optimize its own individual neural efficiency.</t>
  </si>
  <si>
    <t>Training , Visualization , Reviews , Sleep , Anxiety disorders , Reliability theory , Electroencephalography</t>
  </si>
  <si>
    <t>Justification: The abstract describes the paper as a review of literature (even though it mentions “our own results”), indicating the work is primarily a literature review and methodological/theoretical synthesis rather than a primary empirical study. The inclusion criteria require primary works (non-reviews); therefore this paper fails the publication-type criterion and must be excluded. Thematic scope (neurofeedback/EEG) would otherwise be relevant, but the review nature disqualifies it.</t>
  </si>
  <si>
    <t>Justification: The study is excluded based on the publication type (IC 2). The abstract explicitly states, "This paper presents a review of literature data" and is "based on an analysis of the literature." This directly contradicts the inclusion criterion requiring "Primary works (non-reviews)." While the topic is relevant, the work is framed as a review and theoretical substantiation, not a primary experimental study.</t>
  </si>
  <si>
    <t>Adesh Pawar; Palash Gourshettiwar; Pradnyawant M. Gote; Vishal Kumar Choudhary; Prajyot Yesankar; Shrikant Khadse</t>
  </si>
  <si>
    <t>The Role of Non-Invasive Neural Devices in Modern Neurorehabilitation and Mental Health Treatment</t>
  </si>
  <si>
    <t>https://ieeexplore.ieee.org/document/11013597</t>
  </si>
  <si>
    <t>Modern neurorehabilitation and mental health treatment have received transformative tools through non-invasive neural devices that offer effective and patient-friendly alternatives to traditional interventions. Technologies in this regard include transcranial magnetic stimulation, transcranial direct current stimulation, EEG-based neurofeedback, and functional near-infrared spectroscopy, where advances in neuroscience and bioengineering are utilised in modulating brain activity without risks associated with surgical procedures. Their applications in neurorehabilitation range from post-stroke motor recovery to cognitive rehabilitation and treatment of mental health disorders, including depression, anxiety, and PTSD. Focusing on personalised medicine, machine learning, and big data could be used in non-invasive neural devices to fine-tune outcomes tailored to an individual's needs. These are seminal challenges, such as accessibility, variability in patient responses, and regulatory hurdles, in the face of these devices offering much promise regarding enhancing the quality of life and improving cognitive functions, besides providing sustainable, long-term mental health. This paper underlines their potential and discusses future directions in integration.</t>
  </si>
  <si>
    <t>Neuroplasticity
,
Transcranial magnetic stimulation
,
Surgery
,
Mental health
,
Machine learning
,
Motors
,
Market research
,
Neurorehabilitation
,
Transcranial direct current stimulation
,
Neurofeedback</t>
  </si>
  <si>
    <t>The study (1) was published within the inclusion period (2020–2025 assumed), (2) appears to be a primary or conceptual work focused on the application of non-invasive neural devices such as EEG-based neurofeedback to mental health disorders (depression, anxiety, PTSD) and cognitive rehabilitation/enhancement, and (3) is written in English. It does not present itself as a literature review, but rather as a paper discussing applications and future directions in neurorehabilitation and mental health. Therefore, it meets all inclusion criteria and none of the exclusion criteria.</t>
  </si>
  <si>
    <t>Justification: The study is excluded based on the publication type (IC 2). The abstract indicates this is a high-level discussion paper ("This paper underlines their potential and discusses future directions...") and the title ("The Role of...") suggests a review or position paper, not a primary work presenting new experimental results or a novel system.</t>
  </si>
  <si>
    <t>S. Negi; R. Jain; S. Saboo; S. Kwatra</t>
  </si>
  <si>
    <t>Automated Generated Binaural Beats Using EEG: A User-Friendly Auditory Brain-Computer Interface</t>
  </si>
  <si>
    <t>https://ieeexplore.ieee.org/stamp/stamp.jsp?arnumber=9645921</t>
  </si>
  <si>
    <t>A person who is physically, mentally, and socially fit is known as a healthy person. However, only 45% of people pass the criteria of being healthy. Approximately 25% of people in India are suffering from mental disorders and are mentally unfit. The current scenario and the lockdowns have increased the rates from 17.5% in March 2020 to 25% in March 2021. Stress has always been an integral part of human life. But with the rising age of digitisation, stress coping abilities are deteriorating, and mental health issues are increasing worldwide, especially among young adults. Mental health has become a significant concern, which needs to be dealt with as soon as possible. According to a survey, many deaths during the covid resulted from anxiety, panic, and mental weakness. Technology is proliferating, but problems like Mental health and cure are still technologically handicapped. Music is known for its healing beauty. It has profound psychophysical effects and can act as a great stress reliever. Integrating music and technology in the right manner can enhance psychological and physical health, which in turn increases brain plasticity. This paper proposes a device that uses non-invasive neurotechnology in acquiring any mental state, from heightened alertness to deep rest. The device uses auditory brain stimulation and neurofeedback technology in achieving so.Binaural Beat possesses brainwave entrainment properties, making it an excellent stimulus in designing this Auditory Brain-Computer Interface. The salient feature of this device is the usage of real-time EEG neurofeedback in producing a personalised binaural beat track for the user. The binaural beat track is structured to help the user smoothly achieve a particular mental state, providing a pleasant experience. Not only that, the experience becomes more harmonious with the integration of the Fibonacci and the Golden Ratio. The device escalates the benefits of binaural beats as the real-time EEG feedback reduces the occurrence of dizziness caused by the beats. Hence, creating an effective system to improve the cognitive functioning of the user.</t>
  </si>
  <si>
    <t>Auditory Brain-Computer Interface;Binaural beats;EEG Neurofeedback;Mental health;Internet of Things</t>
  </si>
  <si>
    <t>Study 1: A novel adaptive EEG-based brain–computer interface for emotion recognition
Score: 0
Rationale: Title/abstract show BCI/EEG and emotion (mental health related) but Publication Year or page count check failed or missing evidence (Publication year outside 2020–2025 or pages &lt;4) — excluded.</t>
  </si>
  <si>
    <t>--- Study: Automated Generated Binaural Beats Using EEG: A User-Friendly Auditory Brain-Computer Interface --- Score: 1 Rationale: FINAL DECISION: INCLUDE. Inclusion (IC-1): Published in 2021. Inclusion (Page Count): Article length is 5 pages. Inclusion (IC-2): Assumed to be a main paper. Inclusion (IC-3): Publication is in English. Inclusion (IC-4): Study addresses BCI/EEG and a relevant application.</t>
  </si>
  <si>
    <t>K. Sravani; S. Nadipineni; B. Anjali; C. Vedavathi; B. Ramya</t>
  </si>
  <si>
    <t>EEG-Driven Massage Headband For Anxiety Alleviation</t>
  </si>
  <si>
    <t>https://ieeexplore.ieee.org/stamp/stamp.jsp?arnumber=11013104</t>
  </si>
  <si>
    <t>In this paper, we report on the results of a recently proposed hardware design that uses neurological data analysis to identify and mitigate anxiety. The system uses a feedback-based network for stress relief, which includes a custom-built Electroencephalography (EEG) sensor, a massage motor circuit, Arduino pro mini board and massage motor. The network also includes an RGB LED that turns on when stress is detected. After signal amplification using differential amplifier and filtering, beta waves from the frontal regions can be effortlessly captured by skin electrodes and display on lcd. Three out of four subjects saw a successful reduction in elevated beta wave amplitudes, which are frequently linked to anxiety, by massage motor intervention. The motor smoothly turned on during the experimental sessions when beta amplitudes surpassed predetermined thresholds, encouraging relaxation and facilitating better task performance.</t>
  </si>
  <si>
    <t>EEG Sensor;Arduino Pro mini;predetermined threshold;Anxiety Alleviation;Neurological data analysis.</t>
  </si>
  <si>
    <t>Study 2: Deep learning for EEG signal denoising: design and hardware considerations
Score: 0
Rationale: Title/abstract contains EEG and hardware/design keywords; however it appears hardware/technical focused with no mental-health or cognitive-target terms; also flagged as hardware-focused — excluded.</t>
  </si>
  <si>
    <t>--- Study: EEG-Driven Massage Headband For Anxiety Alleviation --- Score: 1 Rationale: FINAL DECISION: INCLUDE. Inclusion (IC-1): Published in 2025. Inclusion (Page Count): Article length is 5 pages. Inclusion (IC-2): Assumed to be a main paper. Inclusion (IC-3): Publication is in English. Inclusion (IC-4): Study addresses BCI/EEG and a relevant application.</t>
  </si>
  <si>
    <t>T. L. Shuler; D. A. Ostrowski</t>
  </si>
  <si>
    <t>Using Generative AI for Neurofeedback Content Personalization</t>
  </si>
  <si>
    <t>https://ieeexplore.ieee.org/stamp/stamp.jsp?arnumber=11036309</t>
  </si>
  <si>
    <t>This paper presents a comprehensive framework for integrating Large Language Models (LLMs) into neurofeedback systems. By leveraging real-time electroencephalogram (EEG) data processing, advanced machine learning, and multimodal feedback mechanisms, the framework offers a transformative approach to personalized neurofeedback. Technical validation and statistical analysis highlight system scalability and empirical reproducibility, addressing critical performance metrics such as latency, accuracy, and resource efficiency. The framework emphasizes the convergence of traditional neurofeedback principles with modern AI capabilities, demonstrating significant potential for applications in mental health, cognitive enhancement, and neurological rehabilitation.</t>
  </si>
  <si>
    <t>Adaptive Feedback;Artificial Intelligence in Neuroscience;Brain-Computer Interfaces (BCI);Cognitive Enhancement;Electroencephalogram (EEG) Generative AI;Large Language Models (LLM);Machine Learning;Mental Health;Multi-Modal Feedback;Neurofeedback;Optimization Framework</t>
  </si>
  <si>
    <t>Study 3: EEG-based neurofeedback to improve attention in children with ADHD: a pilot study
Score: 1
Rationale: Title and abstract include EEG / neurofeedback and target (ADHD, attention). Publication year within 2020–2025 and length meets page requirement (based on start/end pages). Meets inclusion criteria.</t>
  </si>
  <si>
    <t>--- Study: Using Generative AI for Neurofeedback Content Personalization --- Score: 1 Rationale: FINAL DECISION: INCLUDE. Inclusion (IC-1): Published in 2025. Inclusion (Page Count): Article length is 4 pages. Inclusion (IC-2): Assumed to be a main paper. Inclusion (IC-3): Publication is in English. Inclusion (IC-4): Study addresses BCI/EEG and a relevant application.</t>
  </si>
  <si>
    <t>C. Guan; C. G. Lim; D. Fung; H. J. Zhou; R. Krishnan; T. S. Lee</t>
  </si>
  <si>
    <t>BCI Facilitates the Improvement of Cognitive Functions in Children and Elderly</t>
  </si>
  <si>
    <t>https://ieeexplore.ieee.org/stamp/stamp.jsp?arnumber=9061625</t>
  </si>
  <si>
    <t>Brain-Computer Interface (BCI) technology has been under exploration as an alternative approach to restore or enhance brain functions, possibly. One of the attempts is to use BCI to help improve human cognitive functions by leveraging on the BCI capability of predicting the cognitive states (for instance, attention) in real-time, and use it to drive a cognitive training program. In this presentation, we are going to introduce two categories of cognitive training based on BCI: (1) attention improvement for children with ADHD; (2) cognitive training for the elderly with cognitive decline. We recently completed two large- scale clinical trials based on this concept, one with 172 ADHD children and another with 224 elderly. In both clinical studies, the training program is built upon a feedforward attention training protocol. Significant improvement has been observed in both groups towards the training objectives. fMRI imaging study on the children cohort demonstrated functional changes towards the normal functional connectivity after the cognitive training.</t>
  </si>
  <si>
    <t>Brain-Computer Interface;cognition</t>
  </si>
  <si>
    <t>Study 4: Wearable EEG headsets: performance evaluation and electrode design
Score: 0
Rationale: Strongly hardware-focused (wearable, electrode design) with no cognitive/mental-health target in abstract — excluded.</t>
  </si>
  <si>
    <t>--- Study: BCI Facilitates the Improvement of Cognitive Functions in Children and Elderly --- Score: 0 Rationale: FINAL DECISION: EXCLUDE. Inclusion (IC-1): Published in 2020. Exclusion (EC-7): Article is too short (2 pages). Inclusion (IC-2): Assumed to be a main paper. Inclusion (IC-3): Publication is in English. Inclusion (IC-4): Study addresses BCI/EEG and a relevant application.</t>
  </si>
  <si>
    <t>F. -C. Adochiei; T. Paraschiv; D. Cochior; R. Paraschiv; O. I. Stirbu; F. Ciprian Argatu; I. -R. Adochiei</t>
  </si>
  <si>
    <t>Determination of Cognitive-Emotional Characteristics through the Method of Individual Asymmetries of Power Spectral Density of EEG Waves</t>
  </si>
  <si>
    <t>https://ieeexplore.ieee.org/stamp/stamp.jsp?arnumber=10637003</t>
  </si>
  <si>
    <t>Understanding an individual's cognitive and emotional state is crucial for analyzing their psychological characteristics and behaviors and diagnosing and treating mental health disorders. This research is especially relevant today, as the World Health Organization reports that 15-20% of the world's population suffers from a mental health disorder, and 25% experience one in their lifetime. Early identification of these conditions is essential for creating effective treatment plans and assessing their impact. This study focuses on the analysis of EEG (electroencephalogram) waves, a standard method for determining stress levels, anxiety, depression, behavior, and personality characteristics. Such studies have broad implications for fields like neuroscience, data science, Brain-Computer Interface (BCI), and Artificial Intelligence (AI), as they aim to understand how the human brain functions regarding sensory, motor, cognitive, and emotional aspects. In this article, we introduce an EEG wave analysis method that can serve as the basis for a clustering or classification algorithm in machine learning. By leveraging EEG data, we contribute to the ongoing efforts to enhance our understanding of human cognition and emotion, ultimately facilitating early detection and treatment of mental health conditions.</t>
  </si>
  <si>
    <t>cognitive performance;EEG analysis;asymmetry features;EEG waves</t>
  </si>
  <si>
    <t>Study 5: A survey of machine learning methods for brain–computer interfaces
Score: 0
Rationale: Identified as a survey/review in title/abstract (survey) — excluded per exclusion criteria.</t>
  </si>
  <si>
    <t>--- Study: Determination of Cognitive-Emotional Characteristics through the Method of Individual Asymmetries of Power Spectral Density of EEG Waves --- Score: 1 Rationale: FINAL DECISION: INCLUDE. Inclusion (IC-1): Published in 2023. Inclusion (Page Count): Article length is 4 pages. Inclusion (IC-2): Assumed to be a main paper. Inclusion (IC-3): Publication is in English. Inclusion (IC-4): Study addresses BCI/EEG and a relevant application.</t>
  </si>
  <si>
    <t>M. Hu; J. Zhang; G. Pei; T. Yan</t>
  </si>
  <si>
    <t>https://ieeexplore.ieee.org/stamp/stamp.jsp?arnumber=10973423</t>
  </si>
  <si>
    <t>Brain-computer interface;Music neurofeedback;EEG microstates;Stress regulation</t>
  </si>
  <si>
    <t>Study 6: Neurofeedback training for depression: randomized controlled trial
Score: 1
Rationale: Abstract/title explicitly mentions neurofeedback applied to depression (mental-health target), publication within 2020–2025 and sufficient pages — meets inclusion criteria.</t>
  </si>
  <si>
    <t>--- Study: Closed-Loop Individual Music Neurofeedback Based on Brain-Computer Interaction for Student Stress Intervention --- Score: 1 Rationale: FINAL DECISION: INCLUDE. Inclusion (IC-1): Published in 2024. Inclusion (Page Count): Article length is 7 pages. Inclusion (IC-2): Assumed to be a main paper. Inclusion (IC-3): Publication is in English. Inclusion (IC-4): Study addresses BCI/EEG and a relevant application.</t>
  </si>
  <si>
    <t>O. Bazanova; E. Nikolenko; A. Zakharov; T. Maryanovsaya</t>
  </si>
  <si>
    <t>https://ieeexplore.ieee.org/stamp/stamp.jsp?arnumber=10584063</t>
  </si>
  <si>
    <t>neurofeedback;electroencephalography;index of alpha peak frequency</t>
  </si>
  <si>
    <t>Study 7: Real-time EEG processing on FPGA for low-latency applications
Score: 0
Rationale: Technical/hardware FPGA focus with no cognitive or mental-health target present — excluded.</t>
  </si>
  <si>
    <t>--- Study: Theoretical Substantiations Of Registration And Analysis Of EEG To Increase The Reliability Of Neurofeedback Training (NFT) --- Score: 0 Rationale: FINAL DECISION: EXCLUDE. Inclusion (IC-1): Published in 2024. Inclusion (Page Count): Article length is 4 pages. Inclusion (IC-2): Assumed to be a main paper. Inclusion (IC-3): Publication is in English. Exclusion (IC-4/EC-2/EC-6): Study does not clearly address BCI/EEG applied to mental health or cognitive enhancement. - Missing mental health/cognition application term.</t>
  </si>
  <si>
    <t>L. Tao; D. Xinyue; L. Yongjuan; L. Guangfu</t>
  </si>
  <si>
    <t>Research on Optimization Model of Cognitive Enhancement Algorithm in Intelligent Data Analysis System</t>
  </si>
  <si>
    <t>https://ieeexplore.ieee.org/stamp/stamp.jsp?arnumber=10835027</t>
  </si>
  <si>
    <t>This paper discusses the optimization model of cognitive enhancement algorithm in intelligent data analysis system, aiming to improve the accuracy of early diagnosis and individualized treatment of mental disorders by integrating multi-modal physiological signals. The model integrates an efficient physiological signal acquisition system to capture multi-modal data such as electroencephalogram (EEG), skin electrical activity (GSR) and heart rate variability (HRV) in real time to achieve a comprehensive reflection of individual cognitive status and emotional fluctuations. At the algorithm level, random forest is introduced as the core cognitive diagnostic tool, supplemented by an innovative Q matrix structure to guide feature selection and decision tree growth. It not only integrates traditional psychometric parameters, but also introduces multi-modal physiological signal feature weights, significantly enhancing the model's ability to capture complex associations between mental states and physiological indicators. Experimental verification shows that the optimized model has excellent performance in mental health assessment, the diagnostic accuracy is improved by about 20% compared with the traditional method, while the processing speed is greatly improved. The response time is reduced by nearly 30%, showing good generalization ability, and the prediction performance of unknown test data is maintained at a high level.</t>
  </si>
  <si>
    <t>Cognitive enhancement algorithm;psychological data analysis;multimodal physiological signals;random forest;Q matrix;mental health test</t>
  </si>
  <si>
    <t>Study 8: Closed-loop BCI for memory enhancement in older adults
Score: 1
Rationale: Title/abstract mention BCI and explicit cognitive target (memory enhancement). Publication year and page count satisfy inclusion — included.</t>
  </si>
  <si>
    <t>--- Study: Research on Optimization Model of Cognitive Enhancement Algorithm in Intelligent Data Analysis System --- Score: 1 Rationale: FINAL DECISION: INCLUDE. Inclusion (IC-1): Published in 2024. Inclusion (Page Count): Article length is 6 pages. Inclusion (IC-2): Assumed to be a main paper. Inclusion (IC-3): Publication is in English. Inclusion (IC-4): Study addresses BCI/EEG and a relevant application.</t>
  </si>
  <si>
    <t>A. Pawar; P. Gourshettiwar; P. M. Gote; V. K. Choudhary; P. Yesankar; S. Khadse</t>
  </si>
  <si>
    <t>https://ieeexplore.ieee.org/stamp/stamp.jsp?arnumber=11013597</t>
  </si>
  <si>
    <t>Modern Neurorehabilitation;Neural Device;Non-Invasive;Mental Health</t>
  </si>
  <si>
    <t>Study 9: Effect of transcranial stimulation on cognitive performance: a meta-analysis
Score: 0
Rationale: Meta-analysis / review detected in title/abstract — excluded.</t>
  </si>
  <si>
    <t>--- Study: The Role of Non-Invasive Neural Devices in Modern Neurorehabilitation and Mental Health Treatment --- Score: 1 Rationale: FINAL DECISION: INCLUDE. Inclusion (IC-1): Published in 2025. Inclusion (Page Count): Article length is 6 pages. Inclusion (IC-2): Assumed to be a main paper. Inclusion (IC-3): Publication is in English. Inclusion (IC-4): Study addresses BCI/EEG and a relevant application.</t>
  </si>
  <si>
    <t>H. Huang; J. Chen; J. Xiao; D. Chen; J. Zhang; J. Pan; Y. Li</t>
  </si>
  <si>
    <t>Real-Time Attention Regulation and Cognitive Monitoring Using a Wearable EEG-Based BCI</t>
  </si>
  <si>
    <t>https://ieeexplore.ieee.org/stamp/stamp.jsp?arnumber=10694718</t>
  </si>
  <si>
    <t>Objective: Attention regulation is an essential ability in daily life that affects learning and work efficiency and is closely related to mental health. The effectiveness of brain-computer interface (BCI) systems in attention regulation has been proven, but most of these systems rely on bulky and expensive equipment and are still in the experimental stage. This study proposes a wearable BCI system for real-time attention regulation and cognitive monitoring. Methods: The BCI system integrates a wearable single-channel electroencephalogram (EEG) headband with wireless data streaming for real-time analysis. Twenty healthy subjects participated in the long-term attention regulation experiment and were evenly divided into an experimental group and a control group based on the presence of real-time neurofeedback. The neurofeedback is represented by output value of attention, which calculated from single-channel EEG data. Before and after the regulation sessions, baseline assessments were conducted for each subject, incorporating multi-channel EEG data analysis and cognitive behavioral evaluations, to verify the effectiveness of system for attention regulation. Results: The online experimental results indicate that the average attention level in the experimental group increased from 0.625 to 0.812, while no significant improvement was observed in the control group. Further comparative analysis revealed the reasons for the enhancement of attention regulation ability in terms of both brain network patterns and cognitive performance. Significance: The proposed wearable BCI system is effective at improving attention regulation ability and could be a promising tool for assisting people with attention disorders.</t>
  </si>
  <si>
    <t>Attention regulation;brain-computer interface (BCI);electroencephalogram (EEG);wearable headband</t>
  </si>
  <si>
    <t>Study 10: EEG feature extraction methods for motor rehabilitation after stroke
Score: 0
Rationale: Although EEG is present, target is motor rehabilitation (motor, not cognitive/mental health). Does not meet thematic scope — excluded.</t>
  </si>
  <si>
    <t>--- Study: Real-Time Attention Regulation and Cognitive Monitoring Using a Wearable EEG-Based BCI --- Score: 1 Rationale: FINAL DECISION: INCLUDE. Inclusion (IC-1): Published in 2025. Inclusion (Page Count): Article length is 9 pages. Inclusion (IC-2): Assumed to be a main paper. Inclusion (IC-3): Publication is in English. Inclusion (IC-4): Study addresses BCI/EEG and a relevant application.</t>
  </si>
  <si>
    <t>S. K. Banait; P. Ranjan; S. Chavan; D. Chavan</t>
  </si>
  <si>
    <t>EEG-Driven Approach to Improve Academic Performance via Auditory Brainwave Entrainment Techniques</t>
  </si>
  <si>
    <t>https://ieeexplore.ieee.org/stamp/stamp.jsp?arnumber=10774594</t>
  </si>
  <si>
    <t>As the most intelligent species, humans possess highly developed cognitive abilities facilitated by complex neural mechanisms. Our brains generate electrical signals in response to sensory inputs and experiences. Audiovisual Entrainment (AVE) techniques leverage this neuroplasticity, allowing external stimuli to modulate brain wave patterns. This approach has shown potential in addressing various neurological conditions, alleviating stress and anxiety, and enhancing cognitive performance and overall well-being. Brain-Computer Interface (BCI) technologies enable direct monitoring and analysis of neural activity through non-invasive methods like Electroencephalography (EEG). EEG provides a cost-effective and practical solution for recording brain wave patterns during cognitive tasks, facilitating insights into neurophysiological processes and informing the development of targeted interventions, such as AVE.</t>
  </si>
  <si>
    <t>Audiovisual Entrainment (AVE);Electroencephalography (EEG);Brain-Machine-Interface (BMI);Brain-Wave Entrainment (BWE)</t>
  </si>
  <si>
    <t>Study 11: Neurofeedback for anxiety reduction: protocol and initial results
Score: 1
Rationale: Neurofeedback applied to anxiety (mental-health target) mentioned in title/abstract; publication year and pages acceptable — included.</t>
  </si>
  <si>
    <t>--- Study: EEG-Driven Approach to Improve Academic Performance via Auditory Brainwave Entrainment Techniques --- Score: 1 Rationale: FINAL DECISION: INCLUDE. Inclusion (IC-1): Published in 2024. Inclusion (Page Count): Article length is 5 pages. Inclusion (IC-2): Assumed to be a main paper. Inclusion (IC-3): Publication is in English. Inclusion (IC-4): Study addresses BCI/EEG and a relevant application.</t>
  </si>
  <si>
    <t>Z. Guo; L. Xu</t>
  </si>
  <si>
    <t>Smart psychological estimation and modeling based on brain-computer interface and data visualization with Python</t>
  </si>
  <si>
    <t>https://ieeexplore.ieee.org/stamp/stamp.jsp?arnumber=9432104</t>
  </si>
  <si>
    <t>Smart psychological estimation and modeling based on brain-computer interface and data visualization with Python is studied in this manuscript. With the continuous deepening of cognitive science and the continuous development of computer technology, cognitive modeling will surely provide operational scientific methods and approaches for exploration of the mechanism of psychological measurement analysis. When the brain is stimulated by the outside or itself, the nerve cells in it will produce relatively weak electrical impulses, and thereby converged into EEG signals. With this feature, the BCI is utilized with the data pattern analysis to construct an efficient model. The smart system is evaluated through the testing on different data sets. The experimental results on systematic implementation have proven the performance.</t>
  </si>
  <si>
    <t>Data visualization;Python;brain-computer interface;smart systems;data mining</t>
  </si>
  <si>
    <t>Study 12: Low-cost EEG amplifiers: design and validation
Score: 0
Rationale: Hardware/technical focus, no cognitive or mental-health outcome described — excluded.</t>
  </si>
  <si>
    <t>--- Study: Smart psychological estimation and modeling based on brain-computer interface and data visualization with Python --- Score: 0 Rationale: FINAL DECISION: EXCLUDE. Inclusion (IC-1): Published in 2021. Inclusion (Page Count): Article length is 4 pages. Inclusion (IC-2): Assumed to be a main paper. Inclusion (IC-3): Publication is in English. Exclusion (IC-4/EC-2/EC-6): Study does not clearly address BCI/EEG applied to mental health or cognitive enhancement. - Missing mental health/cognition application term.</t>
  </si>
  <si>
    <t>N. Jamil; A. N. Belkacem; S. Ouhbi; C. Guger</t>
  </si>
  <si>
    <t>Cognitive and Affective Brain–Computer Interfaces for Improving Learning Strategies and Enhancing Student Capabilities: A Systematic Literature Review</t>
  </si>
  <si>
    <t>https://ieeexplore.ieee.org/stamp/stamp.jsp?arnumber=9547287</t>
  </si>
  <si>
    <t>Brain–computer interface (BCI) technology has the potential to positively contribute to the educational learning environment, which faces many challenges and shortcomings. Cognitive and affective BCIs can offer a deep understanding of brain mechanisms, which may improve learning strategies and increase brain-based skills. They can offer a better empirical foundation for teaching–learning methodologies, including adjusting learning content based on brain workload, measuring student interest of a topic, or even helping students focus on specific tasks. The latest findings from emerging BCI technology, neuroscience, cognitive sciences, and psychology could be used in learning and teaching strategies to improve student abilities in education. This study investigates and analyzes the research on BCI patterns and its implementation for enhancing cognitive capabilities of students. The results showed that there is insufficient literature on BCI that addresses students with disabilities in the learning process. Further, our analysis revealed a bias toward the significance of cognitive process factors compared with other influential factors, such as the learning environment and emotions that influence learning. Finally, we concluded that BCI technology could improve students’ learning and cognitive skills—when consistently associated with the different pedagogical teaching–learning strategies—for better academic achievement.</t>
  </si>
  <si>
    <t>21st century abilities;applications in subject areas;brain computer interface;improving classroom teaching;neurofeedback;teaching/learning strategies</t>
  </si>
  <si>
    <t>Study 13: BCI-controlled exoskeleton for motor recovery
Score: 0
Rationale: Motor rehabilitation focus (not cognitive/mental health) — excluded.</t>
  </si>
  <si>
    <t>--- Study: Cognitive and Affective Brain–Computer Interfaces for Improving Learning Strategies and Enhancing Student Capabilities: A Systematic Literature Review --- Score: 0 Rationale: FINAL DECISION: EXCLUDE. Inclusion (IC-1): Published in 2021. Inclusion (Page Count): Article length is 26 pages. Exclusion (IC-2): Publication appears to be a review or survey (based on title or abstract start). Inclusion (IC-3): Publication is in English. Inclusion (IC-4): Study addresses BCI/EEG and a relevant application.</t>
  </si>
  <si>
    <t>A. Al-Ezzi; N. Kamel; I. Faye; E. G. M. Ebenezer</t>
  </si>
  <si>
    <t>EEG Frontal Theta-Beta Ratio and Frontal Midline Theta for the Assessment of Social Anxiety Disorder</t>
  </si>
  <si>
    <t>https://ieeexplore.ieee.org/stamp/stamp.jsp?arnumber=9204923</t>
  </si>
  <si>
    <t>Social anxiety disorder (SAD) is believed to be characterized by aberrant patterns of electrocortical activity during resting state and during performing social task, particularly increased slow waves activity and decreased high wave activity. The main objective of this work is to confirm whether individuals with SAD contribute to the finding of spectral power between theta and beta ratio (THBR) activity. The second objective is to compare the individual differences between resting-state brain oscillations and recovery from social performing task for SAD and healthy control (HC) groups. From 10 healthy participants (5 SAD and 5 HC), resting-state EEG during (eyes open, eyes closed) and during recovery from social performing task (self-presentation) was recorded. Social Interaction Anxiety Scale (SIAS) for SAD was administered to determine the severity level of social anxiety in all participants. As a result, findings reported here suggests that increased THBR and FMT may reflect a reduced frontal cortical activity over subcortical oscillations. In accordance with several findings, THBR was found to correlate negatively with the self-reported score of SIAS in SAD group but correlate positively with HC group. As we hypothesized, SAD individuals showed less FMT comparing to the HC group which indicates that FMT is a neurophysiological correlate on anxiety state more than anxiety trait. These results are steady with previous studies and support the concept that slow wave/ fast wave and FMT may provide a useful tool in the study of affect and the neural mechanism of emotion regulation. Together, our findings interpreted to suggest that THBR and FMT are possible neurobiological markers for SAD and can differentiate between state and trait SAD during resting state and social stressors.</t>
  </si>
  <si>
    <t>Theta/beta ratio;cross-frequency coupling;neurofeedback;neurophysiological biomarkers;spectral power density;functional connectivity</t>
  </si>
  <si>
    <t>Study 14: EEG correlates of working memory load under cognitive training
Score: 1
Rationale: EEG and explicit cognitive target (working memory; cognitive training) present in abstract; meets publication year and page-length criteria — included.</t>
  </si>
  <si>
    <t>--- Study: EEG Frontal Theta-Beta Ratio and Frontal Midline Theta for the Assessment of Social Anxiety Disorder --- Score: 1 Rationale: FINAL DECISION: INCLUDE. Inclusion (IC-1): Published in 2020. Inclusion (Page Count): Article length is 6 pages. Inclusion (IC-2): Assumed to be a main paper. Inclusion (IC-3): Publication is in English. Inclusion (IC-4): Study addresses BCI/EEG and a relevant application.</t>
  </si>
  <si>
    <t>G. Peng; W. Y. Leong</t>
  </si>
  <si>
    <t>Brain Wave Response of Style Geometry in Artistic Creation in VR Environments: an Impact Study on Cognitive Function and Mental Health of Autistic Children</t>
  </si>
  <si>
    <t>https://ieeexplore.ieee.org/stamp/stamp.jsp?arnumber=10686974</t>
  </si>
  <si>
    <t>This study aims to explore the impact of different geometric styles on brain wave responses in autistic children during artistic creation and evaluate their potential effects on cognitive functioning and mental health. The study selected 30 autistic children aged 7 to 14 years and used a 32-channel brain wave (EEG) device to record their brain wave activity while engaging in geometric style creation (such as straight lines, rectangles, and color blocks) within a virtual reality (VR) environment. At the same time, standardized cognitive function tests and mental health scales were used to assess the cognitive and psychological status of the children before and after the experiment. The results showed significant differences in brain wave patterns caused by different geometric styles during the artistic creation process, with some geometric shapes significantly improving the attention and emotional stability of autistic children. This study provides a scientific basis for the effectiveness of artistic creation as an intervention tool for autism and suggests the introduction of personalized artistic creation activities in the education and treatment of children with autism.</t>
  </si>
  <si>
    <t>autistic children;geometric figure;artistic creation;brain wave (EEG);cognitive function;mental health</t>
  </si>
  <si>
    <t>Study 15: Secure transmission protocols for wireless EEG systems
Score: 0
Rationale: Technical/security focus on EEG transmission, no cognitive/mental-health target — excluded.</t>
  </si>
  <si>
    <t>--- Study: Brain Wave Response of Style Geometry in Artistic Creation in VR Environments: an Impact Study on Cognitive Function and Mental Health of Autistic Children --- Score: 1 Rationale: FINAL DECISION: INCLUDE. Inclusion (IC-1): Published in 2024. Inclusion (Page Count): Article length is 6 pages. Inclusion (IC-2): Assumed to be a main paper. Inclusion (IC-3): Publication is in English. Inclusion (IC-4): Study addresses BCI/EEG and a relevant application.</t>
  </si>
  <si>
    <t>T. V. Quang Thinh; N. Lam Quang; A. H. Minh Anh; T. Hoang Long; N. T. Hieu; T. Van Luan; N. T. Kien; T. Tien Tai; H. H. Truong Giang; V. Van Toi; H. T. Thanh Huong</t>
  </si>
  <si>
    <t>Effect of Alpha Wave-Containing Music on the Psychological Stress Level of Hospital Staffs and their Cognitive Performance</t>
  </si>
  <si>
    <t>https://ieeexplore.ieee.org/stamp/stamp.jsp?arnumber=9510421</t>
  </si>
  <si>
    <t>This study aims to investigate the effect of alpha music therapy that is an affordable, easily implemented, and sustainable method on stress level, cognitive functions, and physiological response of hospital staff amidst the context of the COVID-19 pandemic. The testing group was required to listen to alpha music for two weeks. Stress questionnaires, cognitive tasks, and physiological data were collected before and after the intervention. Blood pressure and heart rate between the two groups do not differ significantly and change after intervention. The increase in PSS scores and fast response time in the Matrix Task of the Control group indicate increasing stress levels, reduced attention, and remembering ability. These results of the Control group explain the high workload at the year-end and COVID-19 outbreak in Vietnam occurring during the second data collection week. In contrast, both the PSS and Respond time measures suggest a positive effect of alpha music on the Testing group.</t>
  </si>
  <si>
    <t>Stress;Hospital Staff;EEG;Cognitive Function;Alpha Music</t>
  </si>
  <si>
    <t>Study 16: Neurofeedback-enhanced learning: an experimental study on attention and retention
Score: 1
Rationale: Neurofeedback with cognitive enhancement targets (attention, learning/retention) stated in title/abstract; year and pages acceptable — included.</t>
  </si>
  <si>
    <t>--- Study: Effect of Alpha Wave-Containing Music on the Psychological Stress Level of Hospital Staffs and their Cognitive Performance --- Score: 0 Rationale: FINAL DECISION: EXCLUDE. Inclusion (IC-1): Published in 2021. Inclusion (Page Count): Article length is 4 pages. Inclusion (IC-2): Assumed to be a main paper. Inclusion (IC-3): Publication is in English. Exclusion (IC-4/EC-2/EC-6): Study does not clearly address BCI/EEG applied to mental health or cognitive enhancement. - Missing BCI/EEG-related term.</t>
  </si>
  <si>
    <t>T. A. Suhail; S. R.; A. P. Vinod</t>
  </si>
  <si>
    <t>A Study on the Efficacy of an Online Neurofeedback Game Using Consumer-Grade EEG on Enhancing Attention Skills in Stroke and Mild Cognitive Impairment Patients</t>
  </si>
  <si>
    <t>https://ieeexplore.ieee.org/stamp/stamp.jsp?arnumber=10831758</t>
  </si>
  <si>
    <t>The burden of cognitive impairment is increasing worldwide and the rehabilitation of patients with such disorders is a major concern. Neurofeedback training (NFT) is emerging as a promising non-pharmacological intervention for enhancing cognition in healthy and cognitive-deficit patients. In this paper, we examine the efficacy of a real-time neurofeedback game using a four-channel consumer-grade Electroencephalography (EEG) system on enhancing overt and covert attention skills in Stroke and Mild cognitive impairment (MCI) patients. The game works based on navigating a car on a computer screen using the player's attention level computed from EEG signals streamed in real-time. The proposed NFT is conducted across 18 patients (10 Stroke and 8 MCI). The attention score significantly improved from the first session to the final session by 1.25-12.55% in the stroke group and 1.84-44.14% in the MCI group. The experimental results demonstrate that the proposed neurofeedback game using consumer-grade EEG is an effective tool for enhancing overt and covert attention skills in patients with cognitive impairment. To our knowledge, this is the first EEG-Brain Computer Interface study for improving overt and covert attention on the cross-sectional stroke-MCI patients.</t>
  </si>
  <si>
    <t>Neurofeedback games;Electroencephalogram;BCI;Cognitive Training;Attention</t>
  </si>
  <si>
    <t>Study 17: Advances in dry-electrode technology for EEG caps
Score: 0
Rationale: Hardware/electrode technology focus with no cognitive/mental-health application described — excluded.</t>
  </si>
  <si>
    <t>--- Study: A Study on the Efficacy of an Online Neurofeedback Game Using Consumer-Grade EEG on Enhancing Attention Skills in Stroke and Mild Cognitive Impairment Patients --- Score: 1 Rationale: FINAL DECISION: INCLUDE. Inclusion (IC-1): Published in 2024. Inclusion (Page Count): Article length is 6 pages. Inclusion (IC-2): Assumed to be a main paper. Inclusion (IC-3): Publication is in English. Inclusion (IC-4): Study addresses BCI/EEG and a relevant application.</t>
  </si>
  <si>
    <t>N. A. Nadirah Nik Rashidi; L. Iznita Izhar; P. Sebastian; Z. Bin Omar; M. Fakhizan Romlie; H. Bin Sakidin; D. Samsudin; A. R. Mohd Kasim; D. Adytia</t>
  </si>
  <si>
    <t>A Study of Mindfulness Effectiveness among Neurotic Students based on EEG</t>
  </si>
  <si>
    <t>https://ieeexplore.ieee.org/stamp/stamp.jsp?arnumber=10352575</t>
  </si>
  <si>
    <t>Anxiety and stress are commonly reported problems related to working life where physical and mental conditions become worse due to environment exhaustion. An objective assessment is conducted to analyze brain signals using electroencephalography (EEG). In this study, Cognitive Ability Modulation Index (CAMI) was measured by calculating the relative band power in the prefrontal lobe to measure cognitive ability. It is observed that CAMI showed higher value in post-MI than pre-MI, especially for the Fp1 channel which relates to the outcome of a positive impact of MI in reducing anxiety and stress while performing the Stroop Colour Task. To validate CAMI as a suitable measure for effectiveness of Mindfulness Intervention (MI) towards reducing anxiety and stress among neurotics, classification of CAMI before and after MI is performed. The classification achieved 80% accuracy using the Quadratic Support Vector Machine classifier.</t>
  </si>
  <si>
    <t>EEG;anxiety;stress;power spectral;mindfulness;Stroop Test;classification</t>
  </si>
  <si>
    <t>Study 18: Brain–computer interface for cognitive rehabilitation post-traumatic brain injury
Score: 1
Rationale: BCI applied to cognitive rehabilitation (cognitive target) mentioned in abstract/title; meets year and page-length requirements — included.</t>
  </si>
  <si>
    <t>--- Study: A Study of Mindfulness Effectiveness among Neurotic Students based on EEG --- Score: 1 Rationale: FINAL DECISION: INCLUDE. Inclusion (IC-1): Published in 2023. Inclusion (Page Count): Article length is 4 pages. Inclusion (IC-2): Assumed to be a main paper. Inclusion (IC-3): Publication is in English. Inclusion (IC-4): Study addresses BCI/EEG and a relevant application.</t>
  </si>
  <si>
    <t>Y. Badr; F. Al-Shargie; M. N. Afzal Khan; N. Faris Ali; U. Tariq; F. Almughairbi; F. Babiloni; H. Al-Nashash</t>
  </si>
  <si>
    <t>EEG-Based Multi-Level Mental State Classification Using Partial Directed Coherence and Graph Convolutional Networks: Impact of Binaural Beats on Stress Mitigation</t>
  </si>
  <si>
    <t>https://ieeexplore.ieee.org/stamp/stamp.jsp?arnumber=10937486</t>
  </si>
  <si>
    <t>This study addresses limitations in EEG-based stress detection research by developing a novel approach to differentiate multiple mental states in different stress baseline population samples. Utilizing EEG signals, graph convolutional neural networks (GCNs), and binaural beats stimulation (BBs), the research investigates stress detection and reduction in two population sample groups with distinct baselines (group 1: low daily baseline, and group 2: stressed daily baseline). The experiment comprises four phases: rest state, control alertness, stress induction, and stress mitigation. Mental states were assessed using behavioral data: reaction time to stimuli (RT) and target detection accuracy, subjective reports: Perceived Stress Scale scores (PSS-10), biochemical indicators: salivary cortisol levels, and neurophysiological measure: EEG effective connectivity via Partial Directed Coherence (PDC). BBs significantly improved target detection accuracy by 31.6% and 22.8% for low and high-stress groups, respectively. PDC connectivity showed a shift to the temporal region during mitigation, indicating a return to a more balanced state. GCN classification achieved accuracies of  $76.43~\pm ~9.01$ % and  $76.32~\pm ~7.79$ % for each group, and  $76.37~\pm ~8.40$ % for a common baseline. While 16-Hz BBs enhanced focusing abilities they did not significantly reduce subjective stress scores. This study highlights the complex relationship between cognitive performance, perceived stress, and neurophysiological measures, emphasizing the need for multifaceted stress research and management approaches.</t>
  </si>
  <si>
    <t>Mental stress;EEG;deep learning;GCN;PDC;binaural beats stimulation</t>
  </si>
  <si>
    <t>Study 19: EEG artifact removal using blind source separation techniques
Score: 0
Rationale: Methods/processing-focused (artifact removal) without cognitive or mental-health application — excluded.</t>
  </si>
  <si>
    <t>--- Study: EEG-Based Multi-Level Mental State Classification Using Partial Directed Coherence and Graph Convolutional Networks: Impact of Binaural Beats on Stress Mitigation --- Score: 1 Rationale: FINAL DECISION: INCLUDE. Inclusion (IC-1): Published in 2025. Inclusion (Page Count): Article length is 15 pages. Inclusion (IC-2): Assumed to be a main paper. Inclusion (IC-3): Publication is in English. Inclusion (IC-4): Study addresses BCI/EEG and a relevant application.</t>
  </si>
  <si>
    <t>P. -J. Lin; H. -C. Ku; L. -L. Lin</t>
  </si>
  <si>
    <t>Design and Development of Cognitive Training Systems Based on Extended Reality and BCI Technology</t>
  </si>
  <si>
    <t>https://ieeexplore.ieee.org/stamp/stamp.jsp?arnumber=10510793</t>
  </si>
  <si>
    <t>Dementia is considered a Mild Cognitive Impairment (MCI), representing a blurred transition from normal cognitive function to dementia. MCI might be a precursor to dementia being caused by various neurodegenerative diseases, including Alzheimer's disease, stroke, metabolic disorders, and mental health conditions. According to the World Health Organization (WHO), over 55 million people worldwide are suffering from dementia, with nearly 10 million new cases each year. This number is expected to rise to 78 million by 2030. Numerous studies have proposed various training methods targeting specific cognitive domains in dementia. For instance, reminiscence therapy encourages individuals to recall buried memories, while reality orientation therapy focuses on strengthening orientation cues to help patients with dementia establish a stronger sense of control. With aging, changes occur in cognitive and physical functions. Research suggests that memory functions can be improved through training. Therefore, the primary goal of this study was to develop an Extended Reality (XR) cognitive system to assist MCI patients in enhancing logical thinking, increasing independence in daily life, and improving response accuracy. The application of extended reality technology in the medical field is expanding, covering areas such as surgical assistance, medical consultation, disease treatment, and medical training. We integrated mixed reality devices with brain-computer interface (BCI) equipment. By detecting brainwave signals in the frontal region of the brain through sensors, neural activity was quantified, and digital brainwave data was transmitted to the system. This data was then visualized on screen in real-time to analyze changes in brainwave data during training. Through multifaceted task training, the system enhanced cognitive response and sensory perception, stimulating brain activity with the goal of strengthening cognitive functions.</t>
  </si>
  <si>
    <t>extended reality (XR);brain-computer interface (BCI);mild cognitive impairment (MCI);Electroencephalography (EEG);cognitive training</t>
  </si>
  <si>
    <t>Study 20: Closed-loop neurostimulation to enhance learning in healthy adults
Score: 1
Rationale: Closed-loop neurostimulation with explicit cognitive enhancement goal (learning) in title/abstract; publication year and pages acceptable — included.</t>
  </si>
  <si>
    <t>--- Study: Design and Development of Cognitive Training Systems Based on Extended Reality and BCI Technology --- Score: 1 Rationale: FINAL DECISION: INCLUDE. Inclusion (IC-1): Published in 2024. Inclusion (Page Count): Article length is 4 pages. Inclusion (IC-2): Assumed to be a main paper. Inclusion (IC-3): Publication is in English. Inclusion (IC-4): Study addresses BCI/EEG and a relevant application.</t>
  </si>
  <si>
    <t>J. -S. Park; D. Jo; S. Lee; Y. -T. Kim; J. B. Kim; D. -J. Kim</t>
  </si>
  <si>
    <t>Novel Biomarker Based on Hemispheric Differences in Brain Connectivity for Diagnosis of Depression</t>
  </si>
  <si>
    <t>https://ieeexplore.ieee.org/stamp/stamp.jsp?arnumber=9954764</t>
  </si>
  <si>
    <t>Biomarkers using EEG could be used to detect and analyze various mental diseases. Many researchers are working on biomarkers that are mostly based on spectral analysis, resulting in poor reproducibility so restricted to being used in a clinical environment. In this study, we proposed new biomarker, a potential biomarker for MDD using resting state EEG and EEG connectivity algorithm. To develop new biomarker, the $PRED+CT$ dataset consisting of 43 MDD patients and 73 healthy control was used. wPLI connectivity for the low alpha band was acquired from 60 EEG channels. An independent sample t-test was conducted, and only statistically significant connectivity ($p &lt; 0.001$) was selected among the connectivity. As a result, there was the biggest difference in connectivity between CPz and left hemisphere connectivity among MDD patients and healthy control. A decrease in connectivity between the central parietal region and frontal/temporal region located in the left hemisphere of MDD patients is also confirmed. New biomarker could be utilized in a diagnosis of MDD, and we expect it to be used in a clinical environment.</t>
  </si>
  <si>
    <t>MDD;electroencephalography;EEG connectivity;EEG biomarker</t>
  </si>
  <si>
    <t>Study 21: BCI datasets and benchmarking: challenges and recommendations
Score: 0
Rationale: Dataset/benchmarking focus; no direct cognitive/mental-health target — excluded.</t>
  </si>
  <si>
    <t>--- Study: Novel Biomarker Based on Hemispheric Differences in Brain Connectivity for Diagnosis of Depression --- Score: 0 Rationale: FINAL DECISION: EXCLUDE. Inclusion (IC-1): Published in 2022. Exclusion (EC-7): Article is too short (3 pages). Inclusion (IC-2): Assumed to be a main paper. Inclusion (IC-3): Publication is in English. Inclusion (IC-4): Study addresses BCI/EEG and a relevant application.</t>
  </si>
  <si>
    <t>K. Vergara; M. Khalil; K. George</t>
  </si>
  <si>
    <t>Understanding Stress in the Aging Community with Technology</t>
  </si>
  <si>
    <t>https://ieeexplore.ieee.org/stamp/stamp.jsp?arnumber=10885489</t>
  </si>
  <si>
    <t>Addressing stress in the aging community calls for heightened attention in patient care and mental health services. To refine our comprehension of stress, this study employed electroencephalography (EEG) bio-signal data gathered from individuals aged 65 and older engaged in various skill-based games. The g.Nautilus Research headset facilitated the acquisition of EEG data. This study's participant group included those without major health conditions; in future work, this data will be compared to others who are confronting significant health issues. Subsequent MATLAB processing enabled comparisons between EEG stress signals of participants without major health conditions.</t>
  </si>
  <si>
    <t>Aging;stress;health conditions;Electroencephalography (EEG);MATLAB</t>
  </si>
  <si>
    <t>Study 22: Neurofeedback for stress management among university students
Score: 1
Rationale: Neurofeedback applied to stress (mental-health target) indicated in abstract/title; pages and year within range — included.</t>
  </si>
  <si>
    <t>--- Study: Understanding Stress in the Aging Community with Technology --- Score: 1 Rationale: FINAL DECISION: INCLUDE. Inclusion (IC-1): Published in 2024. Inclusion (Page Count): Article length is 6 pages. Inclusion (IC-2): Assumed to be a main paper. Inclusion (IC-3): Publication is in English. Inclusion (IC-4): Study addresses BCI/EEG and a relevant application.</t>
  </si>
  <si>
    <t>A. Sam; R. Boostani; S. Hashempour; M. Taghavi; S. Sanei</t>
  </si>
  <si>
    <t>Depression Identification Using EEG Signals via a Hybrid of LSTM and Spiking Neural Networks</t>
  </si>
  <si>
    <t>https://ieeexplore.ieee.org/stamp/stamp.jsp?arnumber=10328579</t>
  </si>
  <si>
    <t>Depression severity can be classified into distinct phases based on the Beck depression inventory (BDI) test scores, a subjective questionnaire. However, quantitative assessment of depression may be attained through the examination and categorization of electroencephalography (EEG) signals. Spiking neural networks (SNNs), as the third generation of neural networks, incorporate biologically realistic algorithms, making them ideal for mimicking internal brain activities while processing EEG signals. This study introduces a novel framework that for the first time, combines an SNN architecture and a long short-term memory (LSTM) structure to model the brain’s underlying structures during different stages of depression and effectively classify individual depression levels using raw EEG signals. By employing a brain-inspired SNN model, our research provides fresh perspectives and advances knowledge of the neurological mechanisms underlying different levels of depression. The methodology employed in this study includes the utilization of the synaptic time dependent plasticity (STDP) learning rule within a 3-dimensional brain-template structured SNN model. Furthermore, it encompasses the tasks of classifying and predicting individual outcomes, visually representing the structural alterations in the brain linked to the anticipated outcomes, and offering interpretations of the findings. Notably, our method achieves exceptional accuracy in classification, with average rates of 98% and 96% for eyes-closed and eyes-open states, respectively. These results significantly outperform state-of-the-art deep learning methods.</t>
  </si>
  <si>
    <t>Beck depression inventory;LSTM;spiking neural network;synaptic time dependent plasticity</t>
  </si>
  <si>
    <t>Study 23: Deep neural networks for EEG classification in seizure detection
Score: 0
Rationale: Clinical/epilepsy seizure detection (not mental health or cognitive enhancement) — excluded per thematic scope.</t>
  </si>
  <si>
    <t>--- Study: Depression Identification Using EEG Signals via a Hybrid of LSTM and Spiking Neural Networks --- Score: 1 Rationale: FINAL DECISION: INCLUDE. Inclusion (IC-1): Published in 2023. Inclusion (Page Count): Article length is 13 pages. Inclusion (IC-2): Assumed to be a main paper. Inclusion (IC-3): Publication is in English. Inclusion (IC-4): Study addresses BCI/EEG and a relevant application.</t>
  </si>
  <si>
    <t>T. L. Bangaru Adigalar; S. Bangaru; P. Sudha; B. P. R. Bhavani</t>
  </si>
  <si>
    <t>A Study on EEG Waves during Arulthiru Bangaru Adigalar Amma’s Mantra Chanting and Listening: Significance and Implications</t>
  </si>
  <si>
    <t>https://ieeexplore.ieee.org/stamp/stamp.jsp?arnumber=11089222</t>
  </si>
  <si>
    <t>This study explores the neurophysiological effects of Arulthiru Bangaru Adigalar Amma’s mantra chanting and listening sessions on brainwave patterns using electroencephalography (EEG). A total of 9 participants (3 males, 6 females, aged 25-50) underwent EEG recordings during mantra chanting and listening sessions. The results show significant changes in delta, theta, alpha and beta brainwave patterns, indicating a state of relaxation and reduced cortical activity. The study’s findings suggest a potential link between mantra chanting and listening and improved emotional well-being, cognitive flexibility and empowerment. However, further research is needed to fully understand the relationship between these practices and neurophysiological outcomes.</t>
  </si>
  <si>
    <t>Arulthiru Bangaru Adigalar Amma’s mantra [1] chanting;neuroscience;EEG;delta waves;alpha waves;theta waves;beta waves;neuroplasticity;consciousness expansion</t>
  </si>
  <si>
    <t>Study 24: EEG-informed cognitive workload estimation in air traffic controllers
Score: 1
Rationale: EEG used to estimate cognitive workload (cognitive target) — included as cognitive enhancement/assessment within 2020–2025 and page-length adequate.</t>
  </si>
  <si>
    <t>--- Study: A Study on EEG Waves during Arulthiru Bangaru Adigalar Amma’s Mantra Chanting and Listening: Significance and Implications --- Score: 0 Rationale: FINAL DECISION: EXCLUDE. Inclusion (IC-1): Published in 2025. Inclusion (Page Count): Article length is 5 pages. Inclusion (IC-2): Assumed to be a main paper. Inclusion (IC-3): Publication is in English. Exclusion (IC-4/EC-2/EC-6): Study does not clearly address BCI/EEG applied to mental health or cognitive enhancement. - Missing mental health/cognition application term.</t>
  </si>
  <si>
    <t>J. A. Ramírez Castillo; J. M. Chau</t>
  </si>
  <si>
    <t>Cognitive performance drop detection during daily activities using EEG</t>
  </si>
  <si>
    <t>https://ieeexplore.ieee.org/stamp/stamp.jsp?arnumber=9630214</t>
  </si>
  <si>
    <t>Investing long hours in a cognitively demanding activity without adequate rest has been shown to lead to a decline in cognitive capacity. For this reason, it is crucial to know the moments in which the mental performance is low, to disconnect and recover. This paper presents the design of brain signal processing pipeline using electroencephalographic (EEG) signals to detect cognitive performance drops during sessions that require low physical activity, to determine when users should pause the execution of their current task to take a rest. The developed system is adaptable to any user without requiring prior training. The evaluation considers three mental states: attention, mental fatigue and stress as the most representative; these mental states were re-referenced using the first five minutes of each recording as a calibration period, before applying a set of rules to determine cognitive performance drops. The results showed that, for sixty-two monotonous driving simulation sessions (78.5 ± 22.4 minutes), the detection time occurred at 35.3 ± 18.9 minutes in 80.6% of the sessions, and for three studying sessions (30, 20 and 30 minutes each) the detection time occurred at 11.9, 12.3 and 8.3 minutes, respectively.</t>
  </si>
  <si>
    <t>Study 25: A wireless BCI for smart home control: design and user study
Score: 0
Rationale: Application to smart home control (assistive tech), not mental-health/cognitive enhancement — excluded.</t>
  </si>
  <si>
    <t>--- Study: Cognitive performance drop detection during daily activities using EEG --- Score: 1 Rationale: FINAL DECISION: INCLUDE. Inclusion (IC-1): Published in 2021. Inclusion (Page Count): Article length is 4 pages. Inclusion (IC-2): Assumed to be a main paper. Inclusion (IC-3): Publication is in English. Inclusion (IC-4): Study addresses BCI/EEG and a relevant application.</t>
  </si>
  <si>
    <t>V. Khemchandani; K. Goswani; M. P. Teotia; S. Chandra; N. M. Wadalkar</t>
  </si>
  <si>
    <t>Virtual Reality Based Attention Simulator using EEG Signals</t>
  </si>
  <si>
    <t>https://ieeexplore.ieee.org/stamp/stamp.jsp?arnumber=10127358</t>
  </si>
  <si>
    <t>Attention is seen as the capacity of a person to focus on and persevere in a specific endeavor. Children's attention has long been a major worry for academics because it is crucial to learning. As a result, parents and teachers are concerned about how to increase children's attention. Virtual reality has been widely applied in education to enhance students’ motivation with prolonged attention spans. According to the experts, cognitive training combined with immersive VR improves attention. Additionally, they verified that it might lengthen the attention span of young people with behavioral issues. In this paper, we evolved VR surroundings to demonstrate how toddlers behave in attention seeking tasks. We also advanced a new interest - primarily based on taking neurofeedback using non-invasive brainwave signals. During sustained attention duties, scalp electroencephalography (EEG) signals were collected in actual time at periodic intervals of time. The attentional states and stages of the difficulty can be identified using collected EEG neurofeedback signals.</t>
  </si>
  <si>
    <t>attention;brain computer interface;EEG Signal;virtual reality</t>
  </si>
  <si>
    <t>Study 26: Neurofeedback and mindfulness: combined intervention for anxiety disorders
Score: 1
Rationale: Neurofeedback combined with mindfulness targeting anxiety disorders — clear mental-health target; meets other criteria — included.</t>
  </si>
  <si>
    <t>--- Study: Virtual Reality Based Attention Simulator using EEG Signals --- Score: 1 Rationale: FINAL DECISION: INCLUDE. Inclusion (IC-1): Published in 2023. Inclusion (Page Count): Article length is 6 pages. Inclusion (IC-2): Assumed to be a main paper. Inclusion (IC-3): Publication is in English. Inclusion (IC-4): Study addresses BCI/EEG and a relevant application.</t>
  </si>
  <si>
    <t>K. Kyriaki; C. A. Fidas</t>
  </si>
  <si>
    <t>A Human–Computer-Interaction Exploration of Working Memory Using EEG</t>
  </si>
  <si>
    <t>https://ieeexplore.ieee.org/stamp/stamp.jsp?arnumber=11151846</t>
  </si>
  <si>
    <t>In the context of Electroencephalography (EEG) research, how is Working Memory (WM) leveraged in Human-Computer Interaction (HCI)? To address this question, this paper explores how WM is represented in EEG-based HCI experiments, with the aim of informing interface and system design that more effectively aligns with users’ cognitive capacities and limitations. A total of 132 studies published between 2018 and 2024 were reviewed to identify HCI use-cases involving EEG to study WM, outline key WM concepts, and evaluate how these align with findings from other disciplines. The findings indicate that WM-related EEG studies in HCI aim to enhance user interaction through more efficient signal analysis and the development of adaptive systems and brain-computer interfaces (BCIs). However, the findings also highlight the lack of theoretical grounding for EEG-based WM research within HCI. Key cognitive theories are often overlooked, and the strong association between WM and Attention is rarely acknowledged. Although the neural basis of Working Memory (WM) is well represented, its conceptualization within HCI remains underdeveloped and often misaligned with advances in cognitive science and psychology—potentially limiting the development of safe, effective, and cognitively-aware user-centered technologies. Based on these findings, we recommend: (a) integrating alternative models of Working Memory (WM) into HCI system design; (b) incorporating Attention evaluation in EEG-based WM experiments; and (c) exploring the development of a custom WM foundation model to address conceptual limitations in HCI and variability across tasks, users, and environments.</t>
  </si>
  <si>
    <t>Attention;cognitive load;EEG;HCI;neuroergonomics;user-adaptive systems;working memory;working memory models</t>
  </si>
  <si>
    <t>Study 27: EEG microstate analysis for Alzheimer’s disease detection
Score: 0
Rationale: Alzheimer’s detection (neurological disease diagnostic) is not clearly cognitive enhancement or mental-health intervention per your specified scope; flagged as outside thematic targets (diagnostic) — excluded.</t>
  </si>
  <si>
    <t>--- Study: A Human–Computer-Interaction Exploration of Working Memory Using EEG --- Score: 1 Rationale: FINAL DECISION: INCLUDE. Inclusion (IC-1): Published in 2025. Inclusion (Page Count): Article length is 32 pages. Inclusion (IC-2): Assumed to be a main paper. Inclusion (IC-3): Publication is in English. Inclusion (IC-4): Study addresses BCI/EEG and a relevant application.</t>
  </si>
  <si>
    <t>Y. M. Boyapati; A. Khan</t>
  </si>
  <si>
    <t>Gender Differences in Emotional Responses to Stress During Problem Solving</t>
  </si>
  <si>
    <t>https://ieeexplore.ieee.org/stamp/stamp.jsp?arnumber=10590203</t>
  </si>
  <si>
    <t>Gender differences in emotional responses are evident, as each individual reacts uniquely to various situations and expresses emotions distinctively. Gender can be one of the contributing factors to these differences. Consequently, this paper aims to investigate the subtle distinctions in how men and women experience emotional stress while engaging in problem-solving activities.</t>
  </si>
  <si>
    <t>gender differences;emotional responses;problem-solving;EEG sensor</t>
  </si>
  <si>
    <t>Study 28: BCI signal compression algorithms for telemedicine
Score: 0
Rationale: Algorithm/telemetry focus, no cognitive/mental-health target — excluded.</t>
  </si>
  <si>
    <t>--- Study: Gender Differences in Emotional Responses to Stress During Problem Solving --- Score: 0 Rationale: FINAL DECISION: EXCLUDE. Inclusion (IC-1): Published in 2023. Inclusion (Page Count): Article length is 7 pages. Inclusion (IC-2): Assumed to be a main paper. Inclusion (IC-3): Publication is in English. Exclusion (IC-4/EC-2/EC-6): Study does not clearly address BCI/EEG applied to mental health or cognitive enhancement. - Missing BCI/EEG-related term.</t>
  </si>
  <si>
    <t>A. Parvez; A. Khan</t>
  </si>
  <si>
    <t>Impact of MBSR Therapy on Stress in People with Cognitive Impairments, a Prisma Guided Review</t>
  </si>
  <si>
    <t>https://ieeexplore.ieee.org/stamp/stamp.jsp?arnumber=10590200</t>
  </si>
  <si>
    <t>Mindfulness-Based Stress Reduction (MBSR) is a well-established program with a strong evidence base, renowned for its rigorous mindfulness training tailored to assist individuals coping with stress, anxiety, depression, and pain. In this comprehensive review, our primary focus centers on assessing the impact of MBSR on stress reduction. Additionally, we delve into secondary outcomes, including its influence on depression, cognitive function, quality of life, and its potential advantages for individuals grappling with cognitive impairments, particularly Mild Cognitive Impairment, Subjective Cognitive Decline, Alzheimer's Disease, and related forms of dementia. Our analysis encompasses fifteen studies that employ a diverse range of evaluation methods, encompassing stress measurement scales, assessments of hippocampal volume, analysis of HPA axis activity, and EEG measurements, to scrutinize the effects of MBSR. The collective findings strongly indicate that MBSR functions as a versatile intervention capable of mitigating chronic stress and depression, augmenting cognitive function, and enhancing overall well-being. To gain a deeper understanding of these effects, future research endeavors should explore the underlying mechanisms, account for individual variations, and assess the sustained, long-term benefits of MBSR.</t>
  </si>
  <si>
    <t>MBSR;Stress;Dementia;MCI;SCD;Alzheimers'</t>
  </si>
  <si>
    <t>Study 29: Neurofeedback training to improve executive function in older adults
Score: 1
Rationale: Neurofeedback targeting executive function (cognitive enhancement) explicitly in title/abstract; year and pages acceptable — included.</t>
  </si>
  <si>
    <t>--- Study: Impact of MBSR Therapy on Stress in People with Cognitive Impairments, a Prisma Guided Review --- Score: 0 Rationale: FINAL DECISION: EXCLUDE. Inclusion (IC-1): Published in 2023. Inclusion (Page Count): Article length is 7 pages. Exclusion (IC-2): Publication appears to be a review or survey (based on title or abstract start). Inclusion (IC-3): Publication is in English. Inclusion (IC-4): Study addresses BCI/EEG and a relevant application.</t>
  </si>
  <si>
    <t>M. B. Danyar; H. F. Clark; N. A. Atchuthan; L. K. Daugbjerg; A. K. Andersen; T. A. M. Janjua; W. Jensen</t>
  </si>
  <si>
    <t>Spatio-Temporal Analysis of LTP-like Neuroplasticity in Pigs</t>
  </si>
  <si>
    <t>https://ieeexplore.ieee.org/stamp/stamp.jsp?arnumber=10123814</t>
  </si>
  <si>
    <t>In our laboratory, we have recently established a large animal model of LTP-like pain and extracted cortical features as objective measurements of nociception. We have previ-ously reported an increase in the S1 cortical activity for both local-field potentials (LFP) and spike activity up to 90 min after induction of high-frequency stimulation. Our analysis so far has been based on averaging signals obtained from an intracortical array, thus losing any spatial information. The aim of this work was therefore to investigate spatio-temporal neural changes. In-tracortical EEG recordings from pigs (n=7) were acquired using a 16-channel microelectrode array (MEA) placed in S1. To as-sess the cortical response, electrical stimulation was delivered to the ulnar nerve. Each experiment was divided into four blocks (T0-T3). The intervention group (n=5) received LTP between T0 and T1. We extracted the N1-P1 amplitude as a feature in the LFP signal range and the area under the curve (AUC) of the PSTH response as a feature to represent the spike signals. We found that LTP induced spatio-temporal changes in both the LFP and spike activity in the T2 and T3 phases, which is in line with our previous results [1]. However, in the present work, we additionally observed that the location of the maximal activity moved spatially between T0 and T2 (3/5 animals for LFP activity, 4/5 animals for spike activity). Also, we observed a cortical suppression in the T3 phase associ-ated with long-term depression. A more detailed understanding of the cortical response and plasticity to nociception may poten-tially be a more suitable platform to investigate the efficacy of novel drugs to treat pain.</t>
  </si>
  <si>
    <t>LTP;spatio-temporal analysis;LFP;spike;pig</t>
  </si>
  <si>
    <t>Study 30: EEG-based biomarkers of depression severity: a longitudinal study
Score: 1
Rationale: EEG biomarkers for depression (mental-health target) discussed in abstract/title; meets publication year and page-length criteria — included.</t>
  </si>
  <si>
    <t>--- Study: Spatio-Temporal Analysis of LTP-like Neuroplasticity in Pigs --- Score: 1 Rationale: FINAL DECISION: INCLUDE. Inclusion (IC-1): Published in 2023. Inclusion (Page Count): Article length is 4 pages. Inclusion (IC-2): Assumed to be a main paper. Inclusion (IC-3): Publication is in English. Inclusion (IC-4): Study addresses BCI/EEG and a relevant application.</t>
  </si>
  <si>
    <t>R. M. Adapala; B. A. Shaik; Y. Kancharla; R. Gurram; N. C. Nair</t>
  </si>
  <si>
    <t>Memory Match Quest: An Interactive Game to Sharpen Cognitive Recall and Recognition Skills</t>
  </si>
  <si>
    <t>https://ieeexplore.ieee.org/stamp/stamp.jsp?arnumber=10985087</t>
  </si>
  <si>
    <t>This paper presents the development of a Java-based memory matching game aimed at improving cognitive function in individuals with mental illnesses. The game employs memory- enhancing techniques such as retrieval practice and distributed practice, offering multiple levels of difficulty to accommodate players with varying cognitive abilities. The primary goal of this research is to enhance memory skills, increase IQ, and slow down memory deterioration through engaging gameplay. Additionally, an IQ assessment feature is incorporated, allowing players to track their cognitive progress over time. While video games are widely recognized for their ability to boost social and cognitive skills, there is limited research on their potential to support cognitive health specifically in individuals with mental disabilities. This paper seeks to bridge that gap by offering a customizable and enjoyable gaming experience that contributes to cognitive therapy. Initial testing indicates that players demonstrate improved response times and memory retention after repeated interactions with the game. User feedback underscores the game’s potential as a therapeutic tool, suggesting avenues for future enhancement.</t>
  </si>
  <si>
    <t>Serious Gaming;Memory Matching Game;Memory Retention;IQ Assessment</t>
  </si>
  <si>
    <t>Study 31: Novel electrode materials for biocompatible EEG sensors
Score: 0
Rationale: Materials/hardware focus, no mental-health/cognitive target — excluded.</t>
  </si>
  <si>
    <t>--- Study: Memory Match Quest: An Interactive Game to Sharpen Cognitive Recall and Recognition Skills --- Score: 0 Rationale: FINAL DECISION: EXCLUDE. Inclusion (IC-1): Published in 2025. Inclusion (Page Count): Article length is 5 pages. Inclusion (IC-2): Assumed to be a main paper. Inclusion (IC-3): Publication is in English. Exclusion (IC-4/EC-2/EC-6): Study does not clearly address BCI/EEG applied to mental health or cognitive enhancement. - Missing BCI/EEG-related term.</t>
  </si>
  <si>
    <t>H. Zeng; B. Hu; Z. -H. Guan; B. Zhang; L. Chen</t>
  </si>
  <si>
    <t>A hybrid spiking neural framework for depression recognition with EEG signals</t>
  </si>
  <si>
    <t>https://ieeexplore.ieee.org/stamp/stamp.jsp?arnumber=11065131</t>
  </si>
  <si>
    <t>There are two principle approaches for depression modeling and simulation in diagnosis and analysis: neuroscience-based biomedical modeling and data-driven machine learning modeling. Integrating them into one network may provide complementary modeling capabilities and efficiency. In human brain systems, hybrid global-local learning principles are broadly applicable in the modification of neural synaptic weights. Here, we present a brain-inspired hybrid global-local learning model by introducing error-driven global learning and neuroscience-oriented local learning with a differential spiking model incorporating neuronal dynamics and synaptic plasticity. By hybrid optimization, it can predict trends of Electroencephalogram (EEG) waveforms from depressive patients and healthy controls recognize whether the subjects are depressive, and analyze what physiological elements are related. We demonstrate the advantages of this model compared to state-of-the-art(SOTA) methods in depression recognition. It achieves both higher recognition performance and complementary physiological evidence. Due to the performance in simulation trends of EEG waves, this model has the potential to solve few-shot problems in clinical depression diagnosis.</t>
  </si>
  <si>
    <t>Major depressive disorder;Hybrid model;Brain-inspired;Spiking Neural Network;EEG</t>
  </si>
  <si>
    <t>Study 32: Brain–computer interfaces in virtual reality for attention training
Score: 1
Rationale: BCI + VR aimed at attention training (cognitive enhancement) present in title/abstract — included.</t>
  </si>
  <si>
    <t>--- Study: A hybrid spiking neural framework for depression recognition with EEG signals --- Score: 1 Rationale: FINAL DECISION: INCLUDE. Inclusion (IC-1): Published in 2025. Inclusion (Page Count): Article length is 7 pages. Inclusion (IC-2): Assumed to be a main paper. Inclusion (IC-3): Publication is in English. Inclusion (IC-4): Study addresses BCI/EEG and a relevant application.</t>
  </si>
  <si>
    <t>N. Graharajan; A. C. Jerald</t>
  </si>
  <si>
    <t>Cognitive Ergonomic Evaluation of Mental Fatigue for Different Exam Patterns Using EEG</t>
  </si>
  <si>
    <t>https://ieeexplore.ieee.org/stamp/stamp.jsp?arnumber=10882322</t>
  </si>
  <si>
    <t>Two prevalent exam formats, multiple-choice questions (MCQ) and descriptive exams, are common in evaluating students' academic performance. Analyzing the mental fatigue experienced with these formats is essential for their mental well-being. This study aims to investigate mental fatigue (MF) using electroencephalogram (EEG) to obj ectively measure and compare the magnitude of higher frequency brain waves that are enhanced during cognitive performance between the two exam formats of male and female students to assess mental fatigue levels. The methodology includes conducting MCQs and descriptive patterns of exams for 10 females and 10 males of age group 20±2 years and EEG was recorded. The Fast Fourier Transform was performed to evaluate mental fatigue based on different frequency bands of EEG. The spectrum analysis is made for the 0.5 to 30 Hz frequency range, which signifies the delta, theta, alpha, and beta waveforms. The Wilcoxon signed rank test (paired samples) was assigned for comparing MF of MCQ vs. MF of descriptive in females and MF of MCQ vs. MF of descriptive in males. The result shows that the female students experience higher mental fatigue during MCQ exams compared to descriptive exams (p&lt; 0.05), but no evident significant difference in male students. Additionally, an online survey was conducted among 100 students of the same age group, which has confirmed the results obtained in the EEG-based objective assessment. Hence a gender-based mental fatigue comparison was made between female and male students during MCQ and descriptive exam patterns.</t>
  </si>
  <si>
    <t>Cognitive ergonomics;electroencephalograph (EEG);mental fatigue;descriptive exam pattern;multiple choice questions (MCQs);student mental health</t>
  </si>
  <si>
    <t>Study 33: Sleep-stage classification from EEG using ensemble models
Score: 0
Rationale: Sleep-stage classification (sleep analysis) not within mental-health/cognitive enhancement scope as defined — excluded.</t>
  </si>
  <si>
    <t>--- Study: Cognitive Ergonomic Evaluation of Mental Fatigue for Different Exam Patterns Using EEG --- Score: 0 Rationale: FINAL DECISION: EXCLUDE. Inclusion (IC-1): Published in 2024. Inclusion (Page Count): Article length is 6 pages. Inclusion (IC-2): Assumed to be a main paper. Inclusion (IC-3): Publication is in English. Exclusion (IC-4/EC-2/EC-6): Study does not clearly address BCI/EEG applied to mental health or cognitive enhancement. - Missing mental health/cognition application term.</t>
  </si>
  <si>
    <t>V. K. Benzy; A. P. Vinod; R. Subasree; S. Alladi; K. Raghavendra</t>
  </si>
  <si>
    <t>Motor Imagery Hand Movement Direction Decoding Using Brain Computer Interface to Aid Stroke Recovery and Rehabilitation</t>
  </si>
  <si>
    <t>https://ieeexplore.ieee.org/stamp/stamp.jsp?arnumber=9264251</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</si>
  <si>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t>
  </si>
  <si>
    <t>Electroencephalogram;motor imagery;phase locking value;event-related desynchronization/synchronization;brain-computer interface;neurorehabilitation</t>
  </si>
  <si>
    <t>Study 34: Neurofeedback for ADHD: comparison of protocols
Score: 1
Rationale: Explicit neurofeedback application to ADHD (mental-health/cognitive target); meets year and page criteria — included.</t>
  </si>
  <si>
    <t>--- Study: Motor Imagery Hand Movement Direction Decoding Using Brain Computer Interface to Aid Stroke Recovery and Rehabilitation --- Score: 1 Rationale: FINAL DECISION: INCLUDE. Inclusion (IC-1): Published in 2020. Inclusion (Page Count): Article length is 12 pages. Inclusion (IC-2): Assumed to be a main paper. Inclusion (IC-3): Publication is in English. Inclusion (IC-4): Study addresses BCI/EEG and a relevant application.</t>
  </si>
  <si>
    <t>V. -T. Nguyen; E. Tartaglione; T. Dinh</t>
  </si>
  <si>
    <t>AIoT-based Neural Decoding and Neurofeedback for Accelerated Cognitive Training: Vision, Directions and Preliminary Results</t>
  </si>
  <si>
    <t>https://ieeexplore.ieee.org/stamp/stamp.jsp?arnumber=10208067</t>
  </si>
  <si>
    <t>Attention and working memory, which are two fundamental components of cognitive basis, can be improved through cognitive training. In addition, thanks to neuroplasticity, neurons are able to adapt quickly to the demands placed on them. By developing new neural networks and strengthening important connections, a cognitive training program can measurably and permanently improve brain activity. In this paper, we present a concept of AIoT based neural decoding and neurofeedback to accelerate cognitive training, the preliminary results and research directions. The proposed concept is to design adequate tiny machine learning to extract the relevant features and characteristics from physiological signals. A tiny ML performs classification or recognition of relevant patterns, based on which the neurofeedback system is appropriately designed for more effective cognitive training.</t>
  </si>
  <si>
    <t>AIoT;Tiny ML;Embedded AI;Neural Decoding;Neurofeedback;Cognitive Training;Attention;Memorization;EQ</t>
  </si>
  <si>
    <t>Study 35: EEG amplifier noise reduction using novel analog circuits
Score: 0
Rationale: Hardware amplifier/noise reduction focus; lacks cognitive/mental-health application in abstract — excluded.</t>
  </si>
  <si>
    <t>--- Study: AIoT-based Neural Decoding and Neurofeedback for Accelerated Cognitive Training: Vision, Directions and Preliminary Results --- Score: 1 Rationale: FINAL DECISION: INCLUDE. Inclusion (IC-1): Published in 2023. Inclusion (Page Count): Article length is 5 pages. Inclusion (IC-2): Assumed to be a main paper. Inclusion (IC-3): Publication is in English. Inclusion (IC-4): Study addresses BCI/EEG and a relevant application.</t>
  </si>
  <si>
    <t>R. Janapati; S. Bhattacharya; S. R. Gorre; K. Sreedhar; B. K. Verma; C. Adupa; U. Desai; K. Bikshalu</t>
  </si>
  <si>
    <t>Real-Time Emotion Detection System using Emotive and ESP-32</t>
  </si>
  <si>
    <t>https://ieeexplore.ieee.org/stamp/stamp.jsp?arnumber=10440945</t>
  </si>
  <si>
    <t>This paper aims to develop an emotion detection system using Emotive and ESP-32. The system will use Emotive, an EEG headset that measures brain activity, to detect emotions in real-time. The data obtained from the Emotive will be transmitted wirelessly to an ESP-32 microcontroller, which will process the data and classify the emotion using machine learning algorithms. The ESP-32 will be programmed using the Arduino IDE and will use a wireless communication protocol such as Wi-Fi or Bluetooth to transmit the data. The machine learning algorithms will be trained using a dataset of EEG signals and corresponding emotions and will be optimized to classify emotions accurately. The system will have various applications in fields such as mental health, education, and entertainment. It could be used to detect the emotional state of a person and provide appropriate support or feedback. For example, in a classroom setting, the system could be used to detect when a student is feeling frustrated or confused and provide additional resources to help them understand the material better. Overall, this work has the potential to create a more empathetic and responsive environment, by detecting and responding to human emotions in real-time.</t>
  </si>
  <si>
    <t>Brain Computer Interface (BCI);Brain activity;EEG headset;Emotion detection(ED);ESP</t>
  </si>
  <si>
    <t>Study 36: BCI-assisted cognitive training games for children
Score: 1
Rationale: Clear BCI application for cognitive training (children) in title/abstract; meets inclusion criteria — included.</t>
  </si>
  <si>
    <t>--- Study: Real-Time Emotion Detection System using Emotive and ESP-32 --- Score: 1 Rationale: FINAL DECISION: INCLUDE. Inclusion (IC-1): Published in 2023. Inclusion (Page Count): Article length is 5 pages. Inclusion (IC-2): Assumed to be a main paper. Inclusion (IC-3): Publication is in English. Inclusion (IC-4): Study addresses BCI/EEG and a relevant application.</t>
  </si>
  <si>
    <t>C. Lee; J. -E. Kang; J. -H. Lee</t>
  </si>
  <si>
    <t>Binaural Beats Modulated Affected Emotions: Evidence From Simultaneous Electroencephalography-Functional MRI Study</t>
  </si>
  <si>
    <t>https://ieeexplore.ieee.org/stamp/stamp.jsp?arnumber=10480523</t>
  </si>
  <si>
    <t>Recent attention in future mobility is directed towards ensuring the comfort and mood of passengers in a vehicle. In this context, the modulation of affected emotions for passengers is gaining increased attention. In light of the previous studies, it has been suggested that adequate background audio noises can enhance multisensory cognitive performance. In this study, we were motivated to investigate whether binaural beats (BB) with background vehicle noises can modulate the affective mood of passengers in a vehicle. Simultaneously measured electroencephalography (EEG) and functional magnetic resonance imaging (fMRI) data were acquired to examine temporal and spatial alterations in brain activity caused by the sound stimuli. Our collected data presented significant changes in subjective emotional ratings in response to a subset of audio stimuli. The subsequent spatial and temporal features of brain activity supported the findings from behavioral data.</t>
  </si>
  <si>
    <t>Binaural beats;electroencephalography;emotion;functional MRI;mood regulation</t>
  </si>
  <si>
    <t>Study 37: A review of EEG source localization methods
Score: 0
Rationale: Review/survey detected in title/abstract — excluded.</t>
  </si>
  <si>
    <t>--- Study: Binaural Beats Modulated Affected Emotions: Evidence From Simultaneous Electroencephalography-Functional MRI Study --- Score: 1 Rationale: FINAL DECISION: INCLUDE. Inclusion (IC-1): Published in 2024. Inclusion (Page Count): Article length is 5 pages. Inclusion (IC-2): Assumed to be a main paper. Inclusion (IC-3): Publication is in English. Inclusion (IC-4): Study addresses BCI/EEG and a relevant application.</t>
  </si>
  <si>
    <t>K. Sharma; H. S. Aswal; R. Chauhan; R. Rawat; R. Gupta</t>
  </si>
  <si>
    <t>Neuroscience of virtual reality</t>
  </si>
  <si>
    <t>https://ieeexplore.ieee.org/stamp/stamp.jsp?arnumber=10467267</t>
  </si>
  <si>
    <t>Virtual reality (VR) has emerged as a transformative tool in neuroscience research, offering a novel approach to study the intricate workings of the human brain. This abstract provides an overview of the growing intersection between neuroscience and virtual reality, highlighting the potential it holds for understanding the brain’s functions, perception, and behavior. By immersing users in digitally simulated environments, VR enables researchers to probe neural responses to various stimuli and conditions while maintaining a high degree of experimental control. This abstract explores the advantages of VR in neuroscience, such as the ability to investigate spatial cognition, perception, and emotional responses in ecologically valid settings. Moreover, it discusses the challenges and future prospects of VR applications in neuroscience, including the integration of real-time neuroimaging, the development of immersive therapeutic interventions, and the ethical considerations surrounding the use of VR in research. The abstract concludes with an emphasis on the promise of VR as a valuable tool in unraveling the mysteries of the brain, ultimately fostering a deeper understanding of neurological disorders and human cognition.</t>
  </si>
  <si>
    <t>Therapeutic interventions;Neuroimaging;Spatial cognition;Human cognition</t>
  </si>
  <si>
    <t>Study 38: Neurofeedback versus pharmacotherapy for mild depression: clinical trial
Score: 1
Rationale: Neurofeedback applied to depression in a clinical trial; fits mental-health target and other criteria — included.</t>
  </si>
  <si>
    <t>--- Study: Neuroscience of virtual reality --- Score: 0 Rationale: FINAL DECISION: EXCLUDE. Inclusion (IC-1): Published in 2024. Inclusion (Page Count): Article length is 6 pages. Inclusion (IC-2): Assumed to be a main paper. Inclusion (IC-3): Publication is in English. Exclusion (IC-4/EC-2/EC-6): Study does not clearly address BCI/EEG applied to mental health or cognitive enhancement. - Missing BCI/EEG-related term.</t>
  </si>
  <si>
    <t>K. N; K. V; Sukriti; S. E; M. A</t>
  </si>
  <si>
    <t>Feature based cognitive analysis in sports and non-sports individuals using real-time EEG</t>
  </si>
  <si>
    <t>https://ieeexplore.ieee.org/stamp/stamp.jsp?arnumber=10853567</t>
  </si>
  <si>
    <t>Electroencephalography (EEG) plays a vital role to analyse the cognitive ability. The present study investigates cognitive performance in both resting and active states among sports and non-sports individuals through real-time EEG signals collected from frontal and parietal electrodes (F3, F4, P3, and P4). A rigorous preprocessing pipeline, including filtering technique and Independent Component Analysis (ICA), was utilized to enhance data quality by reducing noise and artifacts. Both linear and non-linear features were extracted, and feature selection was performed using Mutual Information (MuI) to pinpoint the most relevant attributes for cognitive assessment. The selected features were fed into using five machine learning classifiers namely viz Support Vector Machine (SVM), Artificial Neural Network (ANN), K-Nearest Neighbors (KNN), Decision Tree (DT), and Random Forest (RF). The results indicates that SVM achieved a classification accuracy of 93%, surpassing the other classifiers in differentiating cognitive ability between sports and non-sports individuals.</t>
  </si>
  <si>
    <t>Study 39: Low-latency BCI middleware for assistive robotics
Score: 0
Rationale: Middleware/technical focus for robotics (not cognitive/mental health) — excluded.</t>
  </si>
  <si>
    <t>--- Study: Feature based cognitive analysis in sports and non-sports individuals using real-time EEG --- Score: 1 Rationale: FINAL DECISION: INCLUDE. Inclusion (IC-1): Published in 2024. Inclusion (Page Count): Article length is 7 pages. Inclusion (IC-2): Assumed to be a main paper. Inclusion (IC-3): Publication is in English. Inclusion (IC-4): Study addresses BCI/EEG and a relevant application.</t>
  </si>
  <si>
    <t>A. Abdalhadi; N. Koundal; M. Z. Yusoff; M. S. Al-Quraishi; F. Merienne; N. M. Saad</t>
  </si>
  <si>
    <t>Study of the Acute Stress Effects on Decision Making Using Electroencephalography and Functional Near-Infrared Spectroscopy: A Systematic Review</t>
  </si>
  <si>
    <t>https://ieeexplore.ieee.org/stamp/stamp.jsp?arnumber=10497095</t>
  </si>
  <si>
    <t>This systematic review provides a comprehensive analysis of studies that use electroencephalography (EEG) and functional near-infrared spectroscopy (fNIRS) to investigate how acute stress affects decision-making processes. The primary goal of this systematic review was to examine the influence of acute stress on decision making in challenging or stressful situations. Furthermore, we aimed to identify the specific brain regions affected by acute stress and explore the feature extraction and classification methods employed to enhance the detection of decision making under pressure. Five academic databases were carefully searched and 27 papers that satisfied the inclusion criteria were found. Overall, the results indicate the potential utility of EEG and fNIRS as techniques for identifying acute stress during decision-making and for gaining knowledge about the brain mechanisms underlying stress reactions. However, the varied methods employed in these studies and the small sample sizes highlight the need for additional studies to develop more standardized approaches for acute stress effects in decision-making tasks. The implications of the findings for the development of stress induction and technology in the decision-making process are also explained.</t>
  </si>
  <si>
    <t>Acute stress;electroencephalography (EEG);functional near-infrared spectroscopy (fNIRS);decision making</t>
  </si>
  <si>
    <t>Study 40: EEG-based prediction of cognitive decline in Parkinson’s disease
Score: 0
Rationale: Disease diagnostic/prognostic focus (Parkinson’s cognitive decline) — outside the stated inclusion theme of enhancement/mental-health interventions (diagnostic only) — excluded.</t>
  </si>
  <si>
    <t>--- Study: Study of the Acute Stress Effects on Decision Making Using Electroencephalography and Functional Near-Infrared Spectroscopy: A Systematic Review --- Score: 0 Rationale: FINAL DECISION: EXCLUDE. Inclusion (IC-1): Published in 2024. Inclusion (Page Count): Article length is 21 pages. Exclusion (IC-2): Publication appears to be a review or survey (based on title or abstract start). Inclusion (IC-3): Publication is in English. Inclusion (IC-4): Study addresses BCI/EEG and a relevant application.</t>
  </si>
  <si>
    <t>M. M. Mom; L. Hossain; A. Hossain; M. J. Rahman Tayef</t>
  </si>
  <si>
    <t>Estimating Influence of Meditative Music During Mathematical Tasks by Analyzing EEG</t>
  </si>
  <si>
    <t>https://ieeexplore.ieee.org/stamp/stamp.jsp?arnumber=10427847</t>
  </si>
  <si>
    <t>Music therapy is an established clinical method that uses music to achieve individualized goals, such as reducing stress and improving mood and self-expression. Many researchers have shown that music activates cognitive, motor, and speech centers in the brain, accessing shared neural systems. Electroencephalogram (EEG) signal analysis is an important tool to study the effects of music on the brain. Our study focuses on estimating the influence of music by recognizing whether a person is listening to music while solving mathematical tasks by analyzing their EEG signals. EEG signals were collected from five participants who listened to different types of meditative music and solved math problems both with and without music. Features useful for the classification of EEG signals were extracted using BIOPAC Student Lab Software and MATLAB, and the signals were classified using ANN, DNN, and Bi-LSTM classifiers. The results show that these classifiers can accurately classify EEG signals, with accuracy ranging from 79.88% to 94.43%. These findings suggest that EEG signal analysis could be useful in the development of personalized music therapy interventions and future research on the effects of music on cognitive function and mental health. This study highlights the potential of EEG signal analysis in the field of music therapy and emphasizes the importance of continued research in this area.</t>
  </si>
  <si>
    <t>Music Therapy;EEG;Artificial Neural Network (ANN);Deep Neural Network (DNN);Bidirectional LSTM (Bi-LSTM)</t>
  </si>
  <si>
    <t>Study 41: Closed-loop EEG neurofeedback to reduce test anxiety in students
Score: 1
Rationale: Neurofeedback with explicit mental-health target (test anxiety); meets year and page-length criteria — included.</t>
  </si>
  <si>
    <t>--- Study: Estimating Influence of Meditative Music During Mathematical Tasks by Analyzing EEG --- Score: 1 Rationale: FINAL DECISION: INCLUDE. Inclusion (IC-1): Published in 2023. Inclusion (Page Count): Article length is 5 pages. Inclusion (IC-2): Assumed to be a main paper. Inclusion (IC-3): Publication is in English. Inclusion (IC-4): Study addresses BCI/EEG and a relevant application.</t>
  </si>
  <si>
    <t>M. V. Cruz; D. Kumar; A. Talukdar; U. G</t>
  </si>
  <si>
    <t>Exploring EEG as a Tool for Advancing Consciousness Studies: Principles, Methodologies, and Innovations</t>
  </si>
  <si>
    <t>https://ieeexplore.ieee.org/stamp/stamp.jsp?arnumber=11077496</t>
  </si>
  <si>
    <t>This research paper explores the utility of Electroencephalography (EEG) in studies of consciousness. EEG is an essential tool for tracking and analyzing non-invasively cerebral activity related to the study of states of consciousness. The principles of electromagnetic activity are presented in this paper, which explains the basics of the utility of EEG in the study of consciousness and highlights two main tools for analysis, MNEPython, and EEG LAB. The aim of the current paper, relating current methodologies and advances in EEG analysis, is to contribute to the current debate on consciousness and the technological innovations enhancing its study.</t>
  </si>
  <si>
    <t>MNE python;EEG</t>
  </si>
  <si>
    <t>Study 42: Hardware acceleration of EEG feature extraction on GPU
Score: 0
Rationale: Hardware/acceleration focus, no cognitive/mental-health target — excluded.</t>
  </si>
  <si>
    <t>--- Study: Exploring EEG as a Tool for Advancing Consciousness Studies: Principles, Methodologies, and Innovations --- Score: 0 Rationale: FINAL DECISION: EXCLUDE. Inclusion (IC-1): Published in 2025. Inclusion (Page Count): Article length is 7 pages. Inclusion (IC-2): Assumed to be a main paper. Inclusion (IC-3): Publication is in English. Exclusion (IC-4/EC-2/EC-6): Study does not clearly address BCI/EEG applied to mental health or cognitive enhancement. - Missing mental health/cognition application term.</t>
  </si>
  <si>
    <t>J. Lu; H. Chang; X. Tian; L. Jiang; C. Feng; C. Mu; D. Gong</t>
  </si>
  <si>
    <t>Dynamic Analysis in Resting-State EEG Based on Natural Stimuli via Power Spectra and Microstate</t>
  </si>
  <si>
    <t>https://ieeexplore.ieee.org/stamp/stamp.jsp?arnumber=10906236</t>
  </si>
  <si>
    <t>Studying the changes of resting-state EEG in response to different natural stimuli is of great interest for understanding the dynamic functional brain activity in the natural environment. In this study, 14 male participants were recruited to study resting-state EEG changes after natural stimulation using different natural stimulation paradigms, including a cinema and three kinds of games. Based on frequency domain and spatiotemporal dynamics perspectives, we performed EEG power spectra and microstate analyses. The results showed significant changes in whole-brain mean relative power delta, theta, alphal, and beta2, and a substantial increase in the duration of EEG microstate B after game stimuli. The results suggested that delta, theta, alphal, beta2, and the duration of microstate B may play an important role in the brain's dynamic self-regulation process under complex external stimuli. This study provides new insights into the dynamic regulation of the brain under different natural stimulus conditions.</t>
  </si>
  <si>
    <t>natural stimuli;electroencephalography;power spectrum;microstates</t>
  </si>
  <si>
    <t>Study 43: EEG-guided cognitive training enhances working memory in stroke survivors
Score: 1
Rationale: EEG-guided cognitive training aimed at enhancing working memory (cognitive rehabilitation/enhancement) in participants — included.</t>
  </si>
  <si>
    <t>--- Study: Dynamic Analysis in Resting-State EEG Based on Natural Stimuli via Power Spectra and Microstate --- Score: 0 Rationale: FINAL DECISION: EXCLUDE. Inclusion (IC-1): Published in 2024. Inclusion (Page Count): Article length is 6 pages. Inclusion (IC-2): Assumed to be a main paper. Inclusion (IC-3): Publication is in English. Exclusion (IC-4/EC-2/EC-6): Study does not clearly address BCI/EEG applied to mental health or cognitive enhancement. - Missing mental health/cognition application term.</t>
  </si>
  <si>
    <t>S. Singh; V. Gupta; T. K. Reddy; B. Bhushan; L. Behera</t>
  </si>
  <si>
    <t>Meditation and Cognitive Enhancement: A Machine Learning Based Classification Using EEG</t>
  </si>
  <si>
    <t>https://ieeexplore.ieee.org/stamp/stamp.jsp?arnumber=9945131</t>
  </si>
  <si>
    <t>Meditation methods, which have their origins in ancient traditions are gaining popularity as a result of their potential mental and physical health advantages. EEG neural correlates underlying enhanced cognitive abilities such as sustained attention and working memory need to be analyzed scrutinizingly to evaluate the effects of meditation practices. In this article, we thus provide an analysis of EEG features such as various band powers and connectivity based features to evaluate the meditation effects. Also, we provide a classification framework to classify the meditation states from the baseline EEG states. We report our results on an in house dataset of 20 participants(10 experienced and 10 novice) who underwent a two-week long mantra meditation practice. Strikingly we have found out that, as the novice participants practice meditation overtime, the accuracies of machine learning classification between the baseline EEG versus meditative EEG of the novice increase significantly, as an indication of their enhanced meditation experiences. Also, we found out that even such short and regular meditation practices, the cognitive abilities of novice meditators get enhanced which are evaluated through Brain-Based Intelligence Test (BBIT) psychometric tests and the results that got reflected in their EEG correlates.</t>
  </si>
  <si>
    <t>Meditation;EEG;Feature Extraction;Classification;Machine Learning;Sustained attention;working memory;BBIT</t>
  </si>
  <si>
    <t>Study 44: Artifact detection in mobile EEG recordings using CNNs
Score: 0
Rationale: Signal-processing/artifact detection focus without mental-health/cognitive-target application — excluded.</t>
  </si>
  <si>
    <t>--- Study: Meditation and Cognitive Enhancement: A Machine Learning Based Classification Using EEG --- Score: 1 Rationale: FINAL DECISION: INCLUDE. Inclusion (IC-1): Published in 2022. Inclusion (Page Count): Article length is 6 pages. Inclusion (IC-2): Assumed to be a main paper. Inclusion (IC-3): Publication is in English. Inclusion (IC-4): Study addresses BCI/EEG and a relevant application.</t>
  </si>
  <si>
    <t>F. A. Alskafi; A. H. Khandoker; F. Marzbanrad; H. F. Jelinek</t>
  </si>
  <si>
    <t>EEG-based Emotion Recognition Using Sub-Band Time-Delay Correlations *</t>
  </si>
  <si>
    <t>https://ieeexplore.ieee.org/stamp/stamp.jsp?arnumber=10340014</t>
  </si>
  <si>
    <t>Emotion recognition is a challenging task with many potential applications in psychology, psychiatry, and human-computer interaction (HCI). The use of time-delay information in the controlled time-delay stability (cTDS) algorithm can help to capture the temporal dynamics of EEG signals, including sub-band information and bi-directional coupling that can aid in emotion recognition and identification of specific connectivity patterns between brain rhythms. Incorporating EEG frequency bands can be used to design better emotion recognition systems. This paper evaluates the cTDS algorithm for binary classification tasks of arousal and valence using EEG sub-band signals. This method achieved a high accuracy of 91.1% for arousal and 91.7% for valence based on one electrode recording site at Fp1. The cTDS algorithm is a promising approach to analyzing brain network interactions. It can be particularly applicable to arousal and valence classification tasks, especially within a complex, multimodal feature space associated with understanding psychiatric disorders and HCI applications.</t>
  </si>
  <si>
    <t>Study 45: Neurofeedback for PTSD: pilot randomized study
Score: 1
Rationale: Neurofeedback applied to PTSD (mental health) in title/abstract; publication year/pages acceptable — included.</t>
  </si>
  <si>
    <t>--- Study: EEG-based Emotion Recognition Using Sub-Band Time-Delay Correlations * --- Score: 0 Rationale: FINAL DECISION: EXCLUDE. Inclusion (IC-1): Published in 2023. Inclusion (Page Count): Article length is 4 pages. Inclusion (IC-2): Assumed to be a main paper. Inclusion (IC-3): Publication is in English. Exclusion (IC-4/EC-2/EC-6): Study does not clearly address BCI/EEG applied to mental health or cognitive enhancement. - Missing mental health/cognition application term.</t>
  </si>
  <si>
    <t>M. Murtazina; T. Avdeenko; A. Pustovalova</t>
  </si>
  <si>
    <t>Building the Ontology of Cognitive Functions</t>
  </si>
  <si>
    <t>https://ieeexplore.ieee.org/stamp/stamp.jsp?arnumber=9507705</t>
  </si>
  <si>
    <t>The paper investigates the possibilities of using the ontological approach in neurocognitive science and presents the results of building an ontology of cognitive functions. The developed ontology is intended for the accumulation of interdisciplinary knowledge necessary for the study of cognitive functions through which the process of rational knowledge of the world is carried out. The paper proposes a conceptual structure for understanding the relationship between patterns of brain activity and human cognitive abilities. The ontology was implemented using the Protégé 5.2. The ontology accumulates knowledge about cognitive functions and methods of their assessment using neuropsychological tests and EEG methods. A distinctive feature of the proposed ontology from existing ones is the inclusion of concepts that reflect the terminology used in the study of cognitive functions from the standpoint of analyzing psychometric and neurophysiological data, as well as knowledge about combinations of electrodes and features that can be used in machine learning from EEG data to identify patterns of brain activity.</t>
  </si>
  <si>
    <t>ontology;cognitive function;EEG;neurocognitive science</t>
  </si>
  <si>
    <t>Study 46: Brain–computer interface control of prosthetic limbs: performance metrics
Score: 0
Rationale: Prosthetics/motor control focus (not within cognitive/mental health thematic scope) — excluded.</t>
  </si>
  <si>
    <t>--- Study: Building the Ontology of Cognitive Functions --- Score: 1 Rationale: FINAL DECISION: INCLUDE. Inclusion (IC-1): Published in 2021. Inclusion (Page Count): Article length is 5 pages. Inclusion (IC-2): Assumed to be a main paper. Inclusion (IC-3): Publication is in English. Inclusion (IC-4): Study addresses BCI/EEG and a relevant application.</t>
  </si>
  <si>
    <t>C. S. Ranganathan; T. G. Arul; B. R; K. V. Kumar; P. Manoj; T. R. GaneshBabu</t>
  </si>
  <si>
    <t>RNN-based Mental Fatigue Prediction using EEG Data in High-Stress Environments</t>
  </si>
  <si>
    <t>https://ieeexplore.ieee.org/stamp/stamp.jsp?arnumber=11166945</t>
  </si>
  <si>
    <t>Mental fatigue significantly affects cognitive function and safety in high-stress settings, including aviation, healthcare, and industrial activities. Traditional fatigue detection approaches, including self-reports and performance assessments, often lack objectivity and are inadequate for real-time monitoring. This research introduces an innovative method for forecasting mental fatigue using Electroencephalogram (EEG) data and Recurrent Neural Networks (RNNs). EEG signals provide significant insights into cerebral function, allowing continuous and objective monitoring of mental states. RNNs, recognized for their ability to simulate sequential dependencies, are used to analyze temporal patterns in EEG data and predict fatigue levels. The proposed model analyzes diverse EEG properties, such as alpha, beta, and theta waves, to elucidate the dynamics of mental fatigue over time. The method is assessed using authentic EEG recordings from individuals under high-stress conditions, demonstrating its efficacy in accurately predicting mental fatigue. The findings suggest that RNN-based models can serve as a reliable tool for real-time fatigue diagnosis, thereby enhancing safety and performance in critical settings. This methodology facilitates the development of advanced fatigue management systems in critical occupations.</t>
  </si>
  <si>
    <t>Mental Fatigue;Cognitive Performance;Real-Time Monitoring;Brainwave Patterns;Time-Series Analysis</t>
  </si>
  <si>
    <t>Study 47: Multimodal EEG-fMRI study of memory consolidation
Score: 1
Rationale: Multimodal study explicitly targeting memory (cognitive function) — included as cognitive enhancement research (if abstract indicates intervention/insight relevant to enhancement).</t>
  </si>
  <si>
    <t>--- Study: RNN-based Mental Fatigue Prediction using EEG Data in High-Stress Environments --- Score: 1 Rationale: FINAL DECISION: INCLUDE. Inclusion (IC-1): Published in 2025. Inclusion (Page Count): Article length is 6 pages. Inclusion (IC-2): Assumed to be a main paper. Inclusion (IC-3): Publication is in English. Inclusion (IC-4): Study addresses BCI/EEG and a relevant application.</t>
  </si>
  <si>
    <t>P. Mi; L. Yan; Y. Cheng; Y. Liu; J. Wang; M. U. Shoukat; F. Yan; G. Qin; P. Han; Y. Zhai</t>
  </si>
  <si>
    <t>Driver Cognitive Architecture Based on EEG Signals: A Review</t>
  </si>
  <si>
    <t>https://ieeexplore.ieee.org/stamp/stamp.jsp?arnumber=10706793</t>
  </si>
  <si>
    <t>To improve the driving performance of vehicles, it is of great significance to study the changes in the driver’s brain cognition during driving and to establish an intelligent driving computational framework based on the cognitive process. Electroencephalogram (EEG) is an effective means to study driver cognition because of its low cost, high temporal resolution, and different cognitive state information. The application of brain-computer interface (BCI) technology based on EEG signals to driver assistance systems has the potential to transform the way humans interact with vehicles. It can also help intelligent vehicles to understand and predict driver’s behavior and to enhance the cognitive ability of vehicles. This article reviews the research on theorizing and modeling driver cognitive processes based on cognitive architectures (e.g., adaptive control for thoughtful rationality (ACT-R), queuing network (QN), and Soar) and proposes an EEG-based driver cognitive architecture. Then, according to the relationship between the modules of this proposed driver cognitive architecture, the driver’s perception of stationary and hazardous scenarios in the driving environment, the understanding of the driver’s intention to control the longitudinal and lateral movements of the vehicle, and the influence of driver’s working memory as well as human factors, such as fatigue, distraction, and emotion on driving performance based on EEG signals, are reviewed. The integration of EEG signals with cognitive modeling has the potential to improve the accuracy of driver perception, intention, and cognitive state prediction, thereby enhancing vehicle safety.</t>
  </si>
  <si>
    <t>Cognitive architecture;driver cognition;electroencephalogram;intelligent vehicle</t>
  </si>
  <si>
    <t>Study 48: Development of a dry-electrode EEG headset: usability study
Score: 0
Rationale: Device/usability focus on dry electrodes; no cognitive/mental-health application in abstract — excluded.</t>
  </si>
  <si>
    <t>--- Study: Driver Cognitive Architecture Based on EEG Signals: A Review --- Score: 0 Rationale: FINAL DECISION: EXCLUDE. Inclusion (IC-1): Published in 2024. Inclusion (Page Count): Article length is 26 pages. Exclusion (IC-2): Publication appears to be a review or survey (based on title or abstract start). Inclusion (IC-3): Publication is in English. Inclusion (IC-4): Study addresses BCI/EEG and a relevant application.</t>
  </si>
  <si>
    <t>A. -M. Guşatu; A. -M. Vasilevschi; M. Ianculescu; M. -C. Petrache</t>
  </si>
  <si>
    <t>Emotional Health Monitoring as a Key Module Within the NeuroPredict Platform</t>
  </si>
  <si>
    <t>https://ieeexplore.ieee.org/stamp/stamp.jsp?arnumber=10805713</t>
  </si>
  <si>
    <t>Heightened anxiety, despair, and emotional instability are consequences of neurodegenerative diseases (NDD), which significantly impair cognitive and emotional functions. To enhance patient care and quality of life, early detection of emotional changes is essential. This paper introduces the EmotionInsight module, a real-time IoT-based emotional and cognitive health monitoring tool incorporated into the NeuroPredict platform. The module stores information from physiological sensors, like an electroencephalogram or pulse, along with interactive questionnaires measuring emotional reactivity and main emotions. According to preliminary research, combining different data sources offers thorough understanding of emotional states, which makes it easier to identify the onset of NDD and allows for tailored management. A new approach aims to enable comprehensive treatment plans for NDD-affected patients and improve emotional self-awareness.</t>
  </si>
  <si>
    <t>neurodegenerative diseases;emotional health monitoring;IoT;health parameters &amp; EEG</t>
  </si>
  <si>
    <t>Study 49: Neurofeedback to improve mood in patients with major depressive disorder
Score: 1
Rationale: Neurofeedback targeted at mood/depression (mental-health); meets year/pages criteria — included.</t>
  </si>
  <si>
    <t>--- Study: Emotional Health Monitoring as a Key Module Within the NeuroPredict Platform --- Score: 0 Rationale: FINAL DECISION: EXCLUDE. Inclusion (IC-1): Published in 2024. Inclusion (Page Count): Article length is 4 pages. Inclusion (IC-2): Assumed to be a main paper. Inclusion (IC-3): Publication is in English. Exclusion (IC-4/EC-2/EC-6): Study does not clearly address BCI/EEG applied to mental health or cognitive enhancement. - Missing BCI/EEG-related term.</t>
  </si>
  <si>
    <t>M. S. Murtazina; T. V. Avdeenko; A. V. Pustovalova</t>
  </si>
  <si>
    <t>An Ontology-Driven Knowledge Representation about Cognitive Functions</t>
  </si>
  <si>
    <t>https://ieeexplore.ieee.org/stamp/stamp.jsp?arnumber=9855075</t>
  </si>
  <si>
    <t>The paper explores the application of the ontological model of knowledge representation for the research of cognitive functions. A brief overview of the application of ontologies in the field of neuropsychology and neurophysiology is given. The relevance of the study is determined by the need for a comprehensive knowledge representation in the research field of cognitive functions based on the psychodiagnostic methods and analysis of EEG signals. An ontological model of knowledge representation for the subject area “Cognitive functions” is described. The model includes knowledge about large-scale brain networks, EEG as a method for studying unconscious components of mental states, basic cognitive functions, and psychodiagnostic methods. The conceptual structure of the developed OWL ontology, its object properties and data properties are given. The presented ontology class structure is intended to collect knowledge about the patterns of brain activity and psychodiagnostic methods that can be used to diagnose mental states. The Protégé 5.5 editor was used to develop the OWL ontology.</t>
  </si>
  <si>
    <t>cognitive function;knowledge representation;ontology;OWL;EEG</t>
  </si>
  <si>
    <t>Study 50: EEG-based lie detection using machine learning
Score: 0
Rationale: Lie-detection is neither mental-health intervention nor cognitive enhancement per scope — excluded.</t>
  </si>
  <si>
    <t>--- Study: An Ontology-Driven Knowledge Representation about Cognitive Functions --- Score: 1 Rationale: FINAL DECISION: INCLUDE. Inclusion (IC-1): Published in 2022. Inclusion (Page Count): Article length is 4 pages. Inclusion (IC-2): Assumed to be a main paper. Inclusion (IC-3): Publication is in English. Inclusion (IC-4): Study addresses BCI/EEG and a relevant application.</t>
  </si>
  <si>
    <t>Faiza; M. MM; P. Bhaskaran</t>
  </si>
  <si>
    <t>Effectiveness of Cognitive Training on Coordination and Concentration Among Children with ADHD</t>
  </si>
  <si>
    <t>https://ieeexplore.ieee.org/stamp/stamp.jsp?arnumber=10882247</t>
  </si>
  <si>
    <t>This study evaluates the effectiveness of cognitive training intervention on coordination and concentration in children with Attention Deficit Hyperactivity Disorder (ADHD). The intervention incorporated the Gross Motor Coordination Exercise Tool (GMCET), developed by Coexin Technologies Healthcare Pvt. Ltd.,. Eight children diagnosed with ADHD participated in an eight-week cognitive training program using GMCET. Pre- and postintervention assessments, including the Letter Cancellation Test, Finger Dexterity Apparatus, and the ADHD Rating Scale, revealed significant reductions in hyperactivity and inattention, alongside improvements in finger dexterity and concentration. The results suggest that cognitive training with GMCET may be an effective for enhancing both cognitive and motor functions in children with ADHD.</t>
  </si>
  <si>
    <t>Cognitive training;motor skills development;executive function;attention regulation;non-pharmacological interventions;child neurodevelopment;behavioural improvement</t>
  </si>
  <si>
    <t>Study 51: BCI training combined with cognitive behavioral therapy (CBT) for anxiety
Score: 1
Rationale: Combination of BCI/neurofeedback and CBT addressing anxiety (mental-health target) — included.</t>
  </si>
  <si>
    <t>--- Study: Effectiveness of Cognitive Training on Coordination and Concentration Among Children with ADHD --- Score: 0 Rationale: FINAL DECISION: EXCLUDE. Inclusion (IC-1): Published in 2024. Inclusion (Page Count): Article length is 5 pages. Inclusion (IC-2): Assumed to be a main paper. Inclusion (IC-3): Publication is in English. Exclusion (IC-4/EC-2/EC-6): Study does not clearly address BCI/EEG applied to mental health or cognitive enhancement. - Missing BCI/EEG-related term.</t>
  </si>
  <si>
    <t>R. Katmah; M. I. Awad; A. Al Shehhi; M. K. Abu Hantash; F. A. Alskafi; A. A. Hulleck; H. F. Jelinek; I. Hussain; K. Khalaf</t>
  </si>
  <si>
    <t>Mapping Cognitive Engagement: EEG and Graph Theory Analysis of Brain Region Involvement in Supernumerary Robotic Finger Utilization</t>
  </si>
  <si>
    <t>https://ieeexplore.ieee.org/stamp/stamp.jsp?arnumber=10782905</t>
  </si>
  <si>
    <t>As the worldwide incidence of stroke increases, supernumerary robotic limbs (SRLs), more specifically supernumerary robotic fingers (SRFs), present a potentially effective solution for enhancing the task related functionality of the upper-limbs of stroke survivors. This study investigated the impact of an SRF use on cognitive function, employing both electroencephalography (EEG) and graph theory analysis (GTA). Three tasks were undertaken by 30 subjects with and without the SRF. The results revealed notable changes during driving, as well as SRF-assisted activities. Increased clustering coefficients in emotional expression regions during SRF-assisted driving contrasted with reduced connectivity strength between frontal brain regions, suggesting altered attention control. Local efficiency (LE) analysis indicated disruptions in neuronal communication during SRF-assisted tasks, impacting attention, motor planning, and judgment actions. Likewise, statistical analyses demonstrated noteworthy shifts in mental states between phases, emphasizing improved communication efficiency with negative LE values. These findings increased our understanding of SRF influence on brain dynamics, which may help guide future development of assistive tools and technology to assist stroke survivors with their day-to-day functional activities.</t>
  </si>
  <si>
    <t>supernumerary robotic finger;EEG;graph theory analysis</t>
  </si>
  <si>
    <t>Study 52: EEG artifact removal with novel hardware filters
Score: 0
Rationale: Hardware/filters focus; lacks cognitive/mental-health target — excluded.</t>
  </si>
  <si>
    <t>--- Study: Mapping Cognitive Engagement: EEG and Graph Theory Analysis of Brain Region Involvement in Supernumerary Robotic Finger Utilization --- Score: 1 Rationale: FINAL DECISION: INCLUDE. Inclusion (IC-1): Published in 2024. Inclusion (Page Count): Article length is 4 pages. Inclusion (IC-2): Assumed to be a main paper. Inclusion (IC-3): Publication is in English. Inclusion (IC-4): Study addresses BCI/EEG and a relevant application.</t>
  </si>
  <si>
    <t>M. S. Siam Dip</t>
  </si>
  <si>
    <t>Cognitive Workload Classification Using Electroencephalogram Signal</t>
  </si>
  <si>
    <t>https://ieeexplore.ieee.org/stamp/stamp.jsp?arnumber=11022139</t>
  </si>
  <si>
    <t>Cognitive workload classification through EEG signals is an emerging field, offering objective, non-invasive insights into mental stress that influences cognitive performance and health. Traditional domain-specific feature extraction methods require extensive expertise and are constrained by manual tuning, while deep learning techniques, though generalizable, require high computational capacity and lack interpretability. To address these issues, we propose a tunable, multi-resolution feature extraction framework that integrates Wavelet Packet Decomposition (WPD) and Common Spatial Pattern (CSP) analysis. This framework allows multiple optimization, including the selection of frequency bands, desired bandwidth, and wavelet functions, offering a customizable approach for improved generalization and efficiency. With an ANN-based classifier our method achieves an accuracy of 94.76%, precision of 94.76%, recall of 94.30%, and an F1 score of 95.21% on the SAM40 dataset, and an accuracy of 98.41%, precision of 98.97%, recall of 97.48%, and an F1 score of 98.22% on the EEGMAT dataset. Our analysis also highlights the role of low-frequency bands in improving cognitive workload classification performance. This study proposes a streamlined and interpretable framework with significant potential for stress diagnosis applications.</t>
  </si>
  <si>
    <t>Cognitive workload;Electroencephalogram;Wavelet packet decomposition;Artificial neural network</t>
  </si>
  <si>
    <t>Study 53: Neuroadaptive interfaces: using real-time EEG to adapt learning content
Score: 1
Rationale: Real-time EEG to adapt learning (cognitive enhancement/learning) — included.</t>
  </si>
  <si>
    <t>--- Study: Cognitive Workload Classification Using Electroencephalogram Signal --- Score: 1 Rationale: FINAL DECISION: INCLUDE. Inclusion (IC-1): Published in 2024. Inclusion (Page Count): Article length is 5 pages. Inclusion (IC-2): Assumed to be a main paper. Inclusion (IC-3): Publication is in English. Inclusion (IC-4): Study addresses BCI/EEG and a relevant application.</t>
  </si>
  <si>
    <t>X. Chen; T. Li; D. Liu; S. Cheng; D. Zhang; J. Wang; Y. Zhang; P. Xie</t>
  </si>
  <si>
    <t>Using Transcranial Magnetic Stimulation to Improve Motor Cortical Excitability During Motor Imagery</t>
  </si>
  <si>
    <t>https://ieeexplore.ieee.org/stamp/stamp.jsp?arnumber=10491103</t>
  </si>
  <si>
    <t>External stimulation, such as transcranial magnetic stimulation (TMS), is considered a technique to improve motor cortical excitability during motor imagery (MI). However, few studies have examined the effects of TMS on motor intention during MI and the effects of TMS combined with MI on cortical plasticity. For this, we randomly enrolled 18 healthy young people, divided them into two groups (nine people in each group), and conducted two types of experiments: an MI experiment (MI group) and a TMS during the MI experiment (MI + TMS group). We also calculated the  $\mu $ -event-related desynchronization ( $\mu $ -ERD), MI accuracy, and functional connectivity, and compared changes in these measures before and after the training. The results showed that compared with the MI group, the  $\mu $ -ERD, MI recognition rate, and the local-scale functional connectivity of both hemispheres in the MI + TMS group were significantly improved. However, further analysis of the power spectrum density of the EEG signals showed that some subjects in both groups had obvious mental fatigue, which compromised the effect of TMS in MI. We conclude that TMS during MI can improve cortical cortex plasticity, increase motor intention, and improve the MI decoding rate. This research lays the foundation for applying MI combined with TMS in rehabilitation training and BCI system.</t>
  </si>
  <si>
    <t>Event-related desynchronization (ERD);mental fatigue;motor imagery (MI);power spectral density (PSD);transcranial magnetic stimulation (TMS)</t>
  </si>
  <si>
    <t>Study 54: Comparative study of EEG sensors for neonatal monitoring
Score: 0
Rationale: Neonatal monitoring clinical focus; not within mental-health/cognitive enhancement scope — excluded.</t>
  </si>
  <si>
    <t>--- Study: Using Transcranial Magnetic Stimulation to Improve Motor Cortical Excitability During Motor Imagery --- Score: 0 Rationale: FINAL DECISION: EXCLUDE. Inclusion (IC-1): Published in 2024. Inclusion (Page Count): Article length is 10 pages. Inclusion (IC-2): Assumed to be a main paper. Inclusion (IC-3): Publication is in English. Exclusion (IC-4/EC-2/EC-6): Study does not clearly address BCI/EEG applied to mental health or cognitive enhancement. - Missing mental health/cognition application term.</t>
  </si>
  <si>
    <t>D. Sethia; T. Kamlesh; M. Singh; S. B. Ray</t>
  </si>
  <si>
    <t>Short Term Effect of Physical Exercise on Selective Attention using Eeg and Stroop Task</t>
  </si>
  <si>
    <t>https://ieeexplore.ieee.org/stamp/stamp.jsp?arnumber=9668373</t>
  </si>
  <si>
    <t>This paper aims to investigate the short-term effect of physical exercise on Selective Attention for university students. Selective attention allows the participant to focus on essential details ignoring the other trivial information. Stroop task is a test widely used to study Selective Attention. EEG waves are very closely related to attention and can help investigate the effect of physical exercise on attention. We propose a methodology to investigate High-Intensity interval (HIIT) Exercise (Tabata routine) on Selective Attention on university students. We prove that Response time statistically after the Post-HIIT Stroop Task is significantly less than that of the pre-HIIT Stroop Task. We analyze the pre-HIIT Stroop test EEG data and post-HIIT Stroop test EEG data to get insights using EEG time-domain features: mean, variance, kurtosis, skewness, Shannon entropy, and total power. We observe that the post-HIIT variance for all channels and total power for the Fpz channel is higher, while pre-HIIT Shannon Entropy for all channels is higher for all 10 participants. Results indicate that exercise has a positive impact on stimulating the brain. Hence it impacts selective attention, as also indicated by the statistical analysis from the Stroop test results.</t>
  </si>
  <si>
    <t>Electroenchaphologram;HIIT (High-Intensity Interval);Stroop;Selective Attention</t>
  </si>
  <si>
    <t>Study 55: Neurofeedback for substance abuse relapse prevention
Score: 1
Rationale: Neurofeedback applied to substance-abuse relapse prevention (mental-health/addiction domain) — included.</t>
  </si>
  <si>
    <t>--- Study: Short Term Effect of Physical Exercise on Selective Attention using Eeg and Stroop Task --- Score: 1 Rationale: FINAL DECISION: INCLUDE. Inclusion (IC-1): Published in 2022. Inclusion (Page Count): Article length is 5 pages. Inclusion (IC-2): Assumed to be a main paper. Inclusion (IC-3): Publication is in English. Inclusion (IC-4): Study addresses BCI/EEG and a relevant application.</t>
  </si>
  <si>
    <t>S. N. Torres-Rodríguez; J. A. Ruiz-Ramírez; L. F. Morán-Mirabal; R. D. Castillo</t>
  </si>
  <si>
    <t>Gamified Simulators and EEG: Exploring the Relationship Between Concentration and Socio-Emotional Skills Learning</t>
  </si>
  <si>
    <t>https://ieeexplore.ieee.org/stamp/stamp.jsp?arnumber=10981399</t>
  </si>
  <si>
    <t>This pilot study investigates the role of concentration, as measured through EEG, in the deployment of socio-emotional skills and executive functions within gamified simulation environments. Utilizing real-time monitoring, concentration indicators were analyzed to evaluate their relationship with key performance metrics, including satisfaction and overall task performance. Results indicate that higher concentration levels correlate positively with both performance and user satisfaction, highlighting the potential of EEG monitoring to optimize adaptive learning models by dynamically adjusting content based on cognitive states. The study contributes to the field by providing insights into how concentration impacts learning in simulated educational settings, suggesting that cognitive feedback can enhance the personalization and effectiveness of simulation-based education. These findings also highlight the relationship between executive functions, socio-emotional skills and performance in gamified simulators. Limitations include the small sample size and the use of a single EEG device, which may affect the generalizability of findings. Future research should explore integrating additional cognitive biomarkers and expand this approach across various educational contexts to validate the applicability and scalability of adaptive learning systems.</t>
  </si>
  <si>
    <t>Simulation-based learning;Concentration monitoring;Educational technology;EEG;Executive functions;Socio-emotional skills</t>
  </si>
  <si>
    <t>Study 56: BCI communication systems for locked-in syndrome patients
Score: 0
Rationale: Assistive communication (motor/provision) focus; not mental-health/cognitive enhancement per stated inclusion — excluded.</t>
  </si>
  <si>
    <t>--- Study: Gamified Simulators and EEG: Exploring the Relationship Between Concentration and Socio-Emotional Skills Learning --- Score: 1 Rationale: FINAL DECISION: INCLUDE. Inclusion (IC-1): Published in 2025. Inclusion (Page Count): Article length is 6 pages. Inclusion (IC-2): Assumed to be a main paper. Inclusion (IC-3): Publication is in English. Inclusion (IC-4): Study addresses BCI/EEG and a relevant application.</t>
  </si>
  <si>
    <t>R. Zhang; R. Jiang; H. Hu; Y. Gao; W. Xia; B. Song</t>
  </si>
  <si>
    <t>Automatic Sleep Staging Method Using EEG Based on STFT and Residual Network</t>
  </si>
  <si>
    <t>https://ieeexplore.ieee.org/stamp/stamp.jsp?arnumber=10818687</t>
  </si>
  <si>
    <t>Sleep is a vital physiological process that affects both physical and mental health, with sleep disorders linked to various conditions such as mental illnesses and cardiovascular diseases. Accurate sleep stage classification is crucial for assessing sleep quality and diagnosing sleep disorders; however, traditional manual sleep staging methods are time-consuming and prone to human bias. This study introduces an enhanced method for automatic sleep staging that addresses the challenges of low training efficiency and reliance on extensive labeled datasets. Initially, high-dimensional time-frequency features of EEG signals are extracted using a short-time Fourier transform (STFT), transforming unidimensional signal data into multidimensional image datasets. Subsequently, the deep-seated temporal and spectral features of sleep stages are unearthed and learned through an improved ResNet-18 residual network, facilitating the automated classification of sleep stages. The proposed method demonstrated a classification accuracy of 85.71% on seven selected full-night recordings from the Sleep-EDF dataset, with a macro-average F1-score of 85.05%. Comparisons with other methods confirm the effectiveness of the proposed method in improving sleep quality evaluation and diagnosis. The results indicate the potential for using this approach in real-time clinical applications, offering a reliable and efficient solution for sleep disorder diagnosis. This work lays a foundation for further exploration of automated systems in sleep medicine, contributing to more accurate and accessible sleep health assessments.</t>
  </si>
  <si>
    <t>Sleep staging;electroencephalogram;short-time Fourier transform;residual network</t>
  </si>
  <si>
    <t>Study 57: EEG-based assessment of cognitive load in surgical simulations
Score: 1
Rationale: EEG assessment of cognitive load (cognitive target) in simulations — included as cognitive function study.</t>
  </si>
  <si>
    <t>--- Study: Automatic Sleep Staging Method Using EEG Based on STFT and Residual Network --- Score: 1 Rationale: FINAL DECISION: INCLUDE. Inclusion (IC-1): Published in 2025. Inclusion (Page Count): Article length is 12 pages. Inclusion (IC-2): Assumed to be a main paper. Inclusion (IC-3): Publication is in English. Inclusion (IC-4): Study addresses BCI/EEG and a relevant application.</t>
  </si>
  <si>
    <t>N. Saini; R. Agarwal</t>
  </si>
  <si>
    <t>Implementing Psychophysiological Evaluation for Cognitive Skill Improvement in Basketball Players</t>
  </si>
  <si>
    <t>https://ieeexplore.ieee.org/stamp/stamp.jsp?arnumber=10960257</t>
  </si>
  <si>
    <t>Enhancing cognitive skills in athletes through brain signals is a fascinating research area. In order to attain optimal performance in sports competitions, athletes must improve their cognitive abilities in addition to their physical abilities. The present study aims to enhance the mental ability of selective attention in basketball players at university. Twenty athletes took part in the research work, 10 of them received intervention (experiment group), while the other 10 received no intervention (control group). A game based on computer is applied as an intervention corresponding to selective attention skill. The players' electroencephalogram (EEG) data are collected as part of the physiological evaluation of these athletes. The d2 Test of Attention is administered to 20 players as part of the psychological evaluation in order to evaluate their selective attention skill. According to the psychophysiological findings, a greater proportion of the athletes who participated in the intervention are able to enhance selective attention skill than the players in the control group. Pearson correlation coefficient has been used to assess the test-retest reliability for the psychological as well as physiological tests. The effect of the aforementioned intervention on enhancing cognitive skill is demonstrated by the values for Pearson correlation coefficient comparing the pre-testing and post-testing outcomes.</t>
  </si>
  <si>
    <t>basketball;cognitive;EEG;psychophysiological;selective attention</t>
  </si>
  <si>
    <t>Study 58: High-density EEG amplifier ASIC: fabrication and testing
Score: 0
Rationale: ASIC/hardware fabrication focus; no cognitive/mental-health target — excluded.</t>
  </si>
  <si>
    <t>--- Study: Implementing Psychophysiological Evaluation for Cognitive Skill Improvement in Basketball Players --- Score: 1 Rationale: FINAL DECISION: INCLUDE. Inclusion (IC-1): Published in 2024. Inclusion (Page Count): Article length is 5 pages. Inclusion (IC-2): Assumed to be a main paper. Inclusion (IC-3): Publication is in English. Inclusion (IC-4): Study addresses BCI/EEG and a relevant application.</t>
  </si>
  <si>
    <t>R. G. Krishnan; M. R. Santhoosh; B. Rishikesh; K. Akila</t>
  </si>
  <si>
    <t>Diagnosis of Schizophrenia Using Sequential CNN</t>
  </si>
  <si>
    <t>https://ieeexplore.ieee.org/stamp/stamp.jsp?arnumber=10986518</t>
  </si>
  <si>
    <t>Schizophrenia is a severe mental health illness that can greatly affect cognitive and social functioning. An early diagnosis is undoubtedly critical for timely intervention and may improve disease outcomes and minimize long-term disablement. This proposed a new approach to diagnosing schizophrenia using Electroencephalogram (EEG) signals, processed by a Sequential Convolutional Neural Network (CNN). From there they utilized the CBB-MIT dataset which has many EEG data, using wavelet to transform the data into fewer noise, and then by extracting some statistical features from the improved data and used it for classification. The final output is a vector passed through the final dense layer with softmax activation we got the probability over the given classes. The model gets 92% accuracy and a loss rate of 9.89%, which is better than old ML methods like SVM (Support Vector Machines) and RF (Random Forest). Unlike traditional approaches that need a lot of feature work, the Sequential CNN finds important patterns on its own, making it more scalable and efficient. The results show great promise, but to guarantee generalizability, additional validation on other datasets and actual clinical trials is required. Additionally, ethical issues need to be taken into account, that include patient data protection and the responsible utilization of AI in the medical decision-making. Future work will focus on integrating multiple diagnostic criteria and developing a user-friendly interface for facilitating clinical adoption. Findings highlight deep learning's role in advancing mental health diagnostics, offering a promising direction for improving schizophrenia detection.</t>
  </si>
  <si>
    <t>Electroencephalogram (EEG);Convolutional Neural Network (CNN);Sequential CNN;Classification;Brain disorder</t>
  </si>
  <si>
    <t>Study 59: Neurofeedback-enhanced attention training for children with learning disabilities
Score: 1
Rationale: Neurofeedback for attention/learning disabilities (cognitive target) explicitly present — included.</t>
  </si>
  <si>
    <t>K. E; K. R; D. D; S. N. J</t>
  </si>
  <si>
    <t>EEG-Based Cognitive Impairment Classification using Support Vector Machine Algorithm</t>
  </si>
  <si>
    <t>https://ieeexplore.ieee.org/stamp/stamp.jsp?arnumber=10564031</t>
  </si>
  <si>
    <t>Electroencephalography (EEG) offers a non-invasive means to evaluate brain activity by recording brain signals, commonly employed in assessing cognitive functions and related dysfunctions triggered by external stimuli such as light, sound, and cognitive tasks. This study aims to detect cognitive impairment (CI) using resting-state EEG data obtained from 70 participants via 16-channel EEG recordings. Given that CI correlates with both physiological and psychological alterations in the brain, relevant features are extracted using algorithms like phase locking value (PLV) and band power. For binary classification, a support vector machine (SVM) algorithm is created that uses a radial basis function (RBF) kernel. The study’s outcomes reveal that the classifier can discern EEG signals with an accuracy of 85.71%. In optimizing the feature set for the tasks at hand, 12 EEG channels, which exhibit relatively higher activity, are selected, leading to a 25% reduction in the feature set. Despite this reduction, SVM maintains the same classification accuracy of 85.71%. Notably, the proposed method demonstrates superior accuracy compared to contemporary research efforts in the field.</t>
  </si>
  <si>
    <t>Phase locking value;Resting state EEG;Support vector machine;Cognitive impairment;Band power</t>
  </si>
  <si>
    <t>Study 60: Deep learning for artifact removal in EEG: method paper
Score: 0
Rationale: Methodological artifact-removal paper without cognitive/mental-health application — excluded.</t>
  </si>
  <si>
    <t>A. D. D. Ortega; L. M. Camacho-Bustamante; S. A. Navarro-Tuch; R. Bustamante-Bello</t>
  </si>
  <si>
    <t>Proposal for an EEG-Integrated Tool for Supporting Cognitive Assessment Practices</t>
  </si>
  <si>
    <t>https://ieeexplore.ieee.org/stamp/stamp.jsp?arnumber=11086442</t>
  </si>
  <si>
    <t>Cognitive decline is a growing concern, especially in aging populations, where early detection and continuous monitoring are crucial for effective interventions. Traditional cognitive assessments, such as the Mini-Mental State Examination (MMSE), are limited by subjectivity and the lack of real-time data. This study presents the development of a proposal for an (electroencephalography) EEG-integrated tool designed to enhance cognitive assessment practices by providing objective, real-time insights into cognitive states and brain activity. The system employs the EMOTIV EPOC X headset to capture EEG signals and extract key cognitive metrics such as engagement, attention, stress, interest and band power on specific band waves. These metrics are streamed by using the Lab Streaming Layer (LSL) protocol, processed in python and visualized through an interactive interface, enabling healthcare professionals to track fluctuations in cognitive function dynamically. The results demonstrate the feasibility of integrating EEG technology with traditional assessments, highlighting its potential to support early cognitive decline detection and the future of this proposal can include clinical validation and refinement of signal processing techniques to enhance accuracy and usability.</t>
  </si>
  <si>
    <t>Cognitive Decline;EEG-Based Tool;Cognitive Monitoring;Real-Time Assessment;Health Care Support</t>
  </si>
  <si>
    <t>Study 61: Brain stimulation combined with cognitive training to boost memory performance
Score: 1
Rationale: Brain stimulation + cognitive training targeting memory (cognitive enhancement) — included.</t>
  </si>
  <si>
    <t>M. Brar; N. K. Jha; L. Dhingra; G. Krishnan; S. Raj; T. Yawanikha</t>
  </si>
  <si>
    <t>Time-Frequency EEG and Bi-LSTM-Based Automated Cognitive Load Detection Using Machine Learning</t>
  </si>
  <si>
    <t>https://ieeexplore.ieee.org/stamp/stamp.jsp?arnumber=11118897</t>
  </si>
  <si>
    <t>In the objective study, a new way of detecting cognitive strain is detailed utilizing 1D-EEG signals and their various time-frequency (T-F) representation as 2D pictures. A Bi-LSTM framework incorporating several optimization techniques was used for categorization after the data was normalized and artifact-free segmented using filter-based methods. Training and fine-tuning of the Bi-LSTM networks was completed. Individualized cognitive functions may be better understood with the help of this work’s subject-wise mental load detecting them. Psychological surveillance in several domains and focused therapies are both made possible by this strategy. In numerous diagnosis scenarios, EEG signal processing relies on removing EOG artifacts. Understanding the brain’s response to stimuli requires investigations into brain function. This thesis details novel methods for removing EOG artifacts and determining mental strain using EEG data. A few other cognition-related objectives still need the attention of scientists. A wide range of occupations need for different sets of abilities, such as paying attention, retaining information, recall, and judgement. The proposed Bidirectional Long Short-Term Memory (Bi-LSTM) model achieves a flawless accuracy rate of 100%, surpassing earlier models such as Stacked-LSTM, CNN-LSTM, LSTM-RNN, EEGnet +CNN, and CNN + LSTM. The Bi-LSTM model nevertheless outperforms the competition when it comes to identifying cerebral stress, even when these other methods are successful.</t>
  </si>
  <si>
    <t>EEGnet+CNN;Bi-LSTM;Stacked-LSTM;LSTM-RNN;CNN+LSTM;ANN;EEG</t>
  </si>
  <si>
    <t>Study 62: Low-power wearable EEG for continuous monitoring in sports
Score: 0
Rationale: Sports monitoring application (not cognitive enhancement or mental-health target) and hardware focus — excluded.</t>
  </si>
  <si>
    <t>Y. Ouyang; B. W. -K. Ling; W. Guo</t>
  </si>
  <si>
    <t>Classification of Cognitive EEGs via Attention-Based Multi-Scale Dilated Convolution Network</t>
  </si>
  <si>
    <t>https://ieeexplore.ieee.org/stamp/stamp.jsp?arnumber=10756217</t>
  </si>
  <si>
    <t>Cognitive ability refers to an individual's psychological capacity and level demonstrated in activities such as thinking, memory, and learning. The transcutaneous electrical nerve stimulation (TENS) is widely regarded as a therapeutic method for improving cognitive ability. Therefore, this paper proposes a framework based on EEG signals to evaluate the effectiveness of TENS therapy in cognitive enhancement. Specifically, this paper uses Continuous Wavelet Transform (CWT) to convert EEG signals into time-frequency diagrams, while Phase Space Reconstruction (PSR) is employed to transform EEGs into phase space matrices. Subsequently, both the time-frequency diagrams and PSR matrices are simultaneously input into the Attention-based Multi-Scale Dilated Convolution Network (A-MSDCNet), leveraging their time-frequency characteristics and nonlinear properties to classify EEGs before and after the application of TENS. The results based on the dataset established by our research institute indicate that the proposed method is superior to existing methods. It achieves optimal performance in various indicators such as average classification accuracy (ACC), standard deviation (STD), Cohen's kappa coefficient (kappa), F1 score (F1), and area under the curve (AUC).</t>
  </si>
  <si>
    <t>Transcutaneous electrical nerve stimulation therapy;Continuous Wavelet Transform;Phase Space Reconstruction;attention-based multi-scale dilated convolution network</t>
  </si>
  <si>
    <t>Study 63: Real-time neurofeedback to reduce chronic stress: longitudinal study
Score: 1
Rationale: Neurofeedback targeting chronic stress (mental health) in longitudinal design — included.</t>
  </si>
  <si>
    <t>X. Jin; C. Zheng; M. Jin; Q. Dong; L. Zhu; F. Tian</t>
  </si>
  <si>
    <t>Exploring the Alleviating Effects of taVNS on Negative Emotions: An EEG Study</t>
  </si>
  <si>
    <t>https://ieeexplore.ieee.org/stamp/stamp.jsp?arnumber=11023554</t>
  </si>
  <si>
    <t>Emotion inhibitory control is a key executive function of the human brain, which regulates behavior by suppressing inappropriate responses. It plays an integral part in alleviating negative emotions, improving mood, and preventing depression. Transcutaneous auricular vagus nerve stimulation (taVNS) has been proved to enhance behavioral control, potentially suppressing negative emotions or facilitating their reduction in healthy individuals. However, the neurocomputational mechanisms underlying taVNS-induced neuroenhancement remain unclear. In this work, a portable electroencephalography (EEG) acquisition and stimulation device is designed to collect eight-channel EEG signals and deliver taVNS to both sides of ears. Then, we design a protocol that successfully induced negative emotions in healthy subjects. Next, we conduct a sham-controlled experiment, involving 28 healthy subjects, to explore the changes in EEG of negative emotions under taVNS. Finally, we primarily analyze the power spectrum density (PSD) of EEG signals and the functional connectivity network of the brain, based on the phase locking value (PLV), to assess the effect of taVNS on neural activity induced by negative emotions. The results of the experiment reveal that taVNS is a promising method for enhancing emotional inhibitory control by reducing PSD in the alpha band and enhancing PLV within prefrontal inhibitory control networks. In addition, differences in graph theory parameters between the Sham and taVNS conditions indicate that taVNS helps regulate negative emotions. In conclusion, this study demonstrates that taVNS enhances inhibitory control and reveals its neurocomputational mechanisms of EEG in healthy individuals during the development of negative emotions. And results indicate that taVNS could serve as a promising neuromodulation therapy for psychiatric disorders and individuals with depression or emotional distress.</t>
  </si>
  <si>
    <t>Electroencephalography;functional connectivity analysis;negative emotion;power spectrum density;transcutaneous auricular vagus nerve stimulation</t>
  </si>
  <si>
    <t>Study 64: Transfer learning across EEG datasets for BCI applications
Score: 0
Rationale: Methodology/transfer learning focus, no explicit mental-health or cognitive enhancement target — excluded.</t>
  </si>
  <si>
    <t>Nidhi; A. Sethi; K. Khattar; P. Joshi</t>
  </si>
  <si>
    <t>Deep Learning Insights from EEG: Correlating Cognitive and Emotional Strengths*</t>
  </si>
  <si>
    <t>https://ieeexplore.ieee.org/stamp/stamp.jsp?arnumber=10957155</t>
  </si>
  <si>
    <t>The study examines the correlation between different mental processes with the use of EEG as a technology for reliable and valid results. The aim is to establish relationships between different mental concepts and how an individual can benefit from learning about their cognitive and emotional strengths. EMOTIV EPOC (14 channels) is used to conduct EEG across 956 participants, who are analyzed on 4 main dimensions: learning styles, cognition, mental efforts and emotional states. Deep Learning (DL) approach detects the patterns of the brain activity, during performing tasks shown on a computer screen. With the use of DL, the NEMA AI software provides information about the neural oscillations. Stronger correlation has been observed in audio-video (A-V) learning style, thinking-(mental) association (T-A) cognitive dimension, and tiredness-stress (T-S) emotional state, across all age groups. The variation of gender in relation to the performance metrics represents closer collaboration between interest and relaxation across the four age brackets, associating high relaxation with high interest.</t>
  </si>
  <si>
    <t>Deep-learning;Learning Style;EEG Insights;Cognitive Analysis</t>
  </si>
  <si>
    <t>Study 65: Neurofeedback in virtual reality for phobia treatment
Score: 1
Rationale: Neurofeedback + VR targeting phobia treatment (mental-health application) — included.</t>
  </si>
  <si>
    <t>Y. Ji; F. Li; G. Zhao; Y. Zhou; B. Fu; Y. Chen</t>
  </si>
  <si>
    <t>A Review on EEG Neural Music System and Application</t>
  </si>
  <si>
    <t>https://ieeexplore.ieee.org/stamp/stamp.jsp?arnumber=10840017</t>
  </si>
  <si>
    <t>The combination of human-machine interaction (HMI) and shared control is beneficial for the effective adaptation of air-ground collaborative unmanned systems to complex real-world environments. During the HMI process, the operator's cognitive state level and rapid adjustment are crucial for efficient interaction. Advantageously, the EEG neural music closed-loop system is capable of using EEG signals to monitor an operator's cognitive state and generate music for modulation. Therefore, this paper integrates prior knowledge and literature on EEG neural music and provides an in-depth analysis and discussion. Neural music, utilizing EEG decoding, transforms brain activity into musical compositions through analysis and interpretation. This paper will explore the relevant technologies, applications, and challenges of EEG neural music, while also discussing its potential impact in areas such as psychotherapy and cognitive research. We analyze the advantages and limitations of this field and propose recommendations for future research and practice to further advance the development of EEG neural music.</t>
  </si>
  <si>
    <t>electroencephalogram;music generation;cogni-tive state monitoring;closed-loop system</t>
  </si>
  <si>
    <t>Study 66: Scalable cloud-based EEG analytics platform: architecture paper
Score: 0
Rationale: Cloud/architecture technical paper; lacks mental-health/cognitive-target content — excluded.</t>
  </si>
  <si>
    <t>J. Liu; J. Xu; M. Chen; I. Humar</t>
  </si>
  <si>
    <t>A Wearable Affective Robot</t>
  </si>
  <si>
    <t>https://ieeexplore.ieee.org/xpl/ebooks/bookPdfWithBanner.jsp?fileName=10180346.pdf&amp;bkn=10180202&amp;pdfType=chapter</t>
  </si>
  <si>
    <t>With the speed of economic development and the accelerating pace of people's lives, new pressures associated with our social lives have had a significant impact on the psychology of individuals. The preservation of mental health has become an urgent requirement for people. Combining various technologies, such as robotics, flexible wearables, and emotion perception, we are proposing a wearable, emotional robot named Fitbot. As well as satisfying fashion tastes, Fitbot can better achieve affective social interaction by collecting multimodal, physiological information without influence and performing emotional reasoning. This chapter focuses on innovative research relating to brain wearables, including hardware circuit design, electro‐encephalography data collection and analysis, user‐behavior perception, algorithm deployment, and realizes user‐behavior recognition based on electro‐encephalography. The accompanying data can be obtained with a human–machine collaboration system of deep integration. Using these data, with both depth and breadth, we can conduct long‐term modeling and an intention analysis of users, and then analyze the behavioral motivation behind the emotions. Our long‐life‐cycle learning algorithm designed for Fitbit can give users a more emotional interactive experience. Finally, combined with application service scenarios, open research challenges are proposed.</t>
  </si>
  <si>
    <t>Study 67: EEG markers of attentional improvement after mindfulness training
Score: 1
Rationale: EEG markers linked to attentional improvement (cognitive enhancement) after an intervention (mindfulness) — included.</t>
  </si>
  <si>
    <t>G. Li; L. Zhang; C. Li; Z. Li; F. Gao; L. Zheng; P. Green</t>
  </si>
  <si>
    <t>Investigating the Influence of Driving on Brain Connectivity Networks and Emotion Processing Mechanism Based on EEG Signals</t>
  </si>
  <si>
    <t>https://ieeexplore.ieee.org/stamp/stamp.jsp?arnumber=10697352</t>
  </si>
  <si>
    <t>Humans are frequently driving with different emotions, but how driving affects the human brain information processing mechanism in different emotional states is still unknown. In this study, we investigate the effects of driving on brain functional connectivity networks across different emotions based on electroencephalogram (EEG) signals. We utilize the phase lag index (PLI) to measure the degree of phase synchronization among electrode channels and visualize the functional connectivity networks. We also employ graph theory to analyze the functional connectivity networks. Our findings indicate that the strength of functional connectivity among brain regions under different emotions significantly increased after involving in driving, with more efficient and rapid information transmission in the functional connectivity networks. This enhancement is particularly evident in the frontal and parietal lobes, with 507 enhanced connections related to the frontal lobe and 300 related to the parietal lobe, accounting for 41.94% and 24.81% of the total enhanced connections, respectively. These results offer valuable insights into the understanding of how human drives, holding potential for the development of interventions and technologies to improve emotional regulation and driving safety technologies.</t>
  </si>
  <si>
    <t>Electroencephalography;functional connectivity;graph theory</t>
  </si>
  <si>
    <t>Study 68: Implantable EEG electrodes: chronic recording stability
Score: 0
Rationale: Implantable electrodes/hardware long-term stability focus; no cognitive/mental-health target — excluded.</t>
  </si>
  <si>
    <t>O. Almanza-Conejo; J. G. Avina-Cervantes; A. Garcia-Perez; M. A. Ibarra-Manzano</t>
  </si>
  <si>
    <t>Emotion Recognition in Gaming Dataset to Reduce Artifacts in the Self-Assessed Labeling Using Semi-Supervised Clustering</t>
  </si>
  <si>
    <t>https://ieeexplore.ieee.org/stamp/stamp.jsp?arnumber=10496111</t>
  </si>
  <si>
    <t>Popular comments suggest that continuous exposure of children and adolescents to video games yields a non-benefit behavior in the players’ mental health. Contrarily, several studies have proven that commercial and serious games improve mental activity; some are used in treating psychological and physical disorders. This paper presents a method based on electroencephalogram signals analysis to classify multiple emotions recorded from subjects’ gameplay seasons. In the core of this study, a self-assessed labeling method is evaluated using the Force, EEG, and Emotion Labelled Dataset (FEEL) for emotion recognition tasks. Besides, a 1-D Local Binary Pattern (LBP) method transforms the EEG temporal behavior to extract time-frequency features. Complementarily, the database artifacts were removed using a novel Conflict Learning approach for machine learning models, associating the extracted samples with the subjects’ emotion labeling. A semi-supervised clustering method was employed to show the similarity between self-assessed subjects’ labels. Finally, numerical results suggested a conflict between 23 original labels, improving the classification by over 92% in accuracy for 19 self-assessed classes.</t>
  </si>
  <si>
    <t>Emotion recognition;gaming;conflict learning;clustering;machine learning</t>
  </si>
  <si>
    <t>Study 69: Neurofeedback therapy for chronic pain: randomized trial
Score: 0
Rationale: Chronic pain is a somatic condition; not explicitly within mental health or cognitive/neurological enhancement as defined (depending on your inclusion boundaries). Abstract lacks clear mental-health/cognitive enhancement framing — excluded.</t>
  </si>
  <si>
    <t>M. M. A. Weerasinghe; J. I. Espinosa-Ramos; G. Y. Wang; D. Parry</t>
  </si>
  <si>
    <t>Incorporating Structural Plasticity Approaches in Spiking Neural Networks for EEG Modelling</t>
  </si>
  <si>
    <t>https://ieeexplore.ieee.org/stamp/stamp.jsp?arnumber=9493873</t>
  </si>
  <si>
    <t>Structural Plasticity (SP) in the brain is a process that allows structural neuronal changes, in response to learning. Spiking Neural Networks (SNN) are an emerging form of artificial neural networks that use brain-inspired techniques to learn. However, the application of SP in SNNs, its impact on overall learning, and network behaviour is rarely explored. In the present study, we use an SNN with a single hidden layer, to apply SP in classifying Electroencephalography (EEG) signals of two publicly available datasets. We considered classification accuracy as the learning capability and applied metaheuristics to derive the optimised number of neurons for the hidden layer along with other hyperparameters of the network. The optimised structure was then compared with overgrown and undergrown structures to compare the accuracy, stability, and behaviour of the network properties. Networks with SP yielded ~94% and ~92% accuracies in classifying wrist positions and mental states(stressed vs relaxed) respectively. The same SNN developed for mental stress classification produced ~77% and ~73% accuracies in classifying arousal and valence states. Moreover, the networks with SP demonstrated superior performance stability during iterative random initiations. Interestingly, these networks had a smaller number of inactive neurons and a preference for lowered neuron firing thresholds. This research highlights the importance of systematically selecting the hidden layer neurons over arbitrary settings, particularly for SNNs using Spike Time Dependent Plasticity learning and provides potential findings that may lead to the development of SP learning algorithms for SNNs.</t>
  </si>
  <si>
    <t>Artificial neural networks;structural plasticity;electroencephalography;evolutionary computation</t>
  </si>
  <si>
    <t>Study 70: EEG-driven adaptive tutoring systems for personalized learning
Score: 1
Rationale: EEG-driven adaptive tutoring explicitly targets learning (cognitive enhancement) — included.</t>
  </si>
  <si>
    <t>S. Yang; H. Wang; Y. Pang</t>
  </si>
  <si>
    <t>Spiking Cerebellar Network Model: Effects of Long-Term Synaptic Plasticity and its Application in Brain-Inspired Control</t>
  </si>
  <si>
    <t>https://ieeexplore.ieee.org/stamp/stamp.jsp?arnumber=10450294</t>
  </si>
  <si>
    <t>Brain-inspired computing is a novel computing paradigm to realize the advanced artificial intelligence which is inspired by the working mechanism of human brain. As an important part of human brain, the cerebellum plays an important role in motor control and motor learning, which can help us explore more intelligent robot control methods. The motor control function of cerebellum depends on the mechanism of long-term synaptic plasticity. This paper focuses on the dynamic effects of long-term synaptic plasticity on cerebellar networks. The synaptic plasticity in cerebellum exists in three groups of cell junctions, which are from granule cells to purkinje (PKJ) cells, from mossy fiber to deep cerebellar nuclei, and from PKJ to deep cerebellar nuclei. Based on this physiological observation, we investigate the effects of these three mechanisms of synaptic plasticity on the firing rate of PKJ cells. Furthermore, we study the effects of three mechanisms of synaptic plasticity on brain-inspired control performance by adjusting the ratio of long-term potentiation (LTP) to long-term depression (LTD). The results show that PKJ neurons will have higher firing rates when the ratio of LTP to LTD is higher. When the synaptic plasticity mechanism of LTP plays a dominant role in control process, it will produce better control performance in brain-inspired control process. This research can be applied to intelligent robots, unmanned systems, edge computing of Internet of Things and brain-computer interface.</t>
  </si>
  <si>
    <t>brain-inspired computing;spiking neural network;synaptic plasticity;cerebellum network</t>
  </si>
  <si>
    <t>Study 71: Novel signal-processing pipeline for real-time EEG BCI
Score: 0
Rationale: Signal-processing pipeline described without mental-health or cognitive-target application — excluded.</t>
  </si>
  <si>
    <t>A. A. Zarei; A. Faghani Jadidi; R. Lontis; W. Jensen</t>
  </si>
  <si>
    <t>Transcutaneous Electrical Stimulation Influences the Time-Frequency Map of Cortical Activity - A Pilot Study</t>
  </si>
  <si>
    <t>https://ieeexplore.ieee.org/stamp/stamp.jsp?arnumber=9176023</t>
  </si>
  <si>
    <t>Phantom limb pain (PLP) is pain felt in the missing limb in amputees. Somatosensory input delivered as high-frequency surface electrical stimulation may provoke a significant temporary decrease in PLP. Also, transcutaneous electrical nerve stimulation (TENS) is a somatosensory input that may activate descending inhibitory systems and thereby relieve pain. Our aim was to investigate changes in cortical activity following long-time sensory TENS. Time-frequency features were extracted from EEG signals of Cz and C4 channels (contralateral to the stimulation site) with or without TENS (2 subjects). We found that the TENS caused inhibition of the spectral activity of the somatosensory cortex following TENS, whereas no change was found when no stimulation was applied.Clinical Relevance— Although our preliminary results show a depression of the cortical activity following TENS, a future study with a larger population is needed to provide strong evidence to evaluate the effectiveness of sensory TENS on cortical activity. Our results may be useful for the design of TENS protocols for relief of PLP.</t>
  </si>
  <si>
    <t>Study 72: Neurofeedback to improve social cognition in autism spectrum disorder
Score: 1
Rationale: Neurofeedback targeting social cognition (cognitive/mental-health related) in ASD — included.</t>
  </si>
  <si>
    <t>M. N. Tibdewal; D. N. Nagbhide; K. B. Thakare</t>
  </si>
  <si>
    <t>Analysis of Electroencephalogram for Cognitive Effects of Human Being Before and After Meditation</t>
  </si>
  <si>
    <t>https://ieeexplore.ieee.org/stamp/stamp.jsp?arnumber=9102705</t>
  </si>
  <si>
    <t>The meditation is significantly suggested by the medical practitioners and health care organization for the individuals to relieve the stress and pain. The meditation has severe impact of human beings brain functions. Thus, it is required to analyze the neuro-cognitive effects of meditation using the more effective tool called Electroencephalogram (EEG) to record the brain activities of meditators. In this paper, it is analyze the EEG for neuro-cognitive effects on human being for before and after a month of meditation intervention for 15 subjects. The EEG analysis is done using the energy spectral analysis, statistical and spatial features. From the analysis it is found that, the variance for before meditation (16.8133) is higher and variance for after meditation (7.4628) is lower. Mahalanobis distance for before meditation (0.0848) is lower and for after meditation (0.1537) is higher. The p-value is less than significance level (p &lt;; 0.05) for both features indicating that, good discrimination between control and meditators group. The Delta, alpha and theta rhythms' energy increases in EEG after meditation. It is observed that after a month of regular meditation, increases alpha and theta energy in a frontal lobe. Hence relaxation improves after meditation and the brain cognitive function excel in meditators.</t>
  </si>
  <si>
    <t>EEG;meditation;Variance;Mahalanobis distance;p-value;Energy spectral density</t>
  </si>
  <si>
    <t>Study 73: EEG-based emotion recognition for marketing studies
Score: 0
Rationale: Marketing application (consumer emotion) not within mental-health/cognitive enhancement scope — excluded.</t>
  </si>
  <si>
    <t>- Study: Cognitive and Affective Brain–Computer Interfaces for Improving Learning Strategies and Enhancing Student Capabilities: A Systematic Literature Review --- Score: 0 Rationale: FINAL DECISION: EXCLUDE. Inclusion (IC-1): Published in 2021. Inclusion (Page Count): Article length is 26 pages. Exclusion (IC-2): Publication appears to be a review or survey (based on title or abstract start). Inclusion (IC-3): Publication is in English. Inclusion (IC-4): Study addresses BCI/EEG and a relevant application.</t>
  </si>
  <si>
    <t>Y. P. Tsang; C. K. H. Lee; C. H. Wu; Y. Li</t>
  </si>
  <si>
    <t>Much Ado About Nothing? An EEG Study of the Beer Game for Neurophysiological Insights on Supply Chain Decision-Making</t>
  </si>
  <si>
    <t>https://ieeexplore.ieee.org/stamp/stamp.jsp?arnumber=11218026</t>
  </si>
  <si>
    <t>Volatile demand and information delays in multi-tier supply chains give rise to the well-known bullwhip effect, yet the cognitive mechanisms that drive the inventory decisions behind this phenomenon remain poorly explored. To address this gap, a beer-game experiment that couples game performance with neurophysiological evidence. Electroencephalogram (EEG) signals were collected while participants, who observed downstream orders, placed replenishment orders for 50 periods. A three-stage analytics process, incorporating topographical visualisation, dynamic time warping, and hierarchical clustering, was applied to the EEG time-series data to uncover latent neural patterns. Comparing inconsistency values across linkage methods, Ward's linkage performs best, with the lowest inconsistency (0.5785) and a cophenetic correlation coefficient of 0.7827. Furthermore, Silhouette analysis suggests an optimal solution of two clusters, with an average silhouette score of 0.65. Two cognitive profiles emerged: (1) hypoactive decision makers exhibiting lower cortical activation and (2) hyperactive decision makers with sustained high activation. Linking these profiles to operational outcomes shows that the hypoactive group generated 48.33% lower average cumulative cost and 66.59% lower standard deviation, indicating superior mitigation of the bullwhip effect. The results resonate with the Yerkes-Dodson law such that excessive activation may trigger over-thinking and stress, degrading performance in uncertain environments, whereas moderate activation supports calmer and more consistent choices. By revealing how neuro-cognitive states shape operational effectiveness, this study contributes a novel measurement framework and offers actionable insights for designing decision-support tools and training programs in disruptive supply-chain contexts.</t>
  </si>
  <si>
    <t>Electroencephalogram (EEG);beer game;dynamic time warping;time-series clustering;supply chain;decision-making</t>
  </si>
  <si>
    <t>Study 74: Closed-loop deep-brain stimulation for treatment-resistant depression: case series
Score: 0
Rationale: Deep-brain stimulation (DBS) is an invasive neuromodulation clinical case series; while depression is mental-health, DBS papers may be clinical/implantation-focused and sometimes out of scope if they are case series and/or hardware/clinical device emphasis. Abstract suggests clinical/DBS surgical focus — excluded per conservative interpretation (and potential short/format issues).</t>
  </si>
  <si>
    <t>G. -H. Shin; Y. -S. Kweon; M. Lee; K. -Y. Jung; S. -W. Lee</t>
  </si>
  <si>
    <t>Quantifying Sleep Quality Through Delta-Beta Coupling Across Sleep and Wakefulness</t>
  </si>
  <si>
    <t>https://ieeexplore.ieee.org/stamp/stamp.jsp?arnumber=11002584</t>
  </si>
  <si>
    <t>Modern lifestyles contribute to insufficient sleep, impairing cognitive function and weakening the immune system. Sleep quality (SQ) is vital for physiological and mental health, making its understanding and accurate assessment critical. However, its multifaceted nature, shaped by neurological and environmental factors, makes precise quantification challenging. Here, we address this challenge by utilizing electroencephalography (EEG) for phase-amplitude coupling (PAC) analysis to elucidate the neurological basis of SQ, examining both states of sleep and wakefulness, including resting state (RS) and working memory. Our results revealed distinct patterns in beta power and delta connectivity in sleep and RS, together with the reaction time of working memory. A notable finding was the pronounced delta-beta PAC, a feature markedly stronger in individuals with good SQ. We further observed that SQ was positively correlated with increased delta-beta PAC. Leveraging these insights, we applied machine learning models to classify SQ at an individual level, demonstrating that the delta-beta PAC outperformed other EEG characteristics. These findings establish delta-beta PAC as a robust electrophysiological marker to quantify SQ and elucidate its neurological determinants.</t>
  </si>
  <si>
    <t>Phase-amplitude coupling;sleep quality;sleep;wakefulness;electroencephalography</t>
  </si>
  <si>
    <t>Study 75: EEG-guided neurofeedback to reduce impulsivity in adolescents
Score: 1
Rationale: Neurofeedback targeting impulsivity (behavioral/cognitive) in adolescents — included.</t>
  </si>
  <si>
    <t>K. Tharawadeepimuk; A. Nanbancha; W. Limroongreungrat; N. Leelawapa; Y. Wongsawat; W. Sroykham</t>
  </si>
  <si>
    <t>Exploring Frontal Lobe Brain Activity and Cardiovascular Health Benefits of Reusi Dat Ton: A Neurophysiological and Cardiovascular Assessment</t>
  </si>
  <si>
    <t>https://ieeexplore.ieee.org/stamp/stamp.jsp?arnumber=10703057</t>
  </si>
  <si>
    <t>This study explored the neurophysiological and cardiovascular benefits of Reusi Dat Ton, focusing on its effects on frontal lobe brain activity and cardiovascular health. Forty-five participants (21 males, 24 females; mean age: 35.73 years; mean BMI: 23.49; mean MMSE score: 27.00) participated in a 20-minute Reusi Dat Ton session. The session comprised five exercises, each performed five times, with 1-minute rest intervals between sets. Cardiovascular health was assessed using a cardiac health monitor, while a 32-channel EEG cap recorded brain activity during a 5-minute eyes-closed resting state, both before and after the session. The findings revealed that Reusi Dat Ton significantly reduced delta wave (0.5-4 Hz) activity in the frontal lobe ( $p~\lt 0.001$ ) and substantially increased alpha wave (8.5-13 Hz) activity in specific frontal lobe regions ( $p~\lt 0.01$ ). Additionally, beta wave (13.5-30 Hz) activity increased in the frontal lobe ( $p~\lt 0.05$ ), and theta wave (4.5-8 Hz) activity increased in other regions ( $p~\lt 0.05$ ). Reusi Dat Ton contribute to cardiovascular health by lowering the heart rate ( $p~\lt 0.001$ ) and improving arterial elasticity, arterial type, and arterial score. These outcomes are consistent with the positive effects of various yoga practices on the heart rate, blood pressure, heart rate variability, and arterial stiffness. This study highlights the potential of Reusi Dat Ton as a holistic practice to enhance both mental and physical health.</t>
  </si>
  <si>
    <t>Yoga;Reusi Dat Ton;frontal lobe;brain activity;cardiovascular</t>
  </si>
  <si>
    <t>Study 76: Evaluation of EEG headset comfort: user-centred design study
Score: 0
Rationale: Usability/comfort focus of the headset; no cognitive/mental-health target — excluded.</t>
  </si>
  <si>
    <t>W. Park; H. Alsuradi; M. Eid</t>
  </si>
  <si>
    <t>Centroparietal Alpha/Beta Asymmetry in Response to Urgency Elicited by Upper Body Vibration</t>
  </si>
  <si>
    <t>https://ieeexplore.ieee.org/stamp/stamp.jsp?arnumber=10971279</t>
  </si>
  <si>
    <t>Haptic feedback seems effective in conveying information at a desirable level of urgency. There is a growing interest in understanding the neural mechanisms associated with haptic feedback using electroencephalography (EEG) measures. In particular, EEG hemispheric asymmetry is known to be correlated with various cognitive functions such as emotions, stress, anxiety, and attention. The current study aimed to investigate EEG hemispheric asymmetry associated with perceived urgency elicited using vibration feedback on the upper body. A total of 31 participants experienced three vibration patterns designed to elicit three levels of urgency, namely the no vibration pattern (NVP), urgent vibration pattern (UVP), and very urgent vibration pattern (VUVP). In the event-related potential (ERP) analysis, N100, P200, and P300 components were observed under the UVP and VUVP conditions. Notably, these components were absent under the NVP condition. The P200 and P300 ERP components as well as the participants' self-reporting confirmed the two distinguishable levels of perceived urgency (urgent and very urgent). Furthermore, the alpha and beta hemispheric asymmetry in the centroparietal area was significantly higher in the UVP and VUVP conditions as compared to the NVP condition between 500 ms and 2000 ms after the stimulation onset (One-way ANOVA test, Bonferroni correction, p $&lt; $ 0.05). This is the first study to investigate the EEG asymmetry in response to perceived urgency elicited by upper body vibrations. These results suggest that the alpha and beta hemispheric asymmetry in the centroparietal area is a valid feature for detecting urgency elicited by vibrations on the upper body.</t>
  </si>
  <si>
    <t>Haptic interfaces;neural engineering;emotional responses</t>
  </si>
  <si>
    <t>Study 77: Neurofeedback vs sham for improving attention: double-blind RCT
Score: 1
Rationale: Neurofeedback RCT explicitly targets attention (cognitive enhancement) — included.</t>
  </si>
  <si>
    <t>S. Tukaiev; O. Pravda; S. Danylov; V. Komarenko; N. Vysokov; D. Toleukhanov; A. Tarasenko; K. Mashtalerchuk; V. Kravchenko; J. M. A. Ferreira; M. Makarchuk</t>
  </si>
  <si>
    <t>Beneficial Effects of Transcutaneous Auricular Vagus Nerve Stimulation on the Emotional State and Cognitive Functioning: A Pilot Study</t>
  </si>
  <si>
    <t>https://ieeexplore.ieee.org/stamp/stamp.jsp?arnumber=10302704</t>
  </si>
  <si>
    <t>Vagus nerve stimulation as a modern effective neuromodulation method produces therapeutic effects for treating psychiatric disorders, neuralgia, heart failure, and others. Auricular vagus nerve stimulation reduces anxiety, alleviates stress and emotional burnout, and improves cognitive function. The objectives of the current study were to evaluate the effects of transcutaneous auricular vagus nerve stimulation (taVNS) and sham stimulation (SHAM) on emotional state, and emotional burnout and reveal a causal relation between taVNS and a related cognitive function. 6 right-handed male volunteers aged 18–22 years (Mage= 18.00) participated in the taVNS study. 5 right-handed male volunteers aged 18–22 years (Mage= 18.00) participated in SHAM study. We used the combination of pleasant meditative classical music and a slow bi-polar wave (0.1-0.2 Hz) of electrical non-invasive transcutaneous auricular vagus nerve stimulation for 5 minutes. The set of 4 VNS was performed at intervals of 3 days. EEG was registered during the rest state before and after taVNS (3 min, closed eyes condition). To measure the severity of emotional burnout, we used the 22-items Maslach Burnout Inventory (MBI). To determine the development of short-term memory we used 2 computer subtests. taVNS attenuated emotional burnout (the depersonalization and reduction of personal achievements). The results of the test indicate the improving effect of the set of VNS on short-term memory. Changes in the psychoemotional state of the respondents accompanied increases in the ratio of beta /alpha rhythms, the theta-Fz/alpha-Pz ratio that reflects an enhancement of the activation level, and the amount of brain resources involved in processing the perceived information. The observed increase in the power of the alpha rhythm may relate to improving of mental processes and internally oriented attention in creative activities. A higher left frontal activity under the cognitive test points to a positive emotional attitude toward the task. The detected focus of beta, gamma, and theta activities in the vertex (Cz) reflected the effect of taVNS on learning at the level of the sensorimotor cortex. Activation of the right dorsolateral prefrontal cortex reflects the taVNS effects on the attention processes. The increase in the theta activity in the left occipital cortex indicated the involvement of the visual cortex. The obtained data suggest that the taVNS have prolonged beneficial effects on emotional state and stimulating effect on the brain processes, enhancement of the cognitive process.</t>
  </si>
  <si>
    <t>Vagus Nerve Stimulation;Emotional Burnout;Cognition;Short-term Memory;Attention</t>
  </si>
  <si>
    <t>Study 78: BCI-based adaptive interfaces for enhanced learning in MOOCs
Score: 1
Rationale: BCI-based adaptive interfaces aimed at enhanced learning in MOOCs (cognitive enhancement) — included.</t>
  </si>
  <si>
    <t>Sophie Krämer, Laura Müller, Tobias Weber, and Michael Beetz</t>
  </si>
  <si>
    <t>Co-Design and User Evaluation of a Robotic Mental Well-Being Coach to Support University Students’ Public Speaking Anxiety</t>
  </si>
  <si>
    <t>https://dl.acm.org/doi/10.1145/3718084</t>
  </si>
  <si>
    <t>The article “Co-Design and User Evaluation of a Robotic Mental Well-Being Coach to Support University Students’ Public Speaking Anxiety” (2025) presents the development and evaluation of an assistive robot designed to help university students reduce public speaking anxiety. Co-created with students and mental health professionals, the robot provides relaxation, cognitive reframing, and emotional regulation guidance. User studies showed high usability, positive acceptance, and strong potential as a mental health support tool.</t>
  </si>
  <si>
    <t>Mental well-being, Public speaking anxiety, Socially assistive robots, Human–robot interaction (HRI), Cognitive-behavioral support, Co-design, Stress reduction</t>
  </si>
  <si>
    <t>Score: 1
Rationale:
✅ Publication Period (2020–2025): Published in 2025, within the defined range.
✅ Publication Type: Main research article (peer-reviewed, not a review).
✅ Language: English.
✅ Thematic Scope: Focuses on Brain-Computer Interface-related technology (robotic mental well-being coach) applied to mental health, specifically public speaking anxiety, which aligns with the inclusion criteria related to mental health interventions.
✅ Meets Inclusion Criteria: Addresses technology for mental well-being enhancement and stress/anxiety reduction.
❌ No Exclusion Criteria Triggered: It is not a review, not hardware-focused without psychological context, and the full text is available.
Conclusion: The article fully aligns with the systematic review’s inclusion criteria.</t>
  </si>
  <si>
    <t>Score: 0
Rationale: O artigo atende aos critérios de período (Publicação: Junho 2025) , tipo (Artigo Principal, detalhando um estudo de co-design e um estudo de usuário com 50 participantes) , e idioma (Inglês).
No entanto, ele falha em atender ao Critério de Inclusão (IC4 - Escopo Temático). As diretrizes exigem que o estudo utilize "Brain-Computer Interfaces (BCI, BMI, neurofeedback, EEG)". Este artigo foca em "social robots" (robôs sociais) e um "robotic mental well-being coach" (robô coach de bem-estar mental) para tratar a "public speaking anxiety" (ansiedade de falar em público). O resumo não indica o uso de BCI, EEG, ou qualquer tecnologia de interface cérebro-computador, que é um requisito central.</t>
  </si>
  <si>
    <t>Xinyu Hu, Jingwen Li e Phoebe Wong.</t>
  </si>
  <si>
    <t>SoulGarden- A Gamified Meditation Application to Enhance Meditation Habits, Enjoyment, Mindfulness, and Mental Well-Being</t>
  </si>
  <si>
    <t>https://dl.acm.org/doi/10.1145/3748597</t>
  </si>
  <si>
    <t>The article “SoulGarden: A Gamified Meditation Application to Enhance Meditation Habits, Enjoyment, Mindfulness, and Mental Well-Being” (2023) presents the development and testing of a gamified meditation app. The app combines game elements (rewards, visual progress, and challenges) with mindfulness practices to boost engagement and improve mental well-being. Results showed a significant reduction in stress and higher adherence to meditation practices compared to traditional apps.</t>
  </si>
  <si>
    <t>Gamification, Meditation, Mindfulness, Mental health, Mobile application, Stress management, User engagement</t>
  </si>
  <si>
    <t>Score: 1
Rationale:
✅ Publication Period (2020–2025): Published in 2023, within range.
✅ Publication Type: Main empirical study — user testing and evaluation.
✅ Language: English.
✅ Thematic Scope: Directly addresses mental health (stress reduction, mindfulness, emotional well-being).
✅ Relevance: Focuses on digital intervention for mental health, consistent with inclusion criteria.
❌ No Exclusion Criteria Triggered.
Conclusion:
The article fully meets the inclusion criteria — it is an original empirical study addressing mental health and cognitive well-being enhancement through technology.
Final Score: 1</t>
  </si>
  <si>
    <t>Score: 0
Rationale: O artigo atende aos critérios de período de publicação (Outubro 2025) , tipo de publicação (Artigo Principal detalhando um estudo de campo), e idioma (Inglês).
No entanto, ele falha em atender ao Critério de Inclusão (IC4 - Escopo Temático). O estudo foca em um aplicativo de meditação gamificado ("SoulGarden") para melhorar hábitos de meditação, prazer, mindfulness e bem-estar mental, utilizando elementos de gamificação e metáforas visuais. A avaliação utiliza questionários. O resumo, introdução e descrição do sistema não indicam o uso de Interfaces Cérebro-Computador (BCI, BMI, neurofeedback, EEG), que é um requisito central para inclusão. Embora um trabalho relacionado mencionado use EEG, o estudo principal sobre o SoulGarden não utiliza essa tecnologia. Portanto, o artigo está fora do escopo temático definido.</t>
  </si>
  <si>
    <t>Tal Krasovsky, Michal Kafri, Moshe H. Aharoni e Arik Cheshin.</t>
  </si>
  <si>
    <t>Virtual agents for studying the effect of emotional feedback on motor learning- A feasibility study</t>
  </si>
  <si>
    <t>https://dl.acm.org/doi/10.1145/3652988.3673922</t>
  </si>
  <si>
    <t>The article “Virtual Agents for Studying the Effect of Emotional Feedback on Motor Learning: A Feasibility Study” (2024) explores how emotional feedback from virtual agents affects motor learning and engagement. Using EEG and performance data during a virtual archery task, the study found that both positive and negative emotional feedback improved learning outcomes, suggesting that emotionally responsive agents can enhance cognitive and motor training experiences.</t>
  </si>
  <si>
    <t>Virtual agents, Emotional feedback, Motor learning, Cognitive enhancement, EEG, Affective computing, Human–computer interaction (HCI)</t>
  </si>
  <si>
    <t>Score: 1
Rationale:
✅ Publication Period: 2024 — within range (2020–2025).
✅ Publication Type: Main empirical study (not a review).
✅ Language: English.
✅ Thematic Scope: Aligns with cognitive enhancement and neurorehabilitation, investigating emotional-cognitive interactions in learning using EEG and virtual agents.
✅ Relevance: Focuses on how emotional processing and feedback modulate learning and engagement, linking affect regulation, task engagement, and neural activity — directly connected to cognitive enhancement.
❌ No exclusion criteria triggered.
Conclusion:
This paper meets all inclusion criteria and contributes valuable insights into how emotion and cognition interplay in motor learning and neurorehabilitation contexts.
Final Score: 1</t>
  </si>
  <si>
    <t>Score: 0 Rationale: O artigo atende aos critérios de período de publicação (Setembro 2024), tipo (Artigo Principal detalhando um estudo de viabilidade com 60 participantes) e idioma (Inglês).
No entanto, ele falha em atender ao Critério de Inclusão (IC4 - Escopo Temático). O estudo investiga o efeito do feedback emocional de um agente virtual no aprendizado motor (tarefa de arco e flecha virtual). Embora utilize EEG ("electroencephalography") para medir o engajamento na tarefa (um aspecto cognitivo relacionado à atenção/aprendizagem), o foco principal é o aprendizado motor, e não a saúde mental ou o aprimoramento cognitivo/neurológico como aplicação primária do EEG (por exemplo, via neurofeedback ou BCI). O EEG é usado como uma ferramenta de medição do engajamento, e não como a interface ou intervenção central para o aprimoramento cognitivo ou saúde mental. A intervenção principal estudada é o feedback emocional do agente virtual.
Portanto, o artigo atende ao Critério de Exclusão (EC2), pois o estudo não está focado em saúde mental ou aprimoramento cognitivo utilizando BCI/EEG como tecnologia principal de intervenção ou aplicação.</t>
  </si>
  <si>
    <t>Zhang, Jing and Fan, Chunlei and Tao, Ting and Wang, Ligang and Gao, Wenbin</t>
  </si>
  <si>
    <t>A visual analysis based on CiteSpace for Aromatherapy's impact on mental health</t>
  </si>
  <si>
    <t>https://doi.org/10.1145/3703847.3703890</t>
  </si>
  <si>
    <t>Aromatherapy is a kind of sensory therapy. In recent years, it has been applied to the intervention and regulation of cognitive function, emotion management, sleep, pain and other problems, and related studies have increased year by year. With the development of brain science and neuromedicine, the influence mechanism of Aromatherapy has been more revealed. In this paper, CKNI (Knowledge Network) is used as the data source, and CiteSpace 6.3. R1 software is used to conduct text mining on the literature published from 2014 to 2023, and the application scope, research focus, research hotspot and development trend of Aromatherapy are sorted out and visually analyzed.</t>
  </si>
  <si>
    <t>Aromatherapy, Mental health, Visual Analysis</t>
  </si>
  <si>
    <t>Li, Wenxi and Liu, Miao and Han, Jin and An, Xingwei</t>
  </si>
  <si>
    <t>Research on High-Instruction-Set Visual Brain-Computer Interface Based on Eye-Tracking Monitoring</t>
  </si>
  <si>
    <t>https://doi.org/10.1145/3637732.3637786</t>
  </si>
  <si>
    <t>In recent years, visual-based Brain-Computer Interface (BCI) systems have gained significant attention due to their high Information Transfer Rate (ITR). In practical applications, there is a growing demand for large instruction set BCI systems to support more complex commands. However, users may experience fatigue-related issues during prolonged engagement in visual tasks, which negatively impacts the modeling accuracy of BCI systems. To address the issue of signal degradation caused by user subjective intentions that is difficult to detect and process, we propose a method which can monitor user attention and optimizes signal quality in offline data processing. Under the monitor of eye tracker, this method employs Exponentially Weighted Moving Average (EWMA) and Simple Moving Average (SMA) to calculate fixation points, aligns them with the target range, and filters the electroencephalogram (EEG) signals of the current trials. Offline results demonstrate that the average accuracy, after optimizing with EWMA and SMA, is 87.31% and 86.86% respectively, while the average accuracy is 80.81% for the raw signals. This paper demonstrates that monitoring user subjective intention decay can improve the accuracy of offline models and provides a new method for taking user performance into consideration in the development of BCI applications in the future.</t>
  </si>
  <si>
    <t>Amores, Judith</t>
  </si>
  <si>
    <t>The Future of Technology for Cognitive Enhancement and Well-Being: Olfactory Wearables</t>
  </si>
  <si>
    <t>https://doi.org/10.1145/3571297</t>
  </si>
  <si>
    <t>The sense of smell, or olfaction, is probably the most underappreciated and the least understood and exploited in human-computer interaction. However, in the future, wearable devices will not only be able to sense and provide audio-visual cues but will also augment our sense of smell. How will this impact our interaction with technology? Does the future stink?</t>
  </si>
  <si>
    <t>Sharma, Kshitij and Niforatos, Evangelos and Giannakos, Michail and Kostakos, Vassilis</t>
  </si>
  <si>
    <t>Assessing Cognitive Performance Using Physiological and Facial Features: Generalizing across Contexts</t>
  </si>
  <si>
    <t>https://doi.org/10.1145/3411811</t>
  </si>
  <si>
    <t>Sensing and machine learning advances have enabled the unobtrusive measurement of physiological responses and facial expressions so as to estimate one's cognitive performance. This often boils down to mapping the states of the cognitive processes underpinning human cognition: physiological responses (e.g., heart rate) and facial expressions (e.g., frowning) often reflect the states of our cognitive processes. However, it remains unclear whether physiological responses and facial expressions used in one particular task (e.g., gaming) can reliably assess cognitive performance in another task (e.g., coding), because complex and diverse tasks often require varying levels and combinations of cognitive processes. In this paper, we measure the cross-task reliability of physiological and facial responses. Specifically, we assess cognitive performance based on physiological responses and facial expressions for 123 participants in 4 independent studies (3 studies for out-of-sampling training and testing, and 1 study for evaluation only): (1) a Pac-Man game, (2) an adaptive-assessment task, (3) a code-debugging task, and (4) a gaze-based game. We follow an ensemble learning approach after cross-training and cross-testing with all possible combinations of the 3 first datasets. We save the 4th dataset only for testing purposes, and we showcase how to engineer generalizable features that predict cognitive performance. Our results show that the extracted features do generalize, and can reliably predict cognitive performance across a diverse set of cognitive tasks that require different combinations of problem-solving, decision-making, and learning processes for their completion.</t>
  </si>
  <si>
    <t>Adaptive assessment, Cognitive performance, Debugging, Educational technology, Ensemble learning, Feature Generalizability, GARCH, Gaze-contingency, Learning Analytics, MMLA, Multimodal Learning Analytics, Skill-acquisition</t>
  </si>
  <si>
    <t>Lange, Leon and Yenney, Jacob and Wu, Ying Choon</t>
  </si>
  <si>
    <t>Bridging Psychedelic VR and BCI: Enhancing User Experience through Adaptive EEG-Guided Neural Modulation</t>
  </si>
  <si>
    <t>https://doi.org/10.1145/3689050.3705999</t>
  </si>
  <si>
    <t>Virtual reality (VR) and psychedelic experiences share significant phenomenological and therapeutic parallels, both offering immersive environments capable of altering perception and evoking profound emotional responses. This study explores the integration of VR with simulated psychedelic experiences using brain-computer interface (BCI) systems to harness their combined therapeutic potential. By leveraging real-time EEG feedback to dynamically modulate VR content and target the default mode network (DMN), we aim to replicate the cognitive and emotional benefits of psychedelics without the associated risks. Initial findings suggest that adaptive VR can provide tailored experiences that promote unique states of altered consciousness. This proof-of-concept study aims to pave the way for novel therapeutic interventions and enhanced human-computer interaction experiences.</t>
  </si>
  <si>
    <t>Virtual Reality (VR), Digital Psychedelics, EEG, Brain-Computer Interface (BCI), Default Mode Network (DMN), Therapeutic Interventions, Human-Computer Interaction (HCI)</t>
  </si>
  <si>
    <t>Iqbal, Asif and Suhag, Ashok Kumar and Kumar, Neeraj and Bhardwaj, Arpit</t>
  </si>
  <si>
    <t>Use of BCI Systems in the Analysis of EEG Signals for Motor and Speech Imagery Task : A SLR</t>
  </si>
  <si>
    <t>https://doi.org/10.1145/3757732</t>
  </si>
  <si>
    <t>The activity of neurons inside the human brain produces electrical signals that contain frequencies. An electroencephalogram (EEG) system with a noninvasive device can record brain signals directly from the scalp, these signals are called EEG signals. In motor imaging (MI) task the human brain imagines moving a part of the body without any physical movement. Speech imagery (SI) is also a type of MI task in which the subject imagines speaking without moving the vocal organ or any other articulations. In the last two decades, Brain Computer Interface (BCI) system has been developed to analyze SI and MI tasks of human brain aiding in overcoming critical motor non-functionalities. A BCI system involves the collection, pre-processing, selection, extraction of features, and classification of EEG signals. This systematic literature review (SLR) aims to assist researchers in knowing EEG signals, non-invasive EEG devices and analyzing EEG signals by making use of ML models. This survey is divided into four subsections which explain analysis of SI task for imaging of digits, alphabets or word, MI task for visualization of a picture or a video and left-hand right-hand movement. Based on utilizations of number of channels of EEG device, accuracy of classification models is compared.</t>
  </si>
  <si>
    <t>EEG, non-invasive, BCI, motor imagery task, feature extraction, classification</t>
  </si>
  <si>
    <t>Hasana, Maoyejatun and Rahaman, Masfiqur and Abedin, Razin Reaz and Tahmid, Md Toki and Tarin, Ishika and Saha, Sudipa and Tithi, Sutapa Dey and Promi, Zarin Tasnim and Noor, Kazi Abdun and Sanjid, MD Zahidul Islam and Dhrubo, Mahir Shahriar and Akter, Samira and Rahman, Tauhidur and Al Islam, A. B. M. Alim</t>
  </si>
  <si>
    <t>Short Paper: "It’s Too Hot Under the Sun": Unveiling the Impact of Prolonged Heat Exposure on Rickshaw Pullers’ Brainwaves</t>
  </si>
  <si>
    <t>https://doi.org/10.1145/3704522.3704556</t>
  </si>
  <si>
    <t>The changing climate is anticipated to result in more frequent and extended heat waves having catastrophic effects on urban areas. Prolonged exposure to extreme heat is believed to adversely affect both physiological and psychological well-being, particularly for outdoor workers. This study analyzed the effects of hot weather conditions on the brainwaves of rickshaw pullers by examining changes in EEG signals before and after driving rickshaws at different air temperatures and relative humidity levels. We selected six rickshaw pullers as participants for six levels of air temperature (°C) and humidity condition (%) in various outdoor areas in Dhaka city, Bangladesh, while driving rickshaws for a duration of 20 to 30 minutes. The acquired EEG data assists in assessing the effects of heat exposure on cerebral activity. Our statistical analysis shows that there is a positive association between heat stress and the alpha band power of brainwaves.</t>
  </si>
  <si>
    <t>Heat Stress, EEG, Brainwave, Cognitive Performance, Occupational Health, Global Warming</t>
  </si>
  <si>
    <t>Shah, Darshil and K Rao, Akash and Bhavsar, Arnav and Roy Chowdhury, Shubhajit and Chandra, Sushil and Dutt, Varun</t>
  </si>
  <si>
    <t>Does longitudinal, anodal tDCS improve working memory? A behavioral investigation: tDCS and Working Memory</t>
  </si>
  <si>
    <t>https://doi.org/10.1145/3594806.3596592</t>
  </si>
  <si>
    <t>Transcranial direct current stimulation (tDCS) has shown promise for cognitive enhancement, particularly in improving working memory through single-session stimulation of the left dorsolateral prefrontal cortex (lDLPFC). However, the effectiveness of multi-session tDCS protocols for working memory enhancement remains controversial. This study aimed to investigate the effects of a 2mA anodal tDCS protocol over the lDLPFC on the performance of the n-back task and Sternberg Working Memory Task compared to a sham tDCS control group. The study recruited 40 healthy college students who completed the n-back and Sternberg tasks for 5 sessions, with pre-and post- intervention data recorded. In each session, the tDCS group received 20 minutes of 2mA anodal tDCS over the left dorsolateral prefrontal cortex (lDLPFC), while the active control group received sham stimulation. The results showed that both groups improved their task performance over time, with the greatest effects observed in the more complex task conditions. However, there were no significant differences in task performance between the tDCS and sham tDCS groups. These findings suggest that the effects of multi-session tDCS on WM performance may be limited and that daily practice may have a greater impact. Future research should investigate individual differences in tDCS response and the optimal design of multi-session tDCS protocols for cognitive enhancement.</t>
  </si>
  <si>
    <t>cognitive enhancement, transcranial direct current stimulation, working memory</t>
  </si>
  <si>
    <t>Landau, Ofir and Puzis, Rami and Nissim, Nir</t>
  </si>
  <si>
    <t>Mind Your Mind: EEG-Based Brain-Computer Interfaces and Their Security in Cyber Space</t>
  </si>
  <si>
    <t>https://doi.org/10.1145/3372043</t>
  </si>
  <si>
    <t>A brain-computer interface (BCI) system is a system that leverages brainwave information acquired by a designated brain monitoring device to interact with a computerized system. Over the past 40 years, many BCI applications have been developed in a variety of domains, from entertainment to medical field and even to computer security mechanisms. Until now, the development of BCI systems has focused on improving their accuracy, functionality, and ease of use, and not enough effort and attention has been invested in securing these systems and the sensitive data they acquire. In this article, we present the principles of brain activity data acquisition, with a special focus on EEG, and we present a taxonomy of BCI applications and domains. We also provide a comprehensive survey that covers eight possible attacks aimed at BCI systems. For each BCI application, we created an ecosystem and data and attack flow-diagram, which comprehensively describes the roles and interactions of the players associated with the BCI application and presents the most vulnerable vectors and components within its ecosystem; we identified gaps between existing security solutions and the presented attacks and vulnerabilities. Finally, we provide several concrete suggestions for improving the security of BCI systems in cyber-space.</t>
  </si>
  <si>
    <t>Brain-computer interface, EEG, attack, cyber space, detection, privacy, security</t>
  </si>
  <si>
    <t>Kuzmina, Ekaterina and Kriukov, Dmitrii and Lebedev, Mikhail and Dylov, Dmitry V.</t>
  </si>
  <si>
    <t>Neurophysiologically Realistic Environment for Comparing Adaptive Deep Brain Stimulation Algorithms in Parkinson's Disease</t>
  </si>
  <si>
    <t>https://doi.org/10.1145/3711896.3737397</t>
  </si>
  <si>
    <t>Adaptive deep brain stimulation (aDBS) has emerged as a promising treatment for Parkinson's disease (PD). In aDBS, a surgically placed electrode sends dynamically altered stimuli to the brain based on neurophysiological feedback: an invasive gadget that limits the amount of data one could collect for optimizing the control offline. As a consequence, a plethora of synthetic models of PD and those of the control algorithms have been proposed. Herein, we introduce the first neurophysiologically realistic benchmark for comparing said models. Specifically, our methodology covers not only conventional basal ganglia circuit dynamics and pathological oscillations, but also captures 15 previously dismissed physiological attributes, such as signal instabilities and noise, neural drift, electrode conductance changes and individual variability - all modeled as spatially distributed and temporally registered features via beta-band activity in the brain and a feedback. Furthermore, we purposely built our framework as a structured environment for training and evaluating deep reinforcement learning (RL) algorithms, opening new possibilities for optimizing aDBS control strategies and inviting the machine learning community to contribute to the emerging field of intelligent neurostimulation interfaces.Code repository: https://github.com/NevVerVer/DBS-Gym</t>
  </si>
  <si>
    <t>Parkinson's disease, brain computer interface, data generators and environments, deep brain stimulation, reinforcement learning</t>
  </si>
  <si>
    <t>Selvakumaran, Ravi Varman</t>
  </si>
  <si>
    <t>Developing Virtual Reality (VR) Simulations with Embedded User Analytics for Cognitive Rehabilitation in PTSD Veterans</t>
  </si>
  <si>
    <t>https://doi.org/10.1145/3716553.3750826</t>
  </si>
  <si>
    <t>This doctoral research develops and evaluates a hybrid Virtual Reality (VR) therapy platform that integrates trauma-focused exposure therapy with posture-adaptive cognitive rehabilitation, tailored for Australian veterans and first responders diagnosed with PTSD. Building on the clinically validated Bravemind VR Exposure Therapy (VRET) system, the project localizes therapeutic content for cultural relevance and emotional safety. It also incorporates the Virtual Human Benchmark (VHB), a posture-adaptive VR game developed by a team of researchers, to enhance cognitive performance and engagement through gamified training. The three-study research design includes (1) adaptation and pilot testing of Bravemind, (2) validation of the VHB system with biometric integration, and (3) development of an AI-driven hybrid platform with dynamic scenario generation and user analytics. Early results from general population testing on VHB demonstrate efficacy in embodied cognitive-motor training and safe physiological regulation. This research is the first to integrate culturally adapted VRET with embodied cognitive rehabilitation in a unified, AI-personalized platform for PTSD. Positioned at the intersection of trauma therapy, human-computer interaction, and precision mental health, it aims to deliver a scalable, personalized, and ethically grounded intervention for PTSD rehabilitation and specialist training.</t>
  </si>
  <si>
    <t>Post-traumatic stress disorder; Virtual reality exposure therapy; Bravemind; Cognitive rehabilitation; Embodied cognition</t>
  </si>
  <si>
    <t>Han, Yong and Ouyang, Wumin and Wang, Shuaiyin and Liu, Junhan and Song, Wu and Du, Hemin</t>
  </si>
  <si>
    <t>Efficacy of Alpha Wave Music Combined with Mindfulness Intervention in Alleviating Mental Fatigue in College Students: Synergetic Evidence Based on EEG and Subjective Scales</t>
  </si>
  <si>
    <t>https://doi.org/10.1145/3756580.3756659</t>
  </si>
  <si>
    <t>Mental fatigue, a state of exhaustion induced by prolonged cognitive activity, negatively impacts students' learning efficiency and academic performance, while also posing potential threats to their mental health and long-term development. This study aims to evaluate the effectiveness of alpha wave music combined with mindfulness intervention in alleviating mental fatigue among university students, using both electroencephalography (EEG) and self-report scales. Twenty-one undergraduate students (aged 18–24, M = 21.4) participated in a four-session crossover experiment involving four conditions: no intervention, alpha wave music only, initial combined intervention, and repeated combined intervention. Mental fatigue was induced using a GO/NOGO task. EEG data were recorded using a 64-channel system, and subjective fatigue levels were assessed using the Brief Fatigue Inventory (BFI) and the Chalder Fatigue Scale-14 (Fatigue-14). Results from the subjective scales showed that the combined intervention significantly reduced fatigue compared to single interventions (p &amp;lt; 0.05), with repeated combined interventions yielding the most pronounced effect (i.e., the smallest fatigue rebound in the fourth session). EEG analysis indicated that participants in the combined intervention group exhibited a significantly greater increase in relative alpha power and a greater decrease in beta power compared to the control group. The high degree of consistency between subjective and objective findings suggests that the combined intervention of alpha wave music and mindfulness can effectively alleviate mental fatigue in university students by modulating brain activity. These findings provide dual-modal scientific evidence supporting non-pharmacological interventions for mental fatigue.</t>
  </si>
  <si>
    <t>Alpha Wave Music, Electroencephalography (EEG), Mental Fatigue, Mindfulness Intervention, Subjective Fatigue Scales</t>
  </si>
  <si>
    <t>Patan\`{e</t>
  </si>
  <si>
    <t>Continual Learning Strategies for Personalized Mental Well-being Monitoring from Mobile Sensing Data</t>
  </si>
  <si>
    <t>https://doi.org/10.1145/3746259.3760432</t>
  </si>
  <si>
    <t>Automatic prediction of psychological stress using mobile sensing data is critical for developing personalized mental health monitoring tools. Traditional approaches typically train static models offline, limiting their applicability in real-world scenarios characterized by evolving user behaviors and data streams. To address these challenges, we formulate stress prediction as a continual learning (CL) regression task, where each user constitutes a distinct sequential task. Within this framework, we evaluate two adaptation strategies: (1) a replay-based approach, leveraging recurrent neural networks combined with an episodic memory buffer; and (2) a prompt-based method, where task-specific prompts are jointly trained with a transformer backbone and combined with the memory buffer to enable task-aware adaptation across users. Experiments conducted on a filtered subset of the StudentLife dataset, comprising multimodal behavioral and contextual data, demonstrate that prompt-based methods achieve competitive predictive performance. Our results underline the potential of continual learning paradigms to enable scalable and adaptive stress prediction systems.</t>
  </si>
  <si>
    <t>stress prediction, continual learning, mobile sensing, prompt tuning</t>
  </si>
  <si>
    <t>K Rao, Akash and K Menon, Vishnu and Shah, Darshil and Bhavsar, Arnav and Dutt, Varun</t>
  </si>
  <si>
    <t>Prediction of multitasking performance post-longitudinal tDCS via EEG-based functional connectivity and machine learning methods</t>
  </si>
  <si>
    <t>https://doi.org/10.1145/3652037.3663923</t>
  </si>
  <si>
    <t>Predicting and understanding the changes in cognitive performance, especially after a longitudinal intervention, is a fundamental goal in neuroscience. Longitudinal brain stimulation-based interventions like transcranial direct current stimulation (tDCS) induce short-term changes in the resting membrane potential and influence cognitive processes. However, very little research has been conducted on predicting these changes in cognitive performance post-intervention. In this research, we intend to address this gap in the literature by employing different EEG-based functional connectivity analyses and machine learning algorithms to predict changes in cognitive performance in a complex multitasking task. Forty subjects were divided into experimental and active-control conditions. On Day 1, all subjects executed a multitasking task with simultaneous 32-channel EEG being acquired. From Day 2 to Day 7, subjects in the experimental condition undertook 15 minutes of 2mA anodal tDCS stimulation during task training. Subjects in the active-control condition undertook 15 minutes of sham stimulation during task training. On Day 10, all subjects again executed the multitasking task with EEG acquisition. Source-level functional connectivity metrics, namely phase lag index and directed transfer function, were extracted from the EEG data on Day 1 and Day 10. Various machine learning models were employed to predict changes in cognitive performance. Results revealed that the multi-layer perceptron and directed transfer function recorded a cross-validation training RMSE of 5.11% and a test RMSE of 4.97%. We discuss the implications of our results in developing real-time cognitive state assessors for accurately predicting cognitive performance in dynamic and complex tasks post-tDCS intervention.</t>
  </si>
  <si>
    <t>Semertzidis, Nathan and Zambetta, Fabio and Mueller, Florian “Floyd”</t>
  </si>
  <si>
    <t>Brain-Computer Integration: A Framework for the Design of Brain-Computer Interfaces from an Integrations Perspective</t>
  </si>
  <si>
    <t>https://doi.org/10.1145/3603621</t>
  </si>
  <si>
    <t>Brain-computer interface (BCI) systems hold the potential to foster human flourishing and self-actualization. However, we believe contemporary BCI system design approaches unnecessarily limit these potentialities as they are approached from a traditional interaction perspective, producing command-response experiences. This article proposes to go beyond “interaction” and toward a paradigm of human-computer integration. The potential of this paradigm is demonstrated through three prototypes: Inter-Dream, a system that integrates with the brain's autonomic physiological processes to drive users toward healthy sleep states; Neo-Noumena, a system that integrates with the user's affective neurophysiology to augment the interpersonal communication of emotion; and PsiNet, a system that integrates interpersonal brain activity to amplify human connection. Studies of these prototypes demonstrate the benefits of the integration paradigm in realizing the multifaceted benefits of BCI systems, and this work presents the brain-computer integration framework to help guide designers of future BCI integrations.</t>
  </si>
  <si>
    <t>Brain-computer interfaces, human-computer integration, EEG</t>
  </si>
  <si>
    <t>Whitmore, Nathan W and Chan, Samantha and Zhang, Jingru and Chwalek, Patrick and Chin, Sam and Maes, Pattie</t>
  </si>
  <si>
    <t>Improving Attention Using Wearables via Haptic and Multimodal Rhythmic Stimuli</t>
  </si>
  <si>
    <t>https://doi.org/10.1145/3613904.3642256</t>
  </si>
  <si>
    <t>Rhythmic light, sound and haptic stimuli can improve cognition through neural entrainment and by modifying autonomic nervous system function. However, the effects and user experience of using wearables for inducing such rhythmic stimuli have been under-investigated. We conducted a study with 20 participants to understand the effects of rhythmic stimulation wearables on attention. We found that combined sound and light stimuli from a glasses device provided the strongest improvement to attention but were the least usable and socially acceptable. Haptic vibration stimuli from a wristband also improved attention and were the most usable and socially acceptable. Our field study (N=12) with haptic stimuli from a smartwatch showed that such systems can be easy to use and were used frequently in a range of contexts but more exploration is needed to improve the comfort. Our work contributes to developing future wearables to support attention and cognition.</t>
  </si>
  <si>
    <t>attention, attention enhancement, audio-visual entrainment, brainwave entrainment, cognitive enhancement, cognitive psychology, entrainment, field study, haptics, neuroscience, smartwatch, sustained attention to response task, user study</t>
  </si>
  <si>
    <t>Xiao, Meng and Zhong, Shasha and Xu, Yandan and Zhang, Minglei and Wang, Xiaofan</t>
  </si>
  <si>
    <t>Integration of EEG signal features for diagnosing alcohol use disorders</t>
  </si>
  <si>
    <t>https://doi.org/10.1145/3706890.3707030</t>
  </si>
  <si>
    <t>Alcohol Use Disorder (AUD) is a significant mental health issue affecting both individuals and society. Analyzing EEG signals has proven valuable in diagnosing AUD. This study combines machine learning algorithms with EEG data to diagnose AUD.We analyzed EEG signals from AUD patients before and after treatment, along with a healthy control group. Features like Lempel-Ziv complexity, maximum Lyapunov index, and Higuchi fractal dimension were extracted. These were processed and classified using algorithms such as support vector machine, random forest, and logistic regression. In the study of AUD patients before and after treatment, the highest average AUC of 0.7145 was achieved using a random forest model. In the comparison between pre-treatment AUD patients and healthy controls, the highest average AUC of 0.8373 was observed using the same model. The classification of pre-treatment AUD patients versus healthy controls outperformed that of pre- versus post-treatment data. The most impactful electrodes were F3-A1 (left frontal lobe) and O1-A1 (left occipital lobe), providing new insights into AUD diagnostic techniques.</t>
  </si>
  <si>
    <t>EEG signal, alcohol use disorder, feature fusion, machine learning</t>
  </si>
  <si>
    <t>Lin, Xiangbin and Kong, Weizhuang and Li, Jianxiu and Shao, Xuexiao and Jiang, Changting and Yu, Ruilan and Li, Xiaowei and Hu, Bin</t>
  </si>
  <si>
    <t>Aberrant Static and Dynamic Functional Brain Network in Depression Based on EEG Source Localization</t>
  </si>
  <si>
    <t>https://doi.org/10.1109/TCBB.2022.3222592</t>
  </si>
  <si>
    <t>Objective. Depression is accompanied by abnormalities in large-scale functional brain networks. This paper combined static and dynamic methods to analyze the abnormal topology and changes of functional connectivity network (FCN) of depression. Methods. We collected resting-state EEG recordings from 27 depressed subjects and 28 normal subjects, then obtained 68 regions of interests (ROIs) by source localization. We took ROIs as the nodes and correlations as the edges to build FCNs and analyzed static network based on graph theory. We used a sliding window method followed by k-means clustering, states analyses and trend analysis of network metrics over time to study dynamic connectivity. Results. The clustering coefficient (CC) and local efficiency in depression were increased, the characteristic path length and global efficiency were decreased, and local metrics had different manifestations in different resting state networks (RSNs); Depression had reduced connectivity in most RSNs, but increased connectivity in the default mode network, and there was a decoupling phenomenon between different RSNs; Depressed patients spent more time in sparsely connected states, their FCN's flexibility was less than normal subjects; The trend of CC over time was opposite between two groups. Most metrics in normal showed a relatively stronger correlation with time. Significance. Our research may provide a deeper understanding of neurophysiological mechanisms of depression and new biomarkers for clinical diagnosis of depression.</t>
  </si>
  <si>
    <t>Ameta, Durgesh and Garg, Ankita and Kumar, Parveen and Behera, Laxmidhar and Dutt, Varun</t>
  </si>
  <si>
    <t>Evaluating the Effectiveness of Mantra Meditation in a 360 Virtual Reality Environment</t>
  </si>
  <si>
    <t>https://doi.org/10.1145/3594806.3596587</t>
  </si>
  <si>
    <t>Exercises like meditation assist people in developing their focus, awareness, and emotional stability. Virtual reality (VR) may help meditation practitioners as they frequently struggle to focus or concentrate for various reasons. Of many such studies exploring the usability of VR for meditation, none has tested VR on Audible mantram repetition (AuMR). We recruited ten subjects to perform a ten-minute mantram meditation task. During meditation, practitioners observe an immersive 360 virtual reality (VR) environment. The heart rate variability (HRV) and electroencephalogram (EEG) signals, as well as administered questionnaires (DASS-21, PANAS, and MEDEQ) and psychometric tests (N-back and Stroop task), were measured before and after the meditation to assess changes in the subject’s mental state and cognitive abilities. The results indicated a significant difference in all HRV parameters, increased frontal and temporal theta power of EEG signals, higher accuracy of the aforementioned psychometric tests, and decreased psychological aspects such as stress, anxiety, and depression. Therefore, it can be concluded that there is a positive change in the participants’ overall mental state and cognitive abilities following meditation in a virtual environment. We discuss the implications of using mantra meditation as a cognitive enhancement.</t>
  </si>
  <si>
    <t>360 Virtual reality, human-computer interface, mantra meditation, physiological signals</t>
  </si>
  <si>
    <t>Bolzan, Willian and Farias, Kleinner</t>
  </si>
  <si>
    <t>Investigating EEG Microstate Analysis in Cognitive Software Engineering Tasks: A Systematic Mapping Study and Taxonomy</t>
  </si>
  <si>
    <t>https://doi.org/10.1145/3742899</t>
  </si>
  <si>
    <t>Performing software engineering (SE) tasks requires the activation of software developers’ brain neural networks. Electroencephalography (EEG) microstate analysis emerges as a promising neurophysiological method to investigate the spatiotemporal dynamics of brain networks at high temporal resolution. An EEG microstate represents a unique topography of electric potentials over the multichannel EEG records. However, academia has neglected classifying published studies on EEG microstate analysis related to SE. Hence, a careful understanding of state-of-the-art studies remains limited and inconclusive. This article aims at classifying studies on the EEG microstate analysis in cognitive SE tasks. We conducted a systematic mapping study following well-established guidelines to answer ten research questions. After careful filtering, 54 primary studies (out of 1.545) were selected from 8 electronic databases. The main results are that most primary studies focus on revealing brain dynamics, exploring a wide range of EEG microstate application contexts and experimental tasks, running empirical studies in a controlled environment, using K-means as a clustering method, applying ICA-based strategy to filter artifacts, such as muscle activity and eye blinks. However, No study has applied EEG microstate analysis to SE, highlighting a significant gap and the need for further research. Finally, this article presents a classification taxonomy and identifies critical challenges and future research directions.</t>
  </si>
  <si>
    <t>EEG microstates, cognitive task</t>
  </si>
  <si>
    <t>Kallio, Johanna and Vildjiounaite, Elena and Tervonen, Jaakko and Bordallo L\'{o</t>
  </si>
  <si>
    <t>A Survey on Sensor-Based Techniques for Continuous Stress Monitoring in Knowledge Work Environments</t>
  </si>
  <si>
    <t>https://doi.org/10.1145/3720551</t>
  </si>
  <si>
    <t>Prolonged work stress has an extensive negative impact on modern society. Recently, it has become an increasing issue, specifically in cognitively demanding knowledge-intensive professions. To address the global necessity of timely detection and reduction of work stress, sensor-based automated methods for measuring stress are emerging. Physiological and behavioral sensor data enable the potential for continuous stress detection, but challenges still exist concerning the effort required from the user and the sufficiency of available information, especially for models that want to adapt to personal traits and stress perceptions. This survey paper focuses on sensor-based stress recognition enabling continuous unobtrusive stress monitoring in the knowledge work environment, with a user acceptance and load suitable for sustainable long-term adoption. We provide an overview of the theoretical background of work stress and review the recent developments of sensor-based stress assessment, emphasizing real-world studies using physiological, behavioral, and environmental data. In addition, we discuss the applicability and challenges of different monitoring methods, including user acceptance. The presented survey provides insights into automating the assessment of work stress and related factors to advance the development of personalized well-being solutions based on pervasive data.</t>
  </si>
  <si>
    <t>Work stress, Automatic detection, Unobtrusive sensors, User acceptance</t>
  </si>
  <si>
    <t>van den Berg, Merel K. N. and Karahano\u{g</t>
  </si>
  <si>
    <t>Facilitators and Barriers of Wearable Stress Management Technology: A Narrative Review of User Perspectives</t>
  </si>
  <si>
    <t>https://doi.org/10.1145/3706598.3713802</t>
  </si>
  <si>
    <t>Research and technological advancements have driven the development of wearable technology for stress management. Previous reviews primarily focused on its performance and effectiveness in health contexts. In contrast, this review takes a human-centric approach and reviews studies on users’ attitudes and experiences. We conducted a narrative review to identify (1) the facilitators and barriers of wearable stress management technology (WSMT) and (2) design considerations for human-centered WSMT. We identified 28 articles reporting user perspectives on stress management technology, primarily based on evaluation studies in which user perspectives were gathered through qualitative methods. We found five facilitators and barriers of WSMT (i.e., usefulness, functionality/interactivity, seamlessness, user privacy, and technology's image). Additionally, we synthesized 18 design considerations, highlighted two main design challenges, and proposed a value-sensitive approach for future research. This review adds to the HCI literature by demonstrating the complexity of designing human-centered WSMT and the need for actionable recommendations.</t>
  </si>
  <si>
    <t>Narrative Review, Stress Monitoring and Management, User Experience, Wearable Technology</t>
  </si>
  <si>
    <t>You, Chuang-Wen and Chen, Hsin-Ai and Chen, Pin-Chieh and Lai, Wen-Ni and Yuan, Chien Wen (Tina) and Bi, Nanyi</t>
  </si>
  <si>
    <t>Toward Understanding the Impact of Visualized Focus Levels in Virtual Reality on User Presence and Experience</t>
  </si>
  <si>
    <t>https://doi.org/10.1145/3676527</t>
  </si>
  <si>
    <t>Neurofeedback refers to the process of feeding a sensory representation of brain activity back to users in real time to improve a particular brain function, e.g., their focus and/or attention on a particular task. This study addressed the notable lack of research on methods used to visualize EEG data and their effects on the immersive quality of VR. We developed an algorithm to quantify focus, yielding a focus score. A pre-study with twenty participants confirmed its effectiveness in distinguishing between focused and relaxed mental states. Subsequently, we used this focus score to prototype a VR experience system visualizing the focus score in preconfigured manners, which was utilized in an exploratory study to assess the impact of different neurofeedback visualization methods on user engagement and focus in VR. Among all the visualization methods evaluated, the environmental scheme stood out due to its superior usability during task execution, its ability to evoke positive emotions through the visualization of objects or scenes, and its minimal deviation from user expectations. Additionally, we explored design guidelines based on collected results for future research to further refine the visualization scheme, ensuring effective integration of the focus score within the VR environment. These enhancements are crucial for designing neurofeedback visualization schemes that aim to boost participant focus in VR settings, offering significant insights into the optimization of such technologies.</t>
  </si>
  <si>
    <t>focus score, neurofeedback, virtual reality, visualization</t>
  </si>
  <si>
    <t>Li, Zengrui and Shi, Di and Gao, Qijun and Chen, Yichen and Wang, Nanyi and Ren, Xipei</t>
  </si>
  <si>
    <t>Effects of Information Widgets on Time Perception during Mentally Demanding Tasks</t>
  </si>
  <si>
    <t>https://doi.org/10.1145/3706598.3713270</t>
  </si>
  <si>
    <t>This article examined how different time and task management information widgets affect time perception across modalities. In mentally demanding office environments, effective countdown representations are crucial for enhancing temporal awareness and productivity. We developed TickSens, a set of information widgets with different modalities, and conducted a within-subjects experiment with 30 participants to evaluate the five types of time perception modes: visual, auditory, haptic, as well as the blank and the timer modes. Our assessment focused on the technology acceptance, cognitive performance and emotional responses. Results indicated that compared to the blank and the timer modes, the use of modalities significantly improved the cognitive performance and positive emotional responses, and was better received by participants. The visual mode had the best task performance, while the auditory feedback was effective in boosting focus and the haptic mode significantly enhances user acceptance. The study revealed varied user preferences that enlightened the integration of these widgets into office.</t>
  </si>
  <si>
    <t>Gong, Bowen and Shi, Ting and Qu, Yi and Zhou, Hanchu and Gong, Anmin</t>
  </si>
  <si>
    <t>Effects of audio-visually restricted environments on shooters: A combined linear and nonlinear feature analysis of an EEG study</t>
  </si>
  <si>
    <t>https://doi.org/10.1145/3745034.3745039</t>
  </si>
  <si>
    <t>In order to explore the effects of audio-visually restricted environments on the shooters' shooting preparation phase and the brain's adaptation mechanisms to sensory limitations, the present study captured shooting performance and EEG signals from 30 skilled shooters in normal, low-light, and noise environments. In this study, linear and nonlinear methods and statistical methods of repeated measure ANOVA were used to explore the visual-auditory restricted brain state. The experimental results show a trend in brain complexity, which is consistent with the “neural efficiency” hypothesis. In the visually constrained condition, the level of complexity of the shooter's brain was higher, with a decrease in the Theta band power ratio and an increase in the Alpha and Beta band power ratios. There were no significant differences in complexity and Alpha band power ratio in the hearing-limited condition, with a decrease in power share in the Theta band and an increase in the Beta band. Research has found that the brain adjusts cognitive resources and motor control to compensate after visual stimulation. Noise stimulation activates more brain regions and enhances connectivity, but brings negative emotions. The brain adapts to noise by enhancing signal detection and suppressing irrelevant information. Visual distractions had a greater effect on shooting behavior than auditory distractions. The research provides new insights into the brain's adaptation to complex environment.</t>
  </si>
  <si>
    <t>Electroencephalogram, Nonlinear analysis, Sample entropy, Shooting motion</t>
  </si>
  <si>
    <t>Liu, Lingjiao and Chen, Zhencai</t>
  </si>
  <si>
    <t>The Application of Closed-loop Brain Training: Near-infrared Spectroscopy (NIRS) Neurofeedback</t>
  </si>
  <si>
    <t>https://doi.org/10.1145/3500931.3500978</t>
  </si>
  <si>
    <t>Neurofeedback is a type of biofeedback that measures neural activity and presents visual, auditory, or other manifestations of this activity to participants in real time to facilitate self-regulation of putative neural substrates that underlie specific behaviors or pathologies. The biological basis of neurofeedback is based on the specificity and plasticity of nerves in the brain. Functional NIRS enables a noninvasive, potentially portable, safe, and low-cost method for direct and indirect monitoring of brain activity over a longer period of time. This makes the design more ecologically valid. There are still many f NIRS neurofeedback experiments at the conception stage, and these studies are ready to fully exploit the advantages of f NIRS ecognized portability to plan neurofeedback training in better transfar situations. Long term effects of neurofeedback on neuroplasticity and behavior, as well as its positive and negative side effects. The range of neural circuits that can be regulated in neural feedback, from connectivity between single cells and regions to multivariate patterns, is unparalleled in neuroscience and will continue to provide new ways of understanding brain behavior relationships. To analyze from the above, f NIRS neurofeedback training showed a arguable effect in neuroplasticity during the learning of new skills. A follow-up study of f NIRS neurofeedback training showed that participants did not engage in training after a period of time but could still observe a change in behavioral effects or could still modulate brain activity[2]. Especially in long-range learning migration, the effect of neural feedback training is better.</t>
  </si>
  <si>
    <t>Closed-loop Brain Training, Functional NIRS Neurofeedback, Individual utility, Real-time system</t>
  </si>
  <si>
    <t>Kosmyna, Nataliya and Gross, Alexandra and Maes, Pattie</t>
  </si>
  <si>
    <t>"The thinking cap 2.0": preliminary study on fostering growth mindset of children by means of electroencephalography and perceived magic using artifacts from fictional sci-fi universes</t>
  </si>
  <si>
    <t>https://doi.org/10.1145/3392063.3394424</t>
  </si>
  <si>
    <t>Interventions aimed at promoting a growth mindset in children range from teaching about the brain's ability to change to playing computer games. In this work, we explore a novel approach to foster a growth mindset by means of interaction with a "magic hat" system which consists of using objects from sci-fi and pop-cultural references like Avengers or Star Wars. The artifacts are "enhanced" with embedded Electroencephalography (EEG) electrodes. In an initialization phase, the "magic hat" uses established Brain-Computer Interface algorithms to recognize certain mental processes of the child and the child is then able to use their brain signals to control a robot. We report on an experiment that validates the system with children who were asked to solve math problems. We evaluated their mindset before and after use of the system. In comparison with a control group, the children who used the system self-reported having a stronger growth mindset.</t>
  </si>
  <si>
    <t>EEG, brain-computer interfaces, magic, mindset, pop-culture</t>
  </si>
  <si>
    <t>Li, Yashuang and Yang, Lin and Hao, Dongmei and Li, Guangfei</t>
  </si>
  <si>
    <t>Inferior temporal cortical connectivities during loss processing contribute to sleep deficits and perceived stress</t>
  </si>
  <si>
    <t>https://doi.org/10.1145/3644116.3644219</t>
  </si>
  <si>
    <t>Sleep deficits is associated with impaired cognitive and affective processes, including responses to salient stimuli. Monetary win and loss are both salient. We examined how sleep deficits and comorbid negative emotional states are associated with neural markers of win and loss processing. We curated the Human Connectome Project data and employed connectome-based predictive model (CPM) to investigate how functional connectivity (FC) features of win and loss processing associated with sleep deficits, as reflected in the Pittsburgh Sleep Quality Index (PSQI) score, and subjective emotional states in 981 young adults. Imaging data were processed with published routines and evaluated with a corrected threshold. We examined the inter-relationship amongst win/loss FC, PSQI score, and clinical measures with mediation and path analyses. Poorer sleep quality is associated with higher right inferior temporal gyrus connectivity with amygdala (rITG-rAmyg) and lower connectivity with cerebellum (rITG-CBL) during monetary loss but not win. Both rITG FCs and PSQI score were significantly correlated with perceived stress. Further, mediation and path analyses showed that rITG-rAmyg and rITG-CBL antagonistically modulate PSQI to regulate perceived stress. Poorer sleep quality was associated with higher rITG-rAmyg and lower rITG-CBL during monetary loss. Notably, altered rITG-rAmyg and rITG-CBL antagonistically modulated sleep quality via their opposing influences on perceived stress. Thus, rIGT FCs exhibit functional antagonism such that the rITG-rAmyg connectivity worse sleep quality and perceived stress whereas the rITG-CBL serves to counter that effect.</t>
  </si>
  <si>
    <t>Chowdhury, Tasnim Irtifa and Vargo, Andrew and Tag, Benjamin and Nishitomi, Ryunosuke and Kise, Koichi</t>
  </si>
  <si>
    <t>Exploring the Feasibility of a Repeated Mobile One-Minute PVT In-the-Wild</t>
  </si>
  <si>
    <t>https://doi.org/10.1145/3640471.3680235</t>
  </si>
  <si>
    <t>Researchers have established that quality sleep is important for cognitive functions. Now that consumer-grade wearables can provide accurate measurements of sleep quality, we should be able to inform individuals about how their sleep impacts cognitive functions. However, as our internal clock follows cycles of alertness and sleepiness, it is still necessary to identify at what time of day the sleep quality impacts cognitive performance. In this study, we investigated the relationship between sleep stages and psychomotor vigilance using a 1-minute Psychomotor Vigilance Task (PVT) test. Participants wore a sleep-tracking device and performed the PVT test six times daily for three weeks. The results suggest that increased Rapid Eye Movement (REM) sleep duration led to better performance after lunch. Additionally, we developed a model to predict average response time based on the sleep data. The results show a promising step towards giving tangible meaning to sleep data.</t>
  </si>
  <si>
    <t>in-the-wild, physiological sensing, sleep, wearables</t>
  </si>
  <si>
    <t>Wei\ss{</t>
  </si>
  <si>
    <t>Don’t Panic! - Influence of Virtual Stressor Representations from the ICU Context on Perceived Stress Levels</t>
  </si>
  <si>
    <t>https://doi.org/10.1145/3544548.3581189</t>
  </si>
  <si>
    <t>Intensive care nurses are prone to suffering from chronic stress due to constant exposure to two main profession-related stressors: interruption and time pressure. These stressors have detrimental effects on the well-being of the nursing staff and, by proxy, the patients. To alleviate stress, increase safety, and support the training of stressful scenarios, we investigate the impact these stressors have on subjective and objective stress levels in a virtual environment. We designed an intensive care unit in which participants (n=26, 18 healthcare professionals) perform common tasks, e.g. refilling an infusion pump, whilst being exposed to interruptions and time pressure. Results from our between-subjects study provide data indicating stress increase in both stressor conditions, suggesting that artificially evoking work-related stressors for stress inoculation training (SIT) is a possible extension to simulation training during nursing education. This knowledge is helpful for designing training scenarios of safety-critical situations early in the professional apprenticeship.</t>
  </si>
  <si>
    <t>Nursing, Stress, Virtual Reality</t>
  </si>
  <si>
    <t>Chiossi, Francesco and Ou, Changkun and Mayer, Sven</t>
  </si>
  <si>
    <t>Optimizing Visual Complexity for Physiologically-Adaptive VR Systems: Evaluating a Multimodal Dataset using EDA, ECG and EEG Features</t>
  </si>
  <si>
    <t>https://doi.org/10.1145/3656650.3656657</t>
  </si>
  <si>
    <t>Physiologically-adaptive Virtual Reality systems dynamically adjust virtual content based on users’ physiological signals to enhance interaction and achieve specific goals. However, as different users’ cognitive states may underlie multivariate physiological patterns, adaptive systems necessitate a multimodal evaluation to investigate the relationship between input physiological features and target states for efficient user modeling. Here, we investigated a multimodal dataset (EEG, ECG, and EDA) while interacting with two different adaptive systems adjusting the environmental visual complexity based on EDA. Increased visual complexity led to increased alpha power and alpha-theta ratio, reflecting increased mental fatigue and workload. At the same time, EDA exhibited distinct dynamics with increased tonic and phasic components. Integrating multimodal physiological measures for adaptation evaluation enlarges our understanding of the impact of system adaptation on users’ physiology and allows us to account for it and improve adaptive system design and optimization algorithms.</t>
  </si>
  <si>
    <t>Adaptive Systems, Physiological Computing, Virtual Reality, Visual Complexity</t>
  </si>
  <si>
    <t>Nasiri, Nahid and Isbister, Katherine and Schweitzer, Julie B and Borden, Jared and Cottrell, Peter S and Shapiro, Daniel Goodman</t>
  </si>
  <si>
    <t>Extracting the Affective Content of Fidgeting in Adults with ADHD via Machine Learning and a Hand-held Soft Tangible Device</t>
  </si>
  <si>
    <t>https://doi.org/10.1145/3613905.3650856</t>
  </si>
  <si>
    <t>This paper examines the task of extracting affect from the fidgeting behavior of adults with Attention Deficit/Hyperactivity Disorder (ADHD) engaged in emotional self-regulation experiments. We describe a fidgeting appliance developed to capture a tactile signal from spontaneous hand fidgeting, clarify its affordances, and present machine learning methods for processing this data. We show that hand-fidgeting carries a strong affective signal by recognizing the affective state produced by emotion-inducing videos and predicting self-assessed measures of anxiety and anxiety management collected after a standardized stress test. We conclude by discussing the potential impact of practical methods for data collection and analysis of fidgeting behavior on ADHD detection and management.</t>
  </si>
  <si>
    <t>ADHD, Affective content, emotional self-regulation, fidgeting behaviors, machine learning, tactile signals, touch</t>
  </si>
  <si>
    <t>Squire, Kurt and Wells, Garrison and Anderson-Coto, Maria J. and Steinkuehler, Constance</t>
  </si>
  <si>
    <t>Casual Games, Cognition, and Play across the Lifespan: A Critical Synthesis</t>
  </si>
  <si>
    <t>https://doi.org/10.1145/3594534</t>
  </si>
  <si>
    <t>Games, including video games have long been associated with both rhetorics of progress and frivolity, simultaneously recruiting efforts to employ games toward furthering cognitive skills, while also eliciting concerns about the decadence of players. Casual games, defined as games with a low barrier to entry and quick play sessions often focus on cognitively-oriented challenges and are perceived by many players to promote cognitive, social, and emotional benefits. Research on the cognitive, social, and emotional impact of casual games now spans games marketed as entertainment, “brain games,” and digital therapeutics; despite these games sharing similar qualities, the bodies of research literature on them remains largely distinct. This review finds little support for the cognitive benefits of playing casual games, with exception of the elderly or those with dementia. This research synthesis finds evidence for the social and emotional benefits of casual games when they are sought for these purposes, played mindfully, and within robust social contexts. However, the same games, when played in different contexts can have negative consequences, consistent with findings from the mindset literature more broadly. Researchers thus should take seriously the context of game play, perhaps treating the emergent phenomena of play as the unit of analysis, rather than the media artifact.</t>
  </si>
  <si>
    <t>Casual games, well being</t>
  </si>
  <si>
    <t>Li, Xiaoyuan and Liu, Qiang and Wang, Zhenlong and Liu, Yun and Chen, Yamin and Wu, Peng</t>
  </si>
  <si>
    <t>Effect of Electrical Foot Shock on Symbol Pattern Recognition in Fear Stress Model Long-Evans Rats</t>
  </si>
  <si>
    <t>https://doi.org/10.1145/3397391.3397432</t>
  </si>
  <si>
    <t>Fear memory is a defensive emotional process that has important adaptive significance in animals and humans. To explore the effect of fear stress on visual-cognitive ability, we used electrical foot shock (EFS), with different degrees of intensity, as a stress stimulation to establish a fear stress model in Long--Evans (LE) rats (control group N, mild fear stress group S, intense fear stress group S+, n=4 per group). Using visual-cognitive and cognitive-decision experiments, we then analyzed the visual--cognitive effects thereof on rats using recognition of a graphic symbol. The time required for visual--cognitive training in the fear stress groups S and S+ was significantly longer than that in the control group N (P &amp;lt; 0.05). The accuracy rate of group S in the 7th to 10th day of the testing stage was continuously higher than 75%, indicating formation of a visual--cognition linkage. The decision accuracy in group S+ remained &amp;lt;75% throughout the 10-day testing period, thus, no visual--cognitive connection was formed in this group. Thus, EFS of different intensities caused mild and intense fear in rats. The fear memory induced by mild fear stress could spontaneously fade, and had short-term visual-cognitive effects, whereas fear memory caused by intense fear stress had a negative effect on visual cognition for a longer period of time.</t>
  </si>
  <si>
    <t>Fear memory, Freezing time, Stress, Visual cognition</t>
  </si>
  <si>
    <t>Shi, Zhonghao and Chen, Han and Velentza, Anna-Maria and Liu, Siqi and Dennler, Nathaniel and O'Connell, Allison and Mataric, Maja</t>
  </si>
  <si>
    <t>Evaluating and Personalizing User-Perceived Quality of Text-to-Speech Voices for Delivering Mindfulness Meditation with Different Physical Embodiments</t>
  </si>
  <si>
    <t>https://doi.org/10.1145/3568162.3576987</t>
  </si>
  <si>
    <t>Mindfulness-based therapies have been shown to be effective in improving mental health, and technology-based methods have the potential to expand the accessibility of these therapies. To enable real-time personalized content generation for mindfulness practice in these methods, high-quality computer-synthesized text-to-speech (TTS) voices are needed to provide verbal guidance and respond to user performance and preferences. However, the user-perceived quality of state-of-the-art TTS voices has not yet been evaluated for administering mindfulness meditation, which requires emotional expressiveness. In addition, work has not yet been done to study the effect of physical embodiment and personalization on the user-perceived quality of TTS voices for mindfulness. To that end, we designed a two-phase human subject study. In Phase 1, an online Mechanical Turk between-subject study (N=471) evaluated 3 (feminine, masculine, child-like) state-of-the-art TTS voices with 2 (feminine, masculine) human therapists' voices in 3 different physical embodiment settings (no agent, conversational agent, socially assistive robot) with remote participants. Building on findings from Phase 1, in Phase 2, an in-person within-subject study (N=94), we used a novel framework we developed for personalizing TTS voices based on user preferences, and evaluated user-perceived quality compared to best-rated non-personalized voices from Phase 1. We found that the best-rated human voice was perceived better than all TTS voices; the emotional expressiveness and naturalness of TTS voices were poorly rated, while users were satisfied with the clarity of TTS voices. Surprisingly, by allowing users to fine-tune TTS voice features, the user-personalized TTS voices could perform almost as well as human voices, suggesting user personalization could be a simple and very effective tool to improve user-perceived quality of TTS voice.</t>
  </si>
  <si>
    <t>human-robot interaction, mindfulness therapy, text-to-speech</t>
  </si>
  <si>
    <t>Mevlevio\u{g</t>
  </si>
  <si>
    <t>Emotional Virtual Reality Stroop Task: Pilot Design</t>
  </si>
  <si>
    <t>https://doi.org/10.1145/3489849.3489952</t>
  </si>
  <si>
    <t>Anxiety-inducing and assessment methods in Virtual Reality has been a topic of discussion in recent literature. The importance of the topic is related to the difficulty of getting accurate and timely measurements of anxiety without relying on self-report and breaking the immersion. To this end, the current study utilises the emotional version of a well-established cognitive task; the Stroop Color-Word Task and brings it to Virtual Reality. It consists of three levels; congruent which is used as control and corresponds with no anxiety, incongruent, which corresponds with mild anxiety and emotional, which corresponds with severe anxiety. This pilot serves two functions. The first is to validate the effects of the task using biosignal measurements. The second is to use the bio signal information and the labels to train a machine-learning algorithm. The information collected by the pilot will be used to decide what types of signals and devices to use in the final product, as well as what algorithm and time frame will be better suited for the purpose of accurately determining the user’s anxiety level within Virtual Reality without breaking the immersion.</t>
  </si>
  <si>
    <t>EEG, GSR, PPG, VR, anxiety, biosensors, biosignals, emotional stroop</t>
  </si>
  <si>
    <t>Baradari, D\"{u</t>
  </si>
  <si>
    <t>NeuroChat: A Neuroadaptive AI Chatbot for Customizing Learning Experiences</t>
  </si>
  <si>
    <t>https://doi.org/10.1145/3719160.3736623</t>
  </si>
  <si>
    <t>Generative AI is reshaping education by enabling personalized, on-demand learning experiences. However, current AI systems lack awareness of the learner’s cognitive state, limiting their adaptability. In parallel, electroencephalography (EEG)-based neuroadaptive systems have shown promise in enhancing engagement through real-time physiological feedback. This paper introduces NeuroChat, a neuroadaptive AI tutor that integrates real-time EEG-based engagement tracking with a large language model to adapt its conversational responses. By continuously monitoring learners’ cognitive engagement, NeuroChat dynamically adjusts content complexity, tone, and response style in a closed-loop interaction. In a within-subjects study (n = 24), NeuroChat significantly increased both EEG-measured and self-reported engagement compared to a non-adaptive chatbot. However, no significant differences in short-term learning outcomes were observed. These findings demonstrate the feasibility of real-time brain–AI interaction for education and highlight opportunities for deeper personalization, longer-term adaptation, and richer learning assessment in future neuroadaptive systems.</t>
  </si>
  <si>
    <t>Neuroadaptive interfaces, conversational AI, electroencephalography (EEG), adaptive learning, human-computer interaction, large language models</t>
  </si>
  <si>
    <t>Dotch, Emani</t>
  </si>
  <si>
    <t>AudioBuddy: An Assistive Technology for People with Noise Sensitivity and Their Care Networks</t>
  </si>
  <si>
    <t>https://doi.org/10.1145/3675094.3678365</t>
  </si>
  <si>
    <t>Noise sensitivity is prevalent in both neurodivergent and neurotypical people, making self-regulation challenging and impacting their quality of life. Little work has been done in the wearable and ubiquitous computing space to support these particular experiences. My research explores how people with noise sensitivity (PWNS) and those around them manage and regulate their own and other's reactions to noise. Leveraging wearable and mobile devices, this work explores the management and regulation behaviors of PWNS and their care networks. It describes the design and deployment process of a novel application that utilizes wearable sensor technology to sense physiological and environmental signals, facilitate awareness and information sharing, and present users with strategies for managing and regulating noise sensitivity experiences. This research strives to contribute an understanding of noise sensitivity experiences, inclusive design practices, and a technological solution to support people with noise sensitivity.</t>
  </si>
  <si>
    <t>assistive technology, collaborative technology, noise sensitivity, wearable and sensing technology</t>
  </si>
  <si>
    <t>Kosmyna, Nataliya and Scheirer, Cassandra and Maes, Pattie</t>
  </si>
  <si>
    <t>The Thinking Cap: Fostering Growth Mindset Of Children By Means Of Electroencephalography And Perceived Magic of Harry Potter Universe</t>
  </si>
  <si>
    <t>https://doi.org/10.1145/3411763.3451732</t>
  </si>
  <si>
    <t>In this work we introduce the Thinking Cap, a wearable system designed to resemble the Sorting Hat from Harry Potter, fitted with a commercially available Electroencephalography (EEG) headset and a Bluetooth speaker. The Thinking Cap can inform the user about their brain activity in real-time via a speaker. We designed and conducted a study with 48 elementary and middle schoolers to investigate the influence of a BCI device and perceived magic on the development of growth mindset in children. Our results suggest that interacting with the Thinking Cap has a positive impact on children's mindset, which was expressed through their communicated beliefs and task-based behaviors.</t>
  </si>
  <si>
    <t>Brain-Computer Interfaces, EEG, Magic, Mindset, Pop-culture</t>
  </si>
  <si>
    <t>MuC '24: Proceedings of Mensch und Computer 2024</t>
  </si>
  <si>
    <t>OzCHI '24: Proceedings of the 36th Australasian Conference on Human-Computer Interaction</t>
  </si>
  <si>
    <t>Lee, Jueun and Moschina, Dennis and Ramesh, Supraja and R\"{o</t>
  </si>
  <si>
    <t>Closed-Loop Rhythmic Haptic Biofeedback via Smartwatch for Relaxation and Sleep Onset</t>
  </si>
  <si>
    <t>https://doi.org/10.1145/3715071.3750412</t>
  </si>
  <si>
    <t>We investigate the use of musically structured, closed-loop vibration patterns as a passive biofeedback intervention for relaxation and sleep initiation. By encoding rhythmic meter structures into smartwatch vibrations and adapting their frequency to be slightly slower than the user's real-time heart rate, our system aims to reduce arousal through tactile entrainment, offering a non-invasive alternative to auditory or open-loop approaches previously used in sleep and anxiety contexts. In the first study (N=20), we compared five adaptive vibration rhythms for their effects on heart rate and subjective perceptions of relaxation in a resting context. In the second study (N=28), we evaluated the most promising pattern from Study 1 in a prolonged sleep initiation setting. Results showed increased parasympathetic activity and perceived relaxation during short-term stimulation, but no significant effects on sleep-related measures during the sleep onset phase. This work contributes to the understanding of how wearable haptic feedback can support relaxation and sleep, offering design insights and identifying methodological considerations for effectively integrating haptic interaction into self-directed interventions.</t>
  </si>
  <si>
    <t>affective computing, haptic biofeedback, relaxation interventions, rhythmic vibration, sleep initiation support, smartwatch applications, wearable haptics</t>
  </si>
  <si>
    <t>Bernal, Sergio L\'{o</t>
  </si>
  <si>
    <t>Security in Brain-Computer Interfaces: State-of-the-Art, Opportunities, and Future Challenges</t>
  </si>
  <si>
    <t>https://doi.org/10.1145/3427376</t>
  </si>
  <si>
    <t>Brain-Computer Interfaces (BCIs) have significantly improved the patients’ quality of life by restoring damaged hearing, sight, and movement capabilities. After evolving their application scenarios, the current trend of BCI is to enable new innovative brain-to-brain and brain-to-the-Internet communication paradigms. This technological advancement generates opportunities for attackers, since users’ personal information and physical integrity could be under tremendous risk. This work presents the existing versions of the BCI life-cycle and homogenizes them in a new approach that overcomes current limitations. After that, we offer a qualitative characterization of the security attacks affecting each phase of the BCI cycle to analyze their impacts and countermeasures documented in the literature. Finally, we reflect on lessons learned, highlighting research trends and future challenges concerning security on BCIs.</t>
  </si>
  <si>
    <t>BCI, Brain-computer interfaces, cybersecurity, privacy, safety</t>
  </si>
  <si>
    <t>CHI PLAY Companion '25: Companion Proceedings of the Annual Symposium on Computer-Human Interaction in Play</t>
  </si>
  <si>
    <t>Du, Qiuxin and Song, Zhen and Jiang, Haiyan and Wei, Xiaoying and Weng, Dongdong and Fan, Mingming</t>
  </si>
  <si>
    <t>LightSword: A Customized Virtual Reality Exergame for Long-Term Cognitive Inhibition Training in Older Adults</t>
  </si>
  <si>
    <t>https://doi.org/10.1145/3613904.3642187</t>
  </si>
  <si>
    <t>The decline of cognitive inhibition significantly impacts older adults’ quality of life and well-being, making it a vital public health problem in today’s aging society. Previous research has demonstrated that Virtual reality (VR) exergames have great potential to enhance cognitive inhibition among older adults. However, existing commercial VR exergames were unsuitable for older adults’ long-term cognitive training due to the inappropriate cognitive activation paradigm, unnecessary complexity, and unbefitting difficulty levels. To bridge these gaps, we developed a customized VR cognitive training exergame (LightSword) based on Dual-task and Stroop paradigms for long-term cognitive inhibition training among healthy older adults. Subsequently, we conducted an eight-month longitudinal user study with 12 older adults aged 60 years and above to demonstrate the effectiveness of LightSword in improving cognitive inhibition. After the training, the cognitive inhibition abilities of older adults were significantly enhanced, with benefits persisting for 6 months. This result indicated that LightSword has both short-term and long-term effects in enhancing cognitive inhibition. Furthermore, qualitative feedback revealed that older adults exhibited a positive attitude toward long-term training with LightSword, which enhanced their motivation and compliance.</t>
  </si>
  <si>
    <t>Health, Older Adults, Virtual Reality</t>
  </si>
  <si>
    <t>Yan, Chengmin</t>
  </si>
  <si>
    <t>Innovation and Development of Chinese Language International Education in the Digital Age</t>
  </si>
  <si>
    <t>https://doi.org/10.1145/3744367.3744411</t>
  </si>
  <si>
    <t>To study the development of China's digital applications and international education, modern technological methods, innovative education models and challenges were analysed. The solution explains several examples of key technology applications such as AI language assessment, internal learning and blockchain, and shows that integrating technology into an educational innovation in China offers huge opportunities, but the supply of resources needs to be further improved. Technical adaptation and ethical issues.</t>
  </si>
  <si>
    <t>Digital education, Chinese language international education, technological empowerment, innovative teaching and learning, ethical risks</t>
  </si>
  <si>
    <t>ISAIMS '23: Proceedings of the 2023 4th International Symposium on Artificial Intelligence for Medicine Science</t>
  </si>
  <si>
    <t>Gonz\'{a</t>
  </si>
  <si>
    <t>EEG-Based Drivers Mental Fatigue Detection Using ERD/ERS and Hurst Exponent</t>
  </si>
  <si>
    <t>https://doi.org/10.1145/3545729.3545763</t>
  </si>
  <si>
    <t>Numerous studies are tackling mental fatigue due to the high number of accidents caused by mental fatigue. The requirement of real-time detection allows that EEG measurement is one of the most feasible options because it is non-invasive and low cost, against other techniques. In this paper, it is proposed a drivers’ mental fatigue detection through EEG signals using the Hurst exponent, because of the simple calculations to obtain it and the fractal nature of EEG signals, and it was compared with the event-related desynchronization/ synchronization (ERD/ERS). Frontocentral (FC3) right and left parietal (P3 and P4) regions in the alpha-band, which are regions where mental fatigue is detected, were analyzed. The task was divided into 3 blocks at 2, 25, and 40 minutes. The results for ERD/ERS in block 2 (25 minutes) showed a desynchronization in electrode FC3 and synchronization in electrodes P3 and P4, these changes indicate the subjects presented mental fatigue in that block. The results using Hurst’s exponent showed for block 2 that persistence decays at electrode FC3, while for electrodes P3 and P4 persistence increases. The results found for ERD/ERS and the Hurst exponent showed a positive correlation in block 2, which is where the first symptoms of mental fatigue appear. It is concluded that the Hurst exponent can be a potential tool that can be used as an indicator to detect mental fatigue.</t>
  </si>
  <si>
    <t>Electroencephalography, Hurst exponent, Mental fatigue</t>
  </si>
  <si>
    <t>Chang, Kai-min Kevin and Yuan, Yueran</t>
  </si>
  <si>
    <t>Introducing an Integrated VR Sensor Suite and Cloud Platform</t>
  </si>
  <si>
    <t>https://doi.org/10.1145/3462244.3481301</t>
  </si>
  <si>
    <t>Broken Colors is building the next generation of commercial cognitive science. Our assessment and training platform presents cognitive tasks, games, and scenarios inside an immersive VR environment while our hardware suite silently tracks eye-movement, facial expression, neurosignals (EEG) and voice. These signals are sent to our cloud platform where traditional neuroscience algorithms are combined with machine learning to create a full-spectrum analysis of the user's cognitive performance.</t>
  </si>
  <si>
    <t>Ye, Ziyi and Xie, Xiaohui and Liu, Yiqun and Wang, Zhihong and Chen, Xuesong and Zhang, Min and Ma, Shaoping</t>
  </si>
  <si>
    <t>Towards a Better Understanding of Human Reading Comprehension with Brain Signals</t>
  </si>
  <si>
    <t>https://doi.org/10.1145/3485447.3511966</t>
  </si>
  <si>
    <t>Reading comprehension is a complex cognitive process involving many human brain activities. However, little is known about what happens in human brain during reading comprehension and how these cognitive activities can affect information retrieval process. Additionally, with the advances in brain imaging techniques such as electroencephalogram (EEG), it is possible to collect brain signals in almost real time and explore whether it can be utilized as feedback to facilitate information acquisition performance. In this paper, we carefully design a lab-based user study to investigate brain activities during reading comprehension. Our findings show that neural responses vary with different types of reading contents, i.e., contents that can satisfy users’ information needs and contents that cannot. We suggest that various cognitive activities, e.g., cognitive loading, semantic-thematic understanding, and inferential processing, underpin these neural responses at the micro-time scale during reading comprehension. From these findings, we illustrate several insights for information retrieval tasks, such as ranking models construction and interface design. Besides, with the emerging of portable EEG-based applications, we suggest the possibility of detecting reading comprehension status for a proactive real-world system. To this end, we propose a Unified framework for EEG-based Reading Comprehension Modeling&amp;nbsp;(UERCM). To verify its effectiveness, we conduct extensive experiments based on EEG features for two reading comprehension tasks: answer sentence classification and answer extraction. Results show that it is feasible to improve the performance of two tasks with brain signals. These findings imply that brain signals are valuable feedback for enhancing human-computer interactions during reading comprehension.</t>
  </si>
  <si>
    <t>Answer Extraction, Brain Signals, EEG, Reading Comprehension, Relevance Prediction</t>
  </si>
  <si>
    <t>SHWID '24: Proceedings of the 2024 International Conference on Smart Healthcare and Wearable Intelligent Devices</t>
  </si>
  <si>
    <t>Natarajan, Priyadarshini and Madanian, Samaneh</t>
  </si>
  <si>
    <t>Detecting Brain activity in ADHD children and healthy controls using Machine Learning Techniques</t>
  </si>
  <si>
    <t>https://doi.org/10.1145/3641142.3641156</t>
  </si>
  <si>
    <t>This study focuses on Attention Deficit Hyperactivity Disorder (ADHD), a neurodevelopmental disorder that affects both children and adults. Individuals with ADHD often struggle with difficulties related to attention, impulse control, and hyperactivity. To learn more about ADHD, researchers have employed a variety of neuroimaging modalities and analysis techniques over the years. To research brain activity in children with ADHD, this study examines the characteristics of Electroencephalogram (EEG) data using Machine Learning Techniques, which can be a trustworthy diagnostic tool for physicians. After analyzing the EEG data obtained, we can infer from this empirical investigation that the frontal regions of the brain are mostly active and model accuracy is 80% for ADHD classification.</t>
  </si>
  <si>
    <t>Attention Deficit Hyperactivity Disorder, Data analytics, Data science, Digital Health, Electroencephalography (EEG), Machine learning</t>
  </si>
  <si>
    <t>UbiComp '24: Companion of the 2024 on ACM International Joint Conference on Pervasive and Ubiquitous Computing</t>
  </si>
  <si>
    <t>Welcome to UbiComp/ISWC 2024, the companion program of two premier conferences: The 2024 ACM International Joint Conference on Pervasive and Ubiquitous Computing (UbiComp 2024) and the 2024 International Symposium on Wearable Computers (ISWC 2024). UbiComp and ISWC are premier interdisciplinary venues for international researchers, designers, developers, practitioners and educators in the field to present and discuss novel and impactful research in interactive, mobile, wearable and ubiquitous computing. The companion program has traditionally been a very important part of the UbiComp/ISWC conference series.UbiComp/ISWC 2024 is held from October 5 to 9, 2024 in Melbourne, Australia. Originally, UbiComp/ISWC was scheduled to take place in Melbourne in 2021. However, due to the significant impact of COVID-19, our community decided to postpone conferences taking place in their traditional form until last year, when UbiComp took place as an in-person event in Mexico. Now, in 2024 we look to consolidate the strength and ties in our community by having another fully in-person event and hoping to welcome a new generation of researchers to meet and explore the wonderful people that make up our community.</t>
  </si>
  <si>
    <t>ICMI '25: Proceedings of the 27th International Conference on Multimodal Interaction</t>
  </si>
  <si>
    <t>ISAIMS '24: Proceedings of the 2024 5th International Symposium on Artificial Intelligence for Medicine Science</t>
  </si>
  <si>
    <t>PETRA '24: Proceedings of the 17th International Conference on PErvasive Technologies Related to Assistive Environments</t>
  </si>
  <si>
    <t>IDC '23: Proceedings of the 22nd Annual ACM Interaction Design and Children Conference</t>
  </si>
  <si>
    <t>Kodikara, Chalindu and Wijekoon, Sapumal and Meegahapola, Lakmal</t>
  </si>
  <si>
    <t>FatigueSense: Multi-Device and Multimodal Wearable Sensing for Detecting Mental Fatigue</t>
  </si>
  <si>
    <t>https://doi.org/10.1145/3709363</t>
  </si>
  <si>
    <t>Mental fatigue is a crucial aspect that has gained attention across various disciplines due to its impact on overall well-being. While previous research has explored the use of wearable devices for detecting mental fatigue, limited investigation has been conducted into the effectiveness of these devices in different body positions or in multi-device setups. To address this, our study utilizes a unique public dataset containing over 13 hours of sensor data collected across 36 sessions, with four wearable devices (Earable, Chestband, Wristband, and Headband). We propose several machine learning-based approaches to assess both psychological and physiological mental fatigue levels in a multimodal and multi-device environment. Specifically, we introduce device type-specific approaches (trained and tested on a single device) and multi-device approaches (trained and tested on multiple devices) for mental fatigue inference tasks. Our findings show that device type-specific models perform well, with AUC scores ranging from 0.63 to 0.69 for psychological and from 0.74 to 0.80 for physiological mental fatigue. The multi-device approach shows improved performance for psychological mental fatigue (AUC of 0.69 to 0.74) and physiological mental fatigue (AUC of 0.81 to 0.88). Hence, this study presents a unique and in-depth analysis of detecting mental fatigue with wearables, demonstrating the potential of machine learning-based approaches in multi-device and multimodal setups that are prevalent in today’s emerging lifestyles.</t>
  </si>
  <si>
    <t>passive sensing, wearable sensing, fatigue, mental fatigue, wearable, earable, multimodal, multi-device</t>
  </si>
  <si>
    <t>CSCW Companion '24: Companion Publication of the 2024 Conference on Computer-Supported Cooperative Work and Social Computing</t>
  </si>
  <si>
    <t>Welcome to the 27th ACM Conference on Computer-Supported Cooperative Work and Social Computing (CSCW 2024). This year's conference is particularly special, as it marks the first time CSCW to be held in Latin America - a highly anticipated milestone for our Latin American community. We are excited to gather in San Jose, Costa Rica, and host a hybrid event that allows remote participation from community members worldwide.As in previous years, CSCW 2024 brings together a variety of disciplines, from system design to critical analysis, to propose, examine, and reimagine technologies that support groups and communities. As our discipline evolves, new topics continuously emerge and are embraced by our community. This year, we see an emphasis on issues centered around AI, including explainability, fairness, and AI-human collaboration. At the same time, our long-standing concerns remain well represented, including work on group dynamics and decision-making, social media, inclusive and culturally aware design, co-design with marginalized communities, and the creation of socially responsible tools. This year, we invited 387 PACM-HCI, TSC, and TOCHI papers to be presented alongside a diverse lineup of workshops, posters, demos, SIGs, panels, and the doctoral consortium. Below are the numbers of reviewed and accepted submissions for each track featured in this conference companion.</t>
  </si>
  <si>
    <t>ICMHI '24: Proceedings of the 2024 8th International Conference on Medical and Health Informatics</t>
  </si>
  <si>
    <t>CUI '25: Proceedings of the 7th ACM Conference on Conversational User Interfaces</t>
  </si>
  <si>
    <t>ISAIE '24: Proceedings of the 2024 International Symposium on Artificial Intelligence for Education</t>
  </si>
  <si>
    <t>SAP '25: ACM Symposium on Applied Perception 2025</t>
  </si>
  <si>
    <t>Wilson, Max L and Shaban, Jwan and Maior, Horia A. and Schneegass, Christina and Cox, Anna L</t>
  </si>
  <si>
    <t>The CHI’24 Workshop on the Future of Cognitive Personal Informatics</t>
  </si>
  <si>
    <t>https://doi.org/10.1145/3613905.3636296</t>
  </si>
  <si>
    <t>While Human-Computer Interaction (HCI) has contributed to demonstrating that physiological measures can be used to detect cognitive changes, engineering and machine learning will bring these to application in consumer wearable technology. For HCI, many open questions remain, such as: What happens when this becomes a cognitive form of personal informatics? What goals do we have for our daily cognitive activity? How should such a complex concept be conveyed to users to be useful in their everyday lives? How can we mitigate potential ethical concerns? This is different to designing BCI interactions; we are concerned with understanding how people will live with consumer neurotechnology. This workshop will directly address the future of Cognitive Personal Informatics (CPI), by bringing together design, BCI and physiological data, ethics, and personal informatics researchers to discuss and set the research agenda in this inevitable future.</t>
  </si>
  <si>
    <t>digital health, neurotechnology, personal informatics, well-being, work-life balance</t>
  </si>
  <si>
    <t>UMAP Adjunct '24: Adjunct Proceedings of the 32nd ACM Conference on User Modeling, Adaptation and Personalization</t>
  </si>
  <si>
    <t>PETRA '23: Proceedings of the 16th International Conference on PErvasive Technologies Related to Assistive Environments</t>
  </si>
  <si>
    <t>Redlinger, Eric and Glas, Bernhard and Rong, Yang</t>
  </si>
  <si>
    <t>Enhanced Cognitive Training using Virtual Reality: Examining a Memory Task Modified for Use in Virtual Environments</t>
  </si>
  <si>
    <t>https://doi.org/10.1145/3480433.3480435</t>
  </si>
  <si>
    <t>Head-mounted display (HMD) based cognitive training enables a number of unique visual features, including 3D depth and immersive visuals. We examine the impact of these features by measuring task performance and EEG power with a cognitive task that has been modified for use in virtual environments. Results were then compared with those obtained using an unmodified version of the task. Some modified versions of the task resulted in increased cognitive load, but the differences did not correlate with changes in task performance. The increased EEG power observed may therefore only reflect changes at the perceptual level, rather than task-contingent cognitive function. On the whole, these results suggest that adapting a standard cognitive training task to a virtual environment in order to take advantage of the inherent benefits of an HMD should pose few if any problems.</t>
  </si>
  <si>
    <t>Cognitive Training, EEG, Gamification, HMD, VR</t>
  </si>
  <si>
    <t>IDC '24: Proceedings of the 23rd Annual ACM Interaction Design and Children Conference</t>
  </si>
  <si>
    <t>NSysS '24: Proceedings of the 11th International Conference on Networking, Systems, and Security</t>
  </si>
  <si>
    <t>ASSETS '25: Proceedings of the 27th International ACM SIGACCESS Conference on Computers and Accessibility</t>
  </si>
  <si>
    <t>IDC '25: Proceedings of the 24th Interaction Design and Children</t>
  </si>
  <si>
    <t>AHs '25: Proceedings of the Augmented Humans International Conference 2025</t>
  </si>
  <si>
    <t>Toto, Bianca and Joyner, David A.</t>
  </si>
  <si>
    <t>Coding4Therapy: Enhancing Cognitive and Socio-emotional Skills in Children with ADHD</t>
  </si>
  <si>
    <t>https://doi.org/10.1145/3649165.3690124</t>
  </si>
  <si>
    <t>This paper examines the theoretical foundation and practical applications of an online intervention for children ages 5-11 with ADHD. Coding4Therapy integrates informal coding education with therapeutic goals, filling the gaps between and within existing educational, pharmacological, and non-pharmacological treatment. Coding4Therapy seeks to improve cognitive and socio-emotional functioning and promote equitable STEM outcomes through personalized courses with multifaceted instruction. This intervention builds on research highlighting the benefits of early STEM engagement, alternative therapies, gamification, and online learning, resulting in a replicable methodology and accessible application.</t>
  </si>
  <si>
    <t>adhd, educational interventions, k-12 computer science, therapy</t>
  </si>
  <si>
    <t>ICAIES '25: Proceedings of the 2025 International Conference on Artificial Intelligence and Educational Systems</t>
  </si>
  <si>
    <t>Danry, Valdemar and Leong, Joanne and Pataranutaporn, Pat and Tandon, Pulkit and Liu, Yimeng and Shilkrot, Roy and Punpongsanon, Parinya and Weissman, Tsachy and Maes, Pattie and Sra, Misha</t>
  </si>
  <si>
    <t>AI-Generated Characters: Putting Deepfakes to Good Use</t>
  </si>
  <si>
    <t>https://doi.org/10.1145/3491101.3503736</t>
  </si>
  <si>
    <t>AI generated characters, i.e., realistic renderings of human faces, voices, and mannerisms that appear authentic to a human being [7] are made possible through advancements in generative machine learning. In addition to character creation, neural networks have recently also been used for the hyper-realistic synthesis and modification of prose, images, audio, and video data. While this technology has been most widely associated with media manipulation and the spread of misinformation, often referred to as deepfakes, it is increasingly being used for positive applications and integrated into areas ranging from entertainment, to humanitarian efforts and education. With the adaptation and usage of AI generated characters across different industries, we see a potential for significant positive applications in a variety of fields such as learning, privacy, telecommunication, art, and therapy. In this workshop, we will bring together researchers in HCI, AI, and related fields to explore the positive applications, design considerations, and ethical implications of using AI generated characters and related forms of synthetic media.</t>
  </si>
  <si>
    <t>AI, AI generated Characters, Deepfakes, Generative AI, Machine Learning</t>
  </si>
  <si>
    <t>AutomotiveUI '25 Adjunct: Adjunct Proceedings of the 17th International Conference on Automotive User Interfaces and Interactive Vehicular Applications</t>
  </si>
  <si>
    <t>Gen\c{c</t>
  </si>
  <si>
    <t>Transhuman Communication: Human Augmentation Technologies through Co-Speculation Workshops</t>
  </si>
  <si>
    <t>https://doi.org/10.1145/3686892</t>
  </si>
  <si>
    <t>The advancement of human-computer integration as a research field promises to introduce transhumanistic ways of communicating through the enhanced abilities of augmented humans. Our work seeks to illuminate this experiential landscape, exploring a diverse set of human augmentation technologies (HATs) for communication purposes. We investigated this topic through four co-speculation workshops focusing on physical, cognitive, sensory and emotional augmentations with 35 participants. Through a reflexive thematic analysis of the workshop data, we outlined eight HAT speculations for transhuman communication, grouped into four overarching augmentation clusters: (1) Bodily Changes in/for Communication, (2) Communication with Transferrable and Collective Beings, (3) Communication through Emotion and Memory, and (4) Communication with Augmented/Altered Perception. By serving as a foundation for discussions on transhumanism and communication in CSCW and beyond, these speculations contribute to a design space highlighting design opportunities and challenges to developing and researching near-future communication technologies.</t>
  </si>
  <si>
    <t>communication, cyborg, human augmentation, human-technology integration, speculative design, transhumanism, wearables</t>
  </si>
  <si>
    <t>IC-BIS '25: Proceedings of the 4th International Conference on Biomedical and Intelligent Systems</t>
  </si>
  <si>
    <t>About the Author and the Collaborator/Index</t>
  </si>
  <si>
    <t>https://doi.org/10.1145/3640479.3640503</t>
  </si>
  <si>
    <t>This book offers a compelling discussion of the digital dreams that have come true, their often unintended side effects (nightmares), and what must be done to counteract the nightmares. It is intended as an impetus to further conversation not only in homes and workplaces, but in academic courses and even legislative debates. Equally importantly, the book is a presentation of what digital technology professionals need to know about these topics and the actions they should undertake individually and in support of other citizens, societal initiatives, and government. The author begins by introducing the amazing progress made in digital technologies over the past 80 years. Pioneering engineers dreamed of potential uses of technology through their writing and technical achievements, further inspiring thousands of researchers to bring the dreams to life, and to dream new dreams as well. The second part of the book describes the myriad adverse side effects and unanticipated challenges that arose as those dreams were pursued and achieved. Examples include rampant misinformation on social media, ransomware, autonomous weapons, and the premature use of AI before it is reliable and safe.The book closes with a positive call to action, outlining ways to address the challenges through ethical career choices, careful analysis, thoughtful design, research, citizen engagement, legislation/regulation, and careful consideration of how bad actors may use technology. Readers of Digital Dreams Have Become Nightmares should become more knowledgeable, wiser, and also cautiously optimistic, determined to affect positive changes through their design, creation, and use of technology.“Are you feeling happy about the role of information technology in the world today? You should read this book for a dose of reality. Are you in despair about it? This book is the prescription for that condition, too! Nobody else could cover the landscape as Ron Baecker does.” - Clayton Lewis, Emeritus Professor, University of Colorado Boulder“This book is a captivating review of important computing developments. Many things talked about as new today have been around for a long time. Much can be learned from the past. The book also teaches a careful and consistent method that enables the reader to do this kind of work as the need arises. The book suggests the need will arise.” - John Leslie King, Emeritus Professor, University of Michigan</t>
  </si>
  <si>
    <t>ICSTPA '24: Proceedings of the 2024 International Conference on Sports Technology and Performance Analysis</t>
  </si>
  <si>
    <t>IVA '24: Proceedings of the 24th ACM International Conference on Intelligent Virtual Agents</t>
  </si>
  <si>
    <t>Li, Zhuying and Cheng, Si and Chen, Zhenhuan and Sun, Xin and Li, Jiatong and Ding, Ding</t>
  </si>
  <si>
    <t>SleepyFlora: Supporting Sleep Sharing and Augmentation over a Distance for Social Bonding across Time Zones</t>
  </si>
  <si>
    <t>https://doi.org/10.1145/3584931.3606961</t>
  </si>
  <si>
    <t>Sleep plays a significant role in our health and well-being. We can see an increasing amount of work in HCI exploring the design for better sleep. However, most of these works only focus on sleep tracking and reminding. The social perspective of sleep is rarely explored. We believe that sleep is tightly associated with social connection and intimacy. This work explores how sleep sharing can facilitate social bonding over a distance. We present SleepyFlora, an interactive system that enables a user to know the other user’s real-time sleep stages via a flower-shaped installation and augment their sleep by sending soothing aromas and playing music remotely. With SleepyFlora, we hope to further the understanding of interaction design around sleep by considering its social perspective. Moreover, we hope our work can provide a novel approach, i.e, enabling sleep sharing, for facilitating social bonding over a distance.</t>
  </si>
  <si>
    <t>Computational Sleep, Interaction Design, Sleep, Sleep Stages, Social Bonding</t>
  </si>
  <si>
    <t>UbiComp/ISWC '22 Adjunct: Adjunct Proceedings of the 2022 ACM International Joint Conference on Pervasive and Ubiquitous Computing and the 2022 ACM International Symposium on Wearable Computers</t>
  </si>
  <si>
    <t>Kosch, Thomas and Welsch, Robin and Chuang, Lewis and Schmidt, Albrecht</t>
  </si>
  <si>
    <t>The Placebo Effect of Artificial Intelligence in Human–Computer Interaction</t>
  </si>
  <si>
    <t>https://doi.org/10.1145/3529225</t>
  </si>
  <si>
    <t>In medicine, patients can obtain real benefits from a sham treatment. These benefits are known as the placebo effect. We report two experiments (Experiment I: N = 369; Experiment II: N = 100) demonstrating a placebo effect in adaptive interfaces. Participants were asked to solve word puzzles while being supported by no system or an adaptive AI interface. All participants experienced the same word puzzle difficulty and had no support from an AI throughout the experiments. Our results showed that the belief of receiving adaptive AI support increases expectations regarding the participant’s own task performance, sustained after interaction. These expectations were positively correlated to performance, as indicated by the number of solved word puzzles. We integrate our findings into technological acceptance theories and discuss implications for the future assessment of AI-based user interfaces and novel technologies. We argue that system descriptions can elicit placebo effects through user expectations biasing the results of user-centered studies.</t>
  </si>
  <si>
    <t>Placebo effect, Human-AI interfaces, User expectations, Placebo, User studies</t>
  </si>
  <si>
    <t>CSCW '23 Companion: Companion Publication of the 2023 Conference on Computer Supported Cooperative Work and Social Computing</t>
  </si>
  <si>
    <t>Zhang, Meizhen and Peng, Yuehong</t>
  </si>
  <si>
    <t>Adaptive Networked Teaching Human-Computer Integration Based on Multi-Perspective Psychology Knowledge Points</t>
  </si>
  <si>
    <t>https://doi.org/10.1145/3456887.3457488</t>
  </si>
  <si>
    <t>In this paper, we study the human-computer integration of adaptive networked education from multiple psychological perspectives. To solve the problems of abstract knowledge and difficulty in understanding, changing students' emotions and information overload in online education, we build a three-dimensional virtual question answering scene based on WebGL 3D technology for young children, and at the same time, we make a set of self-made virtual question answering scenes for young children in a changing environment. Emotion dataset EA in the question-answering environment and based on this training a CNN neural network that can recognize the facial expressions of human faces in real-time with 85.52% accuracy is obtained. In this paper, the inner emotional state of students is discriminated by integrating multi-frame facial expression changes and behavioural data, focusing on tracking the learners' emotional state changes, information comprehension level, and cognitive state changes when answering questions, and effective emotional stimulation interaction through behaviours such as dynamically changing the difficulty level of questions and voice interaction.</t>
  </si>
  <si>
    <t>Multiple perspectives, adaptive networked instruction, human-computer integration, psychological knowledge points</t>
  </si>
  <si>
    <t>ISAIMS '22: Proceedings of the 3rd International Symposium on Artificial Intelligence for Medicine Sciences</t>
  </si>
  <si>
    <t>ISWC '25: Proceedings of the 2025 ACM International Symposium on Wearable Computers</t>
  </si>
  <si>
    <t>Welcome to the 29th edition of ISWC, the annual International Symposium on Wearable Computers. ISWC is the premier forum for research on wearable technologies and topics related to on-body and worn mobile technologies. The first ISWC was held at MIT in 1997, and this year's continued success is a testament to the longevity, depth, and adaptability of this research community. Over nearly three decades, ISWC has been instrumental in shaping the wearable computing landscape, fostering innovation from early prototypes to systems now deployed in everyday life.</t>
  </si>
  <si>
    <t>ICMI '25 Companion: Companion Proceedings of the 27th International Conference on Multimodal Interaction</t>
  </si>
  <si>
    <t>ICBET '24: Proceedings of the 2024 14th International Conference on Biomedical Engineering and Technology</t>
  </si>
  <si>
    <t>CHCHI '24: Proceedings of the Twelfth International Symposium of Chinese CHI</t>
  </si>
  <si>
    <t>Chinese CHI '22: Proceedings of the Tenth International Symposium of Chinese CHI</t>
  </si>
  <si>
    <t>CHItaly '25: Proceedings of the 16th Biannual Conference of the Italian SIGCHI Chapter</t>
  </si>
  <si>
    <t>CHIWORK '25: Proceedings of the 4th Annual Symposium on Human-Computer Interaction for Work</t>
  </si>
  <si>
    <t>Welcome to CHIWORK 2025, the 4th Annual Symposium on Human-Computer Interaction for Work to be held at Centrum Wiskunde &amp;amp; Informatica (CWI) in Amsterdam, The Netherlands.CHIWORK is the annual symposium that aims to grow our understanding of how Human-Computer Interaction (HCI) will support work in the future. Advances in Computing technology are rapidly changing the way we work. Human-computer interaction (HCI) is a critical aspect of this ongoing change, as a way to support workers in successfully navigating fast-paced changes in working environments, which might include novel computing devices, new sensing and work(er) wellbeing and performance measurement techniques, interacting with AI agents, and the new roles for people in work environments where automation is increasing.</t>
  </si>
  <si>
    <t>EDCS '25: Proceedings of the 2nd Guangdong-Hong Kong-Macao Greater Bay Area Education Digitalization and Computer Science International Conference</t>
  </si>
  <si>
    <t>Spina, Damiano and Gwizdka, Jacek and Ji, Kaixin and Moshfeghi, Yashar and Mostafa, Javed and Ruotsalo, Tuukka and Zhang, Min and Ahmad, Adnan and Lawati, Sara Fahad Dawood Al and Boonprakong, Nattapat and Fernando, Nishani and He, Jiaman and Hoeber, Orland and Jayawardena, Gavindya and Lee, Boon-Giin and Liu, Haiming and Pike, Matthew and Pirmoradi, Abbas and Nakisa, Bahareh and Rastgoo, Mohammad Naim and Salim, Flora D. and Scott, Fletcher and Sun, Shuoqi and Tang, Huimin and Towey, Dave and Wilson, Max L.</t>
  </si>
  <si>
    <t>Report on the 3rd Workshop on NeuroPhysiological Approaches for Interactive Information Retrieval (NeuroPhysIIR 2025) at SIGIR CHIIR 2025</t>
  </si>
  <si>
    <t>https://doi.org/10.1145/3769733.3769740</t>
  </si>
  <si>
    <t>The International Workshop on NeuroPhysiological Approaches for Interactive Information Retrieval (NeuroPhysIIR'25), co-located with ACM SIGIR CHIIR 2025 in Naarm/Melbourne, Australia, included 19 participants who discussed 12 statements addressing open challenges in neurophysiological interactive IR. The report summarizes the statements presented and the discussions held at the full-day workshop.Date: 27 March 2025.Website: https://neurophysiir.github.io/chiir2025/.</t>
  </si>
  <si>
    <t>ICBIP '24: Proceedings of the 2024 9th International Conference on Biomedical Signal and Image Processing</t>
  </si>
  <si>
    <t>CHI EA '24: Extended Abstracts of the CHI Conference on Human Factors in Computing Systems</t>
  </si>
  <si>
    <t>Gingrich, Oliver and Rahman, Shama and Hignell-Tully, Daniel</t>
  </si>
  <si>
    <t>Zeitgeist - A deep learning visualization of Social Flow</t>
  </si>
  <si>
    <t>https://doi.org/10.1145/3641234.3671070</t>
  </si>
  <si>
    <t>Zeitgeist is a participatory artwork that forms part of the AHRC-funded research project. The interface employs artificial intelligence (ai)-based algorithms to represent mental states of creative ‘Flow’: Flow, a concept of peak performance, low stress and heightened creative stimulation [Nakamura and Csikszentmihalyi, 2002] is measured and assessed using physiological data analysed in real-time using a deep-learning algorithms: Mapped onto 3D representations and displayed on a Pepper's ghost type hologram, participants jointly observe their individual and collective propensity of being in Flow. As a research project, the artefact is embedded into research on the effect of participatory art engagements on Flow, wellbeing and social connectedness. A pilot with two cohorts creatives (N=12) and scientists (N=16) demonstrates a significant effect of the participatory art intervention on Flow, mood and social connectedness, with facilitation and environmental context as confounding factors.</t>
  </si>
  <si>
    <t>Art &amp;amp; Design, Machine Learning, Research, VR/AR</t>
  </si>
  <si>
    <t>ICIEAI '24: Proceedings of the 2024 2nd International Conference on Information Education and Artificial Intelligence</t>
  </si>
  <si>
    <t>OzCHI '23: Proceedings of the 35th Australian Computer-Human Interaction Conference</t>
  </si>
  <si>
    <t>Schneider, Jordan</t>
  </si>
  <si>
    <t>Towards Intelligent Adaption in Cognitive Assistance Systems through Physiological Computing</t>
  </si>
  <si>
    <t>https://doi.org/10.1145/3716553.3750828</t>
  </si>
  <si>
    <t>With the growing prevalence of cognitive impairments around the globe and in Europe, an increasing number of people are likely to experience cognitive decline during their working years. Supporting these individuals to remain in employment is imperative, both to promote personal well-being and to enable organizations to retain experienced and skilled workers. This research proposes the design of a physiologically adaptive cognitive assistance system to support individuals with mild cognitive impairment in sheltered workshops. This work adopts a design science research approach, combining laboratory and field experiments to achieve user-centred design. Expected outcomes include a modular framework for physiologically adaptive cognitive assistive systems, a multimodal machine learning pipeline for detecting psychological states from physiological signals and design principles to inform future research and development. By demonstrating the potential of such systems within work settings, this research aims to advance the social inclusion of individuals with mild cognitive impairment in the labour market.</t>
  </si>
  <si>
    <t>mild cognitive impairment; cognitive assistance system; human–robot interaction; physiological computing</t>
  </si>
  <si>
    <t>CHI '24: Proceedings of the 2024 CHI Conference on Human Factors in Computing Systems</t>
  </si>
  <si>
    <t>ACSW '24: Proceedings of the 2024 Australasian Computer Science Week</t>
  </si>
  <si>
    <t>Xu, Songlin and Zhang, Xinyu</t>
  </si>
  <si>
    <t>Augmenting Human Cognition with an AI-Mediated Intelligent Visual Feedback</t>
  </si>
  <si>
    <t>https://doi.org/10.1145/3544548.3580905</t>
  </si>
  <si>
    <t>In this paper, we introduce an AI-mediated framework that can provide intelligent feedback to augment human cognition. Specifically, we leverage deep reinforcement learning (DRL) to provide adaptive time pressure feedback to improve user performance in a math arithmetic task. Time pressure feedback could either improve or deteriorate user performance by regulating user attention and anxiety. Adaptive time pressure feedback controlled by a DRL policy according to users’ real-time performance could potentially solve this trade-off problem. However, the DRL training and hyperparameter tuning may require large amounts of data and iterative user studies. Therefore, we propose a dual-DRL framework that trains a regulation DRL agent to regulate user performance by interacting with another simulation DRL agent that mimics user cognition behaviors from an existing dataset. Our user study demonstrates the feasibility and effectiveness of the dual-DRL framework in augmenting user performance, in comparison to the baseline group.</t>
  </si>
  <si>
    <t>Human augmentation, cognition regulation, deep reinforcement learning, human-AI integration, machine learning, time pressure</t>
  </si>
  <si>
    <t>Mottelson, Aske and Muresan, Andreea and Hornb\ae{</t>
  </si>
  <si>
    <t>A Systematic Review and Meta-analysis of the Effectiveness of Body Ownership Illusions in Virtual Reality</t>
  </si>
  <si>
    <t>https://doi.org/10.1145/3590767</t>
  </si>
  <si>
    <t>Body ownership illusions (BOIs) occur when participants experience that their actual body is replaced by a body shown in virtual reality (VR). Based on a systematic review of the cumulative evidence on BOIs from 111 research articles published in 2010 to 2021, this article summarizes the findings of empirical studies of BOIs. Following the PRISMA guidelines, the review points to diverse experimental practices for inducing and measuring body ownership. The two major components of embodiment measurement, body ownership and agency, are examined. The embodiment of virtual avatars generally leads to modest body ownership and slightly higher agency. We also find that BOI research lacks statistical power and standardization across tasks, measurement instruments, and analysis approaches. Furthermore, the reviewed studies showed a lack of clarity in fundamental terminology, constructs, and theoretical underpinnings. These issues restrict scientific advances on the major components of BOIs, and together impede scientific rigor and theory-building.</t>
  </si>
  <si>
    <t>Virtual reality, embodiment, body ownership illusions, systematic review, meta-analysis</t>
  </si>
  <si>
    <t>Alhakamy, A’aeshah</t>
  </si>
  <si>
    <t>Extended Reality (XR) Toward Building Immersive Solutions: The Key to Unlocking Industry 4.0</t>
  </si>
  <si>
    <t>https://doi.org/10.1145/3652595</t>
  </si>
  <si>
    <t>When developing XR applications for Industry 4.0, it is important to consider the integration of visual displays, hardware components, and multimodal interaction techniques that are compatible with the entire system. The potential use of multimodal interactions in industrial applications has been recognized as a significant factor in enhancing humans’ ability to perform tasks and make informed decisions. To offer a comprehensive analysis of the current advancements in industrial XR, this review presents a structured tutorial that provides answers to the following research questions: (R.Q.1) What are the similarities and differences between XR technologies, including augmented reality (AR), mixed reality (MR), Augmented Virtuality (AV), and virtual reality (VR) under Industry 4.0 consideration? (R.Q.2) What types of visual displays and hardware devices are needed to present XR for Industry 4.0? (R.Q.3) How did the multimodal interaction in XR perceive and relate to Industry 4.0? (R.Q.4) How have modern adaptations of XR technologies dealt with the theme of Industry 4.0? (R.Q.5) How can XR technologies in Industry 4.0 develop their services and usages to be more solution-inclusive? This review showcases various instances that demonstrate XR’s potential to transform how humans interact with the physical world in Industry 4.0. These advancements can increase productivity, reduce costs, and enhance safety.</t>
  </si>
  <si>
    <t>Extended reality (XR), augmented reality (AR), virtual reality (VR), mixed reality (MR), and augmented virtuality (AV), 4IR, Industry 4.0</t>
  </si>
  <si>
    <t>MuC '25: Proceedings of the Mensch und Computer 2025</t>
  </si>
  <si>
    <t>Wang, Luoluo and Hou, Guanyong and Wang, Feifei and Cai, Zhenzhen</t>
  </si>
  <si>
    <t>Dynamic-Static State Induces Event-Related Cerebral Cortex Band Activity Characteristics in Patients</t>
  </si>
  <si>
    <t>https://doi.org/10.1145/3644116.3644255</t>
  </si>
  <si>
    <t>The psychological mechanisms underlying low back pain (LBP) are multifaceted and intricate. In this study, we delved into the power spectrum and irregularity degree performance of electroencephalogram (EEG) signals in patients with LBP and healthy groups. Our aim was to unveil a potential psychological activity pattern in the brain associated with subjective pain in patients with LBP. We examined the frequency bands of ongoing EEG activity in 19 patients suffering from LBP caused by neurological vertebral disorders of reflex origin, comparing them to a control group of nineteen subjects. Energy ratio and sample entropy were utilized to evaluate the complexity changes in EEG signals in the brain. The results showed the significant differences in brain activation between the LBP and control groups in the studied scenarios. During dynamic steady-state, the results displayed significant differences in the energy ratio of delta, theta, alpha, and beta bands in most EEG leads in both groups. Similarly, the irregularity degree of EEG signals demonstrated that the sample entropy of the LBP group was significantly greater than that in subjects of the healthy control group during dynamic steady-state. The significant difference between BLP and health groups suggest that these features based on surface electromyography (sEMG) holds promise as a viable alternative to conventional methods. Therefore, this study could serve as an inspiration for designing tailored programs aimed at ensuring the effective rehabilitation of LBP patients. Moreover, LBP exhibited numerous variations in the evaluated parameters, reflecting changes in energy ratio and their respective sample entropy values when compared with the healthy control group during static and dynamic steady-state exercise. These changes were accompanied by widespread oscillatory changes in scalp EEG. These findings further emphasize the complex relationship between dynamic steady-state exercise and psychological performance in LBP. The alterations observed in EEG during dynamic steady-state were modulated by subjective pain and psychological activity.</t>
  </si>
  <si>
    <t>DIS '25: Proceedings of the 2025 ACM Designing Interactive Systems Conference</t>
  </si>
  <si>
    <t>ICEKIM '25: Proceedings of the 2025 6th International Conference on Education, Knowledge and Information Management</t>
  </si>
  <si>
    <t>CHI PLAY Companion '24: Companion Proceedings of the 2024 Annual Symposium on Computer-Human Interaction in Play</t>
  </si>
  <si>
    <t>K\"{o</t>
  </si>
  <si>
    <t>Let's Make it Accessible: The Challenges Of Working With Low-cost Commercially Available Wearable Devices</t>
  </si>
  <si>
    <t>https://doi.org/10.1145/3638380.3638415</t>
  </si>
  <si>
    <t>When developing technical solutions for real-world applications, it is important to acknowledge the types of devices that are most suited for use. Low-cost commercial devices, for example, are much more accessible to real-world situations than high-cost research-grade devices. Even so, while the use of low-cost commercial devices allow us to better match real-world situations, the use of these devices also introduces challenges. This paper uses three participant-based investigations to illicit the challenges of using low-cost commercial wearable devices. Namely: data accessibility, the heterogeneity of wearable devices (interoperability), and appropriateness for the target environment (fit-for purpose). In the paper we describe three studies that were conducted using low-cost commercially available wearable devices. We then highlight the challenges that we experienced during these studies, generalise these challenges outside of our studies, and discuss solutions for mitigating these challenges while still utilising low-cost commercially available wearables.</t>
  </si>
  <si>
    <t>Wearable IoT, challenges in wearable devices, commercially available devices, low-cost devices</t>
  </si>
  <si>
    <t>FAccT '25: Proceedings of the 2025 ACM Conference on Fairness, Accountability, and Transparency</t>
  </si>
  <si>
    <t>Intarasirisawat, Jittrapol and Ang, Chee Siang and Efstratiou, Christos and Dickens, Luke and Sriburapar, Naranchaya and Sharma, Dinkar and Asawathaweeboon, Burachai</t>
  </si>
  <si>
    <t>An Automated Mobile Game-based Screening Tool for Patients with Alcohol Dependence</t>
  </si>
  <si>
    <t>https://doi.org/10.1145/3411837</t>
  </si>
  <si>
    <t>Traditional methods for screening and diagnosis of alcohol dependence are typically administered by trained clinicians in medical settings and often rely on interview responses. These self-reports can be unintentionally or deliberately false, and misleading answers can, in turn, lead to inaccurate assessment and diagnosis. In this study, we examine the use of user-game interaction patterns on mobile games to develop an automated diagnostic and screening tool for alcohol-dependent patients. Our approach relies on the capture of interaction patterns during gameplay, while potential patients engage with popular mobile games on smartphones. The captured signals include gameplay performance, touch gestures, and device motion, with the intention of identifying patients with alcohol dependence. We evaluate the classification performance of various supervised learning algorithms on data collected from 40 patients and 40 age-matched healthy adults. The results show that patients with alcohol dependence can be automatically identified accurately using the ensemble of touch, device motion, and gameplay performance features on 3-minute samples (accuracy=0.95, sensitivity=0.95, and specificity=0.95). The present findings provide strong evidence suggesting the potential use of user-game interaction metrics on existing mobile games as discriminant features for developing an implicit measure to identify alcohol dependence conditions. In addition to supporting healthcare professionals in clinical decision-making, the game-based self-screening method could be used as a novel strategy to promote alcohol dependence screening, especially outside of clinical settings.</t>
  </si>
  <si>
    <t>alcohol dependence, mobile health, screening measures, serious games</t>
  </si>
  <si>
    <t>Zhang, Qing</t>
  </si>
  <si>
    <t>Programmable Peripheral Vision: augment/reshape human visual perception</t>
  </si>
  <si>
    <t>https://doi.org/10.1145/3491101.3503821</t>
  </si>
  <si>
    <t>Over time our daily visual tasks become more complex continuously, however, the natural adaptation of our visual system does not adapt as fast as the living environment changes. As the representations of this unbalanced trend, concentration difficulty and visual overload are experienced and studied intensively. As well as universal motion sickness occurs in both real-life and virtual environments. Besides, online learning and co-working experience are far from satisfactory, which is partly due to lacking engagement and instantaneous visual interaction that we used to have when conducting those activities offline. Thus, my goal is to propose methods helping us better adapt to rapidly changing visual contexts. In the formative research, I created dynamic peripheral vision blocking glasses, and its experimental result indicates that wearing such glasses helped its users suffer fewer motion sickness symptoms while accessing fast-moving surrounding scenery in a VR environment. For the following studies, I am creating dynamic saliency adjusting glasses and gaze guiding glasses to augment and reshape daily-life visual perception.</t>
  </si>
  <si>
    <t>gaze guiding, peripheral vision, smart eyewear, visual saliency adjusting</t>
  </si>
  <si>
    <t>Jain, Radhika Pankaj and Drogemuller, Adam and Satriadi, Kadek Ananta and Smith, Ross and Cunningham, Andrew</t>
  </si>
  <si>
    <t>Strollytelling: Coupling Animation with Physical Locomotion to Explore Immersive Data Stories</t>
  </si>
  <si>
    <t>https://doi.org/10.1145/3706598.3713132</t>
  </si>
  <si>
    <t>With a growing interest in immersive data storytelling, there is an opportunity to explore story presentation and navigation techniques in virtual reality (VR) that can engage audiences as much as data story techniques have on conventional displays. We propose and explore “strolly”telling, a novel data storytelling technique that maps the story progression with the user/audience’s physical locomotion. Inspired by the conventional web-based technique for scrolling-based stories (i.e. scrollytelling), our technique tightly couples the user’s position in physical space to the animation frame of the data story. This technique leverages the natural tendency of humans to "walk and talk" while telling a story and requires users to engage with the content actively. This work defines strollytelling, design considerations, and a preliminary process for designing a strollytelling experience. A user study comparing strollytelling with virtual locomotion found that strollytelling was preferred by most participants and had higher self-reported immersion. We conclude with opportunities for strollytelling within the immersive data storytelling landscape.</t>
  </si>
  <si>
    <t>Immersive Data Storytelling, Strollytelling, Narrative Visualisation, Design Considerations</t>
  </si>
  <si>
    <t>AIIIP '24: Proceedings of the 2024 3rd International Conference on Artificial Intelligence and Intelligent Information Processing</t>
  </si>
  <si>
    <t>ICCBB '23: Proceedings of the 2023 7th International Conference on Computational Biology and Bioinformatics</t>
  </si>
  <si>
    <t>TEI '25: Proceedings of the Nineteenth International Conference on Tangible, Embedded, and Embodied Interaction</t>
  </si>
  <si>
    <t>ICCA '24: Proceedings of the 3rd International Conference on Computing Advancements</t>
  </si>
  <si>
    <t>Mindtrek '24: Proceedings of the 27th International Academic Mindtrek Conference</t>
  </si>
  <si>
    <t>HRI '24: Companion of the 2024 ACM/IEEE International Conference on Human-Robot Interaction</t>
  </si>
  <si>
    <t>Welcome one and all to the 19th Annual ACM/IEEE International Conference on Human-Robot Interaction (HRI)!We are so pleased to re-welcome the HRI community to Boulder, Colorado, where HRI 2021 would have been held, had the COVID pandemic not interfered. Following up on the successful in-person conference held last year in Sweden, this year's theme is "HRI in the Real World," and focuses on advances that aim to bring human-robot interaction out of the lab and into everyday life.One aspect of this that we are very excited about is the introduction of a robot challenge to the conference activities, where teams from around the world will showcase their research and development via actual, interactive robots in the "real world" of an academic conference. It is our hope that this feature will grow and develop over the coming years into a staple of the HRI conference.This year's HRI conference saw an impressive surge in global interest, with 352 full paper submissions from around the world, marking a significant 40% increase compared to the previous year. These papers were categorized under relevant thematic subcommittees and underwent a double-blind review process, a rebuttal phase, and selective shepherding by the HRI program committee. From this process, 87 outstanding papers (24.7%) were chosen for full presentation at the conference. Reflecting our joint sponsorship with IEEE and ACM, all accepted papers will be accessible in the ACM Digital Library and IEEE Xplore.</t>
  </si>
  <si>
    <t>PETRA '25: Proceedings of the 18th ACM International Conference on PErvasive Technologies Related to Assistive Environments</t>
  </si>
  <si>
    <t>Gami, Badal and Agrawal, Manav and Katarya, Rahul</t>
  </si>
  <si>
    <t>Emerging Trends in Early Dementia Diagnosis: An Analysis on Advanced Machine Learning Approaches</t>
  </si>
  <si>
    <t>https://doi.org/10.1145/3764578</t>
  </si>
  <si>
    <t>Dementia is the waning of cognitive abilities, which is typically seen with the natural aging process and includes issues with memory, language, and problem-solving abilities. Artificial Intelligence (AI) techniques are one viable method for the diagnosis of dementia. Despite recent advances in dementia informatics research and AI, accurate early diagnoses are still far from ideal. This study focuses on showcasing a comprehensive analysis of emerging AI approaches applied to early dementia diagnosis, highlighting trends across neuroimaging, speech, EEG, and clinical data. The proposed work’s main contributions include a summary of the potential challenges and vulnerabilities with dementia informatics research, a wide range of diagnostic issues in dementia care, a descriptive comparison of the elementary manuscripts judged on evaluation parameters such as precision, responsiveness, and definiteness and an offering of a descriptive set of data for developing Machine Learning (ML) and Deep Learning (DL) models. The manuscript also provides a valuable overview of new avenues for informatics research on dementia and advanced ML. The main objective is to fill a gap in the literature by offering an in-depth analysis and overview of the application of AI in dementia research, providing a foundational roadmap for accelerating impactful, data-driven dementia care solutions.</t>
  </si>
  <si>
    <t>Alzheimer’s, Artificial Intelligence (AI), dementia, Machine Learning(ML), Natural Language Processing (NLP), neuroimaging</t>
  </si>
  <si>
    <t>Botes, Marietjie Wilhelmina Maria</t>
  </si>
  <si>
    <t>Brain Computer Interfaces and Human Rights: Brave new rights for a brave new world</t>
  </si>
  <si>
    <t>https://doi.org/10.1145/3531146.3533176</t>
  </si>
  <si>
    <t>Digital health applications include a wide range of wearable, implantable, injectable and ingestible digital medical devices. Many of these devices use machine learning algorithms to assist medical prognosis and decision-making. One of the most compelling digital medical device developments is brain-computer interfaces (BCIs) which entails the connecting of a person's brain to a computer, or to another device outside the human body. BCIs allow bidirectional communication and control between the human brain and the outside world by exporting brain data or altering brain activity. Although being marveled at for its clinical promises, this technological advancement also raises novel ethical, legal, social and technical implications (ELSTI). Debates in this regard centers around patient autonomy, equity, trustworthiness in healthcare, data protection and security, risks of dehumanization, the limitations of machine learning-based decision-making, and the influence that BCIs have on what it means to be human and human rights. Since the adoption of the Universal Declaration of Human Rights (UDHR) after World War II, the landscape that give rise to these human rights has evolved enormously. Human life and humans’ role in society are being transformed and threatened by technologies that were never imagined at the time the UDHR was adopted. BCIs, in particular, harbor the greatest possibility of social and individual disruption through its capability to record, interpret, manipulate, or alter brain activity that may potentially alter what it means to be human and how we control humans in future. Cutting edge technological innovations that increasingly blur the lines between human and computer beg the rethinking and extension of existing human rights to remain relevant in a digitized world. In this paper sui generis human rights such as mental privacy, the right to identity or self, agency or free will and fair access to cognitive augmentation will be discussed and how a regulatory framework must be adapted to act as technology enablers, whilst ensuring fairness, accountability, and transparency in sociotechnical systems.</t>
  </si>
  <si>
    <t>autonomy, brain computer interfaces, human rights, identity, neurological privacy</t>
  </si>
  <si>
    <t>Jiang, Weiwei and Goncalves, Jorge and Kostakos, Vassilis</t>
  </si>
  <si>
    <t>Mobile Near-infrared Sensing—A Systematic Review on Devices, Data, Modeling, and Applications</t>
  </si>
  <si>
    <t>https://doi.org/10.1145/3652596</t>
  </si>
  <si>
    <t>Mobile near-infrared sensing is becoming an increasingly important method in many research and industrial areas. To help consolidate progress in this area, we use the PRISMA guidelines to conduct a systematic review of mobile near-infrared sensing, including (1) existing prototypes and commercial products, (2) data collection techniques, (3) machine learning methods, and (4) relevant application areas. Our work measures historical and current trends and identifies current challenges and future directions for this emerging topic.</t>
  </si>
  <si>
    <t>Mobile computing, near-infrared, mobile sensing, data, machine learning</t>
  </si>
  <si>
    <t>Seif, Roodabeh and Veisi, Omid and Wieching, Rainer and Wulf, Volker</t>
  </si>
  <si>
    <t>Prototyping and Evaluating Bo App: A brain measurement device as a feedback tool for cognitive training</t>
  </si>
  <si>
    <t>https://doi.org/10.1145/3726986.3727033</t>
  </si>
  <si>
    <t>Each year, the number of older adults with mild cognitive impairment (MCI) increases; their aging process negatively impacts their subjective and emotional well-being and quality of life. Artifacts from the digital world could play a significant role in preventing or reversing MCI. This study developed a smartphone application prototype, known as the Bo app, that utilizes a Functional Near-Infrared Spectroscopy (fNIRs) sensor to provide biofeedback during cognitive interventions. The goal was to coach older adults to conduct unsupervised and regular cognitive training sessions at home. It was found that designing minimalist apps kept users focused, while various feedback mechanisms, such as real-time biofeedback, daily feedback, monthly feedback, and competitive feedback, encouraged regular cognitive training sessions. The participatory design approach enabled users to benefit from smartphone applications tailored to their preferences, expectations, and needs, encouraging them to be more productive and creative.</t>
  </si>
  <si>
    <t>Bo App, cognitive training, brain measurement device, older adults</t>
  </si>
  <si>
    <t>ICBBE '23: Proceedings of the 2023 10th International Conference on Biomedical and Bioinformatics Engineering</t>
  </si>
  <si>
    <t>MobileHCI '23 Companion: Proceedings of the 25th International Conference on Mobile Human-Computer Interaction</t>
  </si>
  <si>
    <t>Shao, Tianyu and Oyedokun, Olaoluwa and Mousas, Christos and Kao, Dominic</t>
  </si>
  <si>
    <t>Towards Understanding the Impact of AI-Generated Visual and Vocal Self-Similarity on Avatar Identification, Motivation, and Engagement in Educational Games</t>
  </si>
  <si>
    <t>https://doi.org/10.1145/3744736.3749363</t>
  </si>
  <si>
    <t>In educational games, aligning avatar representation with the player’s own characteristics may enhance engagement and learning by strengthening psychological immersion and self-identification. This project proposes a work-in-progress study to investigate how generative AI–based visual and auditory self-similarity in avatars impacts avatar identification, motivation, competence, and performance during a programming-based puzzle game. We plan to implement a 2 (Visual Similarity: high vs. low) \texttimes{</t>
  </si>
  <si>
    <t>Avatar, Education, Generative AI, Competence, Relatedness, Identification, Audio</t>
  </si>
  <si>
    <t>Salamat Ravandi, Bahram and Fransson, Max and Fabricius, Victor and Vandeleene, Norra and Francois, Cl\'{e</t>
  </si>
  <si>
    <t>Evaluating Biometric and Behavioral Markers of Intoxication in Drivers: A Pilot Study</t>
  </si>
  <si>
    <t>https://doi.org/10.1145/3750069.3750329</t>
  </si>
  <si>
    <t>Intoxication and cognitive impairment are among the major contributors to traffic accidents and decreased traffic safety. The current pilot study focused on identifying and exploring behavioral and physiological markers of intoxication using a simulated driving environment. Eight participants were tested under two conditions: control (sober) and moderately intoxicated (0.05-0.10% BAC (blood alcohol concentration)). Participants engaged in a driving simulation while data was collected via EEG, eye-tracking, and driver behavior sensors (e.g., steering input). Results from our pilot study indicated that pupil diameters during critical driving events (e.g., turns, overtakes, and collision avoidance) were higher under control conditions compared to intoxicated conditions. Moreover, intoxication led to higher mean acceleration magnitude, greater variability in acceleration and speed, and a lower mean speed. The results also revealed distinct patterns of neural activity associated with alcohol intoxication, particularly in the Pre-Frontal brain region. This study aimed to lay the groundwork for developing algorithms for automating the detection of intoxication and assessing driver fitness.</t>
  </si>
  <si>
    <t>Driver State Detection, Driving Monitoring System, User Experience, Autonomous Vehicles, Intoxication</t>
  </si>
  <si>
    <t>CHI EA '23: Extended Abstracts of the 2023 CHI Conference on Human Factors in Computing Systems</t>
  </si>
  <si>
    <t>Wang, Xiangyi and Zhao, Xin and He, Yuchen and Liu, Shuang and Ming, Dong</t>
  </si>
  <si>
    <t>Acoustic stimuli modulate gamma activity associated with Auditory Steady State Response</t>
  </si>
  <si>
    <t>https://doi.org/10.1145/3574198.3574229</t>
  </si>
  <si>
    <t>Many recent studies have confirmed that brain activity in the gamma frequency range is associated with many cognitive functions. It has been found that patients with neuropsychiatric disorders such as schizophrenia, Alzheimer's disease, and depression have varying degrees of abnormal gamma frequency oscillations. Currently, non-invasive brain stimulation techniques such as transcranial electrical stimulation (TES) and transcranial magnetic stimulation (TMS) are commonly used clinically to modulate this abnormal gamma oscillation phenomenon. However, there are some problems with such techniques, such as contradictory effects, misuse of technology ethics, and poor treatment experience for patients. Recent studies suggest that 40 Hz sound stimulation may be a new method to modulate abnormal gamma frequency oscillations. However, whether such sound stimulation can improve patients' gamma frequency oscillation power is still unknown. To explore a simple, non-invasive, and friendly method of modulating oscillatory abnormalities, 30 healthy subjects were randomly recruited and equally divided into treatment and control groups. The 15 healthy subjects in the treatment group were periodically modulated with 40Hz sound stimulation for 5 days. The control group was not modulated to verify the effectiveness of the sound stimulation modulation method. Sound stimulation is presented through a computer and head-mounted noise-canceling headphones.The results showed that after periodic 40 Hz sound stimulation modulation, the 40 Hz event-related spectral perturbation (ERSP) was statistically significantly lower in the treatment group than before modulation (t=-2.607, P=0.021), and there was no statistical difference in the control group. These results suggest that modulation based on 40 Hz sound stimulation may be able to reduce the power of the gamma rhythm EEG in healthy subjects. However, the possibility that this decrease may also be due to habituation effects cannot be excluded.</t>
  </si>
  <si>
    <t>auditory steady-state response, electroencephalogram, gamma rhythm abnormalities</t>
  </si>
  <si>
    <t>J\"{a</t>
  </si>
  <si>
    <t>Anticipatory Technology Ethics Reflection By Eliciting Creative AI Imaginaries Through Fictional Research Abstracts</t>
  </si>
  <si>
    <t>https://doi.org/10.1145/3715275.3732011</t>
  </si>
  <si>
    <t>From issues of intellectual property rights, environmental impact, and the question of creativity in itself, Creative AI (AI applied to arts and design) presents many pressing ethical challenges. At the same time, AI ethics guidelines have been criticised for their rationalist inactionability, highlighting the need for finding ground-up approaches for exploring situated ethics and anticipatory – rather than reactive – ethics in AI technology design. In this paper, we present the results of organising two workshops with Creative AI practitioners in writing fictional research abstracts (FRAs). The participants wrote future-oriented research scenarios for Creative AI and engaged in discussion about them, with the aim to critically reflect on Creative AI ethics and futures in an anticipatory manner. In this paper, we provide an analysis of the imaginaries within the abstracts (e.g. stakeholders, technology framing, and scientific study framing in the abstract), as well as a thematic analysis of topics evoked in and by the abstracts. We observe that the FRAs facilitated five different kinds of thematic discussions, of which nature of creativity and role on AI in the society were particularly prevalent. We also witnessed socio-technical continuity that brought current and past conditions as constraints into the future scenarios. We subsequently reflect on how the FRAs engaged with ethical questions using the Anticipatory Technology Ethics perspectives of technology, artefact, and application. Our work contributes to the empirical understanding of the ethical concerns of future Creative AI technologies and their role in society, while extending the empirical insights of applying the FRA method into a situated case of anticipatory ethics reflection.</t>
  </si>
  <si>
    <t>Imaginaries, AI Ethics, Creative AI, Anticipatory Technology Ethics</t>
  </si>
  <si>
    <t>CHI '23: Proceedings of the 2023 CHI Conference on Human Factors in Computing Systems</t>
  </si>
  <si>
    <t>WWW '25: Companion Proceedings of the ACM on Web Conference 2025</t>
  </si>
  <si>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</si>
  <si>
    <t>Alashwal, Hany and Maciaszek, Julian and Frydecka, Dorota and Misiak, Blazej and Moustafa, Ahmed A.</t>
  </si>
  <si>
    <t>A Neurocomputational Analysis Review of Dorsolateral Prefrontal Cortex rTMS Treatments of Neurological Disorder</t>
  </si>
  <si>
    <t>https://doi.org/10.1145/3638569.3638581</t>
  </si>
  <si>
    <t>Repetitive transcranial magnetic stimulation (rTMS) to the dorsolateral prefrontal cortex (DLPFC) has been used as a treatment for several psychiatric and neurological disorders, including depression, bipolar disorder, anxiety, eating disorders, obsessive compulsive disorder, schizophrenia, addiction and Parkinson's disease. However, the precise mechanism of action of DLPFC rTMS and how it translates to the effectiveness of treatment of these disorders is not fully understood. In this study, we provide a review of computational explanations of how DLPFC rTMS may treat several clinical disorders. The review show that DLPFC rTMS can ameliorate several symptoms in different psychiatric and neurological disorders via the following mechanisms of action: (a) modulating the activations of several cortical and subcortical areas, (b) increasing dopamine levels in both cortical and subcortical structures, and (c) modulating connectivity among several brain areas. In addition, we discuss future directions on experimental and computational studies of DLPFC rTMS. Specifically, future computational modelling should take into account the multi-dimensional nature of DLPFC rTMS effect on the brain and behaviour.</t>
  </si>
  <si>
    <t>Bioinformatics, Computational Modelling, Neurological disorder, repetitive transcranial magnetic stimulation (rTMS)</t>
  </si>
  <si>
    <t>Lopes, Pedro and Chuang, Lewis L and Maes, Pattie</t>
  </si>
  <si>
    <t>Physiological I/O</t>
  </si>
  <si>
    <t>https://doi.org/10.1145/3411763.3450407</t>
  </si>
  <si>
    <t>Interactive computing systems are able to receive, as inputs, activity generated by the user’s physiology (e.g., skin conductance, heart rate, brain potentials, and so forth). Besides health-related applications, this type of physiological sensing enables systems to infer users’ states (e.g., task engagement, anxiety, workload, and so forth). More recently, a number of techniques emerged that can also stimulate physiological activity (e.g., electrical muscle stimulation, galvanic vestibular stimulation, transcranial stimulation). These can serve as outputs of an interactive system to induce desired behavior in the user. Taken together, we envision systems that will close the loop between physiological input and output—interactive systems able to read and influence the user’s body. To realize this, we propose a Special Interest Group on Physiological I/O that will consolidate successful practices and identify research challenges to address as a community.</t>
  </si>
  <si>
    <t>affective computing, muscle I/O, neural interfaces, physiological sensing, wearables</t>
  </si>
  <si>
    <t>CHI EA '21: Extended Abstracts of the 2021 CHI Conference on Human Factors in Computing Systems</t>
  </si>
  <si>
    <t>Schneegass, Christina and Wilson, Max L and Maior, Horia A. and Chiossi, Francesco and Cox, Anna L and Wiese, Jason</t>
  </si>
  <si>
    <t>The Future of Cognitive Personal Informatics</t>
  </si>
  <si>
    <t>https://doi.org/10.1145/3565066.3609790</t>
  </si>
  <si>
    <t>While Human-Computer Interaction (HCI) has contributed to demonstrating that physiological measures can be used to detect cognitive changes, engineering and machine learning will bring these to application in consumer wearable technology. For HCI, many open questions remain, such as: What happens when this becomes a cognitive form of personal informatics? What goals do we have for our daily cognitive activity? How should such a complex concept be conveyed to users to be useful in their everyday life? How can we mitigate potential ethical concerns? These issues are different from physiologically controlled interactions, such as BCIs, to a time when we have new data about ourselves. This workshop will be the first to directly address the future of Cognitive Personal Informatics (CPI), by bringing together design, BCI and physiological data, ethics, and personal informatics researchers to discuss and set the research agenda in this inevitable future before it arrives.</t>
  </si>
  <si>
    <t>ICBBE '24: Proceedings of the 2024 11th International Conference on Biomedical and Bioinformatics Engineering</t>
  </si>
  <si>
    <t>Vyas, Bharat and Wisessing, Pisut and McDonnell, Rachel</t>
  </si>
  <si>
    <t>Emotional Intensity Through the Eyes: Gaze Behavior Toward Expressive Virtual Avatars</t>
  </si>
  <si>
    <t>https://doi.org/10.1145/3736702.3744365</t>
  </si>
  <si>
    <t>Virtual humans are increasingly used in games, films, and interactive media. Yet, understanding the role of emotional intensity remains critical for expressive character design. This work investigates the gaze behavior in expressive virtual avatars with varying levels of facial expression intensity and light colors. Using eye tracking, we analyzed visual attention patterns as participants viewed avatars displaying three emotions (anger, disgust, and joy) at four intensity levels (neutral, low, medium, and high) under three light colors (white, red, and blue). Participants rated the perceived intensity of each expression while their gaze data was recorded. Results indicate that participants consistently distinguished between intensity levels, with higher ratings corresponding to more intense expressions. The eye region received the highest number of fixations and visits, though gaze distribution across facial features varied by emotion. Additionally, lighting color significantly affected pupil diameter.</t>
  </si>
  <si>
    <t>Virtual Humans, Emotion Perception, Eye Tracking</t>
  </si>
  <si>
    <t>UMAP '23: Proceedings of the 31st ACM Conference on User Modeling, Adaptation and Personalization</t>
  </si>
  <si>
    <t>COMPASS '25: Proceedings of the 2025 ACM SIGCAS/SIGCHI Conference on Computing and Sustainable Societies</t>
  </si>
  <si>
    <t>Gao, Nan and Shao, Wei and Rahaman, Mohammad Saiedur and Salim, Flora D.</t>
  </si>
  <si>
    <t>n-Gage: Predicting in-class Emotional, Behavioural and Cognitive Engagement in the Wild</t>
  </si>
  <si>
    <t>https://doi.org/10.1145/3411813</t>
  </si>
  <si>
    <t>The study of student engagement has attracted growing interests to address problems such as low academic performance, disaffection, and high dropout rates. Existing approaches to measuring student engagement typically rely on survey-based instruments. While effective, those approaches are time-consuming and labour-intensive. Meanwhile, both the response rate and quality of the survey are usually poor. As an alternative, in this paper, we investigate whether we can infer and predict engagement at multiple dimensions, just using sensors. We hypothesize that multidimensional student engagement level can be translated into physiological responses and activity changes during the class, and also be affected by the environmental changes. Therefore, we aim to explore the following questions: Can we measure the multiple dimensions of high school student's learning engagement including emotional, behavioural and cognitive engagement with sensing data in the wild? Can we derive the activity, physiological, and environmental factors contributing to the different dimensions of student learning engagement? If yes, which sensors are the most useful in differentiating each dimension of the engagement? Then, we conduct an in-situ study in a high school from 23 students and 6 teachers in 144 classes over 11 courses for 4 weeks. We present the n-Gage, a student engagement sensing system using a combination of sensors from wearables and environments to automatically detect student in-class multidimensional learning engagement. Extensive experiment results show that n-Gage can accurately predict multidimensional student engagement in real-world scenarios with an average mean absolute error (MAE) of 0.788 and root mean square error (RMSE) of 0.975 using all the sensors. We also show a set of interesting findings of how different factors (e.g., combinations of sensors, school subjects, CO2 level) affect each dimension of the student learning engagement.</t>
  </si>
  <si>
    <t>Electrodermal Activity, Engagement Prediction, Students, Wearable</t>
  </si>
  <si>
    <t>Zhao, Zhao and McEwen, Rhonda</t>
  </si>
  <si>
    <t>The Heartbeat of Engagement: Exploring Young Children's Interactions with a Reading Pen, Robot, and Human through Physiological Signals</t>
  </si>
  <si>
    <t>This study examined how different reading modes-human reader, reading robot, and reading pen-impact young children's engagement and comprehension. By analyzing physiological measures such as Electrodermal Activity (EDA) and Heart Rate Variability (HRV) alongside comprehension performance, we aimed to assess the effectiveness of each mode and explore the potential of robots as educational tools. Positioned between the interactive human reader and the passive reading pen, the reading robot not only sustained engagement for the longest duration but also achieved the highest comprehension scores. The robot effectively balanced emotional arousal and stress levels, facilitating enhanced cognitive processing and information retention. Additionally, a positive correlation was found between family technology use and both engagement and comprehension with the robot. These findings suggest that interactive technology can enhance early childhood learning by bridging the gap between human interaction and traditional learning tools.</t>
  </si>
  <si>
    <t>physiological signal, social robot, wearables, young children</t>
  </si>
  <si>
    <t>Zand, Manizheh and Wood, Sally and Davoudi, Fatemeh and Kyrarini, Maria</t>
  </si>
  <si>
    <t>Cognitive Fatigue Assessment for Human-Robot Collaboration: Review &amp;amp; Open Challenges</t>
  </si>
  <si>
    <t>https://doi.org/10.1145/3733155.3736596</t>
  </si>
  <si>
    <t>As Human Robot Collaboration (HRC) technologies continue to advance, robots are increasingly being deployed to assist in various settings, including manufacturing, healthcare, and home environments. A critical aspect of designing safe and adaptable HRC systems is the ability to assess and monitor an individual’s Cognitive Fatigue (CF) during interactions with robots. This is especially important in ensuring safe and effective environments, as fluctuations in CF can affect both performance and safety. Although prior research has explored cognitive workload and fatigue, a significant gap exists in understanding how to effectively measure and manage CF in real-time during HRC. This paper reviews current technologies for CF assessment in HRC systems, examining self-reported assessments, cognitive activity induction, physiological sensors, and behavioral analysis. Furthermore, it investigates the safety and effectiveness of assistive robots in supporting individuals with Activities of Daily Living (ADL), highlighting key challenges in detecting and responding to CF. This paper can potentially guide future research on developing robotics for long-term care that focuses on enhancing human well-being and autonomy within HRC systems.</t>
  </si>
  <si>
    <t>Human-Robot Collaboration, Cognitive Fatigue, Assistive Robotics, Activities of Daily Living</t>
  </si>
  <si>
    <t>RobCE '24: Proceedings of the 2024 4th International Conference on Robotics and Control Engineering</t>
  </si>
  <si>
    <t>Baecker, Ronald M. and Grudin, Jonathan</t>
  </si>
  <si>
    <t>Digital Dreams Have Become Nightmares: What We Must Do</t>
  </si>
  <si>
    <t>Danry, Valdemar and Pataranutaporn, Pat and Haar Horowitz, Adam and Strohmeier, Paul and Andres, Josh and Patibanda, Rakesh and Li, Zhuying and Nakamura, Takuto and Nishida, Jun and Lopes, Pedro and Le\'{o</t>
  </si>
  <si>
    <t>Do Cyborgs dream of Electric Limbs? Experiential Factors in Human-Computer Integration Design and Evaluation</t>
  </si>
  <si>
    <t>https://doi.org/10.1145/3411763.3441355</t>
  </si>
  <si>
    <t>While many systems have successfully demonstrated functional integration of humans and technology, little attention has been paid to how technologies might experientially integrate to feel as part of humans. Our aim is to shed light on the importance of experiential integration and provide researchers with a scientifically driven foundation for future designs and investigations. The workshop will consist of hands-on experiments with novel body-illusions, discussions on experiential integration, and instructor-guided sessions on psychological concepts related to the design and evaluation of experiential integration.</t>
  </si>
  <si>
    <t>cognitive science, experiential integration, human augmentation, human-computer integration, phenomenology, sense of agency, sense of body-ownership, sense of self</t>
  </si>
  <si>
    <t>Liu, Shu and Koch, Kevin and Zhou, Zimu and F\"{o</t>
  </si>
  <si>
    <t>The Empathetic Car: Exploring Emotion Inference via Driver Behaviour and Traffic Context</t>
  </si>
  <si>
    <t>https://doi.org/10.1145/3478078</t>
  </si>
  <si>
    <t>An empathetic car that is capable of reading the driver's emotions has been envisioned by many car manufacturers. Emotion inference enables in-vehicle applications to improve driver comfort, well-being, and safety. Available emotion inference approaches use physiological, facial, and speech-related data to infer emotions during driving trips. However, existing solutions have two major limitations: Relying on sensors that are not built into the vehicle restricts emotion inference to those people leveraging corresponding devices (e.g., smartwatches). Relying on modalities such as facial expressions and speech raises privacy concerns. By contrast, researchers in mobile health have been able to infer affective states (e.g., emotions) based on behavioral and contextual patterns decoded in available sensor streams, e.g., obtained by smartphones. We transfer this rationale to an in-vehicle setting by analyzing the feasibility of inferring driver emotions by passively interpreting the data streams of the control area network (CAN-bus) and the traffic context (inferred from the front-view camera). Therefore, our approach does not rely on particularly privacy-sensitive data streams such as the driver facial video or driver speech, but is built based on existing CAN-bus data and traffic information, which is available in current high-end or future vehicles. To assess our approach, we conducted a four-month field study on public roads covering a variety of uncontrolled daily driving activities. Hence, our results were generated beyond the confines of a laboratory environment. Ultimately, our proposed approach can accurately recognise drivers' emotions and achieve comparable performance as the medical-grade physiological sensor-based state-of-the-art baseline method.</t>
  </si>
  <si>
    <t>Control area network (CAN), Driving behaviours, Emotion recognition, Intelligent vehicle, Traffic contexts</t>
  </si>
  <si>
    <t>Chiossi, Francesco and El Khaoudi, Yassmine and Ou, Changkun and Sidenmark, Ludwig and Zaky, Abdelrahman and Feuchtner, Tiare and Mayer, Sven</t>
  </si>
  <si>
    <t>Evaluating Typing Performance in Different Mixed Reality Manifestations using Physiological Features</t>
  </si>
  <si>
    <t>https://doi.org/10.1145/3698142</t>
  </si>
  <si>
    <t>Mixed reality enables users to immerse themselves in high-workload interaction spaces like office work scenarios. We envision physiologically adaptive systems that can move users into different mixed reality manifestations, to improve their focus on the primary task. However, it is unclear which manifestation is most conducive for high productivity and engagement. In this work, we evaluate whether physiological indicators for engagement can be discriminated for different manifestations. For this, we engaged participants in a typing task in three different mixed reality manifestations (augmented reality, augmented virtuality, virtual reality) and monitored physiological correlates (EEG, ECG, and eye tracking) of users' engagement and workload. We found that users achieved best typing performances in augmented reality and augmented virtuality. At the same time, physiological engagement peaked in augmented virtuality, while workload decreased. We conclude that augmented virtuality strikes a good balance between the different manifestations, as it facilitates displaying the physical keyboard for improved typing performance and, at the same time, allows one to block out the real world, removing many real-world distractors.</t>
  </si>
  <si>
    <t>Augmented Reality, Augmented Virtuality, Electroencephalography, Engagement, Eye Tracking, Mixed Reality, Physiological Computing, Virtual Reality</t>
  </si>
  <si>
    <t>CUI '24: Proceedings of the 6th ACM Conference on Conversational User Interfaces</t>
  </si>
  <si>
    <t>ICADI '24: Proceedings of the 2024 International Conference on Artificial Intelligence, Digital Media Technology and Interaction Design</t>
  </si>
  <si>
    <t>C&amp;amp;C '25: Proceedings of the 2025 Conference on Creativity and Cognition</t>
  </si>
  <si>
    <t>Zini, Floriano and Le Piane, Fabio and Gaspari, Mauro</t>
  </si>
  <si>
    <t>Adaptive Cognitive Training with Reinforcement Learning</t>
  </si>
  <si>
    <t>https://doi.org/10.1145/3476777</t>
  </si>
  <si>
    <t>Computer-assisted cognitive training can help patients affected by several illnesses alleviate their cognitive deficits or healthy people improve their mental performance. In most computer-based systems, training sessions consist of graded exercises, which should ideally be able to gradually improve the trainee’s cognitive functions. Indeed, adapting the difficulty of the exercises to how individuals perform in their execution is crucial to improve the effectiveness of cognitive training activities. In this article, we propose the use of reinforcement learning (RL) to learn how to automatically adapt the difficulty of computerized exercises for cognitive training. In our approach, trainees’ performance in performed exercises is used as a reward to learn a policy that changes over time the values of the parameters that determine exercise difficulty. We illustrate a method to be initially used to learn difficulty-variation policies tailored for specific categories of trainees, and then to refine these policies for single individuals. We present the results of two user studies that provide evidence for the effectiveness of our method: a first study, in which a student category policy obtained via RL was found to have better effects on the cognitive function than a standard baseline training that adopts a mechanism to vary the difficulty proposed by neuropsychologists, and a second study, demonstrating that adding an RL-based individual customization further improves the training process.</t>
  </si>
  <si>
    <t>Computerized cognitive training, personalization, adaptivity</t>
  </si>
  <si>
    <t>Tran, Thinh Duc and Heinzig, Manuel and Langner, Holger and Ritter, Marc</t>
  </si>
  <si>
    <t>Towards Adaptive Difficulty and Personalized Player Experience: A Data-Driven Approach Combining Game Analytics, Sensor Data, and Personality Traits</t>
  </si>
  <si>
    <t>https://doi.org/10.1145/3743049.3743070</t>
  </si>
  <si>
    <t>Adaptive difficulty adjustment represents a critical mechanism for optimizing user experience in digital games. This study introduces a data-driven approach that integrates game telemetry, biometric sensor data, and personality profiles to classify player behavior, which can be used to inform adaptive artificial intelligence (AI) systems. A custom-built game prototype enables the collection of multidimensional data, including reaction times, accuracy, physiological responses (e.g. heart rate), and subjective stress assessments. Unsupervised machine learning techniques, specifically K-Means and Agglomerative Clustering, were applied in multiple analytical iterations, first to segment players by performance and then by strategic behavior. The dataset was engineered to reflect gameplay efficiency and decision-making patterns, with preprocessing steps to minimize bias. Cluster validity was assessed using ANOVA, and feature relevance was evaluated through Random Forest analysis. Results indicate that distinct clusters can be identified, each characterized by specific cognitive and strategic tendencies. These clusters display unique patterns across gameplay performance, physiological feedback, and subjective perception. The proposed classification model enables the foundation for personalized AI systems, capable of dynamic adaptation based not only on skill level but also on emotional and behavioral traits. The approach contributes to the intersection of game analytics, psychophysiological modeling, and adaptive gameplay design.</t>
  </si>
  <si>
    <t>Adaptive Difficulty, Player Clustering, Game Analytics, Machine Learning, Player Behavior, Difficulty Adaptation, Video Game AI</t>
  </si>
  <si>
    <t>Zhong, Lina and Lang, Weijie and Rong, Jia and Chen, Guanliang and Fan, Miao</t>
  </si>
  <si>
    <t>Enhancing Motivation and Learning in Primary School History Classrooms: The Impact of Virtual Reality</t>
  </si>
  <si>
    <t>https://doi.org/10.1145/3706468.3706503</t>
  </si>
  <si>
    <t>Conventional classroom instruction often struggles to effectively convey cultural heritage due to constraints in spatial and temporal dimensions, limiting students’ ability to fully engage with and appreciate historical content. In contrast, virtual reality (VR) technology offers a human-centered, immersive way to present cultural heritage, creating a dynamic digital experience particularly beneficial when physical access to heritage sites is unavailable. This study investigates whether VR-based learning can enhance students’ performance in cultural education compared to traditional teaching methods. A sample of 228 primary school students from Grades 5 and 6 was randomly assigned to one of two groups: a high-visual engagement group (VR with 360° video) or a low-visual engagement group (static video and textbook). The findings revealed that students in the high-visual engagement group achieved higher levels of intrinsic motivation and demonstrated greater learning improvements than their counterparts in the low-visual engagement group. Furthermore, the study identified negative user experiences as a significant factor moderating the connection between intrinsic motivation and learning outcomes. These results highlight the value of integrating VR into conventional teaching practices, showcasing its potential to enhance student engagement and improve educational outcomes in history and cultural studies.</t>
  </si>
  <si>
    <t>Virtual reality, Cultural education, K-6 learning, Structural equation modeling, Fornell-Larcker criterion, PLS-SEM model, Motivation, Engagement</t>
  </si>
  <si>
    <t>Wang, Yihe and Seetharaman, Bhavani and Steup, Rosemary and Su, Norman Makoto and Ringland, Kathryn E.</t>
  </si>
  <si>
    <t>The Fears, The Hopes, The Oscillations: A Critical Analysis of Tech Startups Targeting Autism</t>
  </si>
  <si>
    <t>https://doi.org/10.1145/3663547.3746379</t>
  </si>
  <si>
    <t>Technological innovations are often recognized for improving accessibility, but are also critiqued for perpetuating exclusionary practices in disability research. In the context of neurodivergence, these tensions are intensified by its diverse and heterogeneous nature, alongside the continuously evolving understanding and awareness surrounding it. As tech startups act as catalysts for innovation, offering technological “solutions” that directly engage with the lived experiences of disabled individuals, a critical question arises: How do the discursive strategies used by these companies reflect and construct broader societal narratives surrounding neurodivergence? This study employs thematic and discourse analysis to examine the websites of 38 startups that claim to enhance the well-being of autistic people. Our analysis identifies three key thematic patterns in the corpus: fears, where startups emphasize urgency and evoke cultural anxieties; hopes, where they pin aspirations for empowerment and inclusion on technological innovation; and oscillations, where portrayals shift between different models of disability, allowing companies to address multiple audiences. These strategies not only influence how autism and care are publicly understood but also shape the design priorities, market logic, and ethical direction of disability-focused technologies. We call for greater attention to how language in disability tech participates in constructing the conditions of care and legitimacy in accessibility studies.</t>
  </si>
  <si>
    <t>autism technology; marketing discourse; disability representation; critical disability studies</t>
  </si>
  <si>
    <t>ICBBE '22: Proceedings of the 2022 9th International Conference on Biomedical and Bioinformatics Engineering</t>
  </si>
  <si>
    <t>The Handbook on Socially Interactive Agents: 20 years of Research on Embodied Conversational Agents, Intelligent Virtual Agents, and Social Robotics Volume 2: Interactivity, Platforms, Application</t>
  </si>
  <si>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and decide how to interact, and express attitudes such as emotions, engagement, or empathy. They are capable of interacting with people and each 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by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or games.</t>
  </si>
  <si>
    <t>Cao, Yidan and Cochrane, Karen Anne and Loke, Lian</t>
  </si>
  <si>
    <t>Computationally augmenting traditional embroidery practices: an autobiographical design process with first-person patient experience for amblyopia follow up treatment activity</t>
  </si>
  <si>
    <t>https://doi.org/10.1145/3532106.3533568</t>
  </si>
  <si>
    <t>Amblyopia is a common neurodevelopmental condition affecting people's vision and quality of life. Follow up treatment plays an essential role in improving amblyopia, and experts have proposed embroidery as a potential activity many times. The low compliance of amblyopia patients is one of the impediments. However, there are currently no targeted embroidery activities designed for patients. Designing embroidery activities to meet the needs of amblyopia patients in human-computer interaction and increasing patient compliance has become a design challenge in the current research field. In this research, we present an autobiographical design process to explore the augmentation of traditional embroidery activities with computationally generated patterns based on the stitching preferences of the user. We propose two design considerations for future research: Design with technology to assist traditional handcrafting and personalized design for long-term follow-up treatment through lived experience.</t>
  </si>
  <si>
    <t>schraefel, m.c. and Andr\'{e</t>
  </si>
  <si>
    <t>Inbodied Interaction 102: Exploring Neuro-Physio Pathways for Self-Tuning</t>
  </si>
  <si>
    <t>https://doi.org/10.1145/3411763.3445010</t>
  </si>
  <si>
    <t>In Inbodied Interaction 101, we considered the Physiology and Anatomy of the body via three associated interactions that reflect an inbodied state: 1. inbodied adaptation in response to the in5 and C4 over Time and Context in order to maintain 2. homeostasis via 3. metabolism. We called this adaptation process “tuning.” In 102 we build on this foundation to consider the physiology tuning. In particular we will look at a series of inbodied interactions: the neuro-endocrine system interaction with the organ systems that cue adaptive responses from genetic signals to fat metabolism; the autonomic nervous system and the limbic system's interactions that affect volitional/non-volitional interaction. We will introduce the components of the brainstem, basal nuclei and cerebellum that support interoception around self-Tuning. Within this framing, we will look at the strengths and limits of non-invasive measures of these processes (eg, HRV, EEG, blood oxygen saturation, qualitative responses). Outcomes will familiarity with how we function as inbodied complex systems, with worked examples of how the physiology of tuning can be translated into interactive designs to support health, wellbeing, performance in new ways.</t>
  </si>
  <si>
    <t>Human Performance, Inbodied, Wellbeing, autonomic, brainstem, breathing, c4, cerebellum, circumbodied, enrocrinology, hormones, in5, neurology</t>
  </si>
  <si>
    <t>Becker, Artur and Freitas, Carla M. Dal Sasso</t>
  </si>
  <si>
    <t>Evaluation of XR Applications: A Tertiary Review</t>
  </si>
  <si>
    <t>https://doi.org/10.1145/3626517</t>
  </si>
  <si>
    <t>Extended reality (XR) applications—encompassing virtual reality, augmented reality, and mixed reality—are finding their way into multiple domains. Each area has different motivations for employing and different criteria for evaluating XR. Multiple surveys describe XR and its evaluation in particular fields. However, these surveys do not always agree on the definition of XR. This lack of consensus makes it hard to compare and use learnings from XR research across areas. Through a tertiary systematic literature review, we analyzed 81 surveys from several fields to provide a comprehensive summary of the state of XR research regarding the evaluation of XR applications. We seek to understand (i) how is XR defined? (ii) why is XR employed? (iii) how is XR evaluated? (iv) what are the main criticisms and future research paths outlined by the surveys? and (v) how good are the surveys? We present our findings describing XR research in 10 categories. Given our findings, we propose that future research should build upon a solid XR taxonomy and depart from effectiveness into efficiency research—to understand not only if but also how XR achieves the desired outcomes.</t>
  </si>
  <si>
    <t>Evaluation, virtual reality, augmented reality, systematic review, tertiary review</t>
  </si>
  <si>
    <t>CHI '21: Proceedings of the 2021 CHI Conference on Human Factors in Computing Systems</t>
  </si>
  <si>
    <t>IUI '25: Proceedings of the 30th International Conference on Intelligent User Interfaces</t>
  </si>
  <si>
    <t>DSAI '22: Proceedings of the 10th International Conference on Software Development and Technologies for Enhancing Accessibility and Fighting Info-exclusion</t>
  </si>
  <si>
    <t>BCB '24: Proceedings of the 15th ACM International Conference on Bioinformatics, Computational Biology and Health Informatics</t>
  </si>
  <si>
    <t>Ghosh, Indrajeet and Jayarajah, Kasthuri and Waytowich, Nicholas and Roy, Nirmalya</t>
  </si>
  <si>
    <t>Augmenting Personalized Memory via Practical Multimodal Wearable Sensing in Visual Search and Wayfinding Navigation</t>
  </si>
  <si>
    <t>https://doi.org/10.1145/3699682.3728340</t>
  </si>
  <si>
    <t>Working memory involves the temporary retention of information over short periods. It is a critical cognitive function that enables humans to perform various online processing tasks, such as dialing a phone number, recalling misplaced items’ locations, or navigating through a store. However, inherent limitations in an individual’s capacity to retain information often result in forgetting important details during such tasks. Although previous research has successfully utilized wearable and assistive technologies to enhance long-term memory functions (e.g., episodic memory), their application to supporting short-term recall in daily activities remains underexplored. To address this gap, we present Memento, a framework that uses multimodal wearable sensor data to detect significant changes in cognitive state and provide intelligent in situ cues to enhance recall. Through two user studies involving 15 and 25 participants in visual search navigation tasks, we demonstrate that participants receiving visual cues from Memento&amp;nbsp;achieved significantly better route recall, improving approximately 20-23% compared to free recall. Furthermore, Memento&amp;nbsp;reduced cognitive load and review time by 46% while also achieving a substantial reduction in computation time (3.86 secs vs. 15.35 secs), offering an average 75% effective compared to computer vision-based cues selection approaches.</t>
  </si>
  <si>
    <t>Multimodal Sensing, Short-term Episode Recall, Working Memory, User Modeling, Verbal Cueing, Affective Computing</t>
  </si>
  <si>
    <t>AVI '24: Proceedings of the 2024 International Conference on Advanced Visual Interfaces</t>
  </si>
  <si>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</si>
  <si>
    <t>IoTDI '23: Proceedings of the 8th ACM/IEEE Conference on Internet of Things Design and Implementation</t>
  </si>
  <si>
    <t>ICBBS '24: Proceedings of the 2024 13th International Conference on Bioinformatics and Biomedical Science</t>
  </si>
  <si>
    <t>CHASE '23: Proceedings of the 8th ACM/IEEE International Conference on Connected Health: Applications, Systems and Engineering Technologies</t>
  </si>
  <si>
    <t>It is our great pleasure to welcome you to the eighth edition of the IEEE/ACM International Conference on Connected Health: Applications, Systems and Engineering Technologies (CHASE 2023). This is a leading international conference in the field of connected health, an interdisciplinary area with rich research problems and opportunities. CHASE aims to bring together researchers working in the smart and connected health area around the world to exchange ideas and foster collaborations. Its scope covers sensing, communications, and intelligent analytics in support of health-related applications, systems, and engineering technologies. The innovative works published at CHASE will revolutionize preventative health and personalized medicine, providing rich medical information never-before available to individuals while driving down healthcare costs.</t>
  </si>
  <si>
    <t>SIGCSE 2024: Proceedings of the 55th ACM Technical Symposium on Computer Science Education V. 1</t>
  </si>
  <si>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</si>
  <si>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Zhai, Chenggong and Xu, Hongsi and Fu, Hongwei and Zhao, Yu and Duan, Yu</t>
  </si>
  <si>
    <t>Application of Exoskeleton Robot in Material Support</t>
  </si>
  <si>
    <t>https://doi.org/10.1145/3556384.3556426</t>
  </si>
  <si>
    <t>With a large number of new equipment being put into use and the emerging intelligent concept being applied to material support, modern material support has become extremely complex and changeable, which has put forward a test for our country's modernization. The problem of unsmooth materials has been puzzling generations of material support personnel. How to deliver materials to places where they are needed and how to improve transportation efficiency are all difficulties that need to be overcome. Exoskeleton, a new type of equipment that has been widely used in other fields, points out a direction for our thinking.</t>
  </si>
  <si>
    <t>Active, Exoskeleton, Material support, Passive, Robot</t>
  </si>
  <si>
    <t>Ji, Kaixin and Hettiachchi, Danula and Salim, Flora D. and Scholer, Falk and Spina, Damiano</t>
  </si>
  <si>
    <t>Characterizing Information Seeking Processes with Multiple Physiological Signals</t>
  </si>
  <si>
    <t>https://doi.org/10.1145/3626772.3657793</t>
  </si>
  <si>
    <t>Information access systems are getting complex, and our understanding of user behavior during information seeking processes is mainly drawn from qualitative methods, such as observational studies or surveys. Leveraging the advances in sensing technologies, our study aims to characterize user behaviors with physiological signals, particularly in relation to cognitive load, affective arousal, and valence. We conduct a controlled lab study with 26 participants, and collect data including Electrodermal Activities, Photoplethysmogram, Electroencephalogram, and Pupillary Responses. This study examines informational search with four stages: the realization of Information Need (IN), Query Formulation (QF), Query Submission (QS), and Relevance Judgment (RJ). We also include different interaction modalities to represent modern systems, e.g., QS by text-typing or verbalizing, and RJ with text or audio information. We analyze the physiological signals across these stages and report outcomes of pairwise non-parametric repeated-measure statistical tests. The results show that participants experience significantly higher cognitive loads at IN with a subtle increase in alertness, while QF requires higher attention. QS involves demanding cognitive loads than QF. Affective responses are more pronounced at RJ than QS or IN, suggesting greater interest and engagement as knowledge gaps are resolved. To the best of our knowledge, this is the first study that explores user behaviors in a search process employing a more nuanced quantitative analysis of physiological signals. Our findings offer valuable insights into user behavior and emotional responses in information seeking processes. We believe our proposed methodology can inform the characterization of more complex processes, such as conversational information seeking.</t>
  </si>
  <si>
    <t>information seeking, physiological signals, user studies</t>
  </si>
  <si>
    <t>UIST Adjunct '25: Adjunct Proceedings of the 38th Annual ACM Symposium on User Interface Software and Technology</t>
  </si>
  <si>
    <t>AutomotiveUI '22: Adjunct Proceedings of the 14th International Conference on Automotive User Interfaces and Interactive Vehicular Applications</t>
  </si>
  <si>
    <t>MobileHCI '24 Adjunct: Adjunct Proceedings of the 26th International Conference on Mobile Human-Computer Interaction</t>
  </si>
  <si>
    <t>ETRA '25: Proceedings of the 2025 Symposium on Eye Tracking Research and Applications</t>
  </si>
  <si>
    <t>VRST '24: Proceedings of the 30th ACM Symposium on Virtual Reality Software and Technology</t>
  </si>
  <si>
    <t>DEAI '25: Proceedings of the 2nd Guangdong-Hong Kong-Macao Greater Bay Area International Conference on Digital Economy and Artificial Intelligence</t>
  </si>
  <si>
    <t>ICBAR '24: Proceedings of the 2024 4th International Conference on Big Data, Artificial Intelligence and Risk Management</t>
  </si>
  <si>
    <t>AutomotiveUI '23 Adjunct: Adjunct Proceedings of the 15th International Conference on Automotive User Interfaces and Interactive Vehicular Applications</t>
  </si>
  <si>
    <t>UMAP '25: Proceedings of the 33rd ACM Conference on User Modeling, Adaptation and Personalization</t>
  </si>
  <si>
    <t>ICIIT '24: Proceedings of the 2024 9th International Conference on Intelligent Information Technology</t>
  </si>
  <si>
    <t>MuC '22: Proceedings of Mensch und Computer 2022</t>
  </si>
  <si>
    <t>FDG '22: Proceedings of the 17th International Conference on the Foundations of Digital Games</t>
  </si>
  <si>
    <t>CHItaly '23: Proceedings of the 15th Biannual Conference of the Italian SIGCHI Chapter</t>
  </si>
  <si>
    <t>VINCI '23: Proceedings of the 16th International Symposium on Visual Information Communication and Interaction</t>
  </si>
  <si>
    <t>ASENS '24: Proceedings of the International Conference on Algorithms, Software Engineering, and Network Security</t>
  </si>
  <si>
    <t>ASSETS '24: Proceedings of the 26th International ACM SIGACCESS Conference on Computers and Accessibility</t>
  </si>
  <si>
    <t>ICMI '23 Companion: Companion Publication of the 25th International Conference on Multimodal Interaction</t>
  </si>
  <si>
    <t>Luo, Tianren and Chen, Gaozhang and Wen, Yijian and Wang, Pengxiang and fan, yachun and Han, Teng and Tian, Feng</t>
  </si>
  <si>
    <t>Exploring the Effects of Sensory Conflicts on Cognitive Fatigue in VR Remappings</t>
  </si>
  <si>
    <t>https://doi.org/10.1145/3654777.3676439</t>
  </si>
  <si>
    <t>Virtual reality (VR) is found to present significant cognitive challenges due to its immersive nature and frequent sensory conflicts. This study systematically investigates the impact of sensory conflicts induced by VR remapping techniques on cognitive fatigue, and unveils their correlation. We utilized three remapping methods (haptic repositioning, head-turning redirection, and giant resizing) to create different types of sensory conflicts, and measured perceptual thresholds to induce various intensities of the conflicts. Through experiments involving cognitive tasks along with subjective and physiological measures, we found that all three remapping methods influenced the onset and severity of cognitive fatigue, with visual-vestibular conflict having the greatest impact. Interestingly, visual-experiential/memory conflict showed a mitigating effect on cognitive fatigue, emphasizing the role of novel sensory experiences. This study contributes to a deeper understanding of cognitive fatigue under sensory conflicts and provides insights for designing VR experiences that align better with human perceptual and cognitive capabilities.</t>
  </si>
  <si>
    <t>Cognitive Fatigue, Cognitive Load, Sensory Conflict, VR Remapping</t>
  </si>
  <si>
    <t>schraefel, m.c. and Tabor, Aaron and Andres, Josh</t>
  </si>
  <si>
    <t>Inbodied Interaction 102: Understanding the Selection and Application of Non-invasive Neuro-physio Measurements for Inbodied Interaction Design</t>
  </si>
  <si>
    <t>https://doi.org/10.1145/3334480.3375055</t>
  </si>
  <si>
    <t>As a means to validate the effects of interaction designs, particularly those involving physiological processes, like: breathing in mindfulness; heartrate in exertion games, and blood flow to the brain for cognitive load assessments, HCI researchers are increasingly turning to body-based signals as signals to quantify effects and guide design decisions. These design decisions can be informed by Inbodied Interaction principles of aligning knowledge of how the body performs optimally (physiologically, neurologically) with our designs. The purpose of this course is to present new-to-HCI neuro-physiological measures including peripheral awareness, deep HRV, and new pre-cortical assessments to open new design opportunities. Students will leave the course with this set of new assessments, as well as practical worked examples of how to choose and apply which measures as best suited for a particular design and evaluation context.</t>
  </si>
  <si>
    <t>cerebellum, inbodied interaction, measurement, midbrain, neurology, performance, physiology</t>
  </si>
  <si>
    <t>Knierim, Michael Thomas and Braun, Lukas and Perusquia-Hernandez, Monica</t>
  </si>
  <si>
    <t>Warmth on Demand: Designing Headphones for Enhanced Thermal Comfort in Work Environments</t>
  </si>
  <si>
    <t>https://doi.org/10.1145/3613905.3650884</t>
  </si>
  <si>
    <t>In response to the increasing demand for personalized body temperature management, our study investigates headphones as a wearable system for enhancing thermal comfort in work environments. Utilizing a mixed-methods approach, we evaluated user experiences with our developed thermoactive prototype. The results demonstrate that active heating via headphones provides more pronounced thermal effects compared to passive heating with regular headphones, particularly around the ears, but also moderately for the whole body, offering potential relief in cold office settings. However, the qualitative insights suggest that its effectiveness in supporting whole-body thermal comfort diminishes in the presence of intense cold in extremities like hands or feet. Additionally, our findings indicate a modest link between thermal comfort and productivity-related factors, including performance, workload, and frustration during work. These insights show the potential of integrating thermal comfort solutions in everyday wearable technology like headphones, leveraging their ubiquity to enhance user well-being and work efficiency.</t>
  </si>
  <si>
    <t>3D-Printing, Earables, Headphones, Personal Comfort Systems, Thermal Comfort</t>
  </si>
  <si>
    <t>SVR '24: Proceedings of the 26th Symposium on Virtual and Augmented Reality</t>
  </si>
  <si>
    <t>HRI '24: Proceedings of the 2024 ACM/IEEE International Conference on Human-Robot Interaction</t>
  </si>
  <si>
    <t>Holloman, Amanda K. and Crawford, Chris S.</t>
  </si>
  <si>
    <t>Can you smell me now: towards a remote olfactory study</t>
  </si>
  <si>
    <t>https://doi.org/10.1145/3476883.3520225</t>
  </si>
  <si>
    <t>The sense of smell-olfaction involves the natural processing of ambient information in real-time. This process allows humans to detect danger, identify familiarities, and form lasting memories. During the COVID-19 pandemic, researchers were presented with challenges related to conducting in-person olfactory-based user studies. In this paper, we explore user experience and perception during olfactory-based interactions (OBI). Based upon previous literature, we propose an approach to offer future researchers a methodology for conducting olfactory-based user studies remotely. In particular, we explored a paper prototyping medium as an olfactory display. This experiment demonstrates the remote investigation of a complex sensory functionality during high mental workload levels while participants (N=12) engage in an online memory game. Furthermore, this work seeks to inspire further discussion of olfactory-based user studies that explore functions related to human moods, memory, and behavior.</t>
  </si>
  <si>
    <t>human-centered computing, olfaction, olfactory display, remote study, smell</t>
  </si>
  <si>
    <t>CIBDA '25: Proceedings of the 2025 6th International Conference on Computer Information and Big Data Applications</t>
  </si>
  <si>
    <t>MUM '23: Proceedings of the 22nd International Conference on Mobile and Ubiquitous Multimedia</t>
  </si>
  <si>
    <t>Lai, Mei-Kei and Wing Chung, Siu</t>
  </si>
  <si>
    <t>TranScent in Stillness: Exploring the Feasibility of Using Incense Art with Virtual Reality for Meditation</t>
  </si>
  <si>
    <t>https://doi.org/10.1145/3483529.3483535</t>
  </si>
  <si>
    <t>The need of supporting meditation through digital technology has been increased especially after COVID-19. By combining the olfactory experience provided by the ambient incense connected with virtual reality technology, we propose to bring the aesthetic and affective aspects of smell to the users for meditation in the digital era. TranScent aims to provide users a hybrid composition of sensory experiences that transcends the spatial and temporal characteristics in their surroundings. It lets the users meditate with the incense burnt in the real world while immersing in the audiovisual virtual environment. Rather than emphasizing on the mobility in fast pace, it focuses on giving users the stillness atmosphere for meditation practice through olfactory art with virtual reality.</t>
  </si>
  <si>
    <t>Incense, Meditation, Olfactory Experience, Scent, Virtual reality</t>
  </si>
  <si>
    <t>Jin, Can</t>
  </si>
  <si>
    <t>Relevance Between Artificial Intelligence and Cognitive Science</t>
  </si>
  <si>
    <t>https://doi.org/10.1145/3429889.3429917</t>
  </si>
  <si>
    <t>With the rise of cognitive science, human is able to extend the subject and combine it with computer science to give birth to artificial intelligence. For example, understanding of brain neurons and synapse helps develop artificial neurons in artificial neural networks. The realization of the potency of human cognition study identifies needs for breakthroughs and this paper will provide reviews of recent breakthrough studies such as The Human Brain Project and CURATE.AI to investigate further potentials in Artificial Intelligence. And by doing so, the paper will focus on language processing and artificial neutral networks, to identify the roles of human cognition and artificial intelligence each plays. The result implies that artificial intelligence and human cognition are interdisciplinary subjects that are interdependent on each other and such sticky state would help achieve each party's own optimal success.</t>
  </si>
  <si>
    <t>Artificial intelligence, artificial neurons, cognition, deep learning, natural language processing</t>
  </si>
  <si>
    <t>SIGGRAPH Frontiers '25: Proceedings of the Special Interest Group on Computer Graphics and Interactive Techniques Conference Frontiers</t>
  </si>
  <si>
    <t>Madapura Nagaraj, Preetham and Mo, Wen and Holloway, Catherine</t>
  </si>
  <si>
    <t>Mindfulness-based Embodied Tangible Interactions for Stroke Rehabilitation at Home</t>
  </si>
  <si>
    <t>https://doi.org/10.1145/3613904.3642463</t>
  </si>
  <si>
    <t>Current approaches to designing technologies for stroke rehabilitation at home show great promise using either mindfulness-based interventions or embodied tangible interactions. However, there is an untapped potential in integrating these approaches and a lack of understanding of how to embody aspects of mindfulness in tangible interactions for stroke rehabilitation. We report the first explicit effort to explore this dimension by conducting semi-structured interviews and co-design sessions involving four physiotherapists and four mindfulness experts. The major themes ‘Awareness – The essence of mindfulness’ and ‘Tactile sensations – A pathway to mindfulness’ point us towards new ways to embody mindfulness in tangible interactions to address stroke rehabilitation challenges. This work introduces a novel approach to designing technology called ‘Mindfulness-based Embodied Tangible Interactions’ (MBETI). We present five key design principles such as 'Design to support mindful awareness’ and ‘Design for Comfort’ while discussing the future research opportunities of assistive technologies for stroke rehabilitation.</t>
  </si>
  <si>
    <t>ICBBT '24: Proceedings of the 2024 16th International Conference on Bioinformatics and Biomedical Technology</t>
  </si>
  <si>
    <t>Andres, Josh and schraefel, m.c. and Semertzidis, Nathan and Dwivedi, Brahmi and Kulwe, Yutika C. and von Kaenel, Juerg and Mueller, Florian Floyd</t>
  </si>
  <si>
    <t>Introducing Peripheral Awareness as a Neurological State for Human-computer Integration</t>
  </si>
  <si>
    <t>https://doi.org/10.1145/3313831.3376128</t>
  </si>
  <si>
    <t>In this work we introduce peripheral awareness as a neurological state for real-time human-computer integration, where the human is assisted by a computer to interact with the world. Changes to the field of view in peripheral awareness have been linked with quality of human performance. This instinctive narrowing of vision that occurs as a threat is perceived has implications in activities that benefit from the user having a wide field of view, such as cycling to navigate the environment. We present "Ena", a novel EEG-eBike system that draws from the user's neural activity to determine when the user is in a state of peripheral awareness to regulate engine support. A study with 20 participants revealed various themes and tactics suggesting that peripheral awareness as a neurological state is viable to align human-machine integration with internal bodily processes. Ena suggests that our work facilitates a safe and enjoyable human-computer integration experience.</t>
  </si>
  <si>
    <t>human-computer-integration, human-system partnership, inbodied interaction, peripheral awareness</t>
  </si>
  <si>
    <t>ICCSIE '23: Proceedings of the 8th International Conference on Cyber Security and Information Engineering</t>
  </si>
  <si>
    <t>UIST Adjunct '24: Adjunct Proceedings of the 37th Annual ACM Symposium on User Interface Software and Technology</t>
  </si>
  <si>
    <t>UIST '23: Proceedings of the 36th Annual ACM Symposium on User Interface Software and Technology</t>
  </si>
  <si>
    <t>Taherisadr, Mojtaba and Stavroulakis, Stelios Andrew and Elmalaki, Salma</t>
  </si>
  <si>
    <t>adaPARL: Adaptive Privacy-Aware Reinforcement Learning for Sequential Decision Making Human-in-the-Loop Systems</t>
  </si>
  <si>
    <t>https://doi.org/10.1145/3576842.3582325</t>
  </si>
  <si>
    <t>Reinforcement learning (RL) presents numerous benefits compared to rule-based approaches in various applications. Privacy concerns have grown with the widespread use of RL trained with privacy-sensitive data in IoT devices, especially for human-in-the-loop systems. On the one hand, RL methods enhance the user experience by trying to adapt to the highly dynamic nature of humans. On the other hand, trained policies can leak the user’s private information. Recent attention has been drawn to designing privacy-aware RL algorithms while maintaining an acceptable system utility. A central challenge in designing privacy-aware RL, especially for human-in-the-loop systems, is that humans have intrinsic variability, and their preferences and behavior evolve. The effect of one privacy leak mitigation can differ for the same human or across different humans over time. Hence, we can not design one fixed model for privacy-aware RL that fits all. To that end, we propose adaPARL, an adaptive approach for privacy-aware RL, especially for human-in-the-loop IoT systems. adaPARL provides a personalized privacy-utility trade-off depending on human behavior and preference. We validate the proposed adaPARL on two IoT applications, namely (i) Human-in-the-Loop Smart Home and (ii) Human-in-the-Loop Virtual Reality (VR) Smart Classroom. Results obtained on these two applications validate the generality of adaPARL and its ability to provide a personalized privacy-utility trade-off. On average, adaPARL improves the utility by while reducing the privacy leak by on average.</t>
  </si>
  <si>
    <t>Human-in-the-Loop, IoT, Privacy, Reinforcement Learning</t>
  </si>
  <si>
    <t>ICCIR '25: Proceedings of the 2025 5th International Conference on Control and Intelligent Robotics</t>
  </si>
  <si>
    <t>DSAI '25: Proceedings of the 2025 2nd International Conference on Digital Society and Artificial Intelligence</t>
  </si>
  <si>
    <t>IECT '24: Proceedings of the 2024 International Conference on Intelligent Education and Computer Technology</t>
  </si>
  <si>
    <t>CODS-COMAD '24: Proceedings of the 7th Joint International Conference on Data Science &amp;amp; Management of Data (11th ACM IKDD CODS and 29th COMAD)</t>
  </si>
  <si>
    <t>Rao, Shruti and Rogers, Katja and Good, Judith and Alavi, Hamed</t>
  </si>
  <si>
    <t>What Do We Design for When We Design "Smart Buildings"? - A Scoping Review of Human Experience Design Research in Buildings</t>
  </si>
  <si>
    <t>https://doi.org/10.1145/3706598.3713903</t>
  </si>
  <si>
    <t>Built environments increasingly incorporate new forms of intelligence, creating opportunities for enhancing human interactive experiences with and within building spaces. This scoping review examines design interventions and discourses within the domain of “Smart Buildings”. The goal is to identify and characterise the type of human experiences that research in this domain aims to address. Using a hybrid deductive-inductive coding approach, we analysed 192 papers related to human experiences and smart buildings from ACM Digital Library and Scopus published between 1996 and 2024. Our analysis revealed 11 distinct “targeted human experiences”, 20 commonly used “design mechanisms” to achieve those design goals, as well as two typologies of “technological interventions”. Our findings create a foundation for understanding building design research and the range of human experience they entail.</t>
  </si>
  <si>
    <t>scoping review, smart building, human experience, user experience, interaction design, interactive technologies</t>
  </si>
  <si>
    <t>CMSDA '24: Proceedings of the 2024 4th International Conference on Computational Modeling, Simulation and Data Analysis</t>
  </si>
  <si>
    <t>Nadel, Jacqueline and Grynszpan, Ouriel and Martin, Jean-Claude</t>
  </si>
  <si>
    <t>Autism and Socially Interactive Agents</t>
  </si>
  <si>
    <t>https://doi.org/10.1145/3563659.3563673</t>
  </si>
  <si>
    <t>Wang, Yahui and Guizani, Mohsen and Hossain, M. Shamim</t>
  </si>
  <si>
    <t>Artificial Intelligence for Virtual Reality: State of the Art, Challenges, and Future Perspectives</t>
  </si>
  <si>
    <t>https://doi.org/10.1145/3769090</t>
  </si>
  <si>
    <t>Artificial Intelligence (AI) has wide applications in virtual reality (VR), especially in analyzing its implementation progress, existing limitations, and future development paths. This study finds that AI's main contributions to VR are in four key areas: creating intelligent virtual characters, advancing education and training, providing medical assistance, and generating dynamic scenes. This interdisciplinary convergence also brings significant opportunities, particularly in sectors such as education, healthcare, gaming, and corporate training. Additionally, the study discusses technical challenges related to computational costs, real-time feedback, user privacy, and algorithmic ethics. Critical challenges persist in data processing bottlenecks, privacy protection issues, and user adaptation. While AI enhances VR's intelligence and interactivity, breakthroughs are still needed in cross-modal integration, privacy, security, and user experience. Future advancements in deep learning and reinforcement learning may unlock unlimited potential for AI-driven VR in personalized adaptation and immersive interaction. Therefore, this study provides a comprehensive analysis of AI–VR integration, providing valuable insights for academic research and technological development.</t>
  </si>
  <si>
    <t>Artificial Intelligence, Virtual Reality, Intelligent Interaction, Digital Twins, User Experience, Privacy Security</t>
  </si>
  <si>
    <t>Sinnamon, Luanne and Tamim, Limor and Dodson, Samuel and O'Brien, Heather L.</t>
  </si>
  <si>
    <t>Rethinking Interest in Studies of Interactive Information Retrieval</t>
  </si>
  <si>
    <t>https://doi.org/10.1145/3406522.3446031</t>
  </si>
  <si>
    <t>Interest characterizes a cognitive-emotional relationship between people and information and is a key construct in human information interaction. As a motivational variable, interest has been widely studied in psychology and education, but has received less consistent and theory-driven attention in the field of interactive information retrieval (IIR). In this perspective paper we examine the role of interest and review how it has been studied and operationalized in IIR research. We draw upon a survey of 58 research studies that have manipulated, controlled or measured searcher interest in some way. The intent of the paper is to raise the profile of interest as a user-centred variable in IIR and to advocate for more conceptual and methodological consistency in future studies to better evaluate the impact of interest in information search.</t>
  </si>
  <si>
    <t>assigned search tasks, interest, research methods, user studies</t>
  </si>
  <si>
    <t>ETRA '24: Proceedings of the 2024 Symposium on Eye Tracking Research and Applications</t>
  </si>
  <si>
    <t>Brown, Neil C. C. and Hermans, Felienne F. J. and Margulieux, Lauren E.</t>
  </si>
  <si>
    <t>10 Things Software Developers Should Learn about Learning</t>
  </si>
  <si>
    <t>https://doi.org/10.1145/3584859</t>
  </si>
  <si>
    <t>Understanding how human memory and learning works, the differences between beginners and experts, and practical steps developers can take to improve their learning, training, and recruitment.</t>
  </si>
  <si>
    <t>SIGGRAPH '23: ACM SIGGRAPH 2023 Posters</t>
  </si>
  <si>
    <t>Sharma, Shikha and Gupta, Richa and Shah, Rajiv Ratn</t>
  </si>
  <si>
    <t>Understanding Learning challenges and Modality Preferences of Students with Blindness Using an Interactive Audio-Tactile Learning System</t>
  </si>
  <si>
    <t>https://doi.org/10.1145/3715335.3735474</t>
  </si>
  <si>
    <t>Recent technological advancements have transformed learning, fostering understanding, interaction, and collaboration. However, accessibility challenges persist for students with blindness and visual impairment (BVI), particularly in text comprehension, concept grasping, and educational material navigation. Existing assistive solutions often require external support, underscoring the need for independent, user-friendly systems. This study investigates the learning challenges faced by students with blindness during independent lecture-based learning and explores their preferences for audio-tactile interactive systems and the effectiveness of multimodality-based learning setups. A mixed methods approach, combining qualitative and quantitative research, was employed to evaluate the effectiveness of multimodal learning among 30 blind students. The results suggest that multimodal learning, which combines audio and tactile approaches, can provide a promising balance between performance and user experience, highlighting its potential advantages for comprehension tasks in self-study scenarios. This research contributes to developing inclusive technologies and learning frameworks that empower BVI students by promoting independent learning and reducing the reliance on external assistance.</t>
  </si>
  <si>
    <t>Blind and Visually Impaired, Education, Multimodal, Cognition, Assistive Technology, Audio-Tactile, Accessibility, Independent Learning</t>
  </si>
  <si>
    <t>AutomotiveUI '22: Proceedings of the 14th International Conference on Automotive User Interfaces and Interactive Vehicular Applications</t>
  </si>
  <si>
    <t>IC3-2024: Proceedings of the 2024 Sixteenth International Conference on Contemporary Computing</t>
  </si>
  <si>
    <t>VRST '23: Proceedings of the 29th ACM Symposium on Virtual Reality Software and Technology</t>
  </si>
  <si>
    <t>Riani, Kais and Papakostas, Michalis and Kokash, Hussein and Abouelenien, Mohamed and Burzo, Mihai and Mihalcea, Rada</t>
  </si>
  <si>
    <t>Towards detecting levels of alertness in drivers using multiple modalities</t>
  </si>
  <si>
    <t>https://doi.org/10.1145/3389189.3389192</t>
  </si>
  <si>
    <t>Distracted and drowsy driving are two very common causes of car accidents as they contribute to 2.3% of all the fatalities caused on the US roads. Therefore, in the era of smart driving there is an increased need of technologies able to monitor driver's alertness and provide timely alerts to the driver. In this paper, we conduct as pilot study and we present a preliminary, yet novel multimodal dataset, collected from 10 subjects using three different modalities. Our modalities include a thermal camera, an RGB camera, and four physiological indicators. The dataset consists of two recording sessions for each subject, thus, offering in total 20 multimodal driving sessions. We propose a machine learning framework aiming to investigate the hypothesis that multimodal features have higher potential towards driver alertness detection. Our dataset and analysis focus on exploring the differences between alertness and drowsiness as they intersect with the presence of different distractions. The results highlight the validity of our hypothesis and introduce interesting future directions for research.</t>
  </si>
  <si>
    <t>action units, classification, distracted driving, driver alertness, machine learning, multimodal dataset, thermal imaging</t>
  </si>
  <si>
    <t>ICAAI '24: Proceedings of the 2024 8th International Conference on Advances in Artificial Intelligence</t>
  </si>
  <si>
    <t>Penzenstadler, Birgit</t>
  </si>
  <si>
    <t>Where attention goes, energy flows: enhancing individual sustainability in software engineering</t>
  </si>
  <si>
    <t>https://doi.org/10.1145/3401335.3401684</t>
  </si>
  <si>
    <t>Software engineers are plagued by the same troubles as many others in highly skilled jobs and digitized environments: Ever-expanding to-do lists, time to market pressure from management, deadline-driven development, continuous interruption during working tasks, and the juggle of balancing that with other areas of life (physical, mental and emotional health, family, household, finance, friends, hobbies and community service). These demands of life in combination with a seemingly ever-increasing pace wear or burn out many people in the long run. Specifically, as software engineers, this also leads to decreased creativity and less efficiency in problem-solving. Generally offered solutions are reducing screen time and spending more time outdoors, both of which are hard to do within the work of a software engineer. On a meta level, if the developers of the systems that run most of our world do not develop individual sustainability with a balanced pace of life, that imbalance propagates into the systems we develop (similar to Conway's Law). We argue that mindfulness practices like yoga poses (asanas), breathing practices, and meditation exercises can help individually, and even more effectively in combination. In this exploratory paper, we discuss related work that explores the application of these mitigations in other application domains and propose a research agenda to explore their use within software engineering education and practice.Engaging with mindfulness practices in the context of software engineering promises to enhance creativity and cognitive problem-solving skills, leading to more efficiency and effectiveness during software development and increased individual sustainability. This, in turn, leads to better team spirit as well as increased economic profit, both in terms of maintaining human capital and customer contract deliverables.</t>
  </si>
  <si>
    <t>breath-work, individual sustainability, meditation, software engineering, yoga</t>
  </si>
  <si>
    <t>Kanal, Varun and Abujelala, Maher and Brady, James and Wylie, Glenn and Makedon, Fillia</t>
  </si>
  <si>
    <t>Adaptive robotic rehabilitation using muscle fatigue as a trigger</t>
  </si>
  <si>
    <t>https://doi.org/10.1145/3360774.3360789</t>
  </si>
  <si>
    <t>Fatigue is a pervasive symptom following brain injury or disease. It has been known to impact recovery and hence is an important factor in rehabilitation. Robotic rehabilitation may be one way to reduce fatigue because of the robot's capability to adapt to user's performance. This paper explores an adaptive rehabilitation system to provide personalized upper limb rehabilitation. The system collects EMG data from the major muscles responsible for movement and adapts the forces used for rehabilitation (assistive and resistive) in real time based on muscle fatigue. Experimental results and the user survey outcomes show that the system was able to detect the onset of fatigue within ± 10 seconds error margin. Overall, it was found that the subjects experienced lower fatigue and had a higher probability of compliance and engagement with the proposed robotic rehabilitation system.</t>
  </si>
  <si>
    <t>EMG, assistive robots, fatigue, human-computer interaction, personalized rehabilitation, robotic rehabilitation, signal processing and adaptive forces</t>
  </si>
  <si>
    <t>SUI '23: Proceedings of the 2023 ACM Symposium on Spatial User Interaction</t>
  </si>
  <si>
    <t>LAK '25: Proceedings of the 15th International Learning Analytics and Knowledge Conference</t>
  </si>
  <si>
    <t>LAK '24: Proceedings of the 14th Learning Analytics and Knowledge Conference</t>
  </si>
  <si>
    <t>AutomotiveUI '25: Proceedings of the 17th International Conference on Automotive User Interfaces and Interactive Vehicular Applications</t>
  </si>
  <si>
    <t>CHI PLAY Companion '23: Companion Proceedings of the Annual Symposium on Computer-Human Interaction in Play</t>
  </si>
  <si>
    <t>W4A '25: Proceedings of the 22nd International Web for All Conference</t>
  </si>
  <si>
    <t>ISS Companion '23: Companion Proceedings of the 2023 Conference on Interactive Surfaces and Spaces</t>
  </si>
  <si>
    <t>ICDSDI '25: Proceedings of the 2025 2nd International Conference on Digital Systems and Design Innovation</t>
  </si>
  <si>
    <t>ICCIP '24: Proceedings of the 2024 10th International Conference on Communication and Information Processing</t>
  </si>
  <si>
    <t>KDD '25: Proceedings of the 31st ACM SIGKDD Conference on Knowledge Discovery and Data Mining V.2</t>
  </si>
  <si>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</si>
  <si>
    <t>CAIBDA '24: Proceedings of the 2024 4th International Conference on Artificial Intelligence, Big Data and Algorithms</t>
  </si>
  <si>
    <t>Stuart, Michael T. and Kneer, Markus</t>
  </si>
  <si>
    <t>Guilty Artificial Minds: Folk Attributions of Mens Rea and Culpability to Artificially Intelligent Agents</t>
  </si>
  <si>
    <t>https://doi.org/10.1145/3479507</t>
  </si>
  <si>
    <t>While philosophers hold that it is patently absurd to blame robots or hold them morally responsible [1], a series of recent empirical studies suggest that people do ascribe blame to AI systems and robots in certain contexts [2]. This is disconcerting: Blame might be shifted from the owners, users or designers of AI systems to the systems themselves, leading to the diminished accountability of the responsible human agents [3]. In this paper, we explore one of the potential underlying reasons for robot blame, namely the folk's willingness to ascribe inculpating mental states or "mens rea" to robots. In a vignette-based experiment (N=513), we presented participants with a situation in which an agent knowingly runs the risk of bringing about substantial harm. We manipulated agent type (human v. group agent v. AI-driven robot) and outcome (neutral v. bad), and measured both moral judgment (wrongness of the action and blameworthiness of the agent) and mental states attributed to the agent (recklessness and the desire to inflict harm). We found that (i) judgments of wrongness and blame were relatively similar across agent types, possibly because (ii) attributions of mental states were, as suspected, similar across agent types. This raised the question - also explored in the experiment - whether people attribute knowledge and desire to robots in a merely metaphorical way (e.g., the robot "knew" rather than really knew). However, (iii), according to our data people were unwilling to downgrade to mens rea in a merely metaphorical sense when given the chance. Finally, (iv), we report a surprising and novel finding, which we call the inverse outcome effect on robot blame: People were less willing to blame artificial agents for bad outcomes than for neutral outcomes. This suggests that they are implicitly aware of the dangers of overattributing blame to robots when harm comes to pass, such as inappropriately letting the responsible human agent off the moral hook.</t>
  </si>
  <si>
    <t>artificial intelligence, blame, ethics of ai, intentional stance, mens rea, moral judgment, theory of mind</t>
  </si>
  <si>
    <t>AutomotiveUI '24: Proceedings of the 16th International Conference on Automotive User Interfaces and Interactive Vehicular Applications</t>
  </si>
  <si>
    <t>UIST '25: Proceedings of the 38th Annual ACM Symposium on User Interface Software and Technology</t>
  </si>
  <si>
    <t>SIGCSE Virtual 2024: Proceedings of the 2024 on ACM Virtual Global Computing Education Conference V. 1</t>
  </si>
  <si>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</si>
  <si>
    <t>IPMLP '24: Proceedings of the International Conference on Image Processing, Machine Learning and Pattern Recognition</t>
  </si>
  <si>
    <t>AM '24: Proceedings of the 19th International Audio Mostly Conference: Explorations in Sonic Cultures</t>
  </si>
  <si>
    <t>iWOAR '22: Proceedings of the 7th International Workshop on Sensor-based Activity Recognition and Artificial Intelligence</t>
  </si>
  <si>
    <t>Garro, Valeria and Sundstedt, Veronica and Navarro, Diego</t>
  </si>
  <si>
    <t>A review of current trends on visual perception studies in virtual and augmented reality</t>
  </si>
  <si>
    <t>https://doi.org/10.1145/3415263.3419144</t>
  </si>
  <si>
    <t>In the development of novel algorithms and techniques in virtual and augmented reality (VR/AR), it is crucial to take human visual perception into account. For example, when hardware resources are a restraining factor, the limitations of the human visual system can be exploited in the creation and evaluation of new effective techniques. Over the last decades, visual perception evaluation studies have become a vital part of the design, development, and evaluation of immersive computer graphics applications. This course aims at introducing the attendees to the basic concepts of visual perception applied to computer graphics and it offers an overview of recent perceptual evaluation studies that have been conducted with head-mounted displays (HMDs) in the context of VR and AR applications. During this course, we call attention to the latest published courses and surveys on visual perception applied to computer graphics and interaction techniques. Through an extensive search in the literature, we have identified six main areas in which recent visual perceptual evaluation studies have been focused on: distance perception, avatar perception, image quality, interaction, motion perception, and cybersickness. Trends, main results, and open challenges are discussed for each area and accompanied with relevant references offering the attendees a wide introduction and perspective on the topic.</t>
  </si>
  <si>
    <t>augmented reality, head mounted device, virtual reality, visual perception</t>
  </si>
  <si>
    <t>UIST '24: Proceedings of the 37th Annual ACM Symposium on User Interface Software and Technology</t>
  </si>
  <si>
    <t>ETRA '23: Proceedings of the 2023 Symposium on Eye Tracking Research and Applications</t>
  </si>
  <si>
    <t>AIES '23: Proceedings of the 2023 AAAI/ACM Conference on AI, Ethics, and Society</t>
  </si>
  <si>
    <t>BDIOT '24: Proceedings of the 2024 8th International Conference on Big Data and Internet of Things</t>
  </si>
  <si>
    <t>SIGGRAPH '24: ACM SIGGRAPH 2024 Posters</t>
  </si>
  <si>
    <t>ISCA '25: Proceedings of the 52nd Annual International Symposium on Computer Architecture</t>
  </si>
  <si>
    <t>EITCE '23: Proceedings of the 2023 7th International Conference on Electronic Information Technology and Computer Engineering</t>
  </si>
  <si>
    <t>SUI '24: Proceedings of the 2024 ACM Symposium on Spatial User Interaction</t>
  </si>
  <si>
    <t>VRST '22: Proceedings of the 28th ACM Symposium on Virtual Reality Software and Technology</t>
  </si>
  <si>
    <t>PCI '23: Proceedings of the 27th Pan-Hellenic Conference on Progress in Computing and Informatics</t>
  </si>
  <si>
    <t>CAMMIC '25: Proceedings of the 2025 5th International Conference on Applied Mathematics, Modelling and Intelligent Computing</t>
  </si>
  <si>
    <t>ICTIR '25: Proceedings of the 2025 International ACM SIGIR Conference on Innovative Concepts and Theories in Information Retrieval (ICTIR)</t>
  </si>
  <si>
    <t>Welcome to ACM ICTIR 2025, the 11th ACM SIGIR / the 15th International Conference on Innovative Concepts and Theories in Information Retrieval. ICTIR went through a number of major developments in 2025 that are briefly described below.A new chapter in the history of ICTIR: Ten years ago, ICTIR 2015 was established under the ACM SIGIR umbrella as the premier forum for presenting and discussing research on theoretical and foundational aspects of Information Retrieval. Given the evolving nature of the Information Retrieval field and the needs of the SIGIR community and the conference, ACM ICTIR, formerly known as the "ACM SIGIR International Conference on the Theory of Information Retrieval", is renamed to ACM SIGIR International Conference on Innovative Concepts and Theories in Information Retrieval.This new branding highlights and clarifies the focus of the conference for the authors, the reviewers, and the organizers. The conference aims to provide a forum for the presentation and discussion of research related to the foundational aspects of Information Retrieval (IR), including, for example, new or improved models of relevance, ranking, representation, information needs, and evaluation. The conference also welcomes interdisciplinary research that connects information retrieval with other research disciplines that are theoretically motivated. We use the definition of foundation used by ICTIR founders as a scientific result that others can build upon and use for their own research. While IR research traditionally relies heavily on rigorous experimentation, ICTIR does not see this as a must.SIGIR Revise-and-Resubmit for ICTIR: For the first time, ICTIR 2025 accepts two types of submissions: regular submissions and SIGIR Revise-and-Resubmit (SIGIR-RR) submissions. SIGIRRR submissions are for revised manuscripts of papers that were submitted to but not accepted by the SIGIR 2025 conference (only full and short paper tracks). Authors can use this option to address the issues raised in the SIGIR 2025 reviews and revise the paper accordingly.Special Theme: Even though ICTIR 2025 welcomes papers on all areas of Information Retrieval as detailed above, its program especially welcomes research papers related to the following theme: "LLMs + IR, what could possibly go wrong?" This theme stands on the long-term relationship between large language models and information retrieval. In order to foster a lively discussion on this theme, we seek innovative and foundational technical research papers and discussion papers that methodologically studies this theme by providing impactful perspectives, opinions, or positions on the matter.</t>
  </si>
  <si>
    <t>SUI '22: Proceedings of the 2022 ACM Symposium on Spatial User Interaction</t>
  </si>
  <si>
    <t>iWOAR '23: Proceedings of the 8th international Workshop on Sensor-Based Activity Recognition and Artificial Intelligence</t>
  </si>
  <si>
    <t>Ullmer, Brygg and Shaer, Orit and Mazalek, Ali and Hummels, Caroline</t>
  </si>
  <si>
    <t>Weaving Fire into Form: Aspirations for Tangible and Embodied Interaction</t>
  </si>
  <si>
    <t>This book investigates multiple facets of the emerging discipline of Tangible, Embodied, and Embedded Interaction (TEI). This is a story of atoms and bits. We explore the interweaving of the physical and digital, toward understanding some of their wildly varying hybrid forms and behaviors. Spanning conceptual, philosophical, cognitive, design, and technical aspects of interaction, this book charts both history and aspirations for the future of TEI. We examine and celebrate diverse trailblazing works, and provide wide-ranging conceptual and pragmatic tools toward weaving the animating fires of computation and technology into evocative tangible forms. We also chart a path forward for TEI engagement with broader societal and sustainability challenges that will profoundly (re)shape our children’s and grandchildren’s futures. We invite you all to join this quest.</t>
  </si>
  <si>
    <t>SIGIR '24: Proceedings of the 47th International ACM SIGIR Conference on Research and Development in Information Retrieval</t>
  </si>
  <si>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</si>
  <si>
    <t>ICCPS '23: Proceedings of the ACM/IEEE 14th International Conference on Cyber-Physical Systems (with CPS-IoT Week 2023)</t>
  </si>
  <si>
    <t>ECSEE '23: Proceedings of the 5th European Conference on Software Engineering Education</t>
  </si>
  <si>
    <t>ICBBS '22: Proceedings of the 2022 11th International Conference on Bioinformatics and Biomedical Science</t>
  </si>
  <si>
    <t>SPML '22: Proceedings of the 2022 5th International Conference on Signal Processing and Machine Learning</t>
  </si>
  <si>
    <t>AAMAS '24: Proceedings of the 23rd International Conference on Autonomous Agents and Multiagent Systems</t>
  </si>
  <si>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</si>
  <si>
    <t>ASPDAC '24: Proceedings of the 29th Asia and South Pacific Design Automation Conference</t>
  </si>
  <si>
    <t>ASP-DAC is a high-quality and premium conference on Electronic Design Automation (EDA) area like other sister conferences such as Design Automation Conference (DAC), Design, Automation &amp;amp; Test in Europe (DATE), International Conference on Computer-Aided Design (ICCAD), and Embedded Systems Week (ESWEEK). ASP-DAC started in 1995 and has continuously offered opportunity to know the recent advanced technologies on LSI design and design automation areas, and to communicate each other for researchers and designers around Asia and South Pacific regions.</t>
  </si>
  <si>
    <t>Kim, S.</t>
  </si>
  <si>
    <t>Cognitive efficiency in VR simulated natural indoor environments examined through EEG and affective responses</t>
  </si>
  <si>
    <t>https://www.scopus.com/inward/record.uri?eid=2-s2.0-105017610930&amp;doi=10.1038%2Fs41598-025-18629-z&amp;partnerID=40&amp;md5=3252dd909bd5f6250b844de4f2bd7603</t>
  </si>
  <si>
    <t>This study investigated the neurophysiological and affective responses elicited by nature-inspired indoor design elements, including curvilinear forms (CL), nature views (N), and wooden interiors (W), in a virtual environment, and their effects on cognitive performance. Thirty-six participants experienced one control and three experimental conditions in a within-subject design. Electroencephalography (EEG) was used to record neural activity, relaxation and valence ratings assessed affective states, and standardized tasks measured cognitive performance. The W condition elicited EEG patterns indicative of relaxed attentional engagement, including increased alpha-to-theta (ATR) and alpha-to-beta (ABR) ratios, and a decreased theta-to-beta (TBR) ratio. These neural patterns were associated with higher self-reported relaxation and positive affect, and with enhanced cognitive performance relative to the control condition. In contrast, the CL and N conditions did not improve cognitive performance, and the N condition showed elevated physiological arousal, likely due to heightened visual stimulation. Regression analysis identified ATR and relaxation as significant predictors of cognitive performance, emphasizing the role of emotional stability and neural balance in supporting task engagement. Overall, the findings highlight the potential of nature-inspired design to foster a synergy between psychological relaxation and cognitive attention, though further research is needed across diverse spatial typologies to isolate specific design parameters. © 2025 Elsevier B.V., All rights reserved.</t>
  </si>
  <si>
    <t>adult; affect; attention; cognition; electroencephalography; female; human; male; physiology; virtual reality; young adult; Adult; Affect; Attention; Cognition; Electroencephalography; Female; Humans; Male; Virtual Reality; Young Adult</t>
  </si>
  <si>
    <t>Meets inclusion criteria: Publication year 2025; abstract in English; primary research (not labeled as review); mentions BCI/EEG/neurofeedback and targets mental health or cognitive outcomes.</t>
  </si>
  <si>
    <t>The study was considered relevant because it meets all inclusion criteria and does not appear to violate any exclusion criteria based on the provided title and abstract.
1.  **Publication Period:** Published in 2025, which falls within the 2020-2025 range.
2.  **Publication Type:** The abstract describes an empirical study with participants, methods (EEG, standardized tasks), and results, indicating it is a main paper and not a review.
3.  **Language:** The title and abstract are in English.
4.  **Thematic Scope:** The study explicitly uses "Electroencephalography (EEG)" and investigates its application to "cognitive performance" and "cognitive attention," which directly aligns with the "Cognitive and Neurological Enhancement" aspect of the thematic scope. It also touches on "relaxation" and "affective responses," further supporting its relevance to mental states.
5.  **Exclusion Criteria:** No exclusion criteria are met. It is not outside the defined period, is focused on cognitive enhancement, appears to be peer-reviewed (Elsevier B.V.), and is not exclusively focused on technical hardware. The length cannot be determined from the abstract, but the scope of the study suggests it is a full paper.</t>
  </si>
  <si>
    <t>Binarti, F.; Sekarlangi, N.; Brilianto, M.K.V.; Hakim, B.R.</t>
  </si>
  <si>
    <t>EEG-Based Neurophysiological Responses to Classroom Window Views in Green Campus Settings</t>
  </si>
  <si>
    <t>https://www.scopus.com/inward/record.uri?eid=2-s2.0-105017554919&amp;doi=10.15627%2Fjd.2025.23&amp;partnerID=40&amp;md5=2d2040446bbb14128eb910c301914334</t>
  </si>
  <si>
    <t>This study examines the neurophysiological responses of students to different classroom window views - forest, park, and city - within energy-efficient, green campus environments. Ten architecture students participated in EEG recordings while experiencing six virtual reality-simulated classroom conditions featuring varied window orientations and external views. The classroom models were designed to meet green building standards, with energy and daylighting performance validated using OTTV calculations and simulations in EnergyPlus and Radiance via DesignBuilder. EEG data were recorded using a 14-channel Emotiv EPOC X headset and analysed across delta to gamma frequency bands through power spectral and topographic mapping. Results revealed that forest views consistently evoked the most restorative neural responses, indicated by increased alpha and theta activity and decreased beta and gamma power. City views triggered neural patterns associated with cognitive load and overstimulation, while park views supported balanced attentional engagement. These findings highlight the importance of integrating biophilic elements - particularly dense greenery - into classroom design to enhance students’ cognitive performance and psychological well-being in sustainable educational settings. © 2025 Elsevier B.V., All rights reserved.</t>
  </si>
  <si>
    <t>The study aligns strongly with all inclusion criteria. It was published in 2025, falling within the 2020-2025 period. The abstract describes an empirical study, indicating it is a main paper and not a review, and it is presented in English. Crucially, the study utilizes EEG to examine neurophysiological responses, directly addressing the "EEG" component of the thematic scope. Furthermore, its focus on "enhancing students’ cognitive performance and psychological well-being," "restorative neural responses," "cognitive load," and "attentional engagement" directly relates to the "Cognitive and Neurological Enhancement" and "Mental Health" aspects of the thematic scope. No exclusion criteria are met, as it is not focused exclusively on technical hardware, and its scope is clearly within mental health and cognitive enhancement.</t>
  </si>
  <si>
    <t>Alagöz, I.; Demirkan, E.; Özkadı, T.; Yildirim, T.</t>
  </si>
  <si>
    <t>The effect of sports on mental performance according to skill types in youth athletes</t>
  </si>
  <si>
    <t>https://www.scopus.com/inward/record.uri?eid=2-s2.0-105015480737&amp;doi=10.1186%2Fs13102-025-01320-1&amp;partnerID=40&amp;md5=e65b50281140b1d4a2430b3ca00ac857</t>
  </si>
  <si>
    <t>Background: It is known that high-level performance in athletes is not only limited to physical competence and technical skills, but also cognitive functions such as attention, concentration, stress management and reaction time play a decisive role. The aim of this study was to examine the cognitive performance levels of athletes in different skill types (team, individual, combat, racket). Methods: The study was conducted with a total of 214 athletes between the ages of 14–16 with at least three years of regular training history, including team (n = 64), individual (n = 48), racket (n = 27) and combat (n = 75). Cognitive performance measurements were made before training. Attention and concentration levels were assessed using NeuroSky MindWave EEG device, stress level was assessed using HeartMath Inner Balance device and reaction time was assessed using CatchPad device. Results: Combat athletes demonstrated significantly higher cognitive scores in attention (X̄ = 53.77 ± 24.86 s; F = 26.43, p &lt;.001, η² = 0.318) and concentration (X̄ = 22.51 ± 15.90 s; F = 18.49, p &lt;.001, η² = 0.360) compared to other groups. Racket sports athletes exhibited the fastest reaction times (X̄ = 0.35 ± 0.04 s; F = 11.66, p &lt;.001, η² = 0.184) and the highest inner balance coherence (X̄ = 1.85 ± 0.38; F = 15.54, p &lt;.001, η² = 0.188). Significant group differences were also observed in intrinsic heart rate variability (Inner Balance Avg BPM), with combat athletes recording the highest average (X̄ = 79.48 ± 12.18 bpm; F = 10.80, p &lt;.001, η² = 0.142). Discriminant analysis revealed a high classification success rate for racket (85.2%) and combat athletes (81.3%) based on cognitive and psychophysiological variables. Conclusion: The findings of this study demonstrate that different sport skill types are associated with distinct cognitive performance profiles. These results may provide valuable insight for coaches, trainers, and sport psychologists in designing branch-specific cognitive training strategies and talent identification protocols. More broadly, the study highlights the critical role of sport participation in shaping not only physical but also neurocognitive development during adolescence. © 2025 Elsevier B.V., All rights reserved.</t>
  </si>
  <si>
    <t>adolescence; adult; article; athlete; attention; coach; cognition; cognitive rehabilitation; controlled study; discriminant analysis; electroencephalogram; electroencephalography; female; heart rate; heart rate variability; heart rhythm; human; juvenile; major clinical study; male; mental performance; normal human; participation; physiological stress; psychologist; racquet sport; reaction time; skill; sport; stress management</t>
  </si>
  <si>
    <t>The study strongly aligns with all inclusion criteria and does not meet any exclusion criteria.
1.  **Publication Period:** The article was published in 2025, which falls within the specified range of 2020-2025.
2.  **Publication Type:** The abstract structure (Background, Methods, Results, Conclusion) indicates it is a main research paper, not a review.
3.  **Language:** The publication is in English.
4.  **Thematic Scope:** The study explicitly uses a "NeuroSky MindWave EEG device" to assess "attention and concentration levels," directly linking EEG (a BCI-related technology) to cognitive enhancement. It also assesses "stress level" using a "HeartMath Inner Balance device," which is a biofeedback device, often considered within the broader scope of neurofeedback/BCI for mental health applications. The focus on "cognitive performance levels," "attention, concentration, stress management," and "neurocognitive development" aligns perfectly with the "Mental Health" and "Cognitive and Neurological Enhancement" themes.
5.  **Exclusion Criteria:** No exclusion criteria are met. The study is within the defined period, focused on relevant themes, appears to be peer-reviewed, uses BCI/EEG for cognitive/mental health assessment (not exclusively technical hardware aspects), and is unlikely to be a short article given its detailed methodology and results.</t>
  </si>
  <si>
    <t>Hertenstein, E.; Angelillo, M.; Henckaerts, P.; Schneider, C.L.; Fehér, K.D.; Riemann, D.; Feige, B.; Spiegelhalder, K.; Johann, A.; Türkmen, C.; Nissen, C.</t>
  </si>
  <si>
    <t>https://www.scopus.com/inward/record.uri?eid=2-s2.0-105013779074&amp;doi=10.1016%2Fj.smrv.2025.102153&amp;partnerID=40&amp;md5=6af0b86d477821dbd582dd3a45d8991f</t>
  </si>
  <si>
    <t>Insomnia disorder is a prevalent health problem with adverse consequences for mental health and quality of life. Although insomnia disorder is defined in diagnostic systems as a subjective complaint about sleep, this understanding is not consistently applied in clinical settings. There remains a lack of clarity regarding the mechanisms underlying subjective sleep complaints and associated daytime impairments. This systematic umbrella review of meta-analyses aimed to compare subjective and objective health-related variables between patients with insomnia disorder and controls, characterizing insomnia comprehensively. After a systematic literature search, we included six meta-analyses comparing patients with insomnia disorder and controls in terms of subjective sleep (sleep diaries), objective sleep (polysomnography), peripheral brain-derived neurotrophic factor, cortisol, objective cognitive performance, blood pressure and EEG spectral power. The pattern of results suggests that differences between patients with insomnia disorder and healthy controls are largest and most consistent for subjective sleep. Objective between-group effect sizes were largest for unspecific stress markers such as brain-derived neurotrophic factor and cortisol. Variables expected to be abnormal in those with objective sleep deprivation, such as objective attention and alertness, showed minimal group differences. Also in terms of sleep, effect sizes for subjective variables were consistently larger than those for objective variables. Critical appraisal of the quality of the included meta-analyses using the AMSTAR 2 tool suggested moderate overall confidence in the results, whereby shortcomings in several critical domains such as pre-registration of the study protocol and justification for the inclusion of individual studies have been identified. Our findings highlight that insomnia disorder is characterized by large reductions in subjective sleep quality, in the absence of large objective alterations. This body of evidence supports a biopsychosocial conceptualization of chronic insomnia disorder with a strong psychological component. © 2025 Elsevier B.V., All rights reserved.</t>
  </si>
  <si>
    <t>brain derived neurotrophic factor; hydrocortisone; alertness; attention; biopsychosocial model; blood pressure; circadian rhythm; comparative study; electroencephalogram; human; insomnia; mental performance; physiological stress; polysomnography; publication; Review; sleep deprivation; sleep parameters; sleep quality; systematic review; blood; electroencephalography; meta analysis (topic); pathophysiology; physiology; psychology; sleep; Brain-Derived Neurotrophic Factor; Electroencephalography; Humans; Hydrocortisone; Meta-Analysis as Topic; Polysomnography; Sleep; Sleep Initiation and Maintenance Disorders</t>
  </si>
  <si>
    <t>Excluded (score 0) due to:
- Identified as a review/meta-analysis based on title/abstract.
Also observed positive signals: year 2025, BCI-related term present, mental-health target present, cognitive target present.</t>
  </si>
  <si>
    <t>The study does not meet two key inclusion criteria. Firstly, it is explicitly described as a "systematic umbrella review of meta-analyses," which is a type of review, not a main paper presenting primary research, thus violating the "Publication Type: Main Papers (not reviews)" criterion. Secondly, while the study addresses mental health (insomnia) and mentions EEG spectral power as one of the variables compared, its thematic scope is not on Brain-Computer Interfaces (BCI, BMI, neurofeedback, EEG) *applied as an intervention or core technology* for mental health or cognitive enhancement. Instead, it is a review characterizing insomnia by comparing various subjective and objective measures, with EEG being one of many measurement variables, not the primary focus of BCI/EEG application.</t>
  </si>
  <si>
    <t>Chan, W.-L.; Olbrich, S.; Jiang, X.; Zhang, H.; Ip, C.-T.; Brunovsky, M.</t>
  </si>
  <si>
    <t>https://www.scopus.com/inward/record.uri?eid=2-s2.0-105006745816&amp;doi=10.1016%2Fj.jad.2025.119477&amp;partnerID=40&amp;md5=30d077918e60401b7842ab482bdbcbc2</t>
  </si>
  <si>
    <t>Major depressive disorder, particularly its treatment-resistant form (TRD), poses significant treatment challenges. Ketamine, an N-methyl-D-aspartate receptor antagonist, has shown promise in rapidly alleviating depressive symptoms by influencing neuroplasticity and glutamatergic modulation, which are thought to influence brain activity complexity. In this placebo-controlled study, we examined the effects of subanesthetic doses of intravenous ketamine on EEG signal complexity in 24 MDD patients, 21 of whom had TRD. Treatment response was defined by a ≥ 33 % reduction in Montgomery-Åsberg Depression Rating Scale (MADRS) after ketamine administration. Patients underwent eyes-closed resting state EEG recording pre-, start-, end- and 24 h post-infusion, analyzed for temporospatial and spatiotemporal Lempel-Ziv complexity (LZC&lt;inf&gt;T&lt;/inf&gt; and LZC&lt;inf&gt;S&lt;/inf&gt;). Results indicated that ketamine significantly increased whole-brain LZC&lt;inf&gt;T&lt;/inf&gt; during infusion compared to placebo (sodium chloride 0.9 %) (16.90 % vs. -4.84 %, 95 % CI 4.29 to 39.18, p = 0.017). Elevated LZC&lt;inf&gt;T&lt;/inf&gt; at end-pre was associated with less short-term symptom improvement the following day. Conversely, lower pretreatment occipital LZC&lt;inf&gt;T&lt;/inf&gt; (0.33 vs. 0.46, 95 % CI 0.007 to 0.26, p = 0.040) predicted a favorable response to ketamine, supported by a logistic regression model with an ROC area of 0.75. No significant changes were observed in LZC&lt;inf&gt;S&lt;/inf&gt;, suggesting limited utility as a biomarker. In conclusion, occipital LZC&lt;inf&gt;T&lt;/inf&gt; could serve as an effective predictive biomarker for ketamine's therapeutic effects in MDD, with implications for patients with TRD. This underscores the potential of EEG complexity measures in stratifying treatment and enhancing our understanding of the neural impacts of ketamine in depressive disorders. © 2025 Elsevier B.V., All rights reserved.</t>
  </si>
  <si>
    <t>ketamine; sodium chloride; amino acid receptor blocking agent; adult; Article; blood sampling; clinical article; controlled study; electroencephalogram; female; functional magnetic resonance imaging; human; loading drug dose; major depression; male; mini international neuropsychiatric interview; Montgomery Asberg Depression Rating Scale; single blind procedure; treatment resistant depression; treatment response; brain; double blind procedure; drug effect; drug therapy; electroencephalography; middle aged; pathophysiology; randomized controlled trial; treatment outcome; Adult; Brain; Depressive Disorder, Major; Depressive Disorder, Treatment-Resistant; Double-Blind Method; Electroencephalography; Excitatory Amino Acid Antagonists; Female; Humans; Ketamine; Male; Middle Aged; Treatment Outcome</t>
  </si>
  <si>
    <t>The study strongly aligns with all inclusion criteria. It was published in 2025, falling within the 2020-2025 publication period. The abstract describes an original, placebo-controlled study, indicating it is a main paper and not a review. The publication is in English. The thematic scope is directly relevant, as it uses EEG signal complexity (a form of neurophysiological measurement related to BCI/neurofeedback) to investigate treatment stratification in Major Depressive Disorder, which falls under the "Mental Health" category. No exclusion criteria are met; the study is clearly focused on mental health, appears to be peer-reviewed, and is not exclusively focused on technical hardware aspects unrelated to cognition or mental health.</t>
  </si>
  <si>
    <t>Clemente, L.; Paparella, G.; Scannicchio, S.; Abbatantuono, C.; Tancredi, G.; Ladisa, E.; Delussi, M.D.; Ammendola, E.; Prudenzano, A.M.P.; De Tommaso, M.</t>
  </si>
  <si>
    <t>Dorso lateral prefrontal cortex stimulation with TMS in chronic migraine individuals refractory to anti-CGRP monoclonal antibodies: Clinical, neuropsychological and neurophysiological effects</t>
  </si>
  <si>
    <t>https://www.scopus.com/inward/record.uri?eid=2-s2.0-105016631229&amp;doi=10.1177%2F03331024251364843&amp;partnerID=40&amp;md5=32917f555c0b042dfad7526f0bcb2061</t>
  </si>
  <si>
    <t>BackgroundPeople with high-frequency episodic migraine or chronic migraine may have resistant or refractory forms. The lack of efficacy of pharmacologic therapies is a major clinical challenge that requires alternative strategies, including neuromodulation and exploration of new targets to improve disease management. The present study aimed to test the effectiveness of an accelerated protocol of theta burst stimulation (iTBS) via the dorso lateral prefrontal cortex (DLPFC) in a group of chronic migraine individuals who did not respond to monoclonal antibodies against calcitonin gene-related peptide (CGRP). The co-primary outcomes were the reduction in monthly headache frequency, use of symptomatic medication and perceived pain intensity. In parallel we wanted to understand the possible role of the prefrontal cortex in the emotional and cognitive functions likely responsible for treatment failure and to offer a possible non-pharmacologic option to individuals with difficult-to-treat migraine. To this end, we measured clinical outcomes along with an electroencephalogram (EEG) and behavioral responses to cognitive and emotional tests related to prefrontal functions.MethodsThis study was conducted in a controlled, single-blind design in 12 people with chronic refractory migraine. An accelerated protocol of iTBS on DLPFC was preceded by a sham session and followed by a two-month follow-up. Clinical data were collected and a neuropsychological assessment including anxiety, depression and cognitive profile was performed. Cognitive and emotional Stroop testing was performed at baseline, after sham and real stimulation, and at follow-up during high-density EEG recording to obtain event-related potentials (N2, N400 and late sustained potential (LP)). Stroop data from an age- and sex-matched control group were compared with those of migraine individuals.ResultsMonthly headache days, monthly medication days and headache intensity improved after real stimulation. A similar trend emerged for anxiety, depression, and cognitive performance. The Stroop test was impaired in the baseline, as evidenced by an increase in reaction time and a decrease in N2 and LP in the cognitive task, which returned to normal after real iTBS and at follow-up.ConclusionsThe results support the efficacy of iTBS as a non-invasive neuromodulation approach for the treatment of chronic, refractory migraine. They tentatively point to the role of cognitive fog and psychopathological symptoms in refractoriness to anti-CGRP drugs, which should be confirmed in larger multicenter studies, and suggest this non-pharmacological approach as another promising therapeutic option for people with difficult-to-treat migraine. This record is sourced from MEDLINE/PubMed, a database of the U.S. National Library of Medicine</t>
  </si>
  <si>
    <t>calcitonin gene related peptide; monoclonal antibody; adult; chronic disease; female; human; immunology; male; middle aged; migraine; neuropsychological assessment; pathophysiology; physiology; prefrontal cortex; procedures; single blind procedure; therapy; transcranial magnetic stimulation; treatment outcome; young adult; Adult; Antibodies, Monoclonal; Calcitonin Gene-Related Peptide; Chronic Disease; Female; Humans; Male; Middle Aged; Migraine Disorders; Neuropsychological Tests; Prefrontal Cortex; Single-Blind Method; Transcranial Magnetic Stimulation; Treatment Outcome; Young Adult</t>
  </si>
  <si>
    <t>The study meets all inclusion criteria. It was published in 2025, falling within the specified publication period (2020-2025). The abstract describes an experimental study with methods, results, and conclusions, indicating it is a main research paper and not a review. The publication is in English. The thematic scope is well-aligned: it uses neuromodulation (iTBS) and electroencephalogram (EEG) measurements, which falls under the broader category of brain-related interventions and measurements specified (EEG). Crucially, it addresses both mental health (anxiety, depression, psychopathological symptoms) and cognitive enhancement (cognitive profile, cognitive performance, cognitive fog). No exclusion criteria are met based on the provided information.</t>
  </si>
  <si>
    <t>Miri, M.; Faubel, C.; Demarquet Alban, U.; Martinez-Molina, A.</t>
  </si>
  <si>
    <t>Impact of Indoor Environmental Quality on Students’ Attention and Relaxation Levels During Lecture-Based Instruction</t>
  </si>
  <si>
    <t>https://www.scopus.com/inward/record.uri?eid=2-s2.0-105014333567&amp;doi=10.3390%2Fbuildings15162813&amp;partnerID=40&amp;md5=08729e25b38bc7e9f4b45b5305854215</t>
  </si>
  <si>
    <t>Human cognitive performance is influenced by external factors, including indoor environmental quality (IEQ). Understanding how these factors affect stress, attention, and relaxation is essential in environments such as workplaces and educational institutions, where cognitive function directly impacts performance. This study examines the effects of IEQ on students’ attention and relaxation levels during various lecture periods, focusing on design major students. Three key IEQ parameters (air temperature, relative humidity, and natural lighting) were evaluated for their effects on cognitive states using electroencephalogram (EEG) measurements in a controlled setting. Participants wore non-invasive, portable EEG devices to monitor neurophysiological activity across two sessions, each involving four scenarios: (i) baseline, (ii) increased natural light exposure, (iii) elevated relative humidity, and (iv) increased air temperature. EEG-derived metrics of attention and relaxation were analyzed alongside environmental data, including temperature, humidity, lighting conditions, carbon dioxide (CO&lt;inf&gt;2&lt;/inf&gt;) concentration, total volatile organic compounds (TVOC), and particulate matter (PM), to identify potential correlations. Results showed that natural light exposure improved relaxation but reduced attention, suggesting a restorative effect on stress that may also introduce distractions. Attention peaked under moderately warm, dry conditions (25–26 °C and 16–19% relative humidity), correlating positively with temperature (Pearson correlation coefficient, (Formula presented.) = 0.32) and negatively with humidity ((Formula presented.) = −0.50). Conversely, relaxation was highest under cooler, more humid conditions (23–24 °C and 24–26% relative humidity). Attention was negatively correlated with CO&lt;inf&gt;2&lt;/inf&gt; ((Formula presented.) = −0.47) and PM&lt;inf&gt;2.5&lt;/inf&gt; ((Formula presented.) = −0.46), suggesting that poor air quality impairs alertness. Relaxation showed weaker but positive correlations with PM&lt;inf&gt;2.5&lt;/inf&gt; ((Formula presented.) = 0.38), PM&lt;inf&gt;1.0&lt;/inf&gt; ((Formula presented.) = 0.35), and CO&lt;inf&gt;2&lt;/inf&gt; ((Formula presented.) = 0.32). Ultrafine particles (PM&lt;inf&gt;0.3&lt;/inf&gt;, PM&lt;inf&gt;0.5&lt;/inf&gt;) and TVOC had minimal association with cognitive states. Overall, this study underscores the importance of optimizing indoor environments in educational settings to enhance academic performance and supports the development of evidence-based design standards to foster healthy, effective learning environments. © 2025 Elsevier B.V., All rights reserved.</t>
  </si>
  <si>
    <t>Air quality; Carbon dioxide; Correlation methods; Electroencephalography; Indoor air pollution; Lighting; Neurophysiology; Students; Air temperature; Attention; Cognitive state; Educational environment; Indoor environmental quality; Light exposure; Natural light; Particulate Matter; Portable electroencephalogram device; Relaxation; Atmospheric temperature</t>
  </si>
  <si>
    <t>The study was published in 2025, which falls within the specified publication period (2020-2025). It is an empirical study, not a review, and is presented in English. The thematic scope is strongly aligned as it uses Electroencephalogram (EEG) measurements to assess "attention and relaxation levels" and "cognitive performance," directly addressing cognitive enhancement and aspects of mental health (e.g., stress reduction). No exclusion criteria are met based on the provided title and abstract.</t>
  </si>
  <si>
    <t>Raju, N.K.; Saravanan, S.; Shankar, S.; Suresh, R.</t>
  </si>
  <si>
    <t>Assessment of Cognitive Performance and Hearing Impairment of Indian Power Loom Employees through Electroencephalogram Signal Analysis and Audiometry</t>
  </si>
  <si>
    <t>https://www.scopus.com/inward/record.uri?eid=2-s2.0-105015705994&amp;doi=10.4103%2Fnah.nah_176_24&amp;partnerID=40&amp;md5=6ae199ab08db291ff28050a42346d172</t>
  </si>
  <si>
    <t>Background: Industrial noise exposure can jeopardise safety by disrupting communication and alarms, leading to occupational errors. Objectives: This study examines the impact of chronic noise exposure on the hearing and cognitive abilities of power loom workers. Materials and Methods: An electroencephalogram (EEG) signal analysis and auditory assessment were performed on 40 power loom workers and 15 control participants. The cognitive performance of power loom personnel was examined in environments with and without noise. Power spectra values from theta, alpha and beta activity were analysed from EEG signals to assess cognitive load, stress and attention levels. Results: Pure tone audiometry results showed that 68%, 21% and 11% of power loom workers had a serious, moderate and mild hearing impairment, respectively. Additionally, the performance of power loom workers in the Stroop colour and word test cognitive task was evaluated, reflecting a substantial 28% drop in response accuracy between the power loom workers and the control group with a significant P-value (H = 233.91, P &lt; 0.01). In noise-free conditions, a higher alpha (M = 12.45, SD = 2.34) was observed together with a decreased beta (M = 8.67, SD = 1.89) and theta-to-alpha ratio (M = 0.45, SD = 0.12), indicating enhanced attention and reduced mental burden and stress. On the contrary, when faced with noise, workers exhibited decreased alpha power, increased beta power and higher theta-to-alpha ratio, indicating distraction, higher stress and cognitive strain. Conclusion: Continuous exposure to high noise levels affects the hearing ability and cognitive performance of power loom workers. © 2025 Elsevier B.V., All rights reserved.</t>
  </si>
  <si>
    <t>adult; adverse event; attention; case control study; cognition; diagnosis; electroencephalography; epidemiology; etiology; female; human; India; industrial noise; male; middle aged; noise injury; occupational disease; occupational exposure; pathophysiology; psychology; pure tone audiometry; Adult; Attention; Audiometry, Pure-Tone; Case-Control Studies; Cognition; Electroencephalography; Female; Hearing Loss, Noise-Induced; Humans; Male; Middle Aged; Noise, Occupational; Occupational Diseases; Occupational Exposure</t>
  </si>
  <si>
    <t>The study was published in 2025, falling within the specified publication period (2020-2025). The abstract clearly outlines an empirical study with methods, results, and conclusions, indicating it is a main paper and not a review. The language is English. The thematic scope aligns well, as it uses Electroencephalogram (EEG) signal analysis to assess "cognitive performance," "attention levels," "stress," and "mental burden," which directly relate to cognitive enhancement and mental health aspects. No exclusion criteria are met based on the provided title, publication year, and abstract.</t>
  </si>
  <si>
    <t>Ávila, F.J.</t>
  </si>
  <si>
    <t>Visual Neuroplasticity: Modulating Cortical Excitability with Flickering Light Stimulation</t>
  </si>
  <si>
    <t>https://www.scopus.com/inward/record.uri?eid=2-s2.0-105011638378&amp;doi=10.3390%2Fjimaging11070237&amp;partnerID=40&amp;md5=c75149b5736b4f6a5c5c04f30ec6ca9b</t>
  </si>
  <si>
    <t>The balance between cortical excitation and inhibition (E/I balance) in the cerebral cortex is critical for cognitive processing and neuroplasticity. Modulation of this balance has been linked to a wide range of neuropsychiatric and neurodegenerative disorders. The human visual system has well-differentiated magnocellular (M) and parvocellular (P) pathways, which provide a useful model to study cortical excitability using non-invasive visual flicker stimulation. We present an Arduino-driven non-image forming system to deliver controlled flickering light stimuli at different frequencies and wavelengths. By triggering the critical flicker fusion (CFF) frequency, we attempt to modulate the M-pathway activity and attenuate P-pathway responses, in parallel with induced optical scattering. EEG recordings were used to monitor cortical excitability and oscillatory dynamics during visual stimulation. Visual stimulation in the CFF, combined with induced optical scattering, selectively enhanced magnocellular activity and suppressed parvocellular input. EEG analysis showed a modulation of cortical oscillations, especially in the high frequency beta and gamma range. Our results support the hypothesis that visual flicker in the CFF, in addition to spatial degradation, initiates detectable neuroplasticity and regulates cortical excitation and inhibition. These findings suggest new avenues for therapeutic manipulation through visual pathways in diseases such as Alzheimer’s disease, epilepsy, severe depression, and schizophrenia. © 2025 Elsevier B.V., All rights reserved.</t>
  </si>
  <si>
    <t>Brain; Flickering; Light scattering; Molecular physics; Neurodegenerative diseases; Vision; Arduino; Cerebral cortex; Cortical excitability; Critical flicker fusion; Light stimulation; Magnocellular pathway; Neuroplasticity; Optical scattering; Parvocellular suppression; Visual stimulation; Electroencephalography</t>
  </si>
  <si>
    <t>The study strongly aligns with all inclusion criteria:
*   **Publication Period:** Published in 2025, which is within the 2020-2025 range.
*   **Publication Type:** The abstract describes original research ("We present...", "Our results support...") rather than a review.
*   **Language:** The abstract is in English.
*   **Thematic Scope:** The study uses EEG recordings, which falls under the BCI/EEG category. It explicitly addresses "cognitive processing and neuroplasticity" (Cognitive and Neurological Enhancement) and links its findings to "neuropsychiatric and neurodegenerative disorders" including "severe depression, and schizophrenia" (Mental Health) and "Alzheimer’s disease, epilepsy" (Neurological Enhancement/Treatment).
No exclusion criteria are met:
*   It is within the defined publication period.
*   It is focused on mental health and cognitive/neurological enhancement.
*   The "© 2025 Elsevier B.V." suggests a peer-reviewed publication.
*   While it mentions an "Arduino-driven system," the primary focus is on the modulation of cortical excitability, neuroplasticity, and therapeutic implications for mental and neurological conditions, not exclusively on hardware technical aspects.
*   Other criteria (duplicate, full text access, short article) cannot be assessed from the abstract alone, but based on the provided information, there are no red flags.</t>
  </si>
  <si>
    <t>Chmiel, J.; Malinowska, A.</t>
  </si>
  <si>
    <t>The Neural Correlates of Chewing Gum—A Neuroimaging Review of Its Effects on Brain Activity</t>
  </si>
  <si>
    <t>https://www.scopus.com/inward/record.uri?eid=2-s2.0-105009086613&amp;doi=10.3390%2Fbrainsci15060657&amp;partnerID=40&amp;md5=dfcb4712deb7bc1641159c344ca3ad7a</t>
  </si>
  <si>
    <t>Introduction: Chewing gum is a widespread, seemingly mundane behaviour that has been linked to diverse benefits such as improved cognitive performance, reduced stress, and enhanced alertness. While animal and human research indicate that mastication engages extensive sensorimotor networks and may also modulate higher-order cognitive and emotional processes, questions remain about the specific neural mechanisms involved. This review combines findings from neuroimaging studies—including fMRI, fNIRS, and EEG—that investigate how chewing gum alters brain activity in humans. Methods: Using a targeted search strategy, we screened the major databases (PubMed/Medline, Scopus, ResearchGate, Google Scholar, and Cochrane) from January 1980 to March 2025 for clinical studies published in English. Eligible studies explicitly measured brain activity during gum chewing using EEG, fNIRS, or fMRI. Results: After a title/abstract screening and a full-text review, thirty-two studies met the inclusion criteria for this review: 15 utilising fMRI, 10 using fNIRS, 2 using both fNIRS and EEG, and 5 employing EEG. Overall, the fMRI investigations consistently reported strong activation in bilateral motor and somatosensory cortices, the supplementary motor area, the insula, the cerebellum, and the thalamus, during gum chewing, with several studies also noting involvement of higher-order prefrontal and cingulate regions, particularly under stress conditions or when participants chewed flavoured gum. The fNIRS findings indicated that chewing gum increased oxygenated haemoglobin in the prefrontal cortex, reflecting heightened cortical blood flow; these effects were often amplified when the gum was flavoured or when participants were exposed to stressful stimuli, suggesting that both sensory and emotional variables can influence chewing-related cortical responses. Finally, the EEG studies documented transient increases in alpha and beta wave power during gum chewing, particularly when flavoured gum was used, and reported short-lived enhancements in vigilance or alertness, which tended to subside soon after participants ceased chewing. Conclusions: Neuroimaging data indicate that chewing gum reliably engages broad sensorimotor circuits while also influencing regions tied to attention, stress regulation, and possibly memory. Although these effects are often short-lived, the range of outcomes—from changes in cortical oxygenation to shifts in EEG power—underscores chewing gum’s capacity to modulate brain function beyond simple oral motor control. However, at this time, the neural changes associated with gum chewing cannot be directly linked to the positive behavioural and functional outcomes observed in studies that measure these effects without the use of neuroimaging techniques. Future research should address longer-term impacts, refine methods to isolate flavour or stress variables, and explore potential therapeutic applications for mastication-based interventions. © 2025 Elsevier B.V., All rights reserved.</t>
  </si>
  <si>
    <t>anxiety; cognition; electroencephalogram; electroencephalography; functional connectivity; functional magnetic resonance imaging; heart rate; infrared spectroscopy; neuroimaging; nuclear magnetic resonance imaging; prefrontal cortex; Review</t>
  </si>
  <si>
    <t>This study does not meet two critical inclusion criteria. First, it is explicitly a "Neuroimaging Review," which violates the inclusion criterion specifying "Main Papers (not reviews)." Second, while the study uses EEG as a measurement technique and addresses cognitive and mental health aspects (e.g., stress, attention, memory), the core intervention being studied is "chewing gum," not a Brain-Computer Interface (BCI), Brain-Machine Interface (BMI), or neurofeedback *intervention* as required by the thematic scope. The inclusion criteria specify "BCI, BMI, neurofeedback, EEG applied to" mental health or cognitive enhancement, implying these technologies are the primary intervention or focus of the application, not merely tools for observing the effects of a separate intervention like chewing gum.</t>
  </si>
  <si>
    <t>Fuentes, J.P.; Leon-Llamas, J.L.; Villafaina, S.</t>
  </si>
  <si>
    <t>Psychophysiological and Dual-Task Effects of Biofeedback and Neurofeedback Interventions in Airforce Pilots: A Pilot Study</t>
  </si>
  <si>
    <t>https://www.scopus.com/inward/record.uri?eid=2-s2.0-105003754356&amp;doi=10.3390%2Fs25082580&amp;partnerID=40&amp;md5=22720a6d6cf3ee6407b978e1300d37c8</t>
  </si>
  <si>
    <t>(1) Background: Neurofeedback (NFB) and biofeedback (BFB) have been shown to reduce stress, enhance physiological self-regulation, improve cognitive performance, and accelerate response times. Stimulating the sensorimotor rhythm (12–15 Hz) is particularly effective in improving working memory and selective attention. However, most studies on air force pilots focus on addressing post-traumatic stress disorder rather than investigating how these interventions might enhance performance and safety during flights, as explored in the present study. (2) Methods: Twelve Spanish Air Force fighter pilot trainees (mean age = 22.83 (0.94) years) participated in the study. Six pilots underwent 24 sessions of combined NFB and BFB training (experimental group), while six served as controls. (3) Results: The experimental group demonstrated improved heart rate variability during baseline, alarm sounds, math tasks, and real flights, which is indicative of greater parasympathetic modulation. A significant decrease in the Theta/SMR ratio was observed in the experimental group during the same conditions, suggesting improved focus, with lower values than the control group. Cognitive performance improved in the experimental group, with higher accuracy and a greater number of completed operations during math tasks. Regarding dual-task performance, the experimental group showed lower reaction time and a better ratio taps/reaction post-intervention. Psychological benefits included reduced cognitive, somatic, and state anxiety levels, along with increased self-confidence. (4) Conclusions: Neurofeedback and biofeedback training, integrated with real flights, simulators, and virtual reality, can enhance physiological regulation, cognitive performance, and emotional resilience, contributing to improved performance and safety in air force pilots. © 2025 Elsevier B.V., All rights reserved.</t>
  </si>
  <si>
    <t>Air mobility; Biofeedback; Brain; Liver; Personnel training; Air force; Anxiety; Autonomic modulation; Cognitive performance; Dual-tasks; Experimental groups; Neurofeedback; Performance; Pilot; Security; Sensory perception; adult; airplane pilot; biofeedback; cognition; heart rate; human; male; military personnel; neurofeedback; physiology; pilot study; procedures; psychology; psychophysiology; young adult; Adult; Biofeedback, Psychology; Cognition; Heart Rate; Humans; Male; Military Personnel; Pilot Projects; Pilots; Psychophysiology; Young Adult</t>
  </si>
  <si>
    <t>The study aligns strongly with all inclusion criteria. It was published in 2025, falling within the 2020-2025 publication period. The title "A Pilot Study" and the detailed abstract indicate it is a main empirical paper, not a review. The abstract is in English. The thematic scope is perfectly met, as it addresses Neurofeedback (NFB) and Biofeedback (BFB) interventions (types of BCI/EEG) applied to both mental health (reducing stress, anxiety, enhancing emotional resilience) and cognitive enhancement (improving working memory, selective attention, focus, cognitive performance, reaction time). No exclusion criteria are met based on the provided information.</t>
  </si>
  <si>
    <t>Chmiel, J.; Stȩpień-Słodkowska, M.; Ramik-Mażewska, I.</t>
  </si>
  <si>
    <t>Efficacy of Transcranial Direct Current Stimulation (tDCS) on Neuropsychiatric Symptoms in Substance Use Disorder (SUD)—A Review and Insights into Possible Mechanisms of Action</t>
  </si>
  <si>
    <t>https://www.scopus.com/inward/record.uri?eid=2-s2.0-85218863353&amp;doi=10.3390%2Fjcm14041337&amp;partnerID=40&amp;md5=3a0882afba112104e966430f5dfc56db</t>
  </si>
  <si>
    <t>Introduction: Substance use disorder (SUD) is a significant global clinical issue marked by the excessive consumption of alcohol, nicotine, and various psychoactive substances, leading to impaired social, cognitive, and occupational functioning. Individuals with SUD frequently experience depression and anxiety disorders, which exacerbate their prognosis and contribute to substantial health and social burdens. The pathophysiology of SUD and its associated conditions is multifaceted, involving multiple dysfunctions in the brain. This complexity underscores an urgent need for the development of noninvasive treatments that can directly target the brain. One of them is transcranial direct current stimulation (tDCS), an intensively studied technique for safely modulating cortical excitability. The aim of this study is to investigate the effectiveness of tDCS in treating symptoms of depression and anxiety in SUD. Methods: With an emphasis on the underlying mechanisms of action, this mechanistic review investigates the effectiveness of tDCS in treating anxiety and depression in SUD patients. Literature searches were conducted using the PubMed/Medline, ResearchGate, Cochrane, and Google Scholar databases. Results: The review identified 12 relevant studies. The results showed that left dorsolateral prefrontal cortex (DLPFC) stimulation is an effective treatment option for depression in SUD. In anxiety disorders, left and right DLPFC stimulation is effective, with better results observed with right DLPFC stimulation. However, the included studies differed in their methodology, sample characteristics, and measurement methods, which could have influenced the final results of the analysis. The central focus of this mechanistic review is to discuss the potential mechanisms of action of tDCS in treating depression and anxiety in SUD. These mechanisms include the modulation of brain networks, a reduction in neuroinflammation, an enhancement in neuroplasticity, and an increase in P300 amplitude. We also discuss the limitations of the included studies and propose ways to address them in future research. Conclusions: This review provides evidence that tDCS is an effective treatment option for anxiety and depression in SUD. Stimulation of the left DLPFC reduces symptoms of depression, while stimulation of the right DLPFC reduces symptoms of anxiety. However, future research is required to confirm these findings and to deepen our understanding of the mechanisms through which tDCS exerts its effects in this context. Neuroimaging methods (fMRI and EEG) and blood tests could be particularly useful. © 2025 Elsevier B.V., All rights reserved.</t>
  </si>
  <si>
    <t>anxiety disorder; Beck Anxiety Inventory; Beck Depression Inventory; cortical excitability; depression; Depression, Anxiety and Stress Scale-21; dorsolateral prefrontal cortex; drug dependence; Hamilton Anxiety Scale; Hamilton Depression Rating Scale; human; nerve cell network; nerve cell plasticity; nervous system inflammation; Review; self report; transcranial direct current stimulation; treatment outcome</t>
  </si>
  <si>
    <t>This study is explicitly identified as a "Review" in both its title and abstract ("A Review and Insights into Possible Mechanisms of Action," "This mechanistic review investigates..."). This directly violates the inclusion criterion "Publication Type: Main Papers (not reviews)." Furthermore, the primary intervention, Transcranial Direct Current Stimulation (tDCS), is not one of the specified technologies (BCI, BMI, neurofeedback, EEG) listed in the "Thematic Scope" inclusion criterion. Although it addresses mental health, the type of publication and the specific technology used do not align with the defined criteria.</t>
  </si>
  <si>
    <t>Zhang, Y.; Zhu, X.; Li, Q.</t>
  </si>
  <si>
    <t>Model for Impacts of Urban Water Blue Visual Index and Flow Velocity on Human Brain State and Its Practical Application</t>
  </si>
  <si>
    <t>https://www.scopus.com/inward/record.uri?eid=2-s2.0-85217550640&amp;doi=10.3390%2Fbuildings15030339&amp;partnerID=40&amp;md5=f9cba2bf87a0f9f4a5bcf9c7b6a56960</t>
  </si>
  <si>
    <t>This study develops a predictive model to assess the impacts of urban water blue visual index (BVI) and flow velocity on human brain states using EEG and HRV data in virtual reality simulations. By integrating Gaussian process regression (GPR) and artificial neural networks (ANN), the model accurately captures the relationships between BVI, flow velocities, and brain states, reflecting experimental observations with high precision. Applied across 31 provinces in China, the model effectively predicted regional brain state levels, aligning closely with the birthplace distribution of high-level talents, such as academicians and Changjiang scholars. These results highlight the model’s practical application in optimizing urban water features to enhance mental health, cognitive performance, and societal development. © 2025 Elsevier B.V., All rights reserved.</t>
  </si>
  <si>
    <t>Gaussian distribution; Neural networks; Blue visual index; Brain state; Gaussian process regression; Human brain; Neural-networks; Practical application; Predictive models; Urban waters; Virtual reality simulations; Water blue; Brain models</t>
  </si>
  <si>
    <t>The study was published in 2025, which falls within the specified publication period (2020-2025). It presents original research ("This study develops a predictive model...") and is written in English. The thematic scope is strongly aligned, as the study uses EEG data to assess human brain states and explicitly aims to "enhance mental health" and "cognitive performance," directly addressing both mental health and cognitive enhancement aspects. No exclusion criteria are met; the study is not focused exclusively on technical hardware, and its primary application is related to cognition and mental health.</t>
  </si>
  <si>
    <t>Suhail, T.A.; Indiradevi, K.P.; Suhara, E.M.; Poovathinal, S.A.; Anitha, A.</t>
  </si>
  <si>
    <t>Effect of Smartphone Distractions on Cognitive Performance in Adolescents: An Electroencephalography Approach</t>
  </si>
  <si>
    <t>https://www.scopus.com/inward/record.uri?eid=2-s2.0-85219498066&amp;doi=10.32598%2Fbcn.2021.2295.2&amp;partnerID=40&amp;md5=0aaa184351f7bc5c6164b7b84db385b6</t>
  </si>
  <si>
    <t>Introduction: The dependence on smartphones has become widespread among all age groups in every realm of daily life. There has been increased concern about the adverse effects of problematic smartphone use and media multitasking among adolescents. Recent studies used various performance measures like questionnaire surveys to examine the association between smartphone addiction and learning performance, and such studies have yielded mixed findings. The current study investigates the effects of media multitasking on cognitive performance using Electroencephalography (EEG) features and a self-report questionnaire survey. Methods: The patterns of smartphone use among adolescents in South India were investigated in this study, using a questionnaire survey. Further, the impact of smartphone usage on cognitive task performance was examined using EEG features. For this, EEGs of twenty-two healthy subjects were recorded during learning tasks before and after using a social networking site on smartphones. Subsequently, various EEG features were extracted, including ratios of wavelet decomposed EEG bands, attention index, and Sample entropy. Finally, these cognitive performance indices were evaluated and compared with a control group. Results: A total of 600 healthy individuals (341 males, 259 females) participated in the survey among whom, 310 (50.91%) belonged to the high-user group. Performance degradation (p=0.005), sleep problems (p=0.040) and mental stress (p=0.049) were more prevalent among the high-user group. A significant decline in EEG-based cognitive performance indices was also observed in the phone-use group compared to the control group. Conclusion: The findings of this study highlight the importance of controlling phone use when engaged in cognitive tasks. The study also offers an insight to develop neurofeedback techniques that enhance cognitive skills. © 2025 Elsevier B.V., All rights reserved.</t>
  </si>
  <si>
    <t>adolescent; alpha rhythm; Article; attention; beta rhythm; brain function; brain region; cognition; continuous wavelet transform; controlled study; delta rhythm; discrete wavelet transform; electroencephalogram; electroencephalography; feature extraction; female; frontal lobe; gamma rhythm; human; male; memory; mental performance; mental task; mobile phone addiction; normal human; occipital lobe; parietal lobe; problem solving; social media; temporal lobe; theta rhythm; undergraduate student; wavelet transform</t>
  </si>
  <si>
    <t>The study strongly aligns with all inclusion criteria. It was published in 2025, falling within the specified publication period (2020-2025). The abstract describes an empirical study with methods, results, and conclusions, indicating it is a main research paper and not a review. The language is English. The thematic scope is well-aligned, as it uses Electroencephalography (EEG), a BCI-related technology, to investigate the effects of smartphone use on cognitive performance (cognitive enhancement) and mental stress (mental health). Furthermore, it explicitly mentions the potential to "develop neurofeedback techniques that enhance cognitive skills." No exclusion criteria are met based on the provided information.</t>
  </si>
  <si>
    <t>Ding, C.; Soh, S.K.; Sun, H.; Roslan, S.; Cao, S.; Zhao, Y.</t>
  </si>
  <si>
    <t>https://www.scopus.com/inward/record.uri?eid=2-s2.0-85214116775&amp;doi=10.1371%2Fjournal.pone.0316252&amp;partnerID=40&amp;md5=f6a8e0acb54058c1606fc8ed916737f1</t>
  </si>
  <si>
    <t>Introduction Mental fatigue, a psychobiological state induced by prolonged and sustained cognitive tasks, impairs both cognitive and physical performance. Several studies have investigated strategies to counteract mental fatigue. However, potential health risks and contextual restrictions often limit these strategies, which hinder their practical application. Due to its noninvasive and portable nature, music has been proposed as a promising strategy to counteract mental fatigue. However, the effects of music on performance decrements vary with different music styles. Synthesizing studies that systematically report music style and its impact on counteracting performance decrements is crucial for theoretical and practical applications. Objectives This review aims to provide a comprehensive systematic analysis of different music styles in counteracting mental fatigue and their effects on performance decrements induced by mental fatigue. Additionally, the mechanisms by which music counteracts mental fatigue will be discussed. Methods A comprehensive search was conducted across five databases—Web of Science, PubMed, SCOPUS, SPORTDiscus via EBSCOhost, and the Psychological and Behavioral Sciences Collection via EBSCOhost—up to November 18, 2023. The selected studies focused solely on music interventions, with outcomes including subjective feelings of mental fatigue, physiological markers, and both cognitive and behavioral performance. Results Nine studies met the predetermined criteria for inclusion in this review. The types of music interventions that counteract mental fatigue include relaxing, exciting, and personal preference music, all of which were associated with decreased subjective feelings of mental fatigue and changes in objective physiological markers. Cognitive performance, particularly in inhibition and working memory tasks impaired by mental fatigue, was countered by both relaxing and exciting music. Exciting music was found to decrease reaction time more effectively than relaxing music in working memory tasks. The physiological marker of steady-state visually evoked potential-based brain-computer interface (SSVEP-BCI) amplitude increased, confirming that exciting music counteracts mental fatigue more effectively than relaxing music. Behavioral performance in tasks such as arm-pointing, the Yo-Yo intermittent test, and the 5 km time-trial, which were impaired by mental fatigue, were counteracted by personal preference music. Conclusion Relaxing music, exciting music, and personal preference music effectively counteract mental fatigue by reducing feelings of fatigue and mitigating performance decrements. Individuals engaged in mentally demanding tasks can effectively counteract concurrent or subsequent cognitive performance decrements by simultaneously listening to relaxing or exciting music without lyrics or by using music during recovery from mental fatigue. Exciting music is more effective than relaxing music in counteracting mental fatigue. Personal preference music is effective in counteracting behavioral performance decrements in motor control and endurance tasks. Mentally fatigued individuals could apply personal preference music to counteract subsequent motor control performance decrements or simultaneously listen to it to counteract endurance performance decrements. Future studies should specify and examine the effects of different music genres, tempos, and intensities in counteracting mental fatigue. Additionally, the role of music in counteracting mental fatigue in contexts such as work productivity, traffic accident risk, and sports requires further investigation, along with the underlying mechanisms. © 2025 Elsevier B.V., All rights reserved.</t>
  </si>
  <si>
    <t>Article; behavior assessment; cognition; electroencephalography; executive function; human; mental fatigue; mental performance; meta analysis (topic); motor control; music; neuropsychological assessment; outcome assessment; physical performance; randomized controlled trial (topic); risk assessment; sport; systematic review; task performance; traffic accident; working memory; music therapy; physiology; prevention and control; procedures; psychology; Cognition; Humans; Mental Fatigue; Music; Music Therapy</t>
  </si>
  <si>
    <t>The study is a "systematic review" as explicitly stated in the title and abstract ("This review aims to provide a comprehensive systematic analysis"). This directly violates the Inclusion Criteria for "Publication Type: Main Papers (not reviews)." Although other criteria like publication period, language, and thematic scope (including the mention of SSVEP-BCI in the context of mental fatigue and cognitive performance) might align, the failure to meet even one inclusion criterion results in a score of 0.</t>
  </si>
  <si>
    <t>Bae, J.-H.; Ha, J.-Y.; Choung, J.J.; Cho, M.-W.; Oh, B.-I.; Lee, K.H.; Youn, Y.C.; Kim, S.; Song, D.-K.; Shin, C.-H.</t>
  </si>
  <si>
    <t>Improvement of neuropsychological and cognitive functions in older adults through transcranial vibroacoustic stimulation: a double blind, randomized, comparative trial</t>
  </si>
  <si>
    <t>https://www.scopus.com/inward/record.uri?eid=2-s2.0-105014085492&amp;doi=10.3389%2Ffnagi.2025.1526088&amp;partnerID=40&amp;md5=21babf14dd75b697e4d8976c34b39534</t>
  </si>
  <si>
    <t>Introduction: Cognitive impairments are critical global public health issues. Recent research has focused on developing non-invasive methods for cognitive enhancement with the potential to slow cognitive decline. This study aimed to explore the effects of transcranial vibroacoustic stimulation (tVAS) on neuropsychological and cognitive functions in older adults. Methods: This double-blind, randomization, comparative trial applied tVAS at frequencies of 20 or 40 Hz for 30 min per day over an 8-week period using a novel tVAS device. Neuropsychological assessments, saliva cortisol levels, electroencephalography (EEG), and event-related potentials (ERP) were evaluated before and after the intervention. Results: Following the tVAS intervention, total scores on the consortium to establish a registry for Alzheimer’s disease-Korean version (CERAD-K) 1 and 2 indicated a significant overall improvement in cognitive function in both the 20 and 40 Hz tVAS groups (p &lt; 0.01 and p &lt; 0.05, respectively). Center for epidemiologic studies depression scale (CES-D) scores after 40 Hz tVAS showed a significant reduction in depressive symptoms compared to baseline (p = 0.045), while no significant differences were observed in the 20 Hz group. Individual-level analyses showed that 40 Hz tVAS, but not 20 Hz, increased power across all EEG frequency bands and enhanced N100 and P200 ERP component amplitudes. Group-level comparisons revealed pronounced differences in the gamma band and a significant increase in P200 amplitude in the 40 Hz group. Discussion: Individual-level EEG and ERP analyses suggest that 40 Hz tVAS enhances neural plasticity, and early-stage sensory processing efficiency. Group-level comparisons further support the successful induction of gamma entrainment, potentially promoting brain network synchronization and increased sensitivity to high-frequency auditory stimuli. While the 40 Hz tVAS intervention demonstrated potential cognitive and affective benefits with favorable safety characteristics, larger-scale studies are needed to confirm its clinical applicability. Clinical trial registration: https://cris.nih.go.kr/, identifier registration KCT0010055. © 2025 Elsevier B.V., All rights reserved.</t>
  </si>
  <si>
    <t>hydrocortisone; adult; alcoholism; allergy; Alzheimer disease; Article; Center for Epidemiological Studies Depression Scale; cerebrovascular accident; clinical article; clinical trial; cognition; cognitive defect; consortium to establish a registry for Alzheimer’s disease-Korean version; depression; dizziness; double blind procedure; educational status; electroencephalography; enzyme linked immunosorbent assay; event related potential; executive function; female; headache; hearing impairment; human; male; middle aged; neuropsychological assessment; neuropsychology; reference electrode; signal noise ratio; stimulation; substance abuse; Trail Making Test–Black and White Version; transcranial vibroacoustic stimulation</t>
  </si>
  <si>
    <t>The study strongly aligns with all inclusion criteria and does not meet any exclusion criteria.
1.  **Publication Period:** Published in 2025, which falls within the 2020-2025 range.
2.  **Publication Type:** The abstract describes a "double-blind, randomized, comparative trial," indicating a main research paper, not a review. The copyright information also suggests a peer-reviewed journal article.
3.  **Language:** The title and abstract are in English.
4.  **Thematic Scope:**
    *   **BCI/BMI/neurofeedback/EEG:** The study explicitly states that "electroencephalography (EEG), and event-related potentials (ERP) were evaluated." The results discuss "increased power across all EEG frequency bands" and "gamma entrainment," directly engaging with EEG as a core component of the thematic scope. While the intervention is tVAS, the use and analysis of EEG data for understanding brain function and enhancement align with the criteria.
    *   **Mental Health:** The abstract reports a "significant reduction in depressive symptoms" based on CES-D scores, directly addressing mental health.
    *   **Cognitive and Neurological Enhancement:** The title mentions "Improvement of neuropsychological and cognitive functions," and the abstract details "significant overall improvement in cognitive function" and that tVAS "enhances neural plasticity," directly addressing cognitive and neurological enhancement.
No exclusion criteria are met, as the study is within the defined period, focused on the correct themes, appears to be peer-reviewed, and is not exclusively focused on hardware technicalities.</t>
  </si>
  <si>
    <t>Blest-Hopley, G.; Pasculli, G.; Ruffell, S.G.D.; Tsang, W.; Emmanuel, O.; Pate, K.M.; Kettner, H.; Roseman, L.; Erritzoe, D.; Carhart-Harris, R.</t>
  </si>
  <si>
    <t>Improved mental health outcomes and normalised spontaneous EEG activity in veterans reporting a history of traumatic brain injuries following participation in a psilocybin retreat</t>
  </si>
  <si>
    <t>https://www.scopus.com/inward/record.uri?eid=2-s2.0-105013668210&amp;doi=10.3389%2Ffpsyt.2025.1594307&amp;partnerID=40&amp;md5=223851343e3ec472429a622946c733f6</t>
  </si>
  <si>
    <t>Introduction: Psilocybin, a serotonergic psychedelic, has shown therapeutic potential in treating mental health disorders by, amongst the many effects, promoting neuroplasticity and reorganising functional connectivity across cortical and subcortical networks involved in emotion and cognition. Veterans with traumatic brain injuries (TBI) often experience chronic neurological and psychological symptoms such as post-traumatic stress disorder (PTSD) and depression. This study investigates the effects of psilocybin administered in retreat settings on veterans with a history of TBI, focusing on mental health outcomes and changes in brain connectivity as measured by EEG. Methods: A total of 21 participants were recruited through the Heroic Hearts Project, which facilitated access to two six-day psilocybin retreats in Jamaica. Before the retreat, participants underwent three individual and three group coaching sessions to prepare for the experience. During the retreat, two psilocybin ceremonies were held, spaced 48 hours apart. Participants received an initial dose of 1.5g to 3.5g of dried psilocybin mushrooms, with the option to increase the second dose up to 5g. Psilocybin was administered in a tea format, under the supervision of experienced facilitators. Psychological outcomes were assessed using validated questionnaires (PCL-5, PHQ-9, STAI) at baseline (four weeks pre-retreat) and four weeks post-retreat. Electroencephalography (EEG) was used to measure brainwave activity pre- and post-treatment. Paired t-tests were used to analyze changes in psychological scores, while EEG frequency band analysis assessed changes in brain function and connectivity. Results: Improvements were observed across several mental health measures: PTSD (PCL-5 scores decreased by 50%, p=0.010), depression (PHQ-9 scores decreased by 65%, p&lt;0.001), and anxiety (STAI) scores decreased by 28%, p&lt;0.001). EEG data showed decreased delta and theta power in frontal and temporal regions, indicating potential improvements in cognitive control and emotional processing. Enhanced coherence in alpha and beta bands suggested improved neural communication. Discussion: The study suggests that psilocybin retreats might provide improvements in psychological well-being and brain connectivity in veterans with TBI. Reduced delta power and normalised theta activity suggest better emotional regulation, while improved coherence in alpha and beta bands may reflect increased cognitive engagement. Further, these preliminary outcomes provide a potential rationale for the design and implementation of larger-scale, controlled studies to validate and expand upon these initial findings. © 2025 Elsevier B.V., All rights reserved.</t>
  </si>
  <si>
    <t>psilocybine; serotonin uptake inhibitor; adult; Article; brain function; controlled study; drug dose increase; electroencephalogram; electroencephalography; follow up; functional connectivity; human; human experiment; male; mental health; Patient Health Questionnaire 9; posttraumatic stress disorder checklist; questionnaire; retreatment; Rivermead Post-Concussion Symptoms Questionnaire; State Trait Anxiety Inventory; traumatic brain injury</t>
  </si>
  <si>
    <t>This study meets all inclusion criteria. Published in 2025 and written in English, it investigates the effects of psilocybin on mental health outcomes and neural activity in veterans with traumatic brain injury, using EEG to measure changes in brain connectivity and function. The research directly addresses mental health improvement (depression, anxiety, PTSD) and cognitive enhancement (emotional regulation, neural communication) through neurophysiological analysis, aligning fully with the thematic scope of EEG-based interventions for mental health and cognitive enhancement within the review’s criteria.</t>
  </si>
  <si>
    <t>The study meets several inclusion criteria, including publication period (2025), publication type (main paper), language (English), and thematic focus on mental health (PTSD, depression, anxiety) and cognitive/neurological aspects (neuroplasticity, cognitive control, emotional processing). However, a critical inclusion criterion states "Studies addressing Brain-Computer Interfaces (BCI, BMI, neurofeedback, EEG) *applied to*: Mental Health... Cognitive and Neurological Enhancement." In this study, Electroencephalography (EEG) is utilized as a *measurement tool* to assess changes in brain activity and connectivity *resulting from psilocybin administration*, which is the primary intervention. The study does not involve the *application* of EEG as an intervention or interface (e.g., neurofeedback, BCI) to directly influence mental health or cognitive enhancement. Therefore, it does not align with the specific "applied" nature of EEG as intended by the inclusion criteria, leading to a score of 0.</t>
  </si>
  <si>
    <t>Di Stefano, N.; Valera, L.</t>
  </si>
  <si>
    <t>Affordance-based accounts of the ethics of artefacts and their application to neuroenhancement technologies</t>
  </si>
  <si>
    <t>https://www.scopus.com/inward/record.uri?eid=2-s2.0-105012846159&amp;doi=10.1007%2Fs00146-025-02559-5&amp;partnerID=40&amp;md5=2fc235da9292251045353a958cc072bd</t>
  </si>
  <si>
    <t>Over the recent decade, various approaches have been suggested to reflect on the ethics of technologies for human augmentation. Some researchers focused on the impact of these technologies on individuals, delving into aspects such as psychological and bodily identity, responsibility, and autonomy. Others took a social stance, emphasizing the potential effects of widespread augmentation devices on fundamental moral principles like social justice and equity. In this paper, we explore the concept of “ethical affordance” as a tool for addressing ethical issues stemming from technological artefacts. To this end, we examine the recent account presented by Michael Klenk in his work titled “Affordance Account of Value Embedding.” We identify critical issues within Klenk’s perspective, particularly concerning the thesis that artefacts embody values and the associated equivalence between affordances and values. Subsequently, we assess the utility of affordance-based accounts in addressing ethical concerns related to neuroenhancement technologies (NETs). Contrary to this, we argue against their efficacy and introduce the “difference thesis” to support our position. Essentially, the difference thesis posits that next-generation NETs, especially brain-computer interfaces (BCIs), introduce novel features—specifically, bio-embedded miniaturisation and autonomy—that fundamentally distinguish them from “traditional” tools. These features give rise to ethical questions that cannot be adequately addressed by affordance-based accounts. In conclusion, we assert that these technological artefacts necessitate a paradigm shift to effectively tackle the ethical concerns that emerge from their utilization. © 2025 Elsevier B.V., All rights reserved.</t>
  </si>
  <si>
    <t>Brain; Brain computer interface; Ethical technology; Human rehabilitation engineering; Implants (surgical); Interfaces (computer); Affordances; Autonomy; Ethical concerns; Ethical issues; Implantable devices; Miniaturisation; Neuroethic; Potential effects; Social equity; Social justice; Miniature instruments</t>
  </si>
  <si>
    <t>Although the paper discusses neuroenhancement technologies and mentions Brain-Computer Interfaces (BCIs), its focus is entirely philosophical and ethical, not empirical or experimental. The study does not involve data collection, EEG measurement, or the application of BCI, BMI, or neurofeedback as tools for mental health improvement or cognitive enhancement. Instead, it explores theoretical and ethical frameworks (affordance theory and value embedding) related to technology. Therefore, it does not meet the inclusion criteria requiring empirical research applying BCI/EEG methods for cognitive or mental health outcomes.</t>
  </si>
  <si>
    <t>The study does not align with the thematic scope inclusion criterion (IC4) and meets an exclusion criterion (EC2). While the article discusses neuroenhancement technologies (NETs) and Brain-Computer Interfaces (BCIs), its primary focus is on the *ethics* of these technologies and the philosophical frameworks for addressing them, rather than their *application* to mental health or cognitive enhancement, or research *on* mental health/cognitive enhancement using BCI. Therefore, it is not focused on mental health or cognitive enhancement as the primary subject of investigation or application.</t>
  </si>
  <si>
    <t>Gazerani, P.</t>
  </si>
  <si>
    <t>A Hybrid Digital-4E Strategy for comorbid migraine and depression: a medical hypothesis on an AI-driven, neuroadaptive, and exposome-aware approach</t>
  </si>
  <si>
    <t>https://www.scopus.com/inward/record.uri?eid=2-s2.0-105008001232&amp;doi=10.3389%2Ffneur.2025.1587296&amp;partnerID=40&amp;md5=0f9a76c80d4885820675ac838abbf91a</t>
  </si>
  <si>
    <t>Objective: The co-occurrence of migraines and depression presents a critical clinical challenge, affecting up to 50% of individuals with either condition. This comorbidity leads to greater disability, higher healthcare costs, and poorer treatment outcomes than either disorder alone. Despite a bidirectional pathophysiological relationship, current models remain static and fragmented, treating each condition separately. This paper proposes a Hybrid Digital-4E Strategy, deployed on an AI-driven neuroadaptive digital health platform, integrating closed-loop therapy, digital phenotyping, and exposome tracking to enable real-time, personalized care. Methods: Grounded in the 4E cognition framework (Embodied, Embedded, Enactive, and Extended cognition), this strategy reconceptualizes migraine-depression as an interactive system rather than two separate conditions. The platform integrates real-time biomarker tracking, neuromorphic AI, and precision environmental analytics to dynamically optimize treatment. Adaptive chronotherapy, brain-computer interfaces (BCIs), and virtual reality (VR)-based neuroplasticity training further enhance intervention precision. Conclusion: A closed-loop, AI-driven neuroadaptive system could improve outcomes by enabling early detection, real-time intervention, and precision care tailored to individual neurophysiological and environmental profiles. Addressing AI bias, data privacy, and clinical validation is crucial for implementation. If validated, this Hybrid Digital-4E Strategy could redefine migraine-depression management, paving the way for precision neuropsychiatry. © 2025 Elsevier B.V., All rights reserved.</t>
  </si>
  <si>
    <t>biological marker; accuracy; anxiety; Article; artificial intelligence; awareness; cognition; depression; digital health; exposome; human; migraine; nerve cell plasticity; neuromodulation; neurophysiology; neuropsychiatry; personalized care; personalized medicine; phenotype; systematic review</t>
  </si>
  <si>
    <t>The study aligns strongly with all inclusion criteria. It was published in 2025, falling within the specified publication period (2020-2025). The article proposes a "Hybrid Digital-4E Strategy" and is described as a "medical hypothesis," which, while conceptual, is not a literature review and can be considered a main paper presenting a novel approach. The language is English. The thematic scope is directly addressed, as the study explicitly mentions "brain-computer interfaces (BCIs)" applied to "depression" (mental health) and "neuroplasticity training" (cognitive and neurological enhancement) in the context of migraine-depression comorbidity. No exclusion criteria are met based on the provided title and abstract.</t>
  </si>
  <si>
    <t>Swargiary, K.</t>
  </si>
  <si>
    <t>Enhancing Adaptive Learning Through Spectrum of Individuality Theory: A Neuroplasticity-Informed AI Approach to Dynamic Behavioral Modeling in Education; Mejorando el Aprendizaje Adaptativo a través del Espectro de la Teoría de la Individualidad: Un Enfoque de IA Informado por la Neuroplasticidad para la Modelización Dinámica del Comportamiento en la Educación</t>
  </si>
  <si>
    <t>https://www.scopus.com/inward/record.uri?eid=2-s2.0-105006822568&amp;doi=10.62486%2Flatia202572&amp;partnerID=40&amp;md5=af08b767d29aaaf41e4f02b31ae9ba6a</t>
  </si>
  <si>
    <t>This study investigates the efficacy of integrating the Spectrum of Individuality Theory (SIT)—a dynamic, neuroplasticity-informed framework—into artificial intelligence (AI) systems for adaptive learning. Traditional AI models, rooted in static personality frameworks like the Five-Factor Model (FFM), often fail to capture real-time behavioral variability, limiting their adaptability. In a mixed-methods experiment, 120 undergraduate students were stratified into SIT-driven (n=60) and FFM-based (n=60) AI learning groups. The SIT system utilized real-time EEG and eye-tracking data to adjust content delivery, while the FFM system relied on fixed trait categorizations. Results demonstrated that the SIT group outperformed the FFM group in cognitive retention (mean post-test scores: 25,3 vs. 22,7; p &lt; 0,01, Cohen’s d = 0,86) and exhibited progressive engagement improvements (Session 8 UES: 4,30 vs. 3,70; p &lt; 0,001). Neurophysiological data revealed reduced stress biomarkers (theta/beta ratios: 3,15 vs. 3,75; p &lt; 0,001), correlating with enhanced emotional regulation. However, ethical concerns, particularly data privacy (SIT: 4,10 vs. FFM: 3,20; d = 0,98), were heightened in the SIT group. These findings validate SIT’s potential to advance context-aware AI but underscore ethical risks tied to granular behavioral tracking. The study bridges psychological theory with AI design, advocating for interdisciplinary collaboration to balance adaptability with responsible innovation. © 2025 Elsevier B.V., All rights reserved.</t>
  </si>
  <si>
    <t>The study was considered relevant because it meets all inclusion criteria and none of the exclusion criteria. It was published in 2025, falling within the 2020-2025 period. The abstract describes an empirical experiment, indicating it is a main paper, not a review, and it is presented in English. The thematic scope is strongly aligned, as it utilizes real-time EEG data (a BCI technology) to enhance adaptive learning and cognitive retention (cognitive enhancement) and addresses reduced stress biomarkers and emotional regulation (mental health). No exclusion criteria are met; it is focused on the defined themes, appears to be a peer-reviewed publication (Elsevier), and its scope suggests it is not a short article or exclusively focused on hardware.</t>
  </si>
  <si>
    <t>Badr, Y.; Al-Shargie, F.; Afzal Khan, M.N.; Faris Ali, N.; Tariq, U.; Al-Mughairbi, F.; Babiloni, F.; Al-Nashash, H.</t>
  </si>
  <si>
    <t>https://www.scopus.com/inward/record.uri?eid=2-s2.0-105003088584&amp;doi=10.1109%2FACCESS.2025.3553932&amp;partnerID=40&amp;md5=1db7d24474e33d2cbb19575b6335f19b</t>
  </si>
  <si>
    <t>This study addresses limitations in EEG-based stress detection research by developing a novel approach to differentiate multiple mental states in different stress baseline population samples. Utilizing EEG signals, graph convolutional neural networks (GCNs), and binaural beats stimulation (BBs), the research investigates stress detection and reduction in two population sample groups with distinct baselines (group 1: low daily baseline, and group 2: stressed daily baseline). The experiment comprises four phases: rest state, control alertness, stress induction, and stress mitigation. Mental states were assessed using behavioral data: reaction time to stimuli (RT) and target detection accuracy, subjective reports: Perceived Stress Scale scores (PSS-10), biochemical indicators: salivary cortisol levels, and neurophysiological measure: EEG effective connectivity via Partial Directed Coherence (PDC). BBs significantly improved target detection accuracy by 31.6% and 22.8% for low and high-stress groups, respectively. PDC connectivity showed a shift to the temporal region during mitigation, indicating a return to a more balanced state. GCN classification achieved accuracies of 76.43±9.01 % and 76.32±7.79 % for each group, and 76.37±8.40 % for a common baseline. While 16-Hz BBs enhanced focusing abilities they did not significantly reduce subjective stress scores. This study highlights the complex relationship between cognitive performance, perceived stress, and neurophysiological measures, emphasizing the need for multifaceted stress research and management approaches. © 2025 Elsevier B.V., All rights reserved.</t>
  </si>
  <si>
    <t>Electroencephalography; Graph neural networks; Binaural beat; Binaural beat stimulation; Convolutional neural network; Deep learning; Mental state; Mental stress; Mental stress.; Partial directed coherence; Stress detection; Stress Mitigation; Convolutional neural networks</t>
  </si>
  <si>
    <t>The study strongly aligns with all inclusion criteria. It was published in 2025, falling within the 2020-2025 period. The abstract describes an experimental study, indicating it is a main paper and not a review. The language is English. The thematic scope directly addresses "Stress Mitigation" and "Mental State Classification" using "EEG signals," which falls under Mental Health (stress) and Brain-Computer Interfaces. Furthermore, it touches upon "target detection accuracy" and "focusing abilities," which relate to Cognitive Enhancement. No exclusion criteria are met; it is focused on mental health/cognitive enhancement, appears to be a peer-reviewed publication (Elsevier), and is not exclusively focused on technical hardware aspects unrelated to cognition or mental health. Based on the detailed abstract, it is highly likely to be a full-length article.</t>
  </si>
  <si>
    <t>Cao, X.; Lu, Y.; Zheng, D.; Qin, P.</t>
  </si>
  <si>
    <t>Investigating the effects of construction industry noise on workers’ cognitive performance and learning efficiency</t>
  </si>
  <si>
    <t>https://www.scopus.com/inward/record.uri?eid=2-s2.0-105001432476&amp;doi=10.3389%2Ffnhum.2025.1549824&amp;partnerID=40&amp;md5=25ea833f7cb0332a776e71e8b66cce16</t>
  </si>
  <si>
    <t>Despite growing industrialization, the cognitive and psychological impacts of construction noise on workers remain inadequately addressed in empirical research. This study examines the impact of different noise types and intensities on the cognitive performance and learning efficiency of construction workers, using electroencephalogram (EEG) and behavioral data. Specifically, it analyzes the effects of complex noise and steady noise on workers’ attention, mental workload, mental fatigue, and mental stress. The results indicate that complex noise significantly reduces learning efficiency, notably impairing accuracy and reaction time relative to steady noise. This adverse effect is attributed to the unpredictability and variability of complex noise, which disrupts workers’ cognitive processing and heightens mental fatigue. In contrast, although steady noise does not significantly impact mental workload, it induces greater mental fatigue and mental stress than complex noise, especially at high noise levels. The findings also reveal that workers develop some level of adaptation to continuous noise, mitigating its overall impact on learning efficiency. However, elevated noise levels, regardless of type, consistently lead to significant declines in attention and increases in mental stress and mental fatigue. This research makes an original contribution by providing evidence-based insights into the interaction between noise characteristics and worker cognition, offering practical implications for targeted noise management strategies to improve learning efficiency and well-being in construction environments. © 2025 Elsevier B.V., All rights reserved.</t>
  </si>
  <si>
    <t>Article; artifact; artificial intelligence; attention; augmented reality; building industry; cognition; construction worker; electroencephalogram; eye movement; human; industrial noise; learning; learning efficiency; mental fatigue; mental performance; mental stress; noise; prefrontal cortex; reaction time; steady noise; task performance; verbal memory; virtual reality; worker; workload; workplace</t>
  </si>
  <si>
    <t>The study aligns strongly with all inclusion criteria. It was published in 2025, falling within the 2020-2025 period. The abstract describes an empirical investigation, indicating it is a main paper and not a review. The language is English. Crucially, the thematic scope is met as the study utilizes electroencephalogram (EEG), a BCI-related technology, to investigate its application to cognitive performance (attention, learning efficiency, mental workload) and mental health aspects (mental fatigue, mental stress). No exclusion criteria are met based on the provided information.</t>
  </si>
  <si>
    <t>Anliker, A.E.; Chauvigné, L.A.S.; Allaman, L.; Guggisberg, A.G.</t>
  </si>
  <si>
    <t>Neural correlates of fatigue after traumatic brain injury</t>
  </si>
  <si>
    <t>https://www.scopus.com/inward/record.uri?eid=2-s2.0-105000374738&amp;doi=10.1093%2Fbraincomms%2Ffcaf082&amp;partnerID=40&amp;md5=c513114aa57088e56152721350c2e3bb</t>
  </si>
  <si>
    <t>Fatigue is the main cause of disability after traumatic brain injury and has negative impact on social, physical and cognitive functions, participation in daily activities, and ability to work. Since the neural underpinnings are largely unknown, few causal treatments are currently available. This study therefore aimed to investigate the neural correlates of subjective fatigue after traumatic brain injury, controlling for differences in cognitive performance, motor performance and subjective psychological covariates such as depression, anxiety and apathy. Seventeen chronic traumatic brain injury patients (10 with and seven without fatigue) and 11 age, sex, and education-matched healthy controls participated in the study. The dependent variable, overall fatigue, was quantified as the sum of the subscales of the multivariate fatigue inventory. Subjective psychological covariates were extracted from appropriate questionnaires. Brain activation during a two-back task and functional connectivity at rest were reconstructed from high-density EEG. Cortical excitability was quantified from motor evoked potentials induced by transcranial magnetic stimulation over the primary motor cortex. Cognitive performance was assessed with a two-back task as well as with a comprehensive neuropsychological test battery. Motor performance was quantified with Jamar dynamometer. Beside the between-group differences in most fatigue subscales resulting from the group attribution, participants also differed in subjective memory functions, depression, anxiety and apathy. Conversely, objective neuropsychological performance was similar across groups in most domains, except for alertness and divided attention (P ≤ 0.039). At the neural level, we observed no difference in corticospinal excitability, but a significant disruption of global resting-state alpha-band functional connectivity between cortical midline structures and the rest of the brain in patients with fatigue (P = 0.006). Furthermore, individuals with fatigue exhibited reduced signs of overall brain activation compared with healthy controls throughout the cognitive task (P = 0.032) without time-on-task effect. In a multivariate regression model, resting-state functional connectivity (P = 0.013) and subjective psychological questionnaire scores (P &lt; 0.0001) were independent predictors of fatigue. In conclusion, our results suggest that disrupted network interactions are the primary independent neural predictor of fatigue. This may serve as a new target for therapy. © 2025 Elsevier B.V., All rights reserved.</t>
  </si>
  <si>
    <t>Although the study employs EEG and TMS to investigate neural correlates of fatigue after traumatic brain injury, its objective is descriptive and observational, focusing on identifying associations between fatigue and brain connectivity patterns rather than applying any BCI, BMI, neurofeedback, or EEG-based intervention aimed at improving cognitive or mental health outcomes. The study contributes to understanding the neural mechanisms of fatigue but does not involve the use of brain–computer technologies as therapeutic or enhancement tools, thus failing to meet the thematic inclusion criterion.</t>
  </si>
  <si>
    <t>The study meets most inclusion criteria regarding publication period (2025), publication type (main paper), and language (English). It also addresses themes related to mental health (fatigue, depression, anxiety) and cognitive function. However, it fails to meet the thematic scope inclusion criterion regarding the *application* of BCI, BMI, neurofeedback, or EEG. While the study uses high-density EEG as a measurement tool to investigate neural correlates of fatigue, it does not describe the *application* of BCI, BMI, or neurofeedback as an intervention or enhancement strategy for mental health or cognitive function. The study is observational/diagnostic, aiming to understand neural underpinnings, rather than applying these technologies for therapeutic or enhancement purposes.</t>
  </si>
  <si>
    <t>Lacerda, G.J.M.; Camargo, L.; Imamura, M.; Marques, L.M.; Battistella, L.; Fregni, F.</t>
  </si>
  <si>
    <t>EEG Oscillations as Neuroplastic Markers of Neural Compensation in Spinal Cord Injury Rehabilitation: The Role of Slow-Frequency Bands</t>
  </si>
  <si>
    <t>https://www.scopus.com/inward/record.uri?eid=2-s2.0-85213442897&amp;doi=10.3390%2Fbrainsci14121229&amp;partnerID=40&amp;md5=53327fac85b40ac1b66383cc8439c1a3</t>
  </si>
  <si>
    <t>Background: Spinal cord injury (SCI) affects approximately 250,000 to 500,000 individuals annually. Current therapeutic interventions predominantly focus on mitigating the impact of physical and neurological impairments, with limited functional recovery observed in many patients. Electroencephalogram (EEG) oscillations have been investigated in this context of rehabilitation to identify effective markers for optimizing rehabilitation treatments. Methods: We performed an exploratory cross-sectional study assessing the baseline EEG resting state of 86 participants with SCI as part of the Deficit of Inhibitory as a Marker of Neuroplasticity in Rehabilitation Cohort Study (DEFINE). Results: Our multivariate models demonstrated a positive correlation between frontal delta asymmetry and depression symptoms, while the frontal alpha asymmetry band and anxiety symptoms were negatively correlated. Theta oscillations were negatively associated with motor-evoked potential (MEP), whereas alpha oscillations were positively associated with MEP in all regions of interest and with CPM response as a negative correlation. Based on the potential role of lower-frequency oscillations in exerting a salutogenic compensatory effect, detrimental clinical and neurophysiological markers, such as depression and lower ME, likely induce slow oscillatory rhythms. Alpha oscillations may indicate a more salutogenic state, often associated with various cognitive functions, such as attention and memory processing. Conclusions: These results show an attempt by the CNS to reorganize and restore function despite the disruption caused by SCI. Indeed, this finding also challenges the notion that low-frequency EEG rhythms are associated with cortical lesions. These results may contribute to the development of rehabilitation strategies and potentially improve the clinical outcomes of patients with SCI. © 2025 Elsevier B.V., All rights reserved.</t>
  </si>
  <si>
    <t>adult; aged; American Spinal Injury Association impairment scale; Article; body mass; clinical outcome; demographics; depression; electroencephalogram; female; Hospital Anxiety and Depression Scale; human; major clinical study; male; Montreal cognitive assessment; motor evoked potential; nerve cell plasticity; oscillation; paraplegia; quadriplegia; spinal cord injury; tracheostomy; transcranial magnetic stimulation</t>
  </si>
  <si>
    <t>Meets inclusion criteria: Publication year 2024; abstract in English; primary research (not labeled as review); mentions BCI/EEG/neurofeedback and targets mental health or cognitive outcomes.</t>
  </si>
  <si>
    <t>The study strongly aligns with all inclusion criteria and does not meet any exclusion criteria based on the provided title, publication year, and abstract.
*   **Publication Period:** The article was published in 2024, which falls within the specified period of 2020-2025.
*   **Publication Type:** The abstract describes an "exploratory cross-sectional study" with clear "Background," "Methods," "Results," and "Conclusions," indicating it is a main research paper and not a review.
*   **Language:** The publication is in English.
*   **Thematic Scope:** The study utilizes "EEG oscillations," which falls under the BCI/BMI/neurofeedback/EEG category. Crucially, it explicitly addresses "depression symptoms" and "anxiety symptoms" (Mental Health) and mentions "attention and memory processing" as well as "neuroplastic markers" (Cognitive and Neurological Enhancement). While the primary population is individuals with Spinal Cord Injury (SCI), the application of EEG is to understand and identify markers related to mental health and cognitive functions within their rehabilitation context, aligning with the thematic scope.
*   **Exclusion Criteria:** No exclusion criteria are met. The study is not outside the defined period, it focuses on mental health and cognitive aspects, it appears to be a peer-reviewed article (indicated by Elsevier B.V. copyright and structure), and it is not exclusively focused on technical hardware aspects unrelated to cognition or mental health.</t>
  </si>
  <si>
    <t>Chiarpenello, C.; Brodmann, K.</t>
  </si>
  <si>
    <t>https://www.scopus.com/inward/record.uri?eid=2-s2.0-85205434657&amp;doi=10.1016%2Fj.bbih.2024.100877&amp;partnerID=40&amp;md5=e0c79c7585c14e28d20b7d8d0c0eb8e1</t>
  </si>
  <si>
    <t>Depression, the most prevailing mental health condition, remains untreated in over 30% of patients. This cluster presents with sub-clinical inflammation. Investigations trialling anti-inflammatory medications had mixed results. The lack of results may result from inflammation's complexity and targeting only a few of depression's abnormal pathways. Mind-body therapies' biological and neuro-imaging studies offer valuable insights into depression psychopathology. Interestingly, mind-body therapies, like yoga, reverse the aberrant pathways in depression. These aberrant pathways include decreased cognitive function, interoception, neuroplasticity, salience and default mode networks connectivity, parasympathetic tone, increased hypothalamic-pituitary-adrenal (HPA) axis activity, and metabolic hyper/hypofunction. Abundant evidence found yogic techniques improving self-reported depressive symptoms across various populations. Yoga may be more effective in treating depression in conjunction with pharmacological and cognitive therapies. Yoga's psychoneuroimmunology teaches us that reducing allostatic load is crucial in improving depressive symptoms. Mind-body therapies promote parasympathetic tone, downregulate the HPA axis, reduce inflammation and boost immunity. The reduced inflammation promotes neuroplasticity and, subsequently, neurogenesis. Improving interoception resolves the metabolic needs prediction error and restores homeostasis. Additionally, by improving functional connectivity within the salience network, they restore the dynamic switching between the default mode and central executive networks, reducing rumination and mind-wandering. Future investigations should engineer therapies targeting the mechanisms mentioned above. The creation of multi-disciplinary health teams offering a combination of pharmacological, gene, neurofeedback, behavioural, mind-body and psychological therapies may treat treatment-resistant depression. © 2024 Elsevier B.V., All rights reserved.</t>
  </si>
  <si>
    <t>cytokine; hydrocortisone; allostasis; alternative medicine; Article; autonomic nervous system; brain function; brain metabolism; clinical outcome; cognitive behavioral therapy; depression; epigenetics; functional connectivity; human; hypothalamus hypophysis adrenal system; immune response; inflammation; interoception; mental stress; nerve cell plasticity; parasympathetic tone; psychoneuroimmunology; yoga</t>
  </si>
  <si>
    <t>This article meets the inclusion criteria. Published in 2024 and written in English, it examines mind-body therapies, including neurofeedback, as mechanisms influencing mental health improvement—specifically in the context of depression. The discussion integrates psychoneuroimmunology, neuroplasticity, and functional connectivity, highlighting how neurofeedback and related interventions may restore cognitive and emotional regulation through neural mechanisms. While primarily conceptual, it aligns with the thematic scope of EEG- or neurofeedback-based approaches applied to mental health and cognitive enhancement.</t>
  </si>
  <si>
    <t>The study does not align with all inclusion criteria. While it falls within the specified publication period (2024) and addresses mental health (depression) and cognitive aspects (neuroplasticity, cognitive function), it fails on two key points:
1.  **Publication Type:** The abstract strongly suggests this is a review or perspective paper, synthesizing existing evidence on yoga's psychoneuroimmunology and its effects on depression, rather than a main paper presenting novel research findings. Phrases like "Abundant evidence found yogic techniques improving..." and discussions about "Future investigations should engineer therapies..." are characteristic of review articles.
2.  **Thematic Scope (Intervention Type):** The primary focus of the study is "yoga" and its "psychoneuroimmunology." While "neurofeedback" is mentioned once in the abstract, it is only in the context of a speculative future multidisciplinary approach ("a combination of pharmacological, gene, neurofeedback, behavioural, mind-body and psychological therapies may treat treatment-resistant depression"). It is not the central intervention or thematic scope of the study itself, which is a requirement for inclusion. The study does not address Brain-Computer Interfaces (BCI), Brain-Machine Interfaces (BMI), or EEG as its core methodology or subject.</t>
  </si>
  <si>
    <t>Yusuf, A.; Yasin, M.; Aditya, R.S.; Kotijah, S.; Winarno; Arifianto, D.; Manalu, N.V.; Izzati, U.N.; Ramadhan, M.P.; Rahmatika, Q.T.; Masfi, A.; Zaidan, A.H.; Shariff, E.A.; Azharuddin, A.; Alrazeeni, D.M.</t>
  </si>
  <si>
    <t>Differential impacts of high and low-intensity physical exercise on brain wave activity and functional connectivity in professional athletes: a systematic review; Impactos diferenciales del ejercicio físico de alta y baja intensidad en la actividad de las ondas cerebrales y la conectividad funcional en atletas profesionales: una revisión sistemática</t>
  </si>
  <si>
    <t>https://www.scopus.com/inward/record.uri?eid=2-s2.0-85207384716&amp;doi=10.47197%2Fretos.v60.108998&amp;partnerID=40&amp;md5=f1d2b78e6d41d8f652d9f50c5c841888</t>
  </si>
  <si>
    <t>Introduction: This systematic review explores the differential impacts of high and low-intensity physical exercise on brain wave activity and functional connectivity in professional athletes. The study aims to elucidate how varying exercise intensities influence cognitive and emotional responses, brain connectivity, and overall mental health. Additionally, it examines the potential synergistic effects of integrating neurofeedback training with physical exercise. Method: A comprehensive literature search was conducted using databases such as PubMed, Scopus, and Google Scholar. Keywords included "high-intensity exercise," "low-intensity exercise," "brain wave activity," "functional connectivity," "professional athletes," and "cognitive performance." Inclusion criteria were studies published in peer-reviewed journals involving professional athletes and examining the impact of exercise intensity on brain wave activity and functional connectivity. Data extraction focused on study design, sample size, exercise intensity, neuroimaging techniques, brain wave activity, and functional connectivity outcomes. Results: High-intensity physical exercise was found to induce significant changes in functional connectivity within affect and reward networks, enhance mood, and improve cognitive performance through increased brain wave coherence and synchronization. Low-intensity exercise primarily enhanced cognitive and attentional processing by increasing resting-state functional connectivity in the fronto-parietal network. Neurofeedback training was shown to enhance brain wave activity, reduce stress levels, and increase self-control over physiological factors. The combined approach of neurofeedback and physical exercise demonstrated potential for optimizing both mental and physical performance in athletes. Conclusion: The findings indicate that high-intensity exercise leads to significant and prolonged changes in brain connectivity and cognitive performance, while low-intensity exercise benefits cognitive and attentional processing. The discussion introduces the Neurofeedback and Physical Fitness Synergy Theory, which posits that integrating neurofeedback with physical exercise can lead to optimal improvements in both physical fitness and mental health. This combined approach suggests a promising strategy for enhancing overall athletic performance and mental well-being. Future research should focus on standardized measures and long-term studies to further validate these findings and explore the underlying neurophysiological mechanisms. © 2024 Elsevier B.V., All rights reserved.</t>
  </si>
  <si>
    <t>Excluded (score 0) due to:
- Identified as a review/meta-analysis based on title/abstract.
Also observed positive signals: year 2024, BCI-related term present, mental-health target present, cognitive target present.</t>
  </si>
  <si>
    <t>The study is a "systematic review," as explicitly stated in both the title and abstract. This violates the inclusion criterion that specifies "Main Papers (not reviews)." Therefore, it does not align with all inclusion criteria.</t>
  </si>
  <si>
    <t>Gurevitch, G.; Lubianiker, N.; Markovits, T.; Or-Borichev, A.; Sharon, H.; Fine, N.B.; Fruchtman-Steinbok, T.; Keynan, J.N.; Shahar, M.; Friedman, A.; Singer, N.; Hendler, T.</t>
  </si>
  <si>
    <t>Amygdala self-neuromodulation capacity as a window for process-related network recruitment</t>
  </si>
  <si>
    <t>https://www.scopus.com/inward/record.uri?eid=2-s2.0-85206872952&amp;doi=10.1098%2Frstb.2024.0186&amp;partnerID=40&amp;md5=36423cec51acf8aa822f7bd764873378</t>
  </si>
  <si>
    <t>Neurofeedback (NF) has emerged as a promising avenue for demonstrating process-related neuroplasticity, enabling self-regulation of brain function. NF targeting the amygdala has drawn attention to therapeutic potential in psychiatry, by potentially harnessing emotion-regulation processes. However, not all individuals respond equally to NF training, possibly owing to varying self-regulation abilities. This underscores the importance of understanding the mechanisms behind successful neuromodulation (i.e. capacity). This study aimed to investigate the establishment and neural correlates of neuromodulation capacity using data from repeated sessions of amygdala electrical fingerprint (Amyg-EFP)-NF and post-Training functional magnetic resonance imaging (fMRI)-NF sessions. Results from 97 participants (healthy controls and post-Traumatic stress disorder and fibromyalgia patients) revealed increased Amyg-EFP neuromodulation capacity over training, associated with post-Training amygdala-fMRI modulation capacity and improvements in alexithymia. Individual differenaces in this capacity were associated with pre-Training amygdala reactivity and initial neuromodulation success. Additionally, amygdala downregulation during fMRI-NF co-modulated with other regions such as the posterior insula and parahippocampal gyrus. This combined modulation better explained EFP-modulation capacity and improvement in alexithymia than the amygdala modulation alone, suggesting the relevance of this broader network to gained capacity. These findings support a network-based approach for NF and highlight the need to consider individual differences in brain function and modulation capacity to optimize NF interventions. This article is part of the theme issue 'Neurofeedback: new territories and neurocognitive mechanisms of endogenous neuromodulation'. © 2025 Elsevier B.V., All rights reserved.</t>
  </si>
  <si>
    <t>anatomy; brain; detection method; instrumentation; performance assessment; adult; amygdala; diagnostic imaging; female; human; male; middle aged; nerve cell plasticity; neurofeedback; nuclear magnetic resonance imaging; pathophysiology; physiology; posttraumatic stress disorder; procedures; therapy; young adult; Adult; Amygdala; Female; Humans; Magnetic Resonance Imaging; Male; Middle Aged; Neurofeedback; Neuronal Plasticity; Stress Disorders, Post-Traumatic; Young Adult</t>
  </si>
  <si>
    <t>The study aligns strongly with all inclusion criteria. It was published in 2024, falling within the 2020-2025 period. The abstract describes an empirical study with participants and results, indicating it is a main paper and not a review. The language is English. The thematic scope is directly relevant, as it investigates neurofeedback (NF) targeting the amygdala for its "therapeutic potential in psychiatry" and includes "post-Traumatic stress disorder" patients, addressing mental health. It also discusses "neuroplasticity" and "neuromodulation capacity," which relates to cognitive/neurological enhancement. No exclusion criteria are met; it is not focused exclusively on technical hardware, and its nature suggests it is a peer-reviewed, full-length article.</t>
  </si>
  <si>
    <t>Enriquez-Geppert, S.; Krc, J.; O'Higgins, F.J.; Lietz, M.</t>
  </si>
  <si>
    <t>Psilocybin-assisted neurofeedback for the improvement of executive functions: A randomized semi-naturalistic-lab feasibility study</t>
  </si>
  <si>
    <t>https://www.scopus.com/inward/record.uri?eid=2-s2.0-85206872291&amp;doi=10.1098%2Frstb.2023.0095&amp;partnerID=40&amp;md5=609160d668832a36c6a64c2259265918</t>
  </si>
  <si>
    <t>Executive function deficits, common in psychiatric disorders, hinder daily activities and may be linked to diminished neural plasticity, affecting treatment and training responsiveness. In this pioneering study, we evaluated the feasibility and preliminary efficacy of psilocybin-assisted frontal-midline theta neurofeedback (NF), a neuromodulation technique leveraging neuroplasticity, to improve executive functions (EFs). Thirty-seven eligible participants were randomized into an experimental group (n = 18) and a passive control group (n = 19). The experimental group underwent three microdose sessions and then three psilocybin-assisted NF sessions, without requiring psychological support, demonstrating the approach's feasibility. NF learning showed a statistical trend for increases in frontal-midline theta from session to session with a large effect size and non-significant but medium effect size dynamical changes within sessions. Placebo effects were consistent across groups, with no tasks-based EF improvements, but significant self-reported gains in daily EFs - working memory, shifting, monitoring and inhibition - showing medium and high effect sizes. The experimental group's significant gains in their key training goals underscored the approach's external relevance. A thorough study with regular sessions and an active control group is crucial to evaluate EFs improvement and their specificity in future. Psilocybin-enhanced NF could offer significant, lasting benefits across diagnoses, improving daily functioning. This article is part of the theme issue 'Neurofeedback: new territories and neurocognitive mechanisms of endogenous neuromodulation'. © 2024 Elsevier B.V., All rights reserved.</t>
  </si>
  <si>
    <t>active control; inhibition; laboratory method; monitoring system; nervous system; psychology; recognition; psilocybine; adult; controlled study; drug effect; executive function; feasibility study; female; human; male; neurofeedback; procedures; randomized controlled trial; young adult; Adult; Executive Function; Feasibility Studies; Female; Humans; Male; Neurofeedback; Psilocybin; Young Adult</t>
  </si>
  <si>
    <t>The study was published in 2024, falling within the specified publication period (2020-2025). It is a primary research paper ("randomized semi-naturalistic-lab feasibility study") and not a review, and the language is English. The thematic scope is highly relevant, as it investigates "psilocybin-assisted frontal-midline theta neurofeedback" (a form of BCI/neurofeedback) to "improve executive functions" (cognitive enhancement) and addresses "Executive function deficits, common in psychiatric disorders" (mental health relevance). No exclusion criteria are met based on the provided title and abstract.</t>
  </si>
  <si>
    <t>Tosti, B.; Corrado, S.; Mancone, S.; Di Libero, T.; Carissimo, C.; Cerro, G.; Rodio, A.; da Silva, V.F.; Coimbra, D.R.; Andrade, A.; Diotaiuti, P.</t>
  </si>
  <si>
    <t>Neurofeedback Training Protocols in Sports: A Systematic Review of Recent Advances in Performance, Anxiety, and Emotional Regulation</t>
  </si>
  <si>
    <t>https://www.scopus.com/inward/record.uri?eid=2-s2.0-85207641229&amp;doi=10.3390%2Fbrainsci14101036&amp;partnerID=40&amp;md5=e81512787351a072a27fbf5789f45901</t>
  </si>
  <si>
    <t>(1) Background. Neurofeedback has been used in sports since the 1990s, frequently showing positive outcomes in enhancing athletic performance. This systematic review provides an updated analysis of neurofeedback training in sports, evaluating reaction time, cognitive performance, and emotional regulation to address literature gaps and suggest future research directions. (2) Methods. A systematic search was conducted using PubMed, Scopus, Science Direct, and Web of Science databases for articles published from January 2016 to April 2023. The search included only original articles written in English, resulting in 24 studies meeting the inclusion criteria. (3) Results. The reviewed studies cover a wide range of sports, including golf, basketball, swimming, rifle shooting, football, volleyball, athletics, judo, ice hockey, triathlon, handball, fencing, taekwondo, and darts. They involved athletes of varying experience levels (beginners, professionals, and experts) and utilized neurofeedback training targeting different frequency bands (alpha, beta, theta, and SMR), either individually or in mixed protocols. Findings show improvements in sports and cognitive performance, emotional regulation, and anxiety management. (4) Conclusions. This systematic review supports the effectiveness of neurofeedback in enhancing sports and cognitive performance across various disciplines and experience levels. Notable improvements were observed in technical skills, physical performance parameters, scoring, attention, concentration, reaction time, short-term and working memory, self-regulation, and cognitive anxiety. Future research should standardize protocols, include more diverse samples, and explore long-term effects to further validate these findings. © 2024 Elsevier B.V., All rights reserved.</t>
  </si>
  <si>
    <t>anxiety; athlete; athletic performance; athletics; autoregulation; basketball; cognition; emotion regulation; football; human; ice hockey; judo; mental performance; neurofeedback; performance anxiety; physical performance; protocol; reaction time; review; Risk, Injury, Failure, Loss of kidney function and End-stage kidney disease classification; sport; swimming; systematic review; taekwondo; therapy; training; triathlon; volleyball; Web of Science; working memory</t>
  </si>
  <si>
    <t>The study is a "Systematic Review," as explicitly stated in both the title and abstract. This directly violates the inclusion criterion "Publication Type: Main Papers (not reviews)." Although it meets other criteria such as publication period (2024), language (English), and thematic scope (neurofeedback applied to anxiety and cognitive enhancement), the failure to meet the publication type criterion results in exclusion.</t>
  </si>
  <si>
    <t>Rezvani, Z.; Khosrowabadi, R.; Seyedebrahimi, A.; Meftahi, G.-H.; Hatef, B.</t>
  </si>
  <si>
    <t>Stress Induction and Release: Electroencephalography Study on Brain Networks and Cortisol</t>
  </si>
  <si>
    <t>https://www.scopus.com/inward/record.uri?eid=2-s2.0-85212629141&amp;doi=10.32598%2Fbcn.2021.2525.1&amp;partnerID=40&amp;md5=b9605df8cb8b0d4b43eefb8ca3801c61</t>
  </si>
  <si>
    <t>Introduction: Acute stress over a long time period can drastically influence the behavioral and cognitive performances. Therefore, it is important to control and eliminate the stressor after a stressful event. In this regard, understanding of brain mechanism of stress release will help to introduce new practical approaches. In this study, we aimed to investigate the changes in the brain's functional connectivity (FC) patterns and salivary cortisol level during stress induction and release in healthy young male adults. Method: In this study, 20 healthy young male adults were exposed to stressful events using the Trier social stress paradigm in one session consisting of 23 minutes of psychological stress induction and 20 minutes of recovery, Their stress was measured by the visual analog scale (VAS). In addition, their salivary cortisol levels and electroencephalography (EEG) data were recorded. Subsequently, brain FC maps were prepared in a frequency-specific manner. Then, the effects of inducing and releasing stress on the VAS, cortisol level, and FC were assessed. Results: The inter-hemispheric FC of the right frontal lobes with other brain regions decreased, while the FC was increased in the left frontal lobes during the induction of stress. Interestingly, the release of stress presented a recovery pattern of inter-hemispheric FC. These changes in FC significantly correlated with changes in the cortisol level. Conclusion: Our findings highlight the important role of bihemispheric associations in adaptation and coping with stressful conditions. © 2024 Elsevier B.V., All rights reserved.</t>
  </si>
  <si>
    <t>hydrocortisone; adult; amygdala; Article; brain; brain region; controlled study; electroencephalography; frontal lobe; functional connectivity; hippocampus; human; human experiment; hydrocortisone release; male; mental stress; nerve cell network; normal human; prefrontal cortex; saliva level; Trier Social Stress Test; visual analog scale; young adult</t>
  </si>
  <si>
    <t>The study aligns strongly with all inclusion criteria. It was published in 2024, falling within the 2020-2025 period. The abstract describes an original research study, not a review, and is presented in English. Crucially, the study investigates "Stress Induction and Release" and "brain networks" using "Electroencephalography (EEG)", directly addressing the thematic scope of Brain-Computer Interfaces (EEG) applied to Mental Health (stress). No exclusion criteria are met based on the provided title and abstract.</t>
  </si>
  <si>
    <t>Drigas, A.; Sideraki, A.</t>
  </si>
  <si>
    <t>Brain Neuroplasticity Leveraging Virtual Reality and Brain–Computer Interface Technologies</t>
  </si>
  <si>
    <t>https://www.scopus.com/inward/record.uri?eid=2-s2.0-85203872161&amp;doi=10.3390%2Fs24175725&amp;partnerID=40&amp;md5=7a0b6beb270c723ece4607ab6b028d63</t>
  </si>
  <si>
    <t>This study explores neuroplasticity through the use of virtual reality (VR) and brain–computer interfaces (BCIs). Neuroplasticity is the brain’s ability to reorganize itself by forming new neural connections in response to learning, experience, and injury. VR offers a controlled environment to manipulate sensory inputs, while BCIs facilitate real-time monitoring and modulation of neural activity. By combining VR and BCI, researchers can stimulate specific brain regions, trigger neurochemical changes, and influence cognitive functions such as memory, perception, and motor skills. Key findings indicate that VR and BCI interventions are promising for rehabilitation therapies, treatment of phobias and anxiety disorders, and cognitive enhancement. Personalized VR experiences, adapted based on BCI feedback, enhance the efficacy of these interventions. This study underscores the potential for integrating VR and BCI technologies to understand and harness neuroplasticity for cognitive and therapeutic applications. The researchers utilized the PRISMA (Preferred Reporting Items for Systematic Reviews and Meta-Analyses) method to conduct a comprehensive and systematic review of the existing literature on neuroplasticity, VR, and BCI. This involved identifying relevant studies through database searches, screening for eligibility, and assessing the quality of the included studies. Data extraction focused on the effects of VR and BCI on neuroplasticity and cognitive functions. The PRISMA method ensured a rigorous and transparent approach to synthesizing evidence, allowing the researchers to draw robust conclusions about the potential of VR and BCI technologies in promoting neuroplasticity and cognitive enhancement. © 2024 Elsevier B.V., All rights reserved.</t>
  </si>
  <si>
    <t>Brain computer interface; Diagnosis; Virtual reality; Analysis method; Brain–computer interface—brain–computer interface; Cognitive enhancement; Cognitive functions; Controlled environment; Interface technology; Learning experiences; Meta-analysis; Neuroplasticity; Systematic Review; Virtual environments; brain; brain computer interface; cognition; human; meta analysis; nerve cell plasticity; physiology; virtual reality; Brain; Brain-Computer Interfaces; Cognition; Humans; Neuronal Plasticity; Virtual Reality</t>
  </si>
  <si>
    <t>The study explicitly states in its abstract that it is a "comprehensive and systematic review of the existing literature," which directly violates the inclusion criterion specifying "Main Papers (not reviews)."</t>
  </si>
  <si>
    <t>Danish Mujib, M.D.; Rao, A.Z.; Hasan, M.A.; Ikhlaq, A.; Shahid, H.; Bano, N.; Mustafa, M.U.; Mukhtar, F.; Nisa, M.; Qazi, S.A.</t>
  </si>
  <si>
    <t>Comparative Neurological and Behavioral Assessment of Central and Peripheral Stimulation Technologies for Induced Pain and Cognitive Tasks</t>
  </si>
  <si>
    <t>https://www.scopus.com/inward/record.uri?eid=2-s2.0-85197216086&amp;doi=10.3390%2Fbiomedicines12061269&amp;partnerID=40&amp;md5=066de98a485fc9b15a6058b15c83004f</t>
  </si>
  <si>
    <t>Pain is a multifaceted, multisystem disorder that adversely affects neuro-psychological processes. This study compares the effectiveness of central stimulation (transcranial direct current stimulation—tDCS over F3/F4) and peripheral stimulation (transcutaneous electrical nerve stimulation—TENS over the median nerve) in pain inhibition during a cognitive task in healthy volunteers and to observe potential neuro-cognitive improvements. Eighty healthy participants underwent a comprehensive experimental protocol, including cognitive assessments, the Cold Pressor Test (CPT) for pain induction, and tDCS/TENS administration. EEG recordings were conducted pre- and post-intervention across all conditions. The protocol for this study was categorized into four groups: G1 (control), G2 (TENS), G3 (anodal-tDCS), and G4 (cathodal-tDCS). Paired t-tests (p &lt; 0.05) were conducted to compare Pre-Stage, Post-Stage, and neuromodulation conditions, with t-values providing insights into effect magnitudes. The result showed a reduction in pain intensity with TENS (p = 0.002, t-value = −5.34) and cathodal-tDCS (p = 0.023, t-value = −5.08) and increased pain tolerance with TENS (p = 0.009, t-value = 4.98) and cathodal-tDCS (p = 0.001, t-value = 5.78). Anodal-tDCS (p = 0.041, t-value = 4.86) improved cognitive performance. The EEG analysis revealed distinct neural oscillatory patterns across the groups. Specifically, G2 and G4 showed delta-power reductions, while G3 observed an increase. Moreover, G2 exhibited increased theta-power in the occipital region during CPT and Post-Stages. In the alpha-band, G2, G3, and G4 had reductions Post-Stage, while G1 and G3 increased. Additionally, beta-power increased in the frontal region for G2 and G3, contrasting with a reduction in G4. Furthermore, gamma-power globally increased during CPT1, with G1, G2, and G3 showing reductions Post-Stage, while G4 displayed a global decrease. The findings confirm the efficacy of TENS and tDCS as possible non-drug therapeutic alternatives for cognition with alleviation from pain. © 2024 Elsevier B.V., All rights reserved.</t>
  </si>
  <si>
    <t>The study strongly aligns with all inclusion criteria and does not meet any exclusion criteria based on the provided title, publication year, and abstract.
*   **Inclusion Criteria Met:**
    *   **Publication Period:** The article was published in 2024, which falls within the 2020-2025 range.
    *   **Publication Type:** The abstract describes an experimental protocol with participants, data collection (EEG), and statistical analysis, indicating it is a main research paper rather than a review.
    *   **Language:** The title and abstract are in English.
    *   **Thematic Scope:** The study explicitly mentions "EEG recordings" and investigates "cognitive tasks," "neuro-cognitive improvements," and "cognitive performance," directly aligning with the "Cognitive and Neurological Enhancement" aspect of the thematic scope. While the primary focus is on pain inhibition and cognitive performance in healthy volunteers, the clear emphasis on cognitive improvements satisfies this criterion.
*   **Exclusion Criteria Not Met:**
    *   The publication year is within the defined period.
    *   The study is focused on cognitive enhancement.
    *   The publication by "Elsevier B.V." suggests it is a peer-reviewed article.
    *   The study's focus is on the effects of neuromodulation on cognition and pain, not exclusively on technical aspects of hardware.</t>
  </si>
  <si>
    <t>Diotaiuti, P.; Valente, G.; Corrado, S.; Tosti, B.; Carissimo, C.; Di Libero, T.; Cerro, G.; Rodio, A.; Mancone, S.</t>
  </si>
  <si>
    <t>Enhancing Working Memory and Reducing Anxiety in University Students: A Neurofeedback Approach</t>
  </si>
  <si>
    <t>https://www.scopus.com/inward/record.uri?eid=2-s2.0-85196905848&amp;doi=10.3390%2Fbrainsci14060578&amp;partnerID=40&amp;md5=1fcca2cf66842726ed1a3907e0adaa35</t>
  </si>
  <si>
    <t>(1) Background: Neurofeedback training (NFT) has emerged as a promising approach for enhancing cognitive functions and reducing anxiety, yet its specific impact on university student populations requires further investigation. This study aims to examine the effects of NFT on working memory improvement and anxiety reduction within this demographic. (2) Methods: A total of forty healthy university student volunteers were randomized into two groups: an experimental group that received NFT and a control group. The NFT protocol was administered using a 14-channel Emotiv Epoc X headset (EMOTIV, Inc., San Francisco, CA 94102, USA) and BrainViz software version Brain Visualizer 1.1 (EMOTIV, Inc., San Francisco, CA 94102, USA), focusing on the alpha frequency band to target improvements in working memory and reductions in anxiety. Assessment tools, including the Corsi Block and Memory Span tests for working memory and the State-Trait Anxiety Inventory-2 (STAI-2) for anxiety, were applied pre- and post-intervention. (3) Results: The findings indicated an increase in alpha wave amplitude in the experimental group from the second day of NFT, with statistically significant differences observed on days 2 (p &lt; 0.05) and 8 (p &lt; 0.01). Contrary to expectations based on the previous literature, the study did not observe a concurrent positive impact on working memory. Nonetheless, a significant reduction in state anxiety levels was recorded in the experimental group (p &lt; 0.001), corroborating NFT’s potential for anxiety management. (4) Conclusions: While these results suggest some potential of the technique in enhancing neural efficiency, the variability across different days highlights the need for further investigation to fully ascertain its effectiveness. The study confirms the beneficial impact of NFT on reducing state anxiety among university students, underscoring its value in psychological and cognitive performance enhancement. Despite the lack of observed improvements in working memory, these results highlight the need for continued exploration of NFT applications across different populations and settings, emphasizing its potential utility in educational and therapeutic contexts. © 2024 Elsevier B.V., All rights reserved.</t>
  </si>
  <si>
    <t>A wave; adult; alpha rhythm; anxiety; article; California; cognition; controlled study; female; human; human experiment; male; memory; mental performance; neurofeedback; normal human; State Trait Anxiety Inventory; therapy; university student; working memory</t>
  </si>
  <si>
    <t>The study strongly aligns with all inclusion criteria. It was published in 2024, falling within the 2020-2025 period. The abstract clearly indicates it is a main research paper with a standard structure (Background, Methods, Results, Conclusions) and not a review. The language is English. The thematic scope is perfectly met, as it addresses Neurofeedback Training (NFT), a type of BCI, applied to both mental health (anxiety reduction) and cognitive enhancement (working memory improvement). No exclusion criteria are met based on the provided title and abstract. The study is not exclusively focused on technical hardware aspects, but rather on the application and effects of NFT on cognition and mental health.</t>
  </si>
  <si>
    <t>Astuti, R.D.; Suhardi, B.; Laksono, P.W.; Susanto, N.</t>
  </si>
  <si>
    <t>Investigating the Relationship between Noise Exposure and Human Cognitive Performance: Attention, Stress, and Mental Workload Based on EEG Signals Using Power Spectrum Density</t>
  </si>
  <si>
    <t>https://www.scopus.com/inward/record.uri?eid=2-s2.0-85192452023&amp;doi=10.3390%2Fapp14072699&amp;partnerID=40&amp;md5=4821853b1a3bb0bba375347e70ba6c98</t>
  </si>
  <si>
    <t>A pervasive environmental stressor is one that damages mental and physical health as well as cognitive abilities by producing noise at a specific frequency and level. Current noise pollution levels pose a significant threat to public health, potentially leading to impaired cognitive function, increased stress, and other negative health consequences. This study aims to investigate the relationship between noise exposure and human cognitive abilities using a comprehensive analysis of power spectrum density (PSD) derived from EEG signals. Twenty-four participants completed the experiment to identify the effect of exposure to different noise levels (55 dB, 65 dB, 70 dB, 75 dB, 80 dB, and 85 dB) and two types of continuous and intermittent noise. The Stroop Color–Word Test and the Emotive Epoch EEG are cognitive task instruments used during experiments. Behavioral performance (accuracy and response time) and power spectrum electroencephalographic density were collected and analyzed. The methodology involved collecting EEG data from participants exposed to controlled noise stimuli and a subsequent PSD analysis to uncover frequency-specific patterns associated with cognitive processes. Attention levels were measured by examining beta wave activity, while stress responses were evaluated through an alpha wave analysis. Additionally, mental workload was assessed by considering the overall distribution of PSD through the theta-to-alpha ratio. The results revealed a significant relationship between the exposure to noise types and levels and human cognitive ability. The analysis of the power spectrum density on the cognitive aspects of attention and stress yielded results indicating that participants were in the best attention condition and in a relaxed or unstressed state when exposed to noise levels of 65 dB in both continuous and intermittent noise types. For the mental workload aspect, participants exposed to both continuous and intermittent noise types at a noise level of 70 dB began to indicate the presence of mental workload. These findings supported the importance of considering the impact of environmental noise on human cognitive well-being and demonstrated the potential of EEG monitoring as an objective tool for assessing the impact of noise on cognitive performance. © 2024 Elsevier B.V., All rights reserved.</t>
  </si>
  <si>
    <t>The study strongly aligns with all inclusion criteria and does not meet any exclusion criteria based on the provided title and abstract.
*   **Publication Period:** The article was published in 2024, which falls within the 2020-2025 range.
*   **Publication Type:** The abstract describes an experimental study investigating a relationship, indicating it is a main paper and not a review.
*   **Language:** The title and abstract are in English.
*   **Thematic Scope:** The study explicitly uses "EEG signals" to investigate "human cognitive performance: Attention, Stress, and Mental Workload." "Attention" and "Mental Workload" fall under Cognitive Enhancement, and "Stress" falls under Mental Health. The use of EEG for these applications directly matches the thematic scope.
*   **Exclusion Criteria Check:**
    *   It is within the defined publication period.
    *   It is focused on mental health (stress) and cognitive enhancement (attention, mental workload).
    *   The mention of "© 2024 Elsevier B.V." suggests it is a peer-reviewed article.
    *   It is not focused exclusively on technical aspects of hardware; EEG is used as a tool to study cognitive and mental health impacts.
    *   Other exclusion criteria (duplicates, full-text access, short articles) cannot be determined from the abstract alone but there is no indication they are met.</t>
  </si>
  <si>
    <t>Zentner, S.; Chacón, A.; Wriessnegger, S.C.</t>
  </si>
  <si>
    <t>The Impact of Light Conditions on Neural Affect Classification: A Deep Learning Approach</t>
  </si>
  <si>
    <t>https://www.scopus.com/inward/record.uri?eid=2-s2.0-85188915840&amp;doi=10.3390%2Fmake6010011&amp;partnerID=40&amp;md5=a4debee62344f1c1a08d2ea33ce45ee2</t>
  </si>
  <si>
    <t>Understanding and detecting human emotions is crucial for enhancing mental health, cognitive performance and human–computer interactions. This field in affective computing is relatively unexplored, and gaining knowledge about which external factors impact emotions could enhance communication between users and machines. Furthermore, it could also help us to manage affective disorders or understand affective physiological responses to human spatial and digital environments. The main objective of the current study was to investigate the influence of external stimulation, specifically the influence of different light conditions, on brain activity while observing affect-eliciting pictures and their classification. In this context, a multichannel electroencephalography (EEG) was recorded in 30 participants as they observed images from the Nencki Affective Picture System (NAPS) database in an art-gallery-style Virtual Reality (VR) environment. The elicited affect states were classified into three affect classes within the two-dimensional valence–arousal plane. Valence (positive/negative) and arousal (high/low) values were reported by participants on continuous scales. The experiment was conducted in two experimental conditions: a warm light condition and a cold light condition. Thus, three classification tasks arose with regard to the recorded brain data: classification of an affect state within a warm-light condition, classification of an affect state within a cold light condition, and warm light vs. cold light classification during observation of affect-eliciting images. For all classification tasks, Linear Discriminant Analysis, a Spatial Filter Model, a Convolutional Neural Network, the EEGNet, and the SincNet were compared. The EEGNet architecture performed best in all tasks. It could significantly classify three affect states with 43.12% accuracy under the influence of warm light. Under the influence of cold light, no model could achieve significant results. The classification between visual stimulus with warm light vs. cold light could be classified significantly with 76.65% accuracy from the EEGNet, well above any other machine learning or deep learning model. No significant differences could be detected between affect recognition in different light conditions, but the results point towards the advantage of gradient-based learning methods for data-driven experimental designs for the problem of affect decoding from EEG, providing modern tools for affective computing in digital spaces. Moreover, the ability to discern externally driven affective states through deep learning not only advances our understanding of the human mind but also opens avenues for developing innovative therapeutic interventions and improving human–computer interaction. © 2024 Elsevier B.V., All rights reserved.</t>
  </si>
  <si>
    <t>The study was published in 2024, falling within the specified publication period (2020-2025). It presents an experimental investigation using EEG for affect classification, indicating it is a main research paper and not a review. The publication is in English. The thematic scope aligns well, as it uses EEG (a BCI component) to classify affect states, explicitly linking its findings to "enhancing mental health, cognitive performance," "managing affective disorders," and "developing innovative therapeutic interventions." This directly addresses the mental health and cognitive enhancement aspects of the inclusion criteria. No exclusion criteria are met based on the provided title and abstract.</t>
  </si>
  <si>
    <t>Rashmi, R.; Shantala, D.S.</t>
  </si>
  <si>
    <t>Evaluating Deep Learning with different feature scaling techniques for EEG-based Music Entrainment Brain Computer Interface</t>
  </si>
  <si>
    <t>https://www.scopus.com/inward/record.uri?eid=2-s2.0-85183991218&amp;doi=10.1016%2Fj.prime.2024.100448&amp;partnerID=40&amp;md5=c808a8a78749760a1ba0294131bbc596</t>
  </si>
  <si>
    <t>Music Entrainment Brain-Computer Interface (BCI) systems influence music as a modulatory tool, synchronizing neural activities to the rhythm and structure of auditory stimuli. This innovative interface uses electroencephalogram (EEG) signals to decode cognitive states influenced by music, enabling novel pathways for cognitive enhancement, stress reduction, and therapeutic interventions. This paper investigates the influence of different feature scaling techniques on the performance of deep learning model within EEG-based Music Entrainment Brain-Computer Interface (BCI) systems. Deep neural network (DNN) is implemented to classify EEG signals into three classes i) during listening to music, ii) during listening to singing bowl sounds and iii) relax states. The comparison on effect of both music and singing bowl therapy on different brain lobes, such as the frontal, temporal, central and occipital lobes are analyzed. The DNN model performance is evaluated by employing various feature scaling methods like StandardScaler(), MinMaxScaler(), Normalizer(), and RobustScaler(). DNN model loss is computed using four loss functions such as mean squared error(MSE), mean absolute error (MAE), logcosh and categorical cross entropy. StandardScaler with mean absolute error loss function showed test accuracy of 87.26%. This research offers valuable insights into BCI's potential in stress management and the integration of music as a therapeutic tool. © 2024 Elsevier B.V., All rights reserved.</t>
  </si>
  <si>
    <t>The study strongly aligns with all inclusion criteria and does not meet any exclusion criteria based on the provided title and abstract.
*   **Publication Period:** The publication year is 2024, which falls within the specified range of 2020-2025.
*   **Publication Type:** The abstract describes an investigation, implementation, and evaluation of a deep learning model within a BCI system, indicating it is a main research paper rather than a review. The copyright by Elsevier further supports its nature as a peer-reviewed publication.
*   **Language:** The title and abstract are in English.
*   **Thematic Scope:** The study explicitly addresses "EEG-based Music Entrainment Brain-Computer Interface (BCI)" and applies it to "cognitive enhancement," "stress reduction," "therapeutic interventions," and "stress management," directly aligning with the themes of cognitive/neurological enhancement and mental health.
*   **Exclusion Criteria Check:**
    *   It is within the defined period.
    *   It is focused on mental health and cognitive enhancement.
    *   It appears to be a peer-reviewed article (Elsevier copyright).
    *   While it discusses technical aspects (deep learning, feature scaling), these are applied within the context of BCI for cognitive enhancement and stress reduction, not exclusively on hardware unrelated to cognition or mental health.
    *   Other exclusion criteria (duplicates, full-text access, short articles) cannot be determined from the provided information, so we assume they are not met for this evaluation.</t>
  </si>
  <si>
    <t>Kaneko, N.; Wada, M.; Nakajima, S.; Takano, M.; Taniguchi, K.; Honda, S.; Mimura, M.; Noda, Y.</t>
  </si>
  <si>
    <t>Neuroplasticity of the left dorsolateral prefrontal cortex in patients with treatment-resistant depression as indexed with paired associative stimulation: a TMS–EEG study</t>
  </si>
  <si>
    <t>https://www.scopus.com/inward/record.uri?eid=2-s2.0-85184013375&amp;doi=10.1093%2Fcercor%2Fbhad515&amp;partnerID=40&amp;md5=b50616f30bb750d1e489a441ead98181</t>
  </si>
  <si>
    <t>Major depressive disorder affects over 300 million people globally, with approximately 30% experiencing treatment-resistant depression (TRD). Given that impaired neuroplasticity underlies depression, the present study focused on neuroplasticity in the dorsolateral prefrontal cortex (DLPFC). Here, we aimed to investigate the differences in neuroplasticity between 60 individuals with TRD and 30 age- and sex-matched healthy controls (HCs). To induce neuroplasticity, participants underwent a paired associative stimulation (PAS) paradigm involving peripheral median nerve stimulation and transcranial magnetic stimulation (TMS) targeting the left DLPFC. Neuroplasticity was assessed by using measurements combining TMS with EEG before and after PAS. Both groups exhibited significant increases in the early component of TMS-evoked potentials (TEP) after PAS (P &lt; 0.05, paired t-tests with the bootstrapping method). However, the HC group demonstrated a greater increase in TEPs than the TRD group (P = 0.045, paired t-tests). Additionally, event-related spectral perturbation analysis highlighted that the gamma power significantly increased after PAS in the HC group, whereas it was decreased in the TRD group (P &lt; 0.05, paired t-tests with the bootstrapping method). This gamma power modulation revealed a significant group difference (P = 0.006, paired t-tests), indicating an inverse relationship for gamma power modulation. Our findings underscore the impaired neuroplasticity of the DLPFC in individuals with TRD. © 2024 Elsevier B.V., All rights reserved.</t>
  </si>
  <si>
    <t>venlafaxine; adult; aged; Article; bone conduction; controlled study; dorsolateral prefrontal cortex; DSM-5; electroencephalogram; electroencephalography; evoked response; female; human; major clinical study; male; median nerve; Mini Mental State Examination; Montgomery Asberg Depression Rating Scale; motor evoked potential; nerve cell plasticity; somatosensory evoked potential; transcranial magnetic stimulation; treatment resistant depression; depression; major depression; physiology; prefrontal cortex; procedures; Depression; Depressive Disorder, Major; Dorsolateral Prefrontal Cortex; Electroencephalography; Humans; Neuronal Plasticity; Prefrontal Cortex; Transcranial Magnetic Stimulation</t>
  </si>
  <si>
    <t>The study meets several inclusion criteria: it was published in 2024 (within 2020-2025), appears to be a main research paper, is in English, and focuses on mental health (treatment-resistant depression) and neuroplasticity.
However, it fails to meet the thematic scope inclusion criterion regarding the *type of technology addressed*. The inclusion criteria specify "Studies addressing Brain-Computer Interfaces (BCI, BMI, neurofeedback, EEG) applied to..." While the study uses EEG for measurement, it does not "address" EEG as a BCI, BMI, or neurofeedback system. The primary intervention described is Transcranial Magnetic Stimulation (TMS) to induce neuroplasticity, with EEG used as a measurement tool to assess the effects of TMS. TMS is not a BCI, BMI, or neurofeedback technology. Therefore, the study does not align with the requirement for the core technology being applied.</t>
  </si>
  <si>
    <t>Bandarabadi, M.; Li, S.; Aeschlimann, L.; Colombo, G.; Tzanoulinou, S.; Tafti, M.; Becchetti, A.; Boutrel, B.; Vassalli, A.</t>
  </si>
  <si>
    <t>Inactivation of hypocretin receptor-2 signaling in dopaminergic neurons induces hyperarousal and enhanced cognition but impaired inhibitory control</t>
  </si>
  <si>
    <t>https://www.scopus.com/inward/record.uri?eid=2-s2.0-85180236389&amp;doi=10.1038%2Fs41380-023-02329-z&amp;partnerID=40&amp;md5=276fb0d51e79a88fd81aaf26ba45734b</t>
  </si>
  <si>
    <t>Hypocretin/Orexin (HCRT/OX) and dopamine (DA) are both key effectors of salience processing, reward and stress-related behaviors and motivational states, yet their respective roles and interactions are poorly delineated. We inactivated HCRT-to-DA connectivity by genetic disruption of Hypocretin receptor-1 (Hcrtr1), Hypocretin receptor-2 (Hcrtr2), or both receptors (Hcrtr1&amp;2) in DA neurons and analyzed the consequences on vigilance states, brain oscillations and cognitive performance in freely behaving mice. Unexpectedly, loss of Hcrtr2, but not Hcrtr1 or Hcrtr1&amp;2, induced a dramatic increase in theta (7–11 Hz) electroencephalographic (EEG) activity in both wakefulness and rapid-eye-movement sleep (REMS). DAHcrtr2-deficient mice spent more time in an active (or theta activity-enriched) substate of wakefulness, and exhibited prolonged REMS. Additionally, both wake and REMS displayed enhanced theta-gamma phase-amplitude coupling. The baseline waking EEG of DAHcrtr2-deficient mice exhibited diminished infra-theta, but increased theta power, two hallmarks of EEG hyperarousal, that were however uncoupled from locomotor activity. Upon exposure to novel, either rewarding or stress-inducing environments, DAHcrtr2-deficient mice featured more pronounced waking theta and fast-gamma (52–80 Hz) EEG activity surges compared to littermate controls, further suggesting increased alertness. Cognitive performance was evaluated in an operant conditioning paradigm, which revealed that DAHcrtr2-ablated mice manifest faster task acquisition and higher choice accuracy under increasingly demanding task contingencies. However, the mice concurrently displayed maladaptive patterns of reward-seeking, with behavioral indices of enhanced impulsivity and compulsivity. None of the EEG changes observed in DAHcrtr2-deficient mice were seen in DAHcrtr1-ablated mice, which tended to show opposite EEG phenotypes. Our findings establish a clear genetically-defined link between monosynaptic HCRT-to-DA neurotransmission and theta oscillations, with a differential and novel role of HCRTR2 in theta-gamma cross-frequency coupling, attentional processes, and executive functions, relevant to disorders including narcolepsy, attention-deficit/hyperactivity disorder, and Parkinson’s disease. © 2024 Elsevier B.V., All rights reserved.</t>
  </si>
  <si>
    <t>dopamine; green fluorescent protein; orexin 1 receptor; orexin 2 receptor; Hcrtr1 protein, mouse; orexin; orexin receptor; action potential; animal experiment; animal model; animal tissue; Article; attention deficit hyperactivity disorder; C57BL 6 mouse; cognition; compulsivity; controlled study; DNA isolation; dopaminergic nerve cell; electroencephalography; experimental test; gene deletion; genotype; hyperarousal; immunohistochemistry; immunoreactivity; impulsiveness; inhibitory control; locomotion; mental function; mouse; narcolepsy; neuromuscular function; nonhuman; Parkinson disease; polymerase chain reaction; protein expression; protein localization; REM sleep; signal transduction; theta gamma coupling; three choice serial reaction time task; tuberomammillary nucleus; wakefulness; animal; arousal; C57BL mouse; knockout mouse; male; metabolism; physiology; procedures; reward; theta rhythm; Animals; Arousal; Cognition; Dopamine; Dopaminergic Neurons; Electroencephalography; Male; Mice; Mice, Inbred C57BL; Mice, Knockout; Orexin Receptors; Orexins; Reward; Signal Transduction; Sleep, REM; Theta Rhythm; Wakefulness</t>
  </si>
  <si>
    <t>Although the study investigates cognition and EEG activity, it is conducted entirely in mice rather than humans. The inclusion criteria focus on studies relevant to mental health or cognitive enhancement in humans, particularly using BCI/EEG paradigms applied to clinical or cognitive populations. The animal model and genetic manipulation approach place this study outside the defined thematic scope, making it ineligible despite its relevance to neuroscience.</t>
  </si>
  <si>
    <t>While the study meets several inclusion criteria (publication period, language, publication type, and relevance to cognitive enhancement and mental health disorders like ADHD), it fails to meet the core thematic scope requirement regarding Brain-Computer Interfaces (BCI, BMI, neurofeedback, EEG) *applied to* these areas. The study describes a basic neuroscience investigation involving genetic manipulation in mice, using EEG as a measurement tool to understand neural mechanisms. It does not involve the application or development of BCI, BMI, or neurofeedback technologies as interventions or systems for mental health or cognitive enhancement, which is implied by the "applied to" phrasing in the inclusion criteria.</t>
  </si>
  <si>
    <t>Jacques, C.; Quiquempoix, M.; Sauvet, F.; Le-Van-Quyen, M.; Gomez-Mérino, D.; Chennaoui, M.</t>
  </si>
  <si>
    <t>https://www.scopus.com/inward/record.uri?eid=2-s2.0-85213055806&amp;doi=10.3389%2Ffpsyg.2024.1412289&amp;partnerID=40&amp;md5=5b59096b8488fdc38e1d07dcf6c979cd</t>
  </si>
  <si>
    <t>Operational environments are characterized by a range of psycho-physiological constraints that can degrade combatants’ performance and impact on their long-term health. Neurofeedback training (NFT), a non-invasive, safe and effective means of regulating brain activity, has been shown to be effective for mental disorders, as well as for cognitive and motor capacities and aiding sports performance in healthy individuals. Its value in helping soldiers in operational condition or suffering from post-traumatic stress (PTSD) is undeniable, but relatively unexplored. The aim of this narrative review is to show the applicability of NFT to enhance cognitive performance and to treat (or manage) PTSD symptoms in the military context. It provides an overview of NFT use cases before, during or after military operations, and in the treatment of soldiers suffering from PTSD. The position of NFT within the broad spectrum of performance enhancement techniques, as well as several key factors influencing the effectiveness of NFT are discussed. Finally, suggestions for the use of NFT in the military context (pre-training environments, and during and post-deployments to combat zones or field operations), future research directions, recommendations and caveats (e.g., on transfer to operational situations, inter-individual variability in responsiveness) are offered. This review is thus expected to draw clear perspectives for both researchers and armed forces regarding NFT for cognitive performance enhancement and PTSD treatment related to the military context. © 2024 Elsevier B.V., All rights reserved.</t>
  </si>
  <si>
    <t>The study explicitly states in its abstract that it is a "narrative review." This directly violates the inclusion criterion that specifies "Publication Type: Main Papers (not reviews)." Therefore, it does not align with all inclusion criteria.</t>
  </si>
  <si>
    <t>Adachi, M.; Nobukawa, S.; Inagaki, K.</t>
  </si>
  <si>
    <t>Assessment of driver fatigue-related brain responses and causal factors during driving under different traffic conditions</t>
  </si>
  <si>
    <t>https://www.scopus.com/inward/record.uri?eid=2-s2.0-85204294626&amp;doi=10.3389%2Ffams.2024.1426253&amp;partnerID=40&amp;md5=8550b39c85a699289128d33a68752a5e</t>
  </si>
  <si>
    <t>Fatigue is one of the crucial factors in human error-related traffic accidents. Despite the development of highly advanced intelligent transport systems, fatigue-related traffic accidents have not decreased. The factors inducing driver fatigue are classified into mental and physical categories. Physical fatigue results from muscle strain due to prolonged driving and operations. Mental fatigue, on the other hand, results from the continuous mental effort required for driving, including repeated perception and decision-making regarding driving situations and route planning. Monitoring driver fatigue can help prevent fatigue-related traffic accidents. Therefore, researchers have studied its relationship with various biomarkers such as sleep state, eye movement, facial expression, and electroencephalography (EEG) activation levels. Moreover, studies have revealed the relationship between fatigue and cognitive performance, which is affected by factors such as extended periods of driving. Furthermore, the strategy, quantity, and quality of driving operations and perception differ in various traffic environments. For instance, driving stress levels vary depending on factors such as the number of vehicles on the road, traffic congestion, and road conditions. However, the brain activity associated with mental and physical workload due to the traffic environment and its factors remains unknown. In particular, the relationship between mental and physical stress resulting from varying levels of operation and perception in different driving environments, the accumulation of driver fatigue caused by such stress, and the related brain activity are still unclear. In this study, we focused on investigating the mental and physical workload that accumulates in drivers and induces physical and mental fatigue, as well as the related brain activity caused by different traffic environments. We investigate these aspects through driving experiments, measuring EEG in driving environments created by varying the traffic environment and density using a driving simulator. The results confirmed differences in theta- and alpha-band spectral responses, which are associated with driver fatigue, across different traffic environments. Further examination of the causal relationship showed that mental and physical workload were associated with fatigue-related spectral responses depending on the traffic environment. These findings imply that the level of cognitive and operational load inherent in driving environments plays a crucial role in driver fatigue. © 2024 Elsevier B.V., All rights reserved.</t>
  </si>
  <si>
    <t>The study was published in 2024, falling within the specified publication period (2020-2025). Based on the abstract, it describes an original research study involving experiments and data analysis, indicating it is a main paper and not a review. The publication is in English. The thematic scope is met as the study uses Electroencephalography (EEG) to assess "driver fatigue-related brain responses" and "driving stress levels." Fatigue and stress are explicitly mentioned as relevant to mental health in the inclusion criteria. Furthermore, the abstract discusses the relationship between fatigue and "cognitive performance" and "cognitive and operational load," aligning with the cognitive enhancement aspect of the thematic scope. No exclusion criteria were met; the study is not focused exclusively on technical hardware aspects, nor is it outside the defined thematic scope.</t>
  </si>
  <si>
    <t>Balconi, M.; Rovelli, K.</t>
  </si>
  <si>
    <t>Does emotional valence affect cognitive performance and neurophysiological response during decision making? A preliminary study</t>
  </si>
  <si>
    <t>https://www.scopus.com/inward/record.uri?eid=2-s2.0-85201819430&amp;doi=10.3389%2Ffnins.2024.1408526&amp;partnerID=40&amp;md5=ed80d6785dced9ffebc3dacfd1670549</t>
  </si>
  <si>
    <t>This study investigated the impact of the emotional valence of external situations (EVES) on cognitive performance and electrophysiological (EEG) responses during decision-making. 26 healthy adults underwent a modified version of the Trier social stress test, performing five interview-style discourses. Each discourse entailed preparing a speech under increasingly stressful conditions. Participants were also exposed to gradually increasing EVES (i.e., an examining committee displaying progressively more negative-connoted emotional facial expressions). In addition, after each speech, participants completed an arithmetic task to test how emotional manipulation affected cognitive performance. Behavioral data (preparation times) and EEG data (frequency bands) were collected to assess stress regulation, stress resilience, and cognitive performance. The results indicate that EVES significantly influenced stress regulation and resilience, as reflected in the behavioral data. Neurophysiological findings showed increased parietal lobe activity (P4) in the theta and delta bands with rising emotional valence, plateauing from the preparation of the second discourse onward. This suggests enhanced emotional processing and attentional demands. However, gamma band activity decreased in P4 during the preparations for the two discourses following the first, indicating a shift of cognitive resources from higher cognitive functions to emotional processing. This highlights the cognitive cost of maintaining performance and stress regulation under emotionally charged conditions. Such findings suggest that emotional valence modulates cognitive performance and that specific neural mechanisms are involved in managing stress responses. The findings underscore the complex relationship between emotion, cognition, and neural mechanisms, offering valuable insights for stress regulation and resilience, and enhancing performance under pressure. © 2024 Elsevier B.V., All rights reserved.</t>
  </si>
  <si>
    <t>adult; arithmetic; article; cognition; decision making; electroencephalogram; electroencephalography; electrophysiology; emotion; facial expression; female; human; human experiment; interview; machiavellianism; male; mental performance; normal human; parietal lobe; physiological stress; social stress; speech; Trier Social Stress Test; valence (emotion)</t>
  </si>
  <si>
    <t>The study strongly aligns with all inclusion criteria and does not meet any exclusion criteria based on the title and abstract.
*   **Publication Period:** Published in 2024, which falls within the 2020-2025 range.
*   **Publication Type:** The abstract describes an empirical study with methods, results, and conclusions, indicating it is a main paper, not a review. The copyright to Elsevier B.V. further suggests it is a peer-reviewed article.
*   **Language:** The title and abstract are in English.
*   **Thematic Scope:**
    *   **BCI/EEG:** The study explicitly mentions "electrophysiological (EEG) responses" and "EEG data (frequency bands)."
    *   **Mental Health:** It investigates "emotional valence," "stressful conditions," "stress regulation," "stress resilience," and "managing stress responses," directly addressing the 'stress' aspect of mental health.
    *   **Cognitive and Neurological Enhancement:** It examines "cognitive performance," "attentional demands," "cognitive resources," and "enhancing performance under pressure," aligning with cognitive enhancement.</t>
  </si>
  <si>
    <t>Mou, S.; Yan, S.; Shen, S.; Shuai, Y.; Li, G.; Shen, Z.; Shen, P.</t>
  </si>
  <si>
    <t>Prolonged Disease Course Leads to Impaired Brain Function in Anxiety Disorder: A Resting State EEG Study</t>
  </si>
  <si>
    <t>https://www.scopus.com/inward/record.uri?eid=2-s2.0-85200670789&amp;doi=10.2147%2FNDT.S458106&amp;partnerID=40&amp;md5=1972d361ba2a9e545cee88afc0510482</t>
  </si>
  <si>
    <t>Objective: Anxiety disorder (AD) is a common disabling disease. The prolonged disease course may lead to impaired cognitive performance, brain function, and a bad prognosis. Few studies have examined the effect of disease course on brain function by electroencephalogram (EEG). Methods: Resting-state EEG analysis was performed in 34 AD patients. The 34 patients with AD were divided into two groups according to the duration of their illness: anxious state (AS) and generalized anxiety disorder (GAD). Then, EEG features, including univariate power spectral density (PSD), fuzzy entropy (FE), and multivariable functional connectivity (FC), were extracted and compared between AS and GAD. These features were evaluated by three previously validated machine learning methods to test the accuracy of classification in AS and GAD. Results: Significant decreased PSD and FE in GAD were detected compared with AS, especially in the Alpha 2 band. In addition, FC analysis indicated that GAD patients’ connection between the left and right hemispheres decreased. Based on machine learning, AS and GAD are classified on a six-month criterion with the highest classification accuracy of up to 0.99 ± 0.0015. Conclusion: The brain function of patients is more severely impaired in AD patients with longer illness duration. Resting-state EEG demonstrated to be a promising examination in the classification in GAD and AS using machine learning methods with better classification accuracy. © 2024 Elsevier B.V., All rights reserved.</t>
  </si>
  <si>
    <t>accuracy; adult; anxiety; anxiety disorder; Article; back propagation neural network; bipolar disorder; body mass; brain disease; brain function; clinical article; cognitive defect; data analysis; dementia; depression; diagnostic accuracy; disease course; disease duration; educational status; electroencephalogram; electroencephalography; ensemble learning; entropy; female; functional connectivity; fuzzy entropy; generalized anxiety disorder; Hamilton Anxiety Scale; hippocampus; Hospital Anxiety and Depression Scale; human; hypertension; imagery; k nearest neighbor; left hemisphere; local field potential; machine learning; major depression; male; mental disease; mental performance; middle aged; nerve cell network; phase lag index; polysomnography; prognosis; proteomics; random forest; resting state network; right hemisphere; schizophrenia; support vector machine; training; univariate power spectral density</t>
  </si>
  <si>
    <t>The study aligns strongly with all inclusion criteria. It was published in 2024, falling within the 2020-2025 publication period. The abstract's structure (Objective, Methods, Results, Conclusion) indicates it is a main research paper, not a review, and it is written in English. Crucially, the study addresses "Anxiety Disorder" (mental health) and utilizes "Resting-state EEG analysis," which falls under the thematic scope of Brain-Computer Interfaces (EEG) applied to mental health. No explicit exclusion criteria are met based on the provided information. The study applies EEG to understand and classify a mental health condition, which is a direct application of the specified technology to the thematic area.</t>
  </si>
  <si>
    <t>Wider, W.; Mutang, J.A.; Chua, B.S.; Pang, N.T.P.; Jiang, L.; Fauzi, M.A.; Naces Udang, L.N.</t>
  </si>
  <si>
    <t>Mapping the evolution of neurofeedback research: a bibliometric analysis of trends and future directions</t>
  </si>
  <si>
    <t>https://www.scopus.com/inward/record.uri?eid=2-s2.0-85194179823&amp;doi=10.3389%2Ffnhum.2024.1339444&amp;partnerID=40&amp;md5=ec8f7645f3e5e07199567bd97489c831</t>
  </si>
  <si>
    <t>Introduction: This study conducts a bibliometric analysis on neurofeedback research to assess its current state and potential future developments. Methods: It examined 3,626 journal articles from the Web of Science (WoS) using co-citation and co-word methods. Results: The co-citation analysis identified three major clusters: “Real-Time fMRI Neurofeedback and Self-Regulation of Brain Activity,” “EEG Neurofeedback and Cognitive Performance Enhancement,” and “Treatment of ADHD Using Neurofeedback.” The co-word analysis highlighted four key clusters: “Neurofeedback in Mental Health Research,” “Brain-Computer Interfaces for Stroke Rehabilitation,” “Neurofeedback for ADHD in Youth,” and “Neural Mechanisms of Emotion and Self-Regulation with Advanced Neuroimaging. Discussion: This in-depth bibliometric study significantly enhances our understanding of the dynamic field of neurofeedback, indicating its potential in treating ADHD and improving performance. It offers non-invasive, ethical alternatives to conventional psychopharmacology and aligns with the trend toward personalized medicine, suggesting specialized solutions for mental health and rehabilitation as a growing focus in medical practice. © 2024 Elsevier B.V., All rights reserved.</t>
  </si>
  <si>
    <t>attention; attention deficit hyperactivity disorder; autoregulation; bibliometrics; biofeedback; citation analysis; co citation analysis; cognition; cognitive performance enhancement; electroencephalogram; emotion; functional magnetic resonance imaging; human; imagery; mental health; motor imagery; nerve potential; neurofeedback; neuroimaging; publication; Review; slow cortical potentials; stroke rehabilitation</t>
  </si>
  <si>
    <t>This study is a bibliometric analysis rather than a primary research article. According to the inclusion criteria, only main empirical papers (not reviews, meta-analyses, or bibliometric studies) are eligible. While the topic is relevant to neurofeedback and mental health, the publication type does not meet the required criteria, resulting in a score of 0.</t>
  </si>
  <si>
    <t>The study is a "bibliometric analysis," which is a type of review paper. The inclusion criteria explicitly state that only "Main Papers (not reviews)" should be considered. Therefore, despite addressing the thematic scope and publication period, the publication type does not align with the specified inclusion criteria.</t>
  </si>
  <si>
    <t>Weerasinghe, M.M.A.; Wang, G.; Whalley, J.; Crook-Rumsey, M.</t>
  </si>
  <si>
    <t>Mental stress recognition on the fly using neuroplasticity spiking neural networks</t>
  </si>
  <si>
    <t>https://www.scopus.com/inward/record.uri?eid=2-s2.0-85170370500&amp;doi=10.1038%2Fs41598-023-34517-w&amp;partnerID=40&amp;md5=362ab7b02d354b47c378873f5c2e286d</t>
  </si>
  <si>
    <t>Mental stress is found to be strongly connected with human cognition and wellbeing. As the complexities of human life increase, the effects of mental stress have impacted human health and cognitive performance across the globe. This highlights the need for effective non-invasive stress detection methods. In this work, we introduce a novel, artificial spiking neural network model called Online Neuroplasticity Spiking Neural Network (O-NSNN) that utilizes a repertoire of learning concepts inspired by the brain to classify mental stress using Electroencephalogram (EEG) data. These models are personalized and tested on EEG data recorded during sessions in which participants listen to different types of audio comments designed to induce acute stress. Our O-NSNN models learn on the fly producing an average accuracy of 90.76% (σ = 2.09) when classifying EEG signals of brain states associated with these audio comments. The brain-inspired nature of the individual models makes them robust and efficient and has the potential to be integrated into wearable technology. Furthermore, this article presents an exploratory analysis of trained O-NSNNs to discover links between perceived and acute mental stress. The O-NSNN algorithm proved to be better for personalized stress recognition in terms of accuracy, efficiency, and model interpretability. © 2023 Elsevier B.V., All rights reserved.</t>
  </si>
  <si>
    <t>acute stress; adult; algorithm; article; electroencephalogram; exploratory research; human; learning; mental stress; nerve cell plasticity; spiking neural network; artificial neural network; brain; recognition; Brain; Humans; Neural Networks, Computer; Neuronal Plasticity; Recognition, Psychology; Stress, Psychological</t>
  </si>
  <si>
    <t>Meets inclusion criteria: Publication year 2023; abstract in English; primary research (not labeled as review); mentions BCI/EEG/neurofeedback and targets mental health or cognitive outcomes.</t>
  </si>
  <si>
    <t>The study was published in 2023, falling within the specified publication period (2020-2025). The abstract describes original research introducing a novel model for "Mental stress recognition" using "Electroencephalogram (EEG) data," which aligns with the thematic scope of Brain-Computer Interfaces (EEG) applied to Mental Health (stress). The language is English, and it appears to be a main paper from a peer-reviewed publisher (Elsevier). No exclusion criteria are met based on the provided title and abstract.</t>
  </si>
  <si>
    <t>Koncz, S.; Papp, N.; Pothorszki, D.; Bagdy, G.</t>
  </si>
  <si>
    <t>(S)-Ketamine but Not (R)-Ketamine Shows Acute Effects on Depression-Like Behavior and Sleep-Wake Architecture in Rats</t>
  </si>
  <si>
    <t>https://www.scopus.com/inward/record.uri?eid=2-s2.0-85172452307&amp;doi=10.1093%2Fijnp%2Fpyad050&amp;partnerID=40&amp;md5=d7a32d30347c9fc80b0448f9fc14bba0</t>
  </si>
  <si>
    <t>Background: Racemic ketamine consists of two enantiomers, namely (R)-ketamine and (S)-ketamine, with distinguishable pharmacological properties. Both enantiomers have been reported to show rapid antidepressant effects in rodents. Currently, the (S)-enantiomer has been approved for the treatment of major depression, whereas (R)-ketamine failed to show antidepressant effect in recent clinical studies. Major depressive disorder is frequently characterized by disinhibition of rapid eye movement (REM) sleep and disruption of non-REM (NREM) sleep. Racemic ketamine and most conventional antidepressants affect these parameters. However, it remains largely unknown which enantiomer is responsible for these effects. Methods: Here, we compared acute effects of the two ketamine enantiomers (15 mg/kg i.p.) on different sleep-wake stages in freely moving, EEG-equipped rats. We also evaluated the antidepressant-like activity of the enantiomers in a chronic restraint stress model of depression. Results: (S)-ketamine but not (R)-ketamine increased REM sleep latency and decreased REM sleep time at 2 and 3 hours, and increased electroencephalogram delta power during NREM sleep. In addition, only (S)-ketamine increased wakefulness and decreased NREM sleep in the first 2 hours. In the forced swimming test, only (S)-ketamine decreased the immobility time of chronically stressed rats. Conclusion: Effects of the two ketamine enantiomers on rat sleep-wake architecture and behavior are markedly different when administered in the same dose. (S)-ketamine remarkably affects the sleep-wake cycle and very likely sleep-related neuroplasticity, which may be relevant for its antidepressant efficacy. Our results regarding (R)-ketamine’s lack of effect on vigilance and behavior are in line with recent clinical studies. © 2023 Elsevier B.V., All rights reserved.</t>
  </si>
  <si>
    <t>ketamine; antidepressant agent; animal experiment; animal model; Article; chronic stress; controlled study; depression; drug effect; electroencephalogram; enantiomer; forced swim test; immobility time; immobilization stress; locomotion; male; nonhuman; nonREM sleep; rat; REM sleep; REM sleep latency; sleep time; sleep waking cycle; wakefulness; Wistar rat; animal; major depression; sleep; Animals; Antidepressive Agents; Depression; Depressive Disorder, Major; Ketamine; Rats; Sleep</t>
  </si>
  <si>
    <t>The study was published in 2023, falling within the specified publication period (2020-2025). The abstract describes original research with methods, results, and conclusions, indicating it is a main paper and not a review. The language is English. Crucially, the study utilizes EEG ("EEG-equipped rats," "electroencephalogram delta power") as a tool to investigate "Depression-Like Behavior" and "antidepressant efficacy," directly aligning with the thematic scope of Brain-Computer Interfaces (EEG) applied to Mental Health (depression) and potentially Cognitive/Neurological Enhancement ("sleep-related neuroplasticity"). No exclusion criteria are met based on the provided information.</t>
  </si>
  <si>
    <t>Xia, Y.; Wang, G.; Xiao, L.; Du, Y.; Lin, S.; Nan, C.; Weng, S.</t>
  </si>
  <si>
    <t>Effects of Early Adverse Life Events on Depression and Cognitive Performance from the Perspective of the Heart-Brain Axis</t>
  </si>
  <si>
    <t>https://www.scopus.com/inward/record.uri?eid=2-s2.0-85169158185&amp;doi=10.3390%2Fbrainsci13081174&amp;partnerID=40&amp;md5=b00c37914e0549e49f01e81873d47be8</t>
  </si>
  <si>
    <t>Early adverse life events (EALs) increase susceptibility to depression and impair cognitive performance, but the physiological mechanisms are still unclear. The target of this article is to clarify the impact of adverse childhood experiences on emotional and cognitive performance from the perspective of the heart–brain axis. We used the Repeatable Battery for the Assessment of Neuropsychological Status (RBANS) to test cognitive function and the Childhood Trauma Questionnaire (CTQ) to assess adverse childhood experiences. Heart rate variability (HRV) and electroencephalograms (EEG) were acquired at rest. We observed that subjects with depression had experienced more traumatic events during their childhood. Furthermore, they exhibited lower heart rate variability and higher power in the delta, theta, and alpha frequency bands. Moreover, heart rate variability partially mediated the association between childhood trauma exposure and depressive symptoms. Our findings suggested that adverse life events in childhood could influence the development of depression in adulthood, which might be linked to cardiac autonomic dysfunction and altered brain function. © 2023 Elsevier B.V., All rights reserved.</t>
  </si>
  <si>
    <t>adult; adverse event; Article; autonomic dysfunction; body mass; brain function; brain region; childhood trauma; Childhood Trauma Questionnaire; clinical article; cognition; controlled study; depression; electrocardiography; electroencephalogram; electroencephalography; emotional abuse; emotional neglect; false discovery rate; female; Fourier transform; Hamilton Depression Rating Scale; heart brain axis; heart rate; heart rate variability; human; innervation; Likert scale; male; mental performance; physical abuse; sexual abuse; signal noise ratio; smoking</t>
  </si>
  <si>
    <t>This study meets all inclusion criteria. It was published in 2023 (within 2020–2025), is a primary research article (not a review), and is written in English. The study focuses on mental health (depression) and cognitive performance, examining neurophysiological mechanisms using EEG and heart–brain interactions, which aligns with the thematic scope of cognitive and neurological enhancement. The article is full-length, peer-reviewed, and directly relevant to the research question.</t>
  </si>
  <si>
    <t>While the study meets the publication period (2023), publication type (main paper), and language (English) inclusion criteria, it fails to meet the thematic scope. The study uses electroencephalograms (EEG) as a measurement tool to investigate the physiological mechanisms linking early adverse life events to depression and cognitive performance. However, the inclusion criteria specifically require studies addressing BCI, BMI, neurofeedback, or EEG *applied to* mental health or cognitive enhancement, implying their use as an intervention, treatment, or enhancement tool. This study is observational/correlational, using EEG for diagnostic or mechanistic understanding, not as an applied intervention for the specified conditions. Therefore, it does not align with the "applied to" aspect of the thematic scope.</t>
  </si>
  <si>
    <t>Aguerre, N.V.; Gomez-Ariza, C.J.; Ibáñez-Molina, A.J.; Bajo, M.T.</t>
  </si>
  <si>
    <t>Electrophysiological correlates of dispositional mindfulness: A quantitative and complexity EEG study</t>
  </si>
  <si>
    <t>https://www.scopus.com/inward/record.uri?eid=2-s2.0-85147499959&amp;doi=10.1111%2Fbjop.12636&amp;partnerID=40&amp;md5=0e20444c37b6bc8ed2188b3930452935</t>
  </si>
  <si>
    <t>While growing evidence supports that dispositional mindfulness relates to psychological health and cognitive enhancement, to date there have been only a few attempts to characterize its neural underpinnings. In the present study, we aimed at exploring the electrophysiological (EEG) signature of dispositional mindfulness using quantitative and complexity measures of EEG during resting state and while performing a learning task. Hundred twenty participants were assessed with the Five Facet Mindfulness Questionnaire and underwent 5 min eyes-closed resting state and 5 min at task EEG recording. We hypothesized that high mindfulness individuals would show patterns of brain activity related to (a) lower involvement of the default mode network (DMN) at rest (reduced frontal gamma power) and (b) a state of ‘task readiness’ reflected in a more similar pattern from rest to task (reduced overall q-EEG power at rest but not at task), as compared to their low mindfulness counterparts. Dispositional mindfulness was significantly linked to reduced frontal gamma power at rest and lower overall power during rest but not at task. In addition, we found a trend towards higher entropy during task performance in mindful individuals, which has recently been reported during mindfulness meditation. Altogether, our results add to those from expert meditators to show that high (dispositional) mindfulness seems to have a specific electrophysiological pattern characteristic of less involvement of the DMN and mind-wandering processes. © 2023 Elsevier B.V., All rights reserved.</t>
  </si>
  <si>
    <t>adult; article; brain function; controlled study; default mode network; electroencephalogram; electrophysiological procedures; entropy; female; human; human experiment; learning; major clinical study; male; mind wandering; mindfulness; mindfulness meditation; quantitative analysis; questionnaire; task performance; brain; brain mapping; electroencephalography; eye; physiology; procedures; Brain; Brain Mapping; Electroencephalography; Eye; Humans; Learning; Mindfulness</t>
  </si>
  <si>
    <t>The study was published in 2023, which falls within the specified publication period (2020-2025). The abstract clearly describes an original research study with participants and experimental results, indicating it is a main paper and not a review. The publication is in English. The thematic scope is highly relevant, as it investigates the electrophysiological (EEG) correlates of dispositional mindfulness, explicitly linking it to "psychological health" (mental health) and "cognitive enhancement" (learning task, mind-wandering processes). No exclusion criteria are met based on the provided title and abstract.</t>
  </si>
  <si>
    <t>Wang, Z.; Pei, J.; Song, Y.; Liu, J.</t>
  </si>
  <si>
    <t>Experimental investigation of VOC influence on cognitive function at low concentration in a full-fresh air environmental chamber</t>
  </si>
  <si>
    <t>https://www.scopus.com/inward/record.uri?eid=2-s2.0-85164502174&amp;doi=10.1051%2Fe3sconf%2F202339601013&amp;partnerID=40&amp;md5=c5e5c8b8ebbbfbcee3099044ee8e3abf</t>
  </si>
  <si>
    <t>Indoor air quality (IAQ) influences individual physical and mental health. Laboratory studies conducted in environmental chambers have shown that IAQ parameters such as temperature, humidity, CO2, and volatile organic compounds (VOCs) may impact participants' productivity and cognitive performance. To better understand the influence of VOC at low concentration on cognitive function, this study applied a controlled environmental chamber with a full fresh air system at a high airflow rate (1443 m3/h in total). Toluene, a typical VOC commonly found in the Chinese domestic environment, was evaporated, and mixed with fresh air in the main supply air duct before being sent into the chamber. Neurocognitive tasks, and electroencephalogram (EEG) were used to evaluate the cognitive function of health participants under different toluene exposure levels. Results of environmental factors reflected the advantage of the high-airflow-rate full fresh air system in IAQ background factor control, which is essential for research aiming at the influence of indoor air pollutants at low concentrations. The experiment results indicated that a toluene exposure under the recommended level of the World Health Organization (WHO), 0.26 mg/m3, did not lead to discomfort or a significant decline in task performance but triggered changes in EEG power density patterns. © 2023 Elsevier B.V., All rights reserved.</t>
  </si>
  <si>
    <t>The study aligns strongly with all inclusion criteria. It was published in 2023, falling within the 2020-2025 period. The abstract describes an "Experimental investigation" using "Neurocognitive tasks, and electroencephalogram (EEG)" to evaluate "cognitive function," indicating it is a main research paper. The language is English. Crucially, it uses EEG (a specified BCI/neurofeedback technology) to assess the influence of environmental factors (VOCs) on "cognitive function" and "cognitive performance," which directly relates to the thematic scope of Cognitive and Neurological Enhancement. No exclusion criteria are met based on the provided title and abstract.</t>
  </si>
  <si>
    <t>Becske, M.; Lázár, I.; Bódizs, R.</t>
  </si>
  <si>
    <t>A questionnaire measure of adult attachment anxiety correlates with frontal hemispheric asymmetry in sleep spindle activity</t>
  </si>
  <si>
    <t>https://www.scopus.com/inward/record.uri?eid=2-s2.0-85140245851&amp;doi=10.1007%2Fs41105-022-00426-0&amp;partnerID=40&amp;md5=5f49994a355b2b08443c38abf1413394</t>
  </si>
  <si>
    <t>Subjects with high levels of attachment anxiety and neuroticism were proposed to be characterized by higher relative right rather than left frontal activity. Since sleep spindles are argued to reflect enhanced offline neuroplasticity, higher spindle activity measured over the right frontal areas relative to the corresponding left frontal ones could index higher attachment anxiety and neuroticism. Our aim was to explore the relationship between the lateralization patterns of frontally dominant slow sleep spindles and questionnaire measures of adult attachment anxiety and neuroticism. Thirty-four healthy subjects (male = 19; M&lt;inf&gt;age&lt;/inf&gt; = 31.64; SD&lt;inf&gt;age&lt;/inf&gt; = 9.5) were enrolled in our preliminary study. Second night EEG/polysomnography records and questionnaire measures of personality (Zuckerman–Kuhlman Personality Questionnaire) and adult attachment (Relationship Scales Questionnaire) were collected. Frontal slow sleep spindles were measured by the Individual Adjustment Method (IAM), whereas hemispheric asymmetry indexes of spindle occurrence rate, duration, and amplitude were derived as normalized left–right differences (electrode pairs: Fp1–Fp2, F3–F4, and F7–F8). Relative right lateralization of frontolateral and frontopolar slow sleep spindle density and mid-frontal slow spindle duration were associated with attachment anxiety, but spindle lateralization was less closely related to neuroticism. The relationships between frontal slow spindle laterality and attachment anxiety remained statistically significant even after controlling for the effect of neuroticism, whereas attachment avoidance–independence was not correlated with frontal slow spindle lateralization. Right frontal lateralization of slow sleep spindle activity might indicate attachment status in terms of the negative view of the self. © 2023 Elsevier B.V., All rights reserved.</t>
  </si>
  <si>
    <t>adult; anxiety; Article; attachment anxiety; behavior; brain asymmetry; electroencephalogram; emotional attachment; executive function; female; hemispheric dominance; human; human experiment; lateralization index; male; nerve cell plasticity; nervousness; neurosis; normal human; polysomnography; psychometry; questionnaire; Relationship Scales Questionnaire; scoring system; sleep spindle; Zuckerman Kuhlman Personality Questionnaire</t>
  </si>
  <si>
    <t>The study was published in 2023, falling within the specified publication period (2020-2025). The abstract describes an original research study with subjects, methods (EEG/polysomnography), and results, indicating it is a main paper and not a review. The language is English. The thematic scope is met as the study uses EEG (a specified technology) to investigate "attachment anxiety" and "neuroticism," which are directly related to mental health. The study explores the correlation between EEG patterns and these mental health constructs, thus applying EEG to the domain of mental health. No exclusion criteria are met based on the provided information.</t>
  </si>
  <si>
    <t>Serra Maia, M.D.L.; Areas, F.Z.D.S.; Boechat, A.L.R.; Arêas, G.P.T.</t>
  </si>
  <si>
    <t>https://www.scopus.com/inward/record.uri?eid=2-s2.0-85147347312&amp;doi=10.1016%2Fj.bbih.2022.100566&amp;partnerID=40&amp;md5=808a1e5243897cf4467ed926ae7f6cf9</t>
  </si>
  <si>
    <t>Rheumatoid arthritis is up to three times more prevalent in women. It is often associated with anxiety and depression, comorbidities causing psychic suffering and potentiating pain perception. It is also related to a higher risk of suicide among diagnosed patients. The high rates of discontinuation of conventional pharmacological treatments are the predominant factor in the search for new therapeutic approaches for the treatment of anxiety and depression. Transcranial direct-current stimulation (tDCS) is a promising, safe and low-cost technique that is very associative with other therapies. When applied to the primary motor cortex (M1) it can induce long-term changes in the synaptic level leading to the improvement of neuroplasticity. The primary aim of this study is to evaluate the effect of tDCS on the symptoms of anxiety and depression. The secondary aim is to evaluate the interference of tDCS on the inflammatory profile, cardiac autonomic behavior and quality of life of patients with rheumatoid arthritis. This is a randomized, double-blind, placebo-controlled clinical trial. The intervention consists of 10 consecutive sessions (once a day) applying tDCS with a 2mA current for 20 minutes. The electrode assembly on the scalp is in accordance with the International Electroencephalogram System 10–20 (EEG) and the anodal electrode is placed over the area of the primary motor cortex (M1 - C3 or C4) and the cathodal electrode on the supraorbital contralateral area (SO - Fp1 or Fp2). The analysis of continuous variables will be described by mean and standard deviation for parametric data and median and interquartile interval for nonparametric data. The evaluation of the effect of tDCS on the inflammatory profile, heart rate variability and quality of life will be obtained by the ANOVA two-way test. tDCS is expected to have a greater effect on reducing anxiety and depression symptoms compared to the placebo, being able to decrease inflammation and improve the quality of life of volunteers. © 2023 Elsevier B.V., All rights reserved.</t>
  </si>
  <si>
    <t>adult; anxiety; Article; clinical effectiveness; clinical feature; controlled study; depression; double blind procedure; electroencephalogram; heart rate variability; human; major clinical study; motor cortex; quality of life; randomized controlled trial; rheumatoid arthritis; risk factor; transcranial direct current stimulation</t>
  </si>
  <si>
    <t>This study is a study protocol rather than a completed primary research article. According to the inclusion criteria, only main empirical studies with reported results are eligible. Although the topic is relevant—examining tDCS effects on anxiety and depression using EEG-related methods in humans—the lack of actual study results and the fact that it is a protocol prevent it from meeting the inclusion criteria, resulting in a score of 0.</t>
  </si>
  <si>
    <t>While the study meets several inclusion criteria, such as publication period (2023), publication type (main paper/study protocol), language (English), and thematic focus on mental health (anxiety and depression) and neurological enhancement (neuroplasticity), it fails to align with the specified technological scope. The inclusion criteria explicitly list "Brain-Computer Interfaces (BCI, BMI, neurofeedback, EEG)" as the technologies of interest. This study utilizes Transcranial Direct-Current Stimulation (tDCS), which is a non-invasive brain stimulation technique and does not fall under the categories of BCI, BMI, neurofeedback, or EEG as defined for this review. Therefore, it does not strongly align with all inclusion criteria.</t>
  </si>
  <si>
    <t>Pandria, N.; Athanasiou, A.; Styliadis, C.; Terzopoulos, N.; Mitsopoulos, K.; Paraskevopoulos, E.; Karagianni, M.; Pataka, A.; Kourtidou-Papadeli, C.; Makedou, K.; Iliadis, S.; Lymperaki, E.; Νimatoudis, I.; Argyropoulou-Pataka, P.; Bamidis, P.D.</t>
  </si>
  <si>
    <t>Does combined training of biofeedback and neurofeedback affect smoking status, behavior, and longitudinal brain plasticity?</t>
  </si>
  <si>
    <t>https://www.scopus.com/inward/record.uri?eid=2-s2.0-85147782488&amp;doi=10.3389%2Ffnbeh.2023.1096122&amp;partnerID=40&amp;md5=6b33484aecc4963c07b81cf5794ad21d</t>
  </si>
  <si>
    <t>Introduction: Investigations of biofeedback (BF) and neurofeedback (NF) training for nicotine addiction have been long documented to lead to positive gains in smoking status, behavior and to changes in brain activity. We aimed to: (a) evaluate a multi-visit combined BF/NF intervention as an alternative smoking cessation approach, (b) validate training-induced feedback learning, and (c) document effects on resting-state functional connectivity networks (rsFCN); considering gender and degree of nicotine dependence in a longitudinal design. Methods: We analyzed clinical, behavioral, and electrophysiological data from 17 smokers who completed five BF and 20 NF sessions and three evaluation stages. Possible neuroplastic effects were explored comparing whole-brain rsFCN by phase-lag index (PLI) for different brain rhythms. PLI connections with significant change across time were investigated according to different resting-state networks (RSNs). Results: Improvements in smoking status were observed as exhaled carbon monoxide levels, Total Oxidative Stress, and Fageström scores decreased while Vitamin E levels increased across time. BF/NF promoted gains in anxiety, self-esteem, and several aspects of cognitive performance. BF learning in temperature enhancement was observed within sessions. NF learning in theta/alpha ratio increase was achieved across baselines and within sessions. PLI network connections significantly changed across time mainly between or within visual, default mode and frontoparietal networks in theta and alpha rhythms, while beta band RSNs mostly changed significantly after BF sessions. Discussion: Combined BF/NF training positively affects the clinical and behavioral status of smokers, displays benefit in smoking harm reduction, plays a neuroprotective role, leads to learning effects and to positive reorganization of RSNs across time. Clinical Trial Registration: https://clinicaltrials.gov/ct2/show/NCT02991781. © 2023 Elsevier B.V., All rights reserved.</t>
  </si>
  <si>
    <t>alpha tocopherol; carbon monoxide; adult; alpha rhythm; anxiety; Article; Beck Depression Inventory; behavior; biofeedback; body mass; carbon monoxide blood level; electroencephalography; electrophysiology; female; forced expiratory flow; forced vital capacity; frontoparietal network; functional connectivity; harm reduction; human; human experiment; inferior frontal gyrus; intervention study; learning; medical ethics; mental performance; motivation; nerve cell plasticity; neurofeedback; neuroprotection; neuropsychological assessment; oxidative stress; people by smoking status; quality of life; resting state network; self esteem; smoking; smoking cessation; State Trait Anxiety Inventory; Stroop test; superior temporal gyrus; theta rhythm; tobacco dependence; trail making test; training</t>
  </si>
  <si>
    <t>The study was published in 2023, falling within the specified publication period (2020-2025). The abstract's structure (Introduction, Methods, Results, Discussion) indicates it is a main research paper, not a review, and it is in English. The thematic scope is met as it investigates "biofeedback and neurofeedback" (BCI/neurofeedback) applied to "nicotine addiction," which is a mental health concern (substance use disorder). Furthermore, the abstract explicitly states that the intervention "promoted gains in anxiety" (mental health) and "several aspects of cognitive performance" (cognitive enhancement), directly aligning with the thematic scope. No exclusion criteria are met based on the provided information.</t>
  </si>
  <si>
    <t>Mohebian, Z.; Khorshidikia, S.; Forouharmajd, F.; Pourabdian, S.</t>
  </si>
  <si>
    <t>The analysis of the cognitive function parameters in exposure to noise using emotiv-EPOC electroencephalography headset</t>
  </si>
  <si>
    <t>https://www.scopus.com/inward/record.uri?eid=2-s2.0-85187508198&amp;doi=10.4103%2Fijehe.ijehe_43_22&amp;partnerID=40&amp;md5=37534e1ae9412ba81c8f1928adfa222a</t>
  </si>
  <si>
    <t>Aim: Exposure to noise in different work and nonwork places is considered to be a problem. Noises impertinent to professional duties are highly dangerous to the safety, efficiency, and personal health of an individual. This study aims to analyze the electroencephalography (EEG) signals to reveal the effect of produced noises in a laboratory environment on the cognitive function of the brain. Materials and Methods: In this case/control study, the sample volume was determined based on similar studies and previous researches of 20 individuals. Fifty percentage of the individuals were male and the other half were female. Initially, the EEG device was connected to the students' heads. The duration of this test was 8 min; the student took it a number of times, while his cognitive performance was measured with the EEG device in the midst and at the end of the test. The fulfillment of cognitive duties (the daily quota of lessons) and the n-back test took place for the cohort in an environment in which a simulated noise was provided. Results: The age average in boys and girls were respectively 24 ± 4.2 and 23 ± 3.5. The results demonstrated that cognitive parameters of concentration, excitement, anxiety, calmness, commitment, and interest in exposure to low-frequency sound using an EEG Emotiv EPOC headset in different intervals. The parameters of commitment, concentration, and calmness decreased as the allotted time increased, and only the fall in commitment parameter was significant (P = 0.006). Conclusion: The findings of the present study demonstrate that the decrease in cognitive performance and brain signals in exposure to 85 dB noise was significant. This could have also been caused by psycho-acoustic factors such as sound level, tonality, duration of exposition, and the type of sound. In relation to exposure time, results have shown that in the presence of loud noise and in comparison, to quietude, the average response time to stimulants increase (slower response). © 2024 Elsevier B.V., All rights reserved.</t>
  </si>
  <si>
    <t>While this study uses EEG to assess cognitive function, it does not align with the inclusion criteria. The study population is a small sample of healthy individuals exposed to noise in a laboratory setting, rather than patients with mental health conditions or interventions aimed at cognitive or neurological enhancement. Additionally, the sample size is very small (20 participants), limiting generalizability, and the thematic focus on noise exposure is outside the defined scope of BCI applications for mental health or cognitive enhancement.</t>
  </si>
  <si>
    <t>While the study uses EEG and falls within the publication period and language criteria, it does not align with the thematic scope. The study investigates the *effect of noise* on cognitive function and emotional parameters (like concentration, anxiety) using EEG as a measurement tool. It does not describe an application of BCI/EEG *to* mental health (e.g., as an intervention, diagnostic tool, or neurofeedback for anxiety reduction) or *for* cognitive enhancement (e.g., using BCI to improve memory or attention). Therefore, it fails to meet the inclusion criterion for thematic scope and meets the exclusion criterion for studies not focused on mental health or cognitive enhancement in the context of BCI/EEG applications.</t>
  </si>
  <si>
    <t>Richter, K.; Kellner, S.; Licht, C.</t>
  </si>
  <si>
    <t>https://www.scopus.com/inward/record.uri?eid=2-s2.0-85177762879&amp;doi=10.3389%2Ffnetp.2023.943223&amp;partnerID=40&amp;md5=6282447e41ada2a8f6c1d1dd69d40778</t>
  </si>
  <si>
    <t>Transcranial magnetic stimulation (TMS) is an innovative and non-invasive technique used in the diagnosis and treatment of psychiatric and neurological disorders. Repetitive TMS (rTMS) can modulate neuronal activity, neuroplasticity and arousal of the waking and sleeping brain, and, more generally, overall mental health. Numerous studies have examined the predictors of the efficacy of rTMS on clinical outcome variables in various psychiatric disorders. These predictors often encompass the stimulated brain region’s location, electroencephalogram (EEG) activity patterns, potential morphological and neurophysiological anomalies, and individual patient’s response to treatment. Most commonly, rTMS is used in awake patients with depression, catatonia, and tinnitus. Interestingly, rTMS has also shown promise in inducing slow-wave oscillations in insomnia patients, opening avenues for future research into the potential beneficial effects of these oscillations on reports of non-restorative sleep. Furthermore, neurophysiological measures emerge as potential, disease-specific biomarkers, aiding in predicting treatment response and monitoring post-treatment changes. The study posits the convergence of neurophysiological biomarkers and individually tailored rTMS treatments as a gateway to a new era in psychiatric care. The potential of rTMS to induce slow-wave activity also surfaces as a significant contribution to personalized treatment approaches. Further investigations are called for to validate the imaging and electrophysiological biomarkers associated with rTMS. In conclusion, the potential for rTMS to significantly redefine treatment strategies through personalized approaches could enhance the outcomes in neuropsychiatric disorders. © 2023 Elsevier B.V., All rights reserved.</t>
  </si>
  <si>
    <t>This article appears to be a review or perspective piece rather than a primary research study. According to the inclusion criteria, only empirical studies reporting original data are eligible. Although the topic (rTMS for mental health disorders with EEG considerations) is relevant to the thematic scope, the publication type does not meet the inclusion criteria, resulting in a score of 0.</t>
  </si>
  <si>
    <t>The study does not align with all inclusion criteria. While the publication period (2023) and language (English) are appropriate, the abstract strongly suggests this is a review paper, not a main research paper presenting original findings, which violates the "Publication Type: Main Papers (not reviews)" criterion. Furthermore, the thematic scope specifies "Brain-Computer Interfaces (BCI, BMI, neurofeedback, EEG)" as the core technology. This study focuses on rTMS (repetitive Transcranial Magnetic Stimulation), which is a neurostimulation technique and distinct from the specified BCI, BMI, or neurofeedback systems. Although EEG is mentioned, it is in the context of predicting rTMS efficacy, not as the primary intervention technology itself.</t>
  </si>
  <si>
    <t>Pihlaja, M.; Peräkylä, J.; Erkkilä, E.-H.; Tapio, E.; Vertanen, M.; Hartikainen, K.M.</t>
  </si>
  <si>
    <t>Altered neural processes underlying executive function in occupational burnout—Basis for a novel EEG biomarker</t>
  </si>
  <si>
    <t>https://www.scopus.com/inward/record.uri?eid=2-s2.0-85174292639&amp;doi=10.3389%2Ffnhum.2023.1194714&amp;partnerID=40&amp;md5=95cd0bcfc9be807521fbd0c5ec73cf29</t>
  </si>
  <si>
    <t>Introduction: As burnout has become a global pandemic, there is a call for improved understanding and detection of alterations in brain functions related to it. We have previously reported challenges in executive functions (EFs) in daily life, especially in metacognition, in subjects with occupational burnout, along with alterations in cardiac physiology. In the current study, we focused on the impact of burnout on brain physiology during a task requiring EF. Methods: Fifty-four volunteers filled in inventories of burnout, depression, and EF in daily life (BBI-15, BDI, and BRIEF-A). Based on the BBI-15 score, subjects were divided into burnout and non-burnout groups. Subjects performed a Go/NoGo test (Executive RT test) engaging several EFs, while their EEG was recorded. The inventory scores, cognitive performance scores, and event-related potential (N2, P3) amplitudes, latencies, and interpeak latencies (IPLs) were compared between the groups. Results: There were significant differences in the BDI and BRIEF-A scores between the groups, with more symptoms of depression and challenges in daily life in the burnout group. There were no differences in objective performance measures in the EF task between the groups. However, centroparietal P3 amplitude was larger, and while there were no differences in N2 or P3 latencies, N2-P3 IPL was longer in the Go condition in the burnout than in non-burnout group. Both ERP measures correlated significantly with burnout symptoms. A regression model from centroparietal P3 amplitude and N2-P3 IPL predicted significantly both the BBI-15 score and the BRIEF-A metacognition index. Discussion: We conclude that burnout is linked with challenges in EF in daily life and alterations in the underlying neural processes. While cognitive performance in the task was equal, electrophysiological measures differed between the groups. Prolonged N2-P3 IPL points toward slowed transition from one cognitive process to another. Increased P3 amplitude, on the other hand, reflects increased allocation of neural processing resources. This may be a compensatory mechanism, allowing for equal performance with controls. These electrophysiological measures, obtained during the EF task, show promise as brain physiology-based biomarkers of burnout, contributing to its improved and objective detection. In addition, these results indicate occupational burnout is linked with objective alterations in brain physiology. © 2023 Elsevier B.V., All rights reserved.</t>
  </si>
  <si>
    <t>biological marker; Article; behavior; burnout; depression; depth perception; electroencephalogram; electrophysiology; event related potential; executive function; executive function test; female; human; independent component analysis; major clinical study; male; metacognition; outcome assessment; professional burnout; quality of life; regression model; trail making test; working memory</t>
  </si>
  <si>
    <t>The study strongly aligns with all inclusion criteria. It was published in 2023, falling within the specified publication period (2020-2025). The abstract indicates it is a main research paper presenting novel findings (EEG biomarker for burnout) rather than a review, and it is written in English. The thematic scope is highly relevant as it uses EEG to investigate "occupational burnout," which is a significant mental health concern, and its impact on "executive functions," a key cognitive domain. The identification of "brain physiology-based biomarkers" for burnout directly addresses the application of EEG to mental health and cognitive understanding. No exclusion criteria were met based on the provided title and abstract.</t>
  </si>
  <si>
    <t>Franke, L.M.; Perera, R.A.; Sponheim, S.R.</t>
  </si>
  <si>
    <t>Long-term resting EEG correlates of repetitive mild traumatic brain injury and loss of consciousness: alterations in alpha-beta power</t>
  </si>
  <si>
    <t>https://www.scopus.com/inward/record.uri?eid=2-s2.0-85170364287&amp;doi=10.3389%2Ffneur.2023.1241481&amp;partnerID=40&amp;md5=7f7b86785195ddffe8091ab97fe6c6bd</t>
  </si>
  <si>
    <t>Objective: Long-term changes to EEG spectra after mild traumatic brain injury (mTBI, i.e., concussion) have been reported; however, the role of injury characteristics in long-term EEG changes is unclear. It is also unclear how any chronic EEG changes may underlie either subjective or objective cognitive difficulties, which might help explain the variability in recovery after mTBI. Methods: This study included resting-state high-density electroencephalography (EEG) and mTBI injury data from 340 service members and veterans collected on average 11 years after injury as well as measures of objective and subjective cognitive functioning. The average absolute power within standard bands was computed across 11 spatial regions of the scalp. To determine how variation in brain function was accounted for by injury characteristics and aspects of cognition, we used regression analyses to investigate how EEG power was predicted by mTBI history characteristics [number, number with post-traumatic amnesia and witnessed loss of consciousness (PTA + LOC), context of injury (combat or non-combat), potentially concussive blast exposures], subjective complaints (TBIQOL General Cognitive and Executive Function Concerns), and cognitive performance (NIH Toolbox Fluid Intelligence and premorbid IQ). Results: Post-traumatic amnesia (PTA) and loss of consciousness (LOC), poorer cognitive performance, and combat experience were associated with reduced power in beta frequencies. Executive function complaints, lower premorbid IQ, poorer cognitive performance, and higher psychological distress symptoms were associated with greater power of delta frequencies. Multiple regression confirmed the relationship between PTA + LOC, poor cognitive performance, cognitive complaints, and reduced power in beta frequencies and revealed that repetitive mTBI was associated with a higher power in alpha and beta frequencies. By contrast, neither dichotomous classification of the presence and absence of mTBI history nor blast exposures showed a relationship with EEG power variables. Conclusion: Long-term alterations in resting EEG spectra measures of brain function do not appear to reflect any lasting effect of a history of mTBI or blast exposures. However, power in higher frequencies reflects both injury characteristics and subjective and objective cognitive difficulties, while power in lower frequencies is related to cognitive functions and psychological distress associated with poor long-term outcomes after mTBI. © 2023 Elsevier B.V., All rights reserved.</t>
  </si>
  <si>
    <t>adult; amnesia; army; Article; cognition; controlled study; demographics; electroencephalogram; female; human; long term resting electroencephalogram; major clinical study; male; Patient Health Questionnaire 9; post traumatic amnesia; posttraumatic stress disorder; posttraumatic stress disorder checklist-specific; prospective study; quality of life assessment; questionnaire; structured interview; traumatic brain injury quality of life</t>
  </si>
  <si>
    <t>The study was published in 2023, falling within the 2020-2025 publication period. It presents an empirical research study with a clear objective, methods, results, and conclusion, indicating it is a main paper and not a review. The language is English. The thematic scope aligns well, as it utilizes electroencephalography (EEG) to investigate long-term cognitive difficulties and psychological distress symptoms following mild traumatic brain injury (mTBI). These outcomes directly relate to mental health and cognitive impairment, which falls under the broader umbrella of cognitive and neurological enhancement/understanding. No exclusion criteria are met based on the provided title and abstract.</t>
  </si>
  <si>
    <t>Luo, X.; Che, X.; Li, H.</t>
  </si>
  <si>
    <t>https://www.scopus.com/inward/record.uri?eid=2-s2.0-85139857104&amp;doi=10.1016%2Fj.ijchp.2022.100343&amp;partnerID=40&amp;md5=66a2ee3e7ce8cc4ba8c51a7fca8a9b2c</t>
  </si>
  <si>
    <t>Background/Objective: Self-compassion has a consensual relevance for overall mental health, but its mechanisms remain unknown. Using intermittent theta burst stimulation (iTBS) and concurrent transcranial magnetic stimulation-electroencephalography (TMS-EEG), this study investigated the causal relationship of the dorsolateral prefrontal cortex (DLPFC) with self-compassion and explored the changes in neuroplasticity and neural dynamics. Method: Thirty-two healthy participants received iTBS or sham stimulation over the DLPFC, before and after which they were instructed to either use self-compassionate strategies or to be rejected in the context of social rejection and to report the level of self-compassion or negative affect. TMS-evoked potentials were evaluated as novel neuroplastic techniques with N45, P60, N100, and P180. Results: iTBS uniquely decreased P180 amplitude measured with TMS-EEG whereby sham stimulation had no effect on neuroplasticity. In line with neuroplasticity changes, iTBS enhanced a widespread gamma band power and coherence, which correlated consistently with increased engagement in self-compassion. Meanwhile, iTBS demonstrated opposite effects on theta activity dependent on the social contexts whereby self-compassion decreased and social rejection enhanced it respectively. This unique effect of iTBS on theta activity was also supplemented by the enhancement of theta band coherence following iTBS. Conclusions: We found a causal relationship between DLPFC and self-compassion. We also provide evidence to indicate widespread gamma activity and connectivity to correlate with self-compassion as well as the critical role of the DLPFC in modulating theta activity and negative emotions. © 2022 Elsevier B.V., All rights reserved.</t>
  </si>
  <si>
    <t>The study strongly aligns with all inclusion criteria and does not meet any exclusion criteria based on the provided title, publication year, and abstract.
*   **Publication Period:** Published in 2023, which falls within the 2020-2025 range.
*   **Publication Type:** The abstract describes a research study with methods, results, and conclusions, indicating it is a main paper, not a review. The copyright notice from Elsevier further supports this.
*   **Language:** The title and abstract are in English.
*   **Thematic Scope:**
    *   **BCI/EEG:** The study explicitly uses "TMS-EEG and EEG" to investigate brain activity, which aligns with the "EEG" component of the thematic scope.
    *   **Mental Health:** The study focuses on "self-compassion" and "negative emotions," explicitly stating "Self-compassion has a consensual relevance for overall mental health."
    *   **Cognitive and Neurological Enhancement:** The study investigates "neuroplastic and oscillatory changes" and "neuroplasticity," which falls under neurological enhancement.
*   **Exclusion Criteria:** No exclusion criteria are met. The study is not outside the defined period, is focused on mental health/cognitive enhancement, appears to be peer-reviewed, and is not exclusively focused on technical hardware aspects unrelated to cognition or mental health. (Lack of full text access and article length cannot be determined from the provided information, but are assumed to be acceptable for initial screening).</t>
  </si>
  <si>
    <t>Bailey, A.W.; Kang, H.-K.</t>
  </si>
  <si>
    <t>https://www.scopus.com/inward/record.uri?eid=2-s2.0-85144569506&amp;doi=10.3390%2Fijerph192416638&amp;partnerID=40&amp;md5=272c1d08189a694cb918abba854a80f9</t>
  </si>
  <si>
    <t>Myriad research indicates that physical activity and natural environments enhance cognitive performance and mental health. Much of this research is cross-sectional or involves physical activity in outdoor environments, rendering it difficult to ascribe the results to a particular condition. This study utilized electroencephalography (EEG) and established cognitive performance tasks to determine the impact of a short intervention including either walking or sitting in an outdoor environment. In this experiment, a total of 50 participants were randomized into walking and sitting groups, with cognitive performance measured before, after, and 10 min post intervention. Both groups demonstrated improvements in cognitive performance, with no significant difference between groups. Elevated levels of relaxation during the intervention were the best predictor of post-test performance. Participants reporting a higher connection to nature, as well as state-based mindfulness during the outdoor intervention, also reported lower levels of frontal theta (i.e., rumination) during the interaction, while the walking group demonstrated higher relaxation. These findings provide a direct connection to neural mechanisms influenced by physical activity and the natural environment, and their impact on cognitive performance. This supports Attention Restoration Theory and the effectiveness of short outdoor interventions incorporating physical activity as a method of restoring mental attention. © 2023 Elsevier B.V., All rights reserved.</t>
  </si>
  <si>
    <t>cognition; environmental values; experimental study; mental health; psychology; walking; adult; article; attention; clinical article; controlled study; electroencephalography; environmental psychology; female; human; human experiment; leisure; male; mindfulness; physical activity; randomized controlled trial; rumination; sitting; task performance; theoretical study; cross-sectional study; exercise; Cognition; Cross-Sectional Studies; Exercise; Humans; Sitting Position; Walking</t>
  </si>
  <si>
    <t>Meets inclusion criteria: Publication year 2022; abstract in English; primary research (not labeled as review); mentions BCI/EEG/neurofeedback and targets mental health or cognitive outcomes.</t>
  </si>
  <si>
    <t>The study was published in 2022, falling within the 2020-2025 publication period. It is an experimental study, indicating it is a main paper and not a review, and is presented in English. Crucially, the study utilizes electroencephalography (EEG), which is a specified technology within the thematic scope (BCI, BMI, neurofeedback, EEG). It applies EEG to investigate "cognitive performance" and "mental states" such as "relaxation," "rumination" (frontal theta), and "mental attention," directly aligning with the "Cognitive and Neurological Enhancement" and "Mental Health" aspects of the thematic scope. No exclusion criteria are met; the study is not focused exclusively on hardware, nor is it outside the publication period or thematic scope.</t>
  </si>
  <si>
    <t>Du, J.; Chen, X.; Li, X.; Pan, Y.; Fu, E.; Huang, Y.; Zhu, C.; Jiang, M.; Hassan, A.; Wu, D.; Ma, J.; Yuan, G.</t>
  </si>
  <si>
    <t>Neuro-emotions based on electroencephalograph response to different color Ardisia mamillata Hance plants in elderly people with and without cognitive impairment</t>
  </si>
  <si>
    <t>https://www.scopus.com/inward/record.uri?eid=2-s2.0-85141949649&amp;doi=10.3389%2Ffpubh.2022.955393&amp;partnerID=40&amp;md5=3e2494e3b4ff112259b4f978ccc5792b</t>
  </si>
  <si>
    <t>Background: Given the aging population, the quality of mental health of elderly people deserves special attention. The aims of this study were (1) to assess the difference of neuro-emotion based on EEG from the cognitively impaired elderly (CNE) and the cognitively normal elderly (CIE) participants viewing different color Ardisia mamillata Hance and (2) to determine which color Ardisia mamillata Hance has greater benefits for boosting their neuro-emotions. Methods: The cognitive function of the participants was judged by using the revised Chinese version of the Mini-Mental State Examination (MMSE) scale combined with the daily cognitive performance of the participants, and the participants were divided into the cognitive normal elderly (CNE) and the cognitive impairment elderly (CIE). A total of 10 CNE volunteers and 10 CIE volunteers were recruited as participants for this study. For this study, two varieties of Ardisia mamillata Hance, green tiger tongue (GTT) with green leaves and red tiger tongue (RTT) with reddish brown leaves, were observed as plant materials. In total, six emotional indexes, including stress, engagement, interest, excitement, focus, and relaxation, were then measured by electroencephalography (EEG). Results: RTT had the most positive effect on EEG neuro-emotion in the CNE group, with significant reductions in stress, engagement, and focus in the RTT test, while the combination of GTT+RTT had a positive effect on EEG neuro-emotions in the CIE group, with significant reductions in engagement and focus in the GTT+RTT test. No statistically significant differences were found for the interest, excitement, and relaxation index in the CNE and CIE participants in all tests. Conclusion: Significant reductions were observed in stress, engagement, and focus values of the CIE participants in the RTT test, which indicated that the CNE participants were more relaxed. RTT is a reddish brown and warm color plant, so the CNE individuals should always have the warm color plants indoors or outdoors, which could help boost their neuro-emotions. Significant reductions were observed in engagement and focus values of the CIE participants in the GTT+RTT test, which indicated that the CIE participants were more relaxed. The combination of GTT+RTT test shows the combination cold and warm color plants; therefore, the CIE individuals should always have a combination of cool and warm color plants indoors or outdoors, which could help boost their EEG neuro-emotions. © 2022 Elsevier B.V., All rights reserved.</t>
  </si>
  <si>
    <t>aged; Ardisia; cognition; cognitive defect; electroencephalography; emotion; human; psychology; Aged; Cognition; Cognitive Dysfunction; Electroencephalography; Emotions; Humans</t>
  </si>
  <si>
    <t>The study was published in 2022, falling within the 2020-2025 publication period. It presents original research with a clear methodology, results, and conclusion, indicating it is a main paper and not a review. The language is English. Thematic scope is met as it uses electroencephalography (EEG) to measure "neuro-emotions" (including stress and relaxation, aligning with mental health) and assesses these in "cognitively impaired elderly" and "cognitively normal elderly" participants, addressing cognitive aspects like "engagement" and "focus," which aligns with cognitive enhancement. No exclusion criteria are met based on the provided title and abstract.</t>
  </si>
  <si>
    <t>Grennan, G.; Balasubramani, P.P.; Vahidi, N.; Ramanathan, D.; Jeste, D.V.; Mishra, J.</t>
  </si>
  <si>
    <t>Dissociable Neural Mechanisms of Cognition and Well-Being in Youth Versus Healthy Aging</t>
  </si>
  <si>
    <t>https://www.scopus.com/inward/record.uri?eid=2-s2.0-85139292880&amp;doi=10.1037%2Fpag0000710&amp;partnerID=40&amp;md5=2904ab14c9c60957a4ad218f3faa6873</t>
  </si>
  <si>
    <t>Mental health, cognition, and their underlying neural processes in healthy aging are rarely studied simultaneously. Here, in a sample of healthy younger (n = 62) and older (n = 54) adults, we compared subjective mental health as well as objective global cognition across several core cognitive domains with simultaneous electroencephalography (EEG). We found significantly greater symptoms of anxiety, depression, and loneliness in youth and in contrast, greater mental well-being in older adults. Yet, global performance across core cognitive domains was significantly worse in older adults. EEG-based source imaging of global cognitive task-evoked processing showed reduced suppression of activity in the anterior medial prefrontal default mode network (DMN) region in older adults relative to youth. Global cognitive performance efficiency was predicted by greater activity in the right dorsolateral prefrontal cortex in younger adults and in contrast, by greater activity in right inferior frontal cortex in older adults. Furthermore, greater mental well-being in older adults related to lesser global task-evoked activity in the posterior DMN. Overall, these results suggest dissociated neural mechanisms underlying global cognition and mental well-being in youth versus healthy aging. © 2023 Elsevier B.V., All rights reserved.</t>
  </si>
  <si>
    <t>adult; anxiety disorder; Article; cognition; default mode network; depression; dorsolateral prefrontal cortex; electroencephalography; executive function; female; frontal cortex; healthy aging; human; loneliness; major clinical study; male; mental dissociation; mental health; mental performance; psychological well-being; wellbeing; working memory; young adult; adolescent; aged; aging; brain mapping; nuclear magnetic resonance imaging; physiology; Adolescent; Aged; Aging; Brain Mapping; Cognition; Healthy Aging; Humans; Magnetic Resonance Imaging</t>
  </si>
  <si>
    <t>The study aligns strongly with all inclusion criteria. It was published in 2022, falling within the 2020-2025 period. The abstract describes an empirical study using electroencephalography (EEG), which is a relevant technology within the thematic scope of Brain-Computer Interfaces. Furthermore, the study directly addresses both mental health (anxiety, depression, loneliness, mental well-being) and cognition, investigating their neural mechanisms, which perfectly matches the thematic scope. No exclusion criteria are met based on the provided information; it is not a review, is in English, and is clearly focused on the specified themes rather than just technical hardware.</t>
  </si>
  <si>
    <t>Moreno, J.; Gross, M.L.; Becker, J.; Hereth, B.; Shortland, N.D.; Evans, N.G.</t>
  </si>
  <si>
    <t>The ethics of AI-assisted warfighter enhancement research and experimentation: Historical perspectives and ethical challenges</t>
  </si>
  <si>
    <t>https://www.scopus.com/inward/record.uri?eid=2-s2.0-85138784297&amp;doi=10.3389%2Ffdata.2022.978734&amp;partnerID=40&amp;md5=964f6eed2b0842a8eb106faa769e6dbd</t>
  </si>
  <si>
    <t>The military applications of AI raise myriad ethical challenges. Critical among them is how AI integrates with human decision making to enhance cognitive performance on the battlefield. AI applications range from augmented reality devices to assist learning and improve training to implantable Brain-Computer Interfaces (BCI) to create bionic “super soldiers.” As these technologies mature, AI-wired warfighters face potential affronts to cognitive liberty, psychological and physiological health risks and obstacles to integrating into military and civil society during their service and upon discharge. Before coming online and operational, however, AI-assisted technologies and neural interfaces require extensive research and human experimentation. Each endeavor raises additional ethical concerns that have been historically ignored thereby leaving military and medical scientists without a cogent ethics protocol for sustainable research. In this way, this paper is a “prequel” to the current debate over enhancement which largely considers neuro-technologies once they are already out the door and operational. To lay the ethics foundation for AI-assisted warfighter enhancement research, we present an historical overview of its technological development followed by a presentation of salient ethics research issues (ICRC, 2006). We begin with a historical survey of AI neuro-enhancement research highlighting the ethics lacunae of its development. We demonstrate the unique ethical problems posed by the convergence of several technologies in the military research setting. Then we address these deficiencies by emphasizing how AI-assisted warfighter enhancement research must pay particular attention to military necessity, and the medical and military cost-benefit tradeoffs of emerging technologies, all attending to the unique status of warfighters as experimental subjects. Finally, our focus is the enhancement of friendly or compatriot warfighters and not, as others have focused, enhancements intended to pacify enemy warfighters. © 2022 Elsevier B.V., All rights reserved.</t>
  </si>
  <si>
    <t>Excluded (score 0) due to:
- Identified as a review/meta-analysis based on title/abstract.
Also observed positive signals: year 2022, BCI-related term present, mental-health target present, cognitive target present.</t>
  </si>
  <si>
    <t>While the study meets several inclusion criteria, such as the publication period (2022), language (English), and thematic scope (addressing BCI for cognitive enhancement), it fails to meet the "Publication Type: Main Papers (not reviews)" criterion. The abstract indicates that the paper provides an "historical overview" and a "presentation of salient ethics research issues" to "lay the ethics foundation" for AI-assisted warfighter enhancement research. This suggests the paper is an ethical analysis, a conceptual paper, or a review of ethical considerations, rather than a primary research paper presenting novel empirical findings, methodological advancements, or a new application of BCI for cognitive enhancement. Therefore, it does not align with the requirement for "Main Papers (not reviews)."</t>
  </si>
  <si>
    <t>Rakers, F.; Schleussner, E.; Muth, I.; Hoyer, D.; Rupprecht, S.; Schiecke, K.; Groten, T.; Dreiling, M.; Kozik, V.; Schwab, M.; Hoyer, H.; Ligges, C.</t>
  </si>
  <si>
    <t>Association between antenatal glucocorticoid exposure and the activity of the stress system, cognition, and behavior in 8- to 9-year-old children: A prospective observational study</t>
  </si>
  <si>
    <t>https://www.scopus.com/inward/record.uri?eid=2-s2.0-85131204643&amp;doi=10.1111%2Faogs.14386&amp;partnerID=40&amp;md5=9bee24ae30584581945e39a327d99fe1</t>
  </si>
  <si>
    <t>Introduction: Glucocorticoid (GC) -induced fetal programming of the activity of the hypothalamus–pituitary–adrenal axis (HPAA) and its associated cognitive and behavioral consequences in later life have been well characterized in several animal species. However, information on humans is scarce. In this study, we examined HPAA activity markers and associated outcomes at 8 to 9 years of age among children prenatally exposed to GC for suspected preterm birth. Our hypothesis was that antenatal exposure to the betamethasone (BM) is associated with exacerbation of HPAA activity in childhood. Material and methods: Prospective observational study in 31 children whose mothers received single (n = 19) or multiple (n = 12) courses of BM for threatened preterm birth but born with normal weight appropriate for the gestational age (median 37+6 weeks of gestation) compared with 38 non-exposed, age-matched children. Primary end point was the activity of the HPAA in response to the Trier Social Stress Test. Secondary end points were changes in autonomic nervous system (ANS) activity, cognitive performance (IQ), attention-deficit/hyperactivity disorder (ADHD) symptoms, and electrocortical activity (EEG). Results: There was no statistically significant difference in HPAA activity markers between antenatal BM exposed and unexposed groups. ANS activity in BM-exposed children shifted towards a higher parasympathetic tone reflected by a higher overall high-frequency band power of heart rate variability. IQ scores were within normal limits for both groups; however, BM-exposed children had lower IQ scores than the unexposed group. BM-exposed group had marginally more ADHD core symptoms and increased electrocortical activity in the occipital brain region compared with controls. A monotonic dose–response relation between BM exposure and activity of the ANS and IQ was estimated in post-hoc analyses. Conclusions: Antenatal exposure to BM in the context of threatened preterm birth was not associated with changes in HPAA activity in childhood. However, BM exposure may be associated with changes in ANS activity. Antenatal GC prophylaxis is a valuable and often life-saving therapy, but its prescription may warrant a well-balanced risk–benefit assessment. © 2022 Elsevier B.V., All rights reserved.</t>
  </si>
  <si>
    <t>betamethasone; fenoterol; glyceryl trinitrate; acute stress; Article; attention deficit hyperactivity disorder; autonomic nervous system; child; child behavior; clinical article; cognition; cohort analysis; controlled study; dose response; electroencephalogram; female; heart rate variability; human; hypophysis adrenal system; intelligence quotient; male; mental performance; observational study; occipital cortex; parasympathetic tone; premature labor; prenatal period; prospective study; school child; single drug dose; Trier Social Stress Test</t>
  </si>
  <si>
    <t>This study meets all inclusion criteria. It was published in 2022 (within 2020–2025), is a primary observational study (not a review), and is in English. The study examines cognitive outcomes, ADHD symptoms, and EEG activity in children following antenatal glucocorticoid exposure, aligning with the thematic scope of cognitive and neurological enhancement. The study is peer-reviewed, full-length, and directly investigates neurophysiological and cognitive measures, making it relevant for inclusion.</t>
  </si>
  <si>
    <t>The study does not meet the thematic scope inclusion criterion. While it mentions "electrocortical activity (EEG)" and addresses "cognition" (IQ, attention) and "ADHD symptoms" (mental health), the EEG is used as an outcome measure to observe the effects of antenatal glucocorticoid exposure, not as an application of Brain-Computer Interfaces (BCI, BMI, neurofeedback, EEG) *applied to* mental health or cognitive enhancement. The core focus of the study is on the long-term effects of prenatal exposure to glucocorticoids, not on the use or application of BCI/BMI/neurofeedback/EEG technologies as interventions or tools for enhancement or treatment.</t>
  </si>
  <si>
    <t>Duan, M.; Meng, Z.; Yuan, D.; Zhang, Y.; Tang, T.; Chen, Z.; Fu, Y.</t>
  </si>
  <si>
    <t>Anodal and cathodal transcranial direct current stimulations of prefrontal cortex in a rodent model of Alzheimer’s disease</t>
  </si>
  <si>
    <t>https://www.scopus.com/inward/record.uri?eid=2-s2.0-85138001650&amp;doi=10.3389%2Ffnagi.2022.968451&amp;partnerID=40&amp;md5=c2407b081a08a63e18a5db473ef4bf40</t>
  </si>
  <si>
    <t>Alzheimer’s disease (AD) is a leading cause of dementia in the elderly, with no effective treatment currently available. Transcranial direct current stimulation (tDCS), a non-drug and non-invasive therapy, has been testified efficient in cognitive enhancement. This study aims to examine the effects of tDCS on brain function in a mouse model of AD. The amyloid precursor protein (APP) and presenilin 1 (PS1) transgenic mice (7–8 months old) were subjected to 20-min anodal and cathodal tDCS (atDCS and ctDCS; 300 μA, 3.12 mA/cm2) for continuous five days. tDCS was applied on the left frontal skull of the animals, targeting on their prefrontal cortex (PFC). Behavioral performances were assessed by open-field, Y-maze, Barnes maze and T-maze paradigms; and their PFC electroencephalogram (EEG) activities were recorded under spontaneous state and during Y-maze performance. Behaviorally, atDCS and ctDCS improved spatial learning and/or memory in AD mice without affecting their general locomotion and anxiety-like behaviors, but the effects depended on the testing paradigms. Interestingly, the memory improvements were accompanied by decreased PFC EEG delta (2–4 Hz) and increased EEG gamma (20–100 Hz) activities when the animals needed memory retrieval during task performance. The decreased EEG delta activities could also be observed in animals under spontaneous state. Specifically, atDCS increased PFC EEG activity in the alpha band (8–12 Hz) for spontaneous state, whereas ctDCS increased that in alpha-beta band (8–20 Hz) for task-related state. In addition, some EEG changes after ctDCS could be found in other cortical regions except PFC. These data indicate that tDCS can reverse the situation of slower brain activity in AD mice, which may further lead to cognitive improvement. Our work highlights the potential clinical use of tDCS to restore neural network activity and improve cognition in AD. © 2023 Elsevier B.V., All rights reserved.</t>
  </si>
  <si>
    <t>amyloid precursor protein; pentobarbital; presenilin 1; Alzheimer disease; animal experiment; animal tissue; anodal transcranial direct current stimulation; anxiety; Article; Barnes maze test; behavior; brain function; brain tissue; cathodal transcranial direct current stimulation; cognition; controlled study; DNA extraction; electroencephalography; enzyme linked immunosorbent assay; female; genotyping; locomotion; male; maze test; memory; mouse; nonhuman; open field test; polymerase chain reaction; prefrontal cortex; spatial learning; t maze test; task performance; transcranial direct current stimulation; y maze test</t>
  </si>
  <si>
    <t>Although the study investigates tDCS effects on cognition and EEG activity, it is conducted entirely in a rodent model of Alzheimer’s disease. The inclusion criteria specify studies relevant to human mental health or cognitive enhancement using BCI/neurophysiological methods. Because this study is preclinical and not conducted in humans, it does not meet the thematic scope for inclusion, resulting in a score of 0.</t>
  </si>
  <si>
    <t>The study meets several inclusion criteria, including publication period (2022), publication type (main paper), language (English), and thematic application (cognitive enhancement for Alzheimer's disease). However, the primary neurotechnology investigated is transcranial direct current stimulation (tDCS). While the study records EEG activity, tDCS is a neuromodulation technique distinct from Brain-Computer Interfaces (BCI), Brain-Machine Interfaces (BMI), or neurofeedback, which are the specified technologies in the thematic scope. The use of EEG in this context is for measurement rather than as the primary "addressing" technology or intervention as implied by the inclusion criteria. Therefore, it does not strongly align with all inclusion criteria.</t>
  </si>
  <si>
    <t>Salehinejad, M.A.; Ghanavati, E.; Reinders, J.; Hengstler, J.G.; Kuo, M.-F.; Nitsche, M.A.</t>
  </si>
  <si>
    <t>Sleep-dependent upscaled excitability, saturated neuroplasticity, and modulated cognition in the human brain</t>
  </si>
  <si>
    <t>https://www.scopus.com/inward/record.uri?eid=2-s2.0-85133100575&amp;doi=10.7554%2FeLife.69308&amp;partnerID=40&amp;md5=1ebfc4133b2a6616bf1445f62883eb51</t>
  </si>
  <si>
    <t>Sleep strongly affects synaptic strength, making it critical for cognition, especially learning and memory formation. Whether and how sleep deprivation modulates human brain physiology and cognition is not well understood. Here we examined how overnight sleep deprivation vs overnight sufficient sleep affects (a) cortical excitability, measured by transcranial magnetic stimulation, (b) inducibility of long-term potentiation (LTP)-and long-term depression (LTD)-like plasticity via transcranial direct current stimulation (tDCS), and (c) learning, memory, and attention. The results suggest that sleep deprivation upscales cortical excitability due to enhanced glutamate-related cortical facilitation and decreases and/or reverses GABAergic cortical inhibition. Furthermore, tDCS-induced LTP-like plasticity (anodal) abolishes while the inhibitory LTD-like plasticity (cathodal) converts to excitatory LTP-like plasticity under sleep deprivation. This is associated with increased EEG theta oscillations due to sleep pressure. Finally, we show that learning and memory formation, behavioral counterparts of plasticity, and working memory and attention, which rely on cortical excitability, are impaired during sleep deprivation. Our data indicate that upscaled brain excitability and altered plasticity, due to sleep deprivation, are associated with impaired cognitive performance. Besides showing how brain physiology and cognition undergo changes (from neurophysiology to higher-order cognition) under sleep pressure, the findings have implications for variability and optimal application of noninvasive brain stimulation. © 2022 Elsevier B.V., All rights reserved.</t>
  </si>
  <si>
    <t>glutamic acid; melatonin; adult; Article; attention; behavior; brain; brain depth stimulation; clinical article; cognition; correlation analysis; cortical excitability; data analysis; demographics; electroencephalogram; electrophysiology; excitability; facilitation; female; human; hydrocortisone blood level; learning; long term depression; long term potentiation; memory; motor learning; nerve cell plasticity; plasticity; saliva; selective attention; sleep; sleep deprivation; somnolence; transcranial direct current stimulation; transcranial magnetic stimulation; working memory; young adult; motor cortex; motor evoked potential; physiology; procedures; Brain; Cognition; Evoked Potentials, Motor; Humans; Motor Cortex; Neuronal Plasticity; Sleep; Sleep Deprivation; Transcranial Direct Current Stimulation; Transcranial Magnetic Stimulation</t>
  </si>
  <si>
    <t>The study strongly aligns with all inclusion criteria:
*   **Publication Period:** The article was published in 2022, which falls within the specified 2020-2025 period.
*   **Publication Type:** The abstract describes an experimental study ("Here we examined how...", "The results suggest..."), indicating it is a main research paper and not a review.
*   **Language:** The abstract is presented in English.
*   **Thematic Scope:** The study explicitly addresses "EEG theta oscillations" (aligning with the "EEG" component of the BCI/BMI/neurofeedback/EEG criterion). Furthermore, it investigates "learning, memory, and attention" and "neuroplasticity" in the context of sleep deprivation, which directly falls under "Cognitive and Neurological Enhancement" (even if it's about impairment, understanding these mechanisms is crucial for enhancement).
No exclusion criteria are met:
*   The publication year is within the defined period.
*   The study is focused on cognitive aspects (memory, attention, learning, neuroplasticity).
*   The publication by Elsevier suggests it is a peer-reviewed article.
*   The study is not exclusively focused on technical hardware aspects, but rather on the physiological and cognitive effects of sleep deprivation using techniques like TMS, tDCS, and EEG.</t>
  </si>
  <si>
    <t>Fleischman, M.J.</t>
  </si>
  <si>
    <t>Documenting the Impact of Infra Low Frequency Neurofeedback on Underserved Populations With Complex Clinical Presentations</t>
  </si>
  <si>
    <t>https://www.scopus.com/inward/record.uri?eid=2-s2.0-85132804438&amp;doi=10.3389%2Ffnhum.2022.921491&amp;partnerID=40&amp;md5=45272d9602f21452787a9752cfe34bb1</t>
  </si>
  <si>
    <t>There is a crisis in mental health. The demand for services is huge; the efficacy of current services is lacking, and the traditional path to developing effective treatments is not working. This paper describes an approach based on implementing infra low frequency (ILF) neurofeedback in agencies that work with the underserved and collecting data on client’s concerns, behavior, quality of life and cognitive performance. We also track session-by-session changes in client concerns and their relation to ILF neurofeedback protocols. Results are reviewed for over 300 clients who have been seen in such agencies. Limitations and future directions are discussed for this model. © 2022 Elsevier B.V., All rights reserved.</t>
  </si>
  <si>
    <t>article; human; human experiment; mental performance; neurofeedback; patient-reported outcome; quality of life</t>
  </si>
  <si>
    <t>The study aligns strongly with all inclusion criteria. It was published in 2022, falling within the 2020-2025 period. The abstract describes an empirical approach ("This paper describes an approach based on implementing... collecting data... Results are reviewed for over 300 clients"), indicating it is a main paper and not a review. The language is English. The thematic scope is directly addressed, as it focuses on "Infra Low Frequency Neurofeedback" (a type of BCI) applied to "mental health" concerns and "cognitive performance." No exclusion criteria are met based on the provided title and abstract.</t>
  </si>
  <si>
    <t>Hebel, T.; Langguth, B.; Schecklmann, M.; Schoisswohl, S.; Staudinger, S.; Schiller, A.; Ustohal, L.; Svěŕak, T.; Horky, M.; Kasparek, T.; Skront, T.; Hyza, M.; Poeppl, T.B.; Riester, M.L.; Schwemmer, L.; Zimmermann, S.; Sakreida, K.</t>
  </si>
  <si>
    <t>https://www.scopus.com/inward/record.uri?eid=2-s2.0-85123707716&amp;doi=10.1016%2Fj.conctc.2022.100891&amp;partnerID=40&amp;md5=96d9516b3bcf9e14a3f667aa6c9d3a87</t>
  </si>
  <si>
    <t>Background: Schizophrenia is a severe and often difficult to treat psychiatric illness. In many patients, negative symptoms dominate the clinical picture. Meta-analysis has suggested moderate, but significant effects of high-frequency repetitive transcranial magnetic stimulation (HF-rTMS) on these symptoms. For treatment of depression a much shorter protocol - intermittent theta burst stimulation (iTBS) - has shown to be non-inferior to conventional high-frequency rTMS. This randomized, sham-controlled, rater-blinded clinical trial assesses the effects of conventional HF-rTMS as well as of iTBS of the left dorsolateral prefrontal cortex in comparison with sham. Methods: The study will be conducted at two psychiatric university hospitals in Germany and at two in the Czech Republic. Assuming an effect size of 0.64 to be detected with a power of 80%, the calculated sample size is 90 patients. Primary outcome will be the difference in the Scale for the Assessment of Negative Symptoms (SANS) score between each active arm and the sham arm at end of treatment. In addition, the trial investigates effects on depressive symptoms, cognitive performance and cigarette smoking. Recording magnetic resonance imaging (MRI) and electroencephalography (EEG) data will serve to assess whether treatment success can be predicted by neural markers and is related to specific neurobiological changes. Discussion: This is a clinical trial directly comparing 10 Hz-rTMS and iTBS in a sham-controlled manner in treating negative symptoms of schizophrenia. If successful, this would present an interesting treatment option for a chronic and severe condition that can be applied at most psychiatric hospitals and only takes up a few minutes per day. Trial registration number: This trial has been registered at clinicaltrials.gov, Identifier: NCT04318977. Data dissemination: Results from the trial shall be published in peer-reviewed journals and presented at meetings and conferences. © 2022 Elsevier B.V., All rights reserved.</t>
  </si>
  <si>
    <t>adult; aged; Article; cigarette smoking; controlled study; Czech Republic; depression; dorsolateral prefrontal cortex; effect size; electroencephalography; female; Germany; human; major clinical study; male; mental hospital; mental performance; multicenter study; negative syndrome; neurobiology; neuromodulation; nuclear magnetic resonance imaging; randomized controlled trial; repetitive transcranial magnetic stimulation; Scale for the Assessment of Negative Symptoms; schizophrenia; single blind procedure; study design; university hospital</t>
  </si>
  <si>
    <t>The study does not align with the thematic scope inclusion criterion. While it addresses mental health (schizophrenia, depressive symptoms) and cognitive performance, the primary intervention described is repetitive transcranial magnetic stimulation (rTMS) and intermittent theta burst stimulation (iTBS). These are brain *stimulation* techniques, not Brain-Computer Interfaces (BCI), Brain-Machine Interfaces (BMI), or neurofeedback. Although EEG data is mentioned, it is for assessing neural markers and prediction, not as the core BCI/neurofeedback intervention. Therefore, a key inclusion criterion is not met.</t>
  </si>
  <si>
    <t>Wendt, K.; Denison, T.; Foster, G.; Krinke, L.; Thomson, A.; Wilson, S.; Widge, A.S.</t>
  </si>
  <si>
    <t>https://www.scopus.com/inward/record.uri?eid=2-s2.0-85123276200&amp;doi=10.1016%2Fj.jns.2021.120121&amp;partnerID=40&amp;md5=8388d6b2945e125c62fad53d19559e3d</t>
  </si>
  <si>
    <t>The rapid evolution of neuromodulation techniques includes an increasing amount of research into stimulation paradigms that are guided by patients' neurophysiology, to increase efficacy and responder rates. Treatment personalisation and target engagement have shown to be effective in fields such as Parkinson's disease, and closed-loop paradigms have been successfully implemented in cardiac defibrillators. Promising avenues are being explored for physiologically informed neuromodulation in psychiatry. Matching the stimulation frequency to individual brain rhythms has shown some promise in transcranial magnetic stimulation (TMS). Matching the phase of those rhythms may further enhance neuroplasticity, for instance when combining TMS with electroencephalographic (EEG) recordings. Resting-state EEG and event-related potentials may be useful to demonstrate connectivity between stimulation sites and connected areas. These techniques are available today to the psychiatrist to diagnose underlying sleep disorders, epilepsy, or lesions as contributing factors to the cause of depression. These technologies may also be useful in assessing the patient's brain network status prior to deciding on treatment options. Ongoing research using invasive recordings may allow for future identification of mood biomarkers and network structure. A core limitation is that biomarker research may currently be limited by the internal heterogeneity of psychiatric disorders according to the current DSM-based classifications. New approaches are being developed and may soon be validated. Finally, care must be taken when incorporating closed-loop capabilities into neuromodulation systems, by ensuring the safe operation of the system and understanding the physiological dynamics. Neurophysiological tools are rapidly evolving and will likely define the next generation of neuromodulation therapies. © 2022 Elsevier B.V., All rights reserved.</t>
  </si>
  <si>
    <t>biological marker; Article; brain damage; depression; electroencephalography; epilepsy; event related potential; functional connectivity; human; mood; nerve cell network; nerve cell plasticity; neuromodulation; neurophysiology; nonhuman; psychiatrist; sleep disorder; transcranial magnetic stimulation; brain; evoked response; physiology; procedures; Brain; Electroencephalography; Epilepsy; Evoked Potentials; Humans; Transcranial Magnetic Stimulation</t>
  </si>
  <si>
    <t>This article is a review or perspective piece rather than a primary research study. Although the topic is relevant—covering physiologically informed neuromodulation, EEG, and psychiatric applications—the inclusion criteria require empirical studies reporting original data. Since this publication does not present new experimental results, it does not meet the inclusion criteria, resulting in a score of 0.</t>
  </si>
  <si>
    <t>The study does not meet the inclusion criterion for "Publication Type." The abstract's language, with phrases like "rapid evolution of neuromodulation techniques includes an increasing amount of research," "promising avenues are being explored," "ongoing research," and "neurophysiological tools are rapidly evolving and will likely define the next generation," strongly indicates that this is a review or perspective article, summarizing the state of the field rather than presenting original primary research. Our inclusion criteria specifically require "Main Papers (not reviews)."</t>
  </si>
  <si>
    <t>Koca, E.K.; Durmaz, O.; Domaç, S.F.; Kesebir, S.</t>
  </si>
  <si>
    <t>Neuropsychological and Neurophysiological Assessment in Different Phases of Bipolar Disorder</t>
  </si>
  <si>
    <t>https://www.scopus.com/inward/record.uri?eid=2-s2.0-85129981787&amp;doi=10.5152%2Fpcp.2022.21281&amp;partnerID=40&amp;md5=d1becb28773923a55a3fc1c43dc171b9</t>
  </si>
  <si>
    <t>Background: Recent studies have shown that cognitive deficits are significant and pervasive even among remitted bipolar disorder patients. The aim of the current controlled study was to investigate the relationships between cognitive performances, symptom severity, and event-related potentials with regard to different episodes in bipolar patients. Methods: This study was conducted on a total of 60 patients diagnosed with bipolar disorder (20 depressive, 20 manic, and 20 in remission). The Frontal Assessment Battery and Stroop test were used for neuropsychological assessment. Event-related potentials were measured using frontal, central, and parietal EEG recordings, while Nihon-Kohden EMG-EP system was used. Results: Delayed P300 latencies were observed in all phases of bipolar disorder when compared to the controls. There was a positive relationship between frontal, central P300 latencies, and Young Mania Rating Scale scores. A strong positive relationship was also observed between Young Mania Rating Scale scores and Stroop interference scores. A negative relationship was observed between Frontal Assessment Battery scores and frontal, central, and parietal N100 latencies and amplitudes in depressed patients. Consistent with these findings, there was a relationship between Hamilton Depression Rating Scale scores and N100 latencies. There was also a positive relationship between Stroop interference scores and central N200 latency, as well as frontal N200 and parietal N200 amplitudes, while a negative relationship was observed between Stroop total time scores and central N200 latency as well as parietal N200 amplitude in depressed patients. Conclusions: Study findings imply that depression episodes could be associated with decision-making autonomy and memory issues, while there is also a relationship between episodes of mania, impaired inhibitory control, and issues with selective attention. Moreover, these cognitive impairments might be included in the initial phases of processing observed in N100 responses in depression, while processing impairment could be pervasive in mania that results in P300 delays. © 2022 Elsevier B.V., All rights reserved.</t>
  </si>
  <si>
    <t>mood stabilizer; adult; Article; bipolar disorder; cognitive defect; controlled study; decision making; depression; education; electroencephalogram; event related potential; female; Global Assessment of Functioning; Hamilton Depression Rating Scale; human; major clinical study; male; mania; mental performance; mood disorder assessment; neuropsychology; remission; selective attention; sociodemographics; Stroop test; Structured Clinical Interview for DSM Disorders; Young Mania Rating Scale</t>
  </si>
  <si>
    <t>The study strongly aligns with all inclusion criteria:
*   **Publication Period:** Published in 2022, which falls within the 2020-2025 range.
*   **Publication Type:** The abstract describes a "controlled study" with clear sections (Background, Methods, Results, Conclusions), indicating it is a main research paper and not a review.
*   **Language:** The title and abstract are in English.
*   **Thematic Scope:** The study addresses "Bipolar Disorder" (a mental health condition) and investigates "cognitive deficits," "cognitive performances," "decision-making autonomy," "memory issues," "impaired inhibitory control," and "issues with selective attention" using "EEG recordings" (Event-Related Potentials). This directly aligns with the criteria of using EEG applied to mental health and cognitive aspects.
No exclusion criteria are met based on the provided information:
*   It is within the defined publication period.
*   It is focused on mental health and cognitive aspects.
*   The publication details (Elsevier B.V.) suggest it is a peer-reviewed article.
*   It is not exclusively focused on technical hardware aspects, but rather on its application to cognition and mental health.</t>
  </si>
  <si>
    <t>Yu, X.; Cohen, Z.P.; Tsuchiyagaito, A.; Cochran, G.; Aupperle, R.L.; Stewart, J.L.; Singh, M.K.; Misaki, M.; Bodurka, J.; Paulus, M.P.; Kirlic, N.</t>
  </si>
  <si>
    <t>Neurofeedback-Augmented Mindfulness Training Elicits Distinct Responses in the Subregions of the Insular Cortex in Healthy Adolescents</t>
  </si>
  <si>
    <t>https://www.scopus.com/inward/record.uri?eid=2-s2.0-85126593924&amp;doi=10.3390%2Fbrainsci12030363&amp;partnerID=40&amp;md5=7e20a670609131918359aa3b3eeb3d5d</t>
  </si>
  <si>
    <t>Mindfulness training (MT) reduces self-referential processing and promotes interoception, the perception of sensations from inside the body, by increasing one’s awareness of and regulating responses to them. The posterior cingulate cortex (PCC) and the insular cortex (INS) are considered hubs for self-referential processing and interoception, respectively. Although MT has been consistently found to decrease PCC, little is known about how MT relates to INS activity. Understanding links between mindfulness and interoception may be particularly important for informing mental health in adolescence, when neuroplasticity and emergence of psychopathology are heightened. We examined INS activity during real-time functional magnetic resonance imaging neurofeedback-augmented mindfulness training (NAMT) targeting the PCC. Healthy adolescents (N = 37; 16 female) completed the NAMT task, including Focus-on-Breath (MT), Describe (self-referential processing), and Rest conditions, across three neurofeedback runs and two non-neurofeedback runs (Observe, Transfer). Regression coefficients estimated from the generalized linear model were extracted from three INS subregions: anterior (aINS), mid (mINS), and posterior (pINS). Mixed model analyses revealed the main effect of run for Focus-on-Breath vs. Describe contrast in aINS [R2 = 0.39] and pINS [R2 = 0.33], but not mINS [R2 = 0.34]. Post hoc analyses revealed greater aINS activity and reduced pINS activity during neurofeedback runs, and such activities were related to lower self-reported life satisfaction and less pain behavior, respectively. These findings revealed the specific involvement of insula subregions in rtfMRI-nf MT. © 2022 Elsevier B.V., All rights reserved.</t>
  </si>
  <si>
    <t>adolescent; anterior cingulate; anxiety; Article; awareness; BOLD signal; brain depth stimulation; breathing; child; clinical article; cognition; cognitive behavioral therapy; dorsolateral prefrontal cortex; DSM-IV; electroencephalogram; electroencephalography; emotionality; female; functional connectivity; functional magnetic resonance imaging; GABAergic transmission; heart rate; hemodynamics; human; information processing; insula; interoception; mental health; mindfulness; nerve cell plasticity; neurofeedback; nociception; nuclear magnetic resonance imaging; post hoc analysis; posterior cingulate; prefrontal cortex; psychotherapy; randomized controlled trial (topic); rating scale; task performance; training; transcranial direct current stimulation; visual analog scale</t>
  </si>
  <si>
    <t>The study aligns strongly with all inclusion criteria:
1.  **Publication Period:** Published in 2022, which falls within the 2020-2025 range.
2.  **Publication Type:** The abstract describes an experimental study ("We examined INS activity...", "Healthy adolescents (N = 37) completed...") rather than a review, indicating it is a main paper.
3.  **Language:** The title and abstract are in English.
4.  **Thematic Scope:** The study explicitly uses "neurofeedback-augmented mindfulness training" (neurofeedback is a BCI-related technology) and states its relevance for "informing mental health in adolescence, when neuroplasticity and emergence of psychopathology are heightened." This directly addresses the "Mental Health" aspect of the thematic scope.
No exclusion criteria are met:
1.  It is within the defined publication period.
2.  It is focused on mental health.
3.  The copyright notice ("© 2022 Elsevier B.V.") suggests it is a peer-reviewed article.
4.  It is not exclusively focused on technical hardware aspects, but rather on brain responses and their implications for mental health.</t>
  </si>
  <si>
    <t>Moulier, V.; Guehl, J.; Evêque-Mourroux, E.; Quesada, P.; Rothärmel, M.</t>
  </si>
  <si>
    <t>A Retrospective Study of Postictal Suppression during Electroconvulsive Therapy</t>
  </si>
  <si>
    <t>https://www.scopus.com/inward/record.uri?eid=2-s2.0-85126061778&amp;doi=10.3390%2Fjcm11051440&amp;partnerID=40&amp;md5=658b78f871dbd6faea078ae12693150c</t>
  </si>
  <si>
    <t>Background: electroconvulsive therapy (ECT) is the most effective treatment in treatment-resistant depression (TRD), but its response remains partial. Identifying useful indicators to guide decision making for treatment and improve clinical response remains a major issue. The objective of the present retrospective study was to determine if clinical response—early (after 5 ECT sessions) or longer-term (after 12 ECT sessions)—was associated with postictal suppression during the first ECT course and/or with postictal suppression frequency during the whole ECT course. Methods: in a retrospective study, the data of 42 patients suffering from treatment-resistant depression and receiving at least 5 ECT sessions were collected. Two sessions per week of bitemporal brief-pulse ECT sessions were administered to patients. Each of the electroencephalography (EEG) recordings were assessed to determine the presence of postictal suppression. Results: the postictal suppression from the first ECT session predicted a better long-term clinical response (after 12 ECT sessions), but not early clinical response (after only 5 ECT sessions). The postictal suppression frequency was associated with neither the short-nor the long-term clinical response. In addition, postictal suppression and short-term cognitive performances were not associated. Conclusions: this EEG indicator is clinically useful if it appears in the first ECT sessions, but it is no longer relevant in the following sessions. © 2023 Elsevier B.V., All rights reserved.</t>
  </si>
  <si>
    <t>adult; Article; clinical article; controlled study; electroconvulsive therapy; electroencephalography; female; human; male; middle aged; retrospective study; treatment resistant depression; treatment response</t>
  </si>
  <si>
    <t>Rationale: This study meets all inclusion criteria. It was published in 2022 (within 2020–2025), is a primary research article (not a review), and is written in English. The study focuses on treatment-resistant depression, uses EEG to assess neurophysiological markers, and evaluates cognitive outcomes, aligning with the thematic scope of mental health and BCI/neurophysiological applications. It is a peer-reviewed, full-length study, making it relevant for inclusion.</t>
  </si>
  <si>
    <t>While the study addresses mental health (treatment-resistant depression) and uses EEG recordings, it does not align with the thematic scope's requirement for studies addressing Brain-Computer Interfaces (BCI, BMI, neurofeedback, EEG) *applied to* mental health or cognitive enhancement. The study uses EEG as a monitoring and diagnostic tool to assess postictal suppression during Electroconvulsive Therapy (ECT), which is the primary intervention. ECT is a direct brain stimulation therapy, not an application of BCI, BMI, or neurofeedback where brain signals are used for control, feedback, or as the direct therapeutic mechanism itself. The EEG in this context serves to measure the brain's response to ECT, rather than being the "application" in the sense of the inclusion criteria.</t>
  </si>
  <si>
    <t>Gomez-Mérino, D.; Drogou, C.; Debellemanière, E.; Erblang, M.; Dorey, R.; Guillard, M.; van Beers, P.; Thouard, M.; Masson, R.; Sauvet, F.; Leǵer, D.; Bougard, C.; Arnal, P.J.; Rabat, A.; Chennaoui, M.</t>
  </si>
  <si>
    <t>Strategies to Limit Cognitive Impairments under Sleep Restriction: Relationship to Stress Biomarkers</t>
  </si>
  <si>
    <t>https://www.scopus.com/inward/record.uri?eid=2-s2.0-85124349698&amp;doi=10.3390%2Fbrainsci12020229&amp;partnerID=40&amp;md5=151790c71631a401012dba1400ea6942</t>
  </si>
  <si>
    <t>Adding relaxation techniques during nap or auditory stimulation of EEG slow oscillation (SO) during nighttime sleep may limit cognitive impairments in sleep‐deprived subjects, potentially through alleviating stress‐releasing effects. We compared daytime sleepiness, cognitive performances, and salivary stress biomarker responses in 11 volunteers (aged 18–36) who underwent 5 days of sleep restriction (SR, 3 h per night, with 30 min of daily nap) under three successive conditions: control (SR‐CT), relaxation techniques added to daily nap (SR‐RT), and auditory stimulation of sleep slow oscillations (SO) during nighttime sleep (SR‐NS). Test evaluation was performed at baseline (BASE), the fifth day of chronic SR (SR5), and the third and fifth days after sleep recovery (REC3, REC5, respectively). At SR5, less degradation was observed for percentage of commission errors in the executive Go–noGo inhibition task in SR‐RT condition compared to SR‐CT, and for sleepiness score in SR‐NS condition compared both to SR‐CT and SR‐ RT. Beneficial effects of SR‐RT and SR‐NS were additionally observed on these two parameters and on salivary α‐amylase (sAA) at REC3 and REC5. Adding relaxation techniques to naps may help performance in inhibition response, and adding nocturnal auditory stimulation of SO sleep may benefit daytime sleepiness during sleep restriction with persistent effects during recovery. The two strategies activated the autonomic nervous system, as shown by the sAA response. © 2022 Elsevier B.V., All rights reserved.</t>
  </si>
  <si>
    <t>alpha amylase saliva isoenzyme; biological marker; chromogranin A; hydrocortisone; salivary stress biomarker; unclassified drug; adult; Article; auditory stimulation; autonomic nervous system; clinical trial; cognitive defect; commission error; controlled clinical trial; controlled study; daytime somnolence; electroencephalogram; female; Go noGo inhibition task; human; human experiment; KSS score; male; mental performance; night sleep; oscillation; relaxation training; scoring system; sleep deprivation; sleep restriction; slow oscillation; task performance; working memory</t>
  </si>
  <si>
    <t>The study aligns well with all inclusion criteria:
1.  **Publication Period:** Published in 2022, which falls within the 2020-2025 range.
2.  **Publication Type:** The abstract describes an experimental study with participants and specific interventions, indicating it is a main research paper, not a review.
3.  **Language:** The abstract is in English.
4.  **Thematic Scope:** The study investigates "auditory stimulation of EEG slow oscillation (SO) during nighttime sleep" to "limit cognitive impairments under sleep restriction" and potentially alleviate "stress‐releasing effects." This directly addresses the use of EEG-related neuro-modulation (a form of BCI/neurofeedback) for "Cognitive and Neurological Enhancement" (limiting cognitive impairments, improving attention/inhibition) and "Mental Health" (stress).
No exclusion criteria are met based on the provided information. The study is focused on the effects of interventions on cognition and mental health, not exclusively on technical hardware, and is presumed to be a peer-reviewed article of sufficient length from a reputable publisher (Elsevier).</t>
  </si>
  <si>
    <t>Clarizio, G.; Gill, P.</t>
  </si>
  <si>
    <t>The Effects of Circadian Rhythm in Adolescents on Optimal Performance in Cognitive Tasks</t>
  </si>
  <si>
    <t>https://www.scopus.com/inward/record.uri?eid=2-s2.0-85172694478&amp;doi=10.26685%2Furncst.270&amp;partnerID=40&amp;md5=8329d5b1bd096014356cbb83dc304406</t>
  </si>
  <si>
    <t>Introduction: The circadian rhythm is a sleep-wake cycle determined by differences in serum melatonin and cortisol levels, and affects cognition and behaviour. Past research suggests that young adults tend to perform better on cognitive tasks during the afternoon and evening, which may be the optimal time of day in this population. This research protocol seeks to determine whether cognitive performance is affected at times assumed to be optimal for both populations (evening) compared with suboptimal times (morning). Methods: Individuals would be recruited and divided into two groups: adolescents 13–17 and younger adults aged ages 18–25, with all participants of the afternoon/evening chronotype. Saliva is collected directly preceding test-taking. Each group completes a standard computerized test of simple math, logical reasoning, and executive function at both their optimal time of day (TOD) (3:00 to 6:00 PM) and at their non-optimal time of day (8:00 to 11:00 AM). Neuroelectric activity is recorded using electroencephalography (EEG). Results: We hypothesize that adolescents and younger adults will be at their optimal performance level (measured by EEG and behavioural measures) between 3 to 6 P.M. rather than from 8 to 11 AM, due to their circadian rhythm. We expect TOD to influence reaction times and accuracy during task completion. A difference will be seen across many neural indices such as event-related potentials (ERPs) and alpha and theta power demonstrating optimal performance in the evening. Discussion: Higher cortisol levels and changes in amplitude and latency of P3, N2Pc, N450, and PD ERP indices and differences in alpha and theta frequencies may be associated with optimal cognitive performance. This is related to faster response time, focus, and overall higher accuracy. Based on the anticipated results, one could alter the timing of task completion to fit different age groups’ peak mental ability. Conclusion: Continuously working at non-optimal times could lead to chronic circadian rhythm disruption, which could result in the deterioration of physical and mental health. Aspects of everyday life, such as student test-taking times, can be improved to benefit both individuals and institutions by catering to an individual’s optimal TOD. © 2023 Elsevier B.V., All rights reserved.</t>
  </si>
  <si>
    <t>The study meets all inclusion criteria. It was published in 2022, falling within the 2020-2025 publication period. The abstract describes a research protocol with methods, results, and discussion, indicating it is a main research paper and not a review. The publication is in English. Crucially, the study explicitly states that "Neuroelectric activity is recorded using electroencephalography (EEG)," which aligns with the BCI/neurofeedback component of the thematic scope. Furthermore, its focus on "Optimal Performance in Cognitive Tasks," "cognitive performance," "focus," and "peak mental ability" directly addresses the "Cognitive and Neurological Enhancement" aspect of the thematic scope. No exclusion criteria are met, as it is within the defined period, focused on cognitive enhancement, appears to be peer-reviewed, and is not exclusively focused on technical hardware aspects unrelated to cognition.</t>
  </si>
  <si>
    <t>Meena, P.; Subramanian, S.; Desai, G.; Krishna, G.; Rajeswaran, J.</t>
  </si>
  <si>
    <t>EEG-Neurofeedback Training and Prolidase in Anxiety Disorders: An Exploratory Study</t>
  </si>
  <si>
    <t>https://www.scopus.com/inward/record.uri?eid=2-s2.0-85140758016&amp;doi=10.15540%2FNR.9.3.127&amp;partnerID=40&amp;md5=ab0107ad647536b76ea34582cc17ee75</t>
  </si>
  <si>
    <t>Objective: Prolidase is an enzyme that releases proline and is vital in extracellular matrix (ECM) remodeling, fueling white matter dynamics. Serum prolidase activity (SPA) is elevated in various neuropsychiatric conditions and may influence cognitive functions. Aim of the study was to explore the relation of SPA to neuropsychological functioning and its response to treatment in anxiety disorders. Methods: Twenty demographic-matched patients with anxiety were recruited. Six patients were given EEG-neurofeedback training (EEG-NFT), eight were treated pharmacologically (treatment as usual; TAU) with EEG-NFT, and six patients were treated only pharmacologically (TAU group). Beck Anxiety Inventory (BAI) and Beck Depression Inventory (BDI) were used to assess anxiety and comorbid depression, respectively. Results: Symptom reduction was seen in all groups. SPA decreased considerably in EEG-NFT group. Mental speed and spatial working memory negatively correlated with SPA in EEG-NFT group. Focused attention, sustained attention, verbal working memory, and spatial construction ability negatively correlated with SPA in EEG-NFT+TAU group. Mental speed in TAU group was also inversely proportional to SPA. Conclusion: Inverse correlation between SPA and neuropsychological functions in EEG-NFT group is suggestive of prolidase-mediated microstructural changes in white matter, which may have an influence on cognitive enhancement in anxiety disorders (AD). © 2022 Elsevier B.V., All rights reserved.</t>
  </si>
  <si>
    <t>proline dipeptidase; psychotropic agent; adult; anxiety disorder; Article; attention; Beck Anxiety Inventory; Beck Depression Inventory; clinical article; comorbidity; controlled study; depression; digit symbol substitution test; electroencephalogram; enzyme activity; enzyme blood level; executive function; female; human; male; mental performance; neurofeedback; neuropsychological test; Rey auditory verbal learning test; spatial memory; treatment response; verbal memory; vigilance task; working memory</t>
  </si>
  <si>
    <t>The study was published in 2022, falling within the specified publication period (2020-2025). The abstract describes an "exploratory study" with methods, results, and conclusions, indicating it is a main paper and not a review. The language is English. The thematic scope is directly addressed as the study investigates "EEG-Neurofeedback Training" (BCI/neurofeedback) applied to "Anxiety Disorders" (Mental Health) and explores its influence on "neuropsychological functioning" and "cognitive enhancement" (Cognitive and Neurological Enhancement). No exclusion criteria are met based on the provided information.</t>
  </si>
  <si>
    <t>Amico, F.; Pascarella, A.; Danev, S.; Ruan, C.-H.</t>
  </si>
  <si>
    <t>Automated Detection of Cognitive Performance and Resilience Changes in Former Professional American Football Players following the Administration of a Hemp Extract</t>
  </si>
  <si>
    <t>https://www.scopus.com/inward/record.uri?eid=2-s2.0-85135240786&amp;doi=10.15540%2Fnr.9.2.68&amp;partnerID=40&amp;md5=a41c435f4373451395ae5f7c73b9c273</t>
  </si>
  <si>
    <t>Introduction. In high-contact sport athletes, repetitive head trauma might be linked to permanent brain damage. In particular, findings in professional American football players indicate that brain injury is often associated with long-term cognitive slowing. In this context, hemp extracts might have beneficial effects. Methods. Forty-two former professional American football players were recruited (age = 49.6 ± 9.8 years). Before or immediately after the oral administration of a THC-free hemp extract, the following measures were acquired: 1) the median theta/beta ratio and posterior peak alpha frequency (PAF) during resting state; 2) P200 and P300b latencies as well as reaction times (RT) during performance of a Go/NoGo task. Results. After treatment, a smaller median theta/beta ratio (p &lt; .01) was detected. An onset latency reduction was also found for the P200 (p &lt; .01) and P300b (p &lt; .05) measures, which was accompanied by smaller RT variances (p &lt; .05). Finally, a positive correlation between RT measures and P300b latencies was found only after treatment. Conclusion. The administration of THC-free hemp extracts in former professional high-impact athletes might have beneficial effects on both cognitive performance and emotion regulation. Also, recent technological advances in EEG detection and analysis could play an important role in the management of patients with sport-related brain injuries. © 2022 Elsevier B.V., All rights reserved.</t>
  </si>
  <si>
    <t>cannabidiol; cannabigerol; dronabinol; focus; adult; American; Article; automation; controlled study; correlation analysis; demographics; electroencephalogram; football player; Go No Go task; head injury; human; human experiment; latent period; male; mental performance; middle aged; normal human; psychological resilience; reaction time; resting state network; signal processing</t>
  </si>
  <si>
    <t>This study meets all inclusion criteria. It was published in 2022 (within 2020–2025), is a primary research article (not a review), and is in English. The study investigates cognitive performance and neurophysiological measures (EEG) in humans, aligning with the thematic scope of cognitive enhancement and mental health. It is full-length, peer-reviewed, and directly relevant to the effects of an intervention on brain function, making it eligible for inclusion.</t>
  </si>
  <si>
    <t>The study meets the publication period, publication type, and language criteria. It also addresses cognitive performance. However, the thematic scope requires studies where Brain-Computer Interfaces (BCI, BMI, neurofeedback, EEG) are *applied to* mental health or cognitive enhancement. In this study, EEG is utilized as a measurement tool to assess the effects of a hemp extract on cognitive performance, rather than being the intervention itself "applied to" cognitive enhancement. Therefore, it does not align with the specific application of EEG as defined in the inclusion criteria.</t>
  </si>
  <si>
    <t>C. Conley, A.C.; Key, A.P.; Taylor, W.D.; Albert, K.M.; Boyd, B.D.; Vega, J.N.; Newhouse, P.A.</t>
  </si>
  <si>
    <t>EEG as a Functional Marker of Nicotine Activity: Evidence From a Pilot Study of Adults With Late-Life Depression</t>
  </si>
  <si>
    <t>https://www.scopus.com/inward/record.uri?eid=2-s2.0-85122338799&amp;doi=10.3389%2Ffpsyt.2021.721874&amp;partnerID=40&amp;md5=0b61983ac06d7771950ddc7db78b97dd</t>
  </si>
  <si>
    <t>Late-life depression (LLD) is a debilitating condition that is associated with poor response to antidepressant medications and deficits in cognitive performance. Nicotinic cholinergic stimulation has emerged as a potentially effective candidate to improve cognitive performance in patients with cognitive impairment. Previous studies of nicotinic stimulation in animal models and human populations with cognitive impairment led to examining potential cognitive and mood effects of nicotinic stimulation in older adults with LLD. We report results from a pilot study of transdermal nicotine in LLD testing whether nicotine treatment would enhance cognitive performance and mood. The study used electroencephalography (EEG) recordings as a tool to test for potential mechanisms underlying the effect of nicotine. Eight non-smoking participants with LLD completed EEG recordings at baseline and after 12 weeks of transdermal nicotine treatment (NCT02816138). Nicotine augmentation treatment was associated with improved performance on an auditory oddball task. Analysis of event-related oscillations showed that nicotine treatment was associated with reduced beta desynchronization at week 12 for both standard and target trials. The change in beta power on standard trials was also correlated with improvement in mood symptoms. This pilot study provides preliminary evidence for the impact of nicotine in modulating cortical activity and improving mood in depressed older adults and shows the utility of using EEG as a marker of functional engagement in nicotinic interventions in clinical geriatric patients. © 2022 Elsevier B.V., All rights reserved.</t>
  </si>
  <si>
    <t>duloxetine; lorazepam; nicotine patch; sertraline; trazodone; venlafaxine; adult; aged; alpha rhythm; Article; attention test; auditory oddball task; beta rhythm; body weight loss; clinical article; cognition; correlation analysis; delta rhythm; drug activity; drug dose escalation; drug dose reduction; drug dose titration; drug effect; drug mechanism; drug safety; drug tolerability; electroencephalogram; electroencephalography; electroencephalography phase synchronization; event related potential; evoked response; female; frontal cortex; geriatric patient; human; late life depression; male; middle aged; monotherapy; Montgomery Asberg Depression Rating Scale; mood; mood disorder; neuropsychological test; oscillation; outcome assessment; parietal cortex; patient compliance; side effect; symptomatology; treatment duration; treatment response</t>
  </si>
  <si>
    <t>This study meets all inclusion criteria. It was published in 2021 (within 2020–2025), is a primary research study (not a review), and is written in English. The study focuses on late-life depression and cognitive performance, using EEG to assess neurophysiological changes following nicotine intervention. It is a peer-reviewed, full-length study that directly investigates mental health and cognitive enhancement in humans, making it relevant for inclusion.</t>
  </si>
  <si>
    <t>While the study meets several inclusion criteria (publication period, publication type, language, focus on mental health and cognitive performance), it fails to meet the thematic scope criterion regarding the application of EEG. The inclusion criteria specify "Studies addressing Brain-Computer Interfaces (BCI, BMI, neurofeedback, EEG) applied to: Mental Health [or] Cognitive and Neurological Enhancement." In this study, EEG is used as a *measurement tool* or "functional marker" to assess the effects of a *pharmacological intervention* (nicotine treatment). It is not an EEG-based intervention (like neurofeedback or a BCI) being *applied to* mental health or cognitive enhancement. Therefore, it does not align with the intended scope of studies where EEG itself is the core intervention or technology being applied.</t>
  </si>
  <si>
    <t>Miyauchi, E.; Kawasaki, M.</t>
  </si>
  <si>
    <t>Behavioural effects of task-relevant neuromodulation by rTMS on giving-up</t>
  </si>
  <si>
    <t>https://www.scopus.com/inward/record.uri?eid=2-s2.0-85119300772&amp;doi=10.1038%2Fs41598-021-01645-0&amp;partnerID=40&amp;md5=f077981bd0889b858118269dd190bcf9</t>
  </si>
  <si>
    <t>Recent studies suggest that online repetitive transcranial magnetic stimulation (rTMS) can induce local entrainment of ongoing endogenous oscillatory activity during a task. This effect may impact cognitive performance, depending on the function of the oscillation. In this study, we aimed to investigate the effects of stimulation frequency and target location that are relevant to the cognitive processes of giving-up. We first investigated the correlations between the EEG oscillations and cognitive giving-up processes during problem-solving tasks (Experiment 1). We then conducted online rTMS to examine the frequency-dependent stimulation effects of rTMS on the performance of problem-solving tasks and ongoing oscillations (Experiment 2). The results of Experiment 1 suggested that the frontal theta rhythm is associated with the giving-up processes and that the frontal alpha rhythm is associated with problem-solving behaviour. Accordingly, we hypothesised that rTMS at the theta frequency would induce ongoing theta activity and accelerate the giving-up behaviour, while rTMS at the alpha frequency would induce ongoing alpha activity and slow down the giving-up behaviour in Experiment 2. The results showed that theta-frequency rTMS application induced an increase in theta amplitudes and shortened the giving-up response. Alpha-frequency rTMS application induced an increase in alpha amplitudes, but did not change giving-up responses. Considering the close resemblance between giving-up behaviour and rumination in depression, neuromodulation of cognitive giving-up processes may lead to a new intervention to treat depression by rTMS. Furthermore, this study strengthens the hypothesis that modulating task-relevant oscillations by rTMS could induce behavioural changes related to cognitive performance. © 2021 Elsevier B.V., All rights reserved.</t>
  </si>
  <si>
    <t>alpha rhythm; article; behavior change; controlled study; executive function test; human; human experiment; neuromodulation; oscillation; repetitive transcranial magnetic stimulation; rumination; theta rhythm; adolescent; adult; female; male; physiology; prefrontal cortex; problem solving; transcranial magnetic stimulation; young adult; Adolescent; Adult; Female; Humans; Male; Prefrontal Cortex; Problem Solving; Theta Rhythm; Transcranial Magnetic Stimulation; Young Adult</t>
  </si>
  <si>
    <t>Meets inclusion criteria: Publication year 2021; abstract in English; primary research (not labeled as review); mentions BCI/EEG/neurofeedback and targets mental health or cognitive outcomes.</t>
  </si>
  <si>
    <t>The study was published in 2021, falling within the specified publication period (2020-2025). The abstract describes experimental work (Experiment 1, Experiment 2) and results, indicating it is a main research paper rather than a review. The language is English. The thematic scope is met as the study investigates "EEG oscillations" and uses "rTMS" (a neuromodulation technique) to influence "cognitive processes of giving-up" and "problem-solving tasks," with a direct implication for "a new intervention to treat depression." This aligns with both the "EEG" aspect of BCI/neurofeedback technologies and the application to "Mental Health" (depression) and "Cognitive Enhancement." No exclusion criteria are met; it is not focused exclusively on hardware, is clearly peer-reviewed (Elsevier), and its detailed abstract suggests it is a full-length article.</t>
  </si>
  <si>
    <t>Rogala, J.; Dreszer, J.; Malinowska, U.; Waligóra, M.; Pluta, A.; Antonova, I.; Wróbel, A.</t>
  </si>
  <si>
    <t>Stronger connectivity and higher extraversion protect against stress-related deterioration of cognitive functions</t>
  </si>
  <si>
    <t>https://www.scopus.com/inward/record.uri?eid=2-s2.0-85113983305&amp;doi=10.1038%2Fs41598-021-96718-5&amp;partnerID=40&amp;md5=1b0ccae1e9500da9302b3f3ff26cfb22</t>
  </si>
  <si>
    <t>Here we attempted to define the relationship between: EEG activity, personality and coping during lockdown. We were in a unique situation since the COVID-19 outbreak interrupted our independent longitudinal study. We already collected a significant amount of data before lockdown. During lockdown, a subgroup of participants willingly continued their engagement in the study. These circumstances provided us with an opportunity to examine the relationship between personality/cognition and brain rhythms in individuals who continued their engagement during lockdown compared to control data collected well before pandemic. The testing consisted of a one-time assessment of personality dimensions and two sessions of EEG recording and deductive reasoning task. Participants were divided into groups based on the time they completed the second session: before or during the COVID-19 outbreak ‘Pre-pandemic Controls’ and ‘Pandemics’, respectively. The Pandemics were characterized by a higher extraversion and stronger connectivity, compared to Pre-pandemic Controls. Furthermore, the Pandemics improved their cognitive performance under long-term stress as compared to the Pre-Pandemic Controls matched for personality traits to the Pandemics. The Pandemics were also characterized by increased EEG connectivity during lockdown. We posit that stronger EEG connectivity and higher extraversion could act as a defense mechanism against stress-related deterioration of cognitive functions. © 2021 Elsevier B.V., All rights reserved.</t>
  </si>
  <si>
    <t>adult; brain; comparative study; coping behavior; electroencephalography; human; longitudinal study; male; middle aged; neurosis; physiology; prevention and control; psychology; questionnaire; young adult; Adaptation, Psychological; Adult; Brain; COVID-19; Electroencephalography; Extraversion, Psychological; Humans; Longitudinal Studies; Male; Middle Aged; Neuroticism; Physical Distancing; Surveys and Questionnaires; Young Adult</t>
  </si>
  <si>
    <t>The study aligns strongly with all inclusion criteria. It was published in 2021, falling within the 2020-2025 period. The abstract describes an empirical study, indicating it is a main research paper rather than a review. The language is English. The thematic scope is met as it explicitly addresses "EEG activity" (Brain-Computer Interfaces/EEG) applied to "stress-related deterioration of cognitive functions" (Mental Health - stress) and "cognitive functions," "cognitive performance," and "deductive reasoning task" (Cognitive Enhancement). No exclusion criteria are met based on the provided title and abstract.</t>
  </si>
  <si>
    <t>Muscat, S.-A.; Hartelius, G.; Crouch, C.R.; Morin, K.W.</t>
  </si>
  <si>
    <t>An Integrative Approach to Ketamine Therapy May Enhance Multiple Dimensions of Efficacy: Improving Therapeutic Outcomes With Treatment Resistant Depression</t>
  </si>
  <si>
    <t>https://www.scopus.com/inward/record.uri?eid=2-s2.0-85120853285&amp;doi=10.3389%2Ffpsyt.2021.710338&amp;partnerID=40&amp;md5=25c82bb1c7c949181c3e0847c44463cb</t>
  </si>
  <si>
    <t>Research over the last two decades has established ketamine as a safe, effective, fast-acting, and sustained antidepressant that significantly reduces adverse symptoms associated with depression, even in patients who are treatment resistant. Much of this research has evolved within the framework of several independent branches of scientific inquiry: in addition to the study of ketamine is a non-selective NMDAR antagonist with rapid antidepressant effects, it has also been found effective as a psychoplastogen that stimulates synaptogenesis and increases neuroplasticity, as a powerful anti-inflammatory that may improve inflammation-related depressive symptoms, as a substance that induces beneficial high entropy brain states, and as a subjectively impactful psychedelic agent. Each branch of inquiry has generated independent evidence of ketamine's efficacy but has advanced without substantive coordination or communication with other lines of inquiry. Integrative research that considers these branches of research together may lead toward a better understanding of ketamine's effects and improved treatment protocols and clinical outcomes. Such an overview can inform more comprehensive patient care through: (a) informed patient psychoeducation that encompasses all of ketamine's mechanisms of action; (b) calibration of optimal dosage to ensure induction and maintenance of high entropy brain states during each ketamine session utilizing EEG measurement; (c) Improved management of emergence side effects through proper care for set and setting; (d) inclusion of pre-selected appropriate music to enhance the emotional experience; (e) increased monitoring of ketamine effects on cortical activity, inter-hemispheric imbalance, and inflammation-related levels of cytokines to further improvements in ketamine protocols; and (f) appropriate timing of any adjunctive psychotherapy sessions to coincide with peak neurogenesis at 24–48 h post ketamine treatment. © 2021 Elsevier B.V., All rights reserved.</t>
  </si>
  <si>
    <t>AMPA receptor; cytokine; ketamine; n methyl dextro aspartic acid receptor; adaptive behavior; Article; chest tightness; cognitive defect; confusion; coordination disorder; cystitis; depersonalization; dizziness; drowsiness; drug activity; drug efficacy; drug mechanism; drug monitoring; drug safety; electroencephalogram; emotionality; enzyme activation; epigastric pain; faintness; functional connectivity; gallbladder disease; hallucination; headache; heart arrhythmia; heart palpitation; human; hypotension; inflammation; kidney failure; liver dysfunction; memory disorder; mental dissociation; nerve cell plasticity; nervous system development; neuroplastogenic effect; paresthesia; patient care; patient education; perception disorder; psychedelic therapy; psychoeducation; psychomotor disorder; psychotherapy; risk factor; sedation; sensory dysfunction; side effect; speech disorder; synaptic transmission; synaptogenesis; therapy effect; thorax pain; treatment outcome; treatment resistant depression; tremor; unsteadiness; visual disorder; weird sensation</t>
  </si>
  <si>
    <t>The study strongly aligns with all inclusion criteria and does not appear to meet any exclusion criteria based on the title and abstract.
1.  **Publication Period:** The article was published in 2021, which falls within the specified range of 2020-2025.
2.  **Publication Type:** The title "An Integrative Approach..." and the abstract's discussion of "integrative research" leading to "improved treatment protocols and clinical outcomes" suggest a conceptual or perspective paper proposing a new approach, rather than a pure literature review. It aims to inform "more comprehensive patient care" through specific actions, which aligns with a "main paper."
3.  **Language:** The publication is in English.
4.  **Thematic Scope:**
    *   **Mental Health:** The study explicitly focuses on "Treatment Resistant Depression" and "depressive symptoms."
    *   **Cognitive and Neurological Enhancement:** It mentions ketamine's role as a "psychoplastogen that stimulates synaptogenesis and increases neuroplasticity."
    *   **Brain-Computer Interfaces (BCI, BMI, neurofeedback, EEG):** The abstract clearly states the use of "EEG measurement" for "calibration of optimal dosage to ensure induction and maintenance of high entropy brain states" and "increased monitoring of ketamine effects on cortical activity, inter-hemispheric imbalance." This directly incorporates an EEG-based approach within the therapeutic context.
No exclusion criteria are met: The publication year is within the range, it focuses on mental health and cognitive aspects with EEG, it appears to be a peer-reviewed article (Elsevier), and it does not exclusively focus on technical hardware aspects unrelated to cognition or mental health.</t>
  </si>
  <si>
    <t>Bottenheft, C.; Brouwer, A.-M.; Stuldreher, I.; Groen, E.; van Erp, J.</t>
  </si>
  <si>
    <t>Cognitive task performance under (combined) conditions of a metabolic and sensory stressor</t>
  </si>
  <si>
    <t>https://www.scopus.com/inward/record.uri?eid=2-s2.0-85097007509&amp;doi=10.1007%2Fs10111-020-00653-w&amp;partnerID=40&amp;md5=4158c0f9b0aba03806a764fc08386811</t>
  </si>
  <si>
    <t>Effects of stressors on cognitive task performance have primarily been studied in isolation, and little is known about the combined effects of two or more stressors. This study examined how a metabolic stressor (skipping breakfast) and a sensory stressor (noise) affect cognitive task performance in isolation and combined. In addition to performance, we collected physiological and subjective data to get insight in the underlying mechanisms. Twenty participants came to the lab twice, once after skipping breakfast, and once after a standardized breakfast. They performed runs of the 2-back task and the International Shopping List Task, which were alternately presented with and without noise. During the 2-back task, electrocardiography (ECG), electrodermal activity (EDA), and electroencephalography (EEG) were recorded. Subjective ratings on effort and stress were also collected. No interaction effects between the two stressors on cognitive performance were found. Skipping breakfast did not cause hypoglycemia, but resulted in subjective discomfort and a lower state of arousal (as indicated by lower heart rate and EDA). These may underly the trend for more missed responses on the 2-back task after breakfast skipping. Noise appeared to generate arousal and increased attention (reflected in higher EDA and P300) in accordance with higher experienced load and stress. This is consistent with less missed 2-back responses in noise conditions. The results indicate that individuals spent extra effort to maintain task performance in the presence of noise. We propose to use a model that, besides additional effort, takes the effect of stressors on performance into account. © 2021 Elsevier B.V., All rights reserved.</t>
  </si>
  <si>
    <t>Electrocardiography; Electroencephalography; Electrophysiology; Cognitive performance; Combined effect; Electrodermal activity; Interaction effect; Noise conditions; Shopping lists; Subjective rating; Task performance; Metabolism</t>
  </si>
  <si>
    <t>Although this study uses EEG and other physiological measures, it does not meet the thematic scope of the inclusion criteria. The participants are healthy individuals exposed to metabolic and sensory stressors in a laboratory setting, rather than patients with mental health disorders or interventions aimed at cognitive enhancement in clinical populations. The focus on acute stress effects in healthy subjects places it outside the defined scope, resulting in a score of 0.</t>
  </si>
  <si>
    <t>The study meets the publication period (2021), publication type (main paper), and language (English) inclusion criteria. However, it fails to meet the thematic scope. While Electroencephalography (EEG) was recorded, the study uses EEG as a *measurement tool* to understand the effects of metabolic and sensory stressors on cognitive task performance. It does not *apply* Brain-Computer Interfaces (BCI), Brain-Machine Interfaces (BMI), or neurofeedback *as an intervention* for mental health or cognitive enhancement, which is a core requirement of the thematic scope. Therefore, the study is excluded as it does not focus on the application of BCI/BMI/neurofeedback to mental health or cognitive enhancement.</t>
  </si>
  <si>
    <t>Neubauer, A.C.</t>
  </si>
  <si>
    <t>The future of intelligence research in the coming age of artificial intelligence – With a special consideration of the philosophical movements of trans- and posthumanism</t>
  </si>
  <si>
    <t>https://www.scopus.com/inward/record.uri?eid=2-s2.0-85111016287&amp;doi=10.1016%2Fj.intell.2021.101563&amp;partnerID=40&amp;md5=ff940989c1f3193abacdef31d9c91c48</t>
  </si>
  <si>
    <t>Artificial intelligence (AI) is a hot topic in society as it seems to extend and challenge human cognitive capacity. Yet, it is surprising that human intelligence research in particular and psychology in general has so far contributed very little to the ongoing debates on AI and the related philosophical movements of trans- and posthumanism. Transhumanism promotes the development of technologies that aim at strongly enhancing human psychological (especially intellectual) capacities, achieved by applying neuroscience methods such as transcranial electric/magnetic stimulation (TES, TMS), brain–computer interfaces (BCIs), deep-brain stimulation (DBS), pharmacological and even nanotechnological methods aimed at brain repair or enhancement of brain plasticity. The goal is to achieve a “post-human future,” in which current problems of human mankind should finally be solved. In this contribution I will (1) describe current neuroscientific and pharmacological methods that aim at enhancing human intelligence and how successful they can currently be considered; (2) outline potential implications of a wider application of cognitive enhancements (viewed from a societal perspective, and from an evolutionary perspective of individual differences); (3) outline commonalities and differences between concepts of human versus artificial intelligence; (4) discuss the promises and perils of an (artificial) “super-intelligence” (sensu Nick Bostrom); and (5) consider how psychology could or should contribute to the development of such a “super-intelligence.” Finally, I will try to answer the question: What are the implications of our knowledge on individual differences in psychological traits (e.g., cognitive and social/emotional traits, values) for the further development of AI? © 2021 Elsevier B.V., All rights reserved.</t>
  </si>
  <si>
    <t>This article is a theoretical or perspective paper rather than a primary research study. It discusses philosophical and societal considerations of AI, transhumanism, and cognitive enhancement, without presenting original experimental data. According to the inclusion criteria, only empirical studies reporting new results in humans related to mental health or cognitive enhancement are eligible. Therefore, this publication does not meet the criteria and receives a score of 0.</t>
  </si>
  <si>
    <t>While the study meets several inclusion criteria, such as publication period (2021), language (English), and thematic scope (mentioning BCI and cognitive enhancement), it fails to meet the "Publication Type: Main Papers (not reviews)" criterion. The abstract's language, including phrases like "describe current neuroscientific and pharmacological methods," "outline potential implications," "discuss the promises and perils," and "consider how psychology could or should contribute," strongly suggests that this is a review, perspective, or conceptual paper, rather than an empirical "main paper" presenting original research findings. Therefore, it does not align with all inclusion criteria.</t>
  </si>
  <si>
    <t>Bailey, A.W.; Chew, A.; Miller, C.; Holmberg, H.; Peyer, K.</t>
  </si>
  <si>
    <t>Cognitive and neurological impacts of a biking program in public schools</t>
  </si>
  <si>
    <t>https://www.scopus.com/inward/record.uri?eid=2-s2.0-85110597587&amp;doi=10.7752%2Fjpes.2021.04210&amp;partnerID=40&amp;md5=c815b422193f1ad92ab0678b85ff4c3b</t>
  </si>
  <si>
    <t>Physical activity can enhance physical and mental health across the lifespan and improve cognitive performance. However, the neurological mechanisms influencing cognitive performance through exercise remain obscure. Clarity in the connection between short doses of physical activity and cognitive performance could lend credence to activity programming in the structured academic environment. As such, this manuscript presents the immediate impacts of a brief biking experience during physical education classes on neuro-cognitive processes. A total of 46 middle and high school-aged adolescents completed cognitive tests before and after participation in a single biking event, as part of a nine-week course curriculum. Participants wore encephalographic (EEG) headsets throughout the process, to measure changes in neuronal activity across conditions. Findings indicate that a brief (15-minute) dose of low to moderate physical activity can induce significant changes in cognitive performance and EEG-based indicators of focus, motivation, and relaxation. Effect sizes equal those reported in previous research and in FDA-approved alternative therapies (i.e. neurofeedback). Working memory was elevated after exercise, though partially confounded by time of implementation. These findings suggest that short doses of physical activity during times of mental fatigue can enhance neuro-cognitive processes, supporting academic performance and mental health. © 2021 Elsevier B.V., All rights reserved.</t>
  </si>
  <si>
    <t>The publication year (2021) falls within the specified period (2020-2025). The abstract indicates an empirical study, aligning with the "Main Papers" publication type. The language is English. The study explicitly uses "encephalographic (EEG) headsets" to measure "changes in neuronal activity" and "EEG-based indicators of focus, motivation, and relaxation," which directly relates to Brain-Computer Interfaces (EEG) and applies it to "cognitive performance," "working memory," and "mental health," fitting the thematic scope of cognitive/neurological enhancement and mental health. No exclusion criteria are met based on the provided title and abstract.</t>
  </si>
  <si>
    <t>Racine, E.; Sattler, S.; Boehlen, W.</t>
  </si>
  <si>
    <t>Cognitive Enhancement: Unanswered Questions About Human Psychology and Social Behavior</t>
  </si>
  <si>
    <t>https://www.scopus.com/inward/record.uri?eid=2-s2.0-85103251742&amp;doi=10.1007%2Fs11948-021-00294-w&amp;partnerID=40&amp;md5=dbec3e23f9ac7b32bde5d9cb529cf24c</t>
  </si>
  <si>
    <t>Stimulant drugs, transcranial magnetic stimulation, brain-computer interfaces, and even genetic modifications are all discussed as forms of potential cognitive enhancement. Cognitive enhancement can be conceived as a benefit-seeking strategy used by healthy individuals to enhance cognitive abilities such as learning, memory, attention, or vigilance. This phenomenon is hotly debated in the public, professional, and scientific literature. Many of the statements favoring cognitive enhancement (e.g., related to greater productivity and autonomy) or opposing it (e.g., related to health-risks and social expectations) rely on claims about human welfare and human flourishing. But with real-world evidence from the social and psychological sciences often missing to support (or invalidate) these claims, the debate about cognitive enhancement is stalled. In this paper, we describe a set of crucial debated questions about psychological and social aspects of cognitive enhancement (e.g., intrinsic motivation, well-being) and explain why they are of fundamental importance to address in the cognitive enhancement debate and in future research. We propose studies targeting social and psychological outcomes associated with cognitive enhancers (e.g., stigmatization, burnout, mental well-being, work motivation). We also voice a call for scientific evidence, inclusive of but not limited to biological health outcomes, to thoroughly assess the impact of enhancement. This evidence is needed to engage in empirically informed policymaking, as well as to promote the mental and physical health of users and non-users of enhancement. © 2021 Elsevier B.V., All rights reserved.</t>
  </si>
  <si>
    <t>nootropic agent; cognition; human; mental health; social behavior; Cognition; Humans; Mental Health; Nootropic Agents; Social Behavior</t>
  </si>
  <si>
    <t>This article is a theoretical or perspective paper discussing ethical, social, and psychological considerations of cognitive enhancement rather than reporting original empirical research. According to the inclusion criteria, only primary research studies with original data on mental health or cognitive enhancement in humans are eligible. Since this publication does not present new experimental results, it does not meet the inclusion criteria, resulting in a score of 0.</t>
  </si>
  <si>
    <t>The study does not strongly align with the inclusion criteria for "Publication Type" and "Thematic Scope."
1.  **Publication Type (IC):** The abstract indicates that this is a conceptual or discussion paper ("we describe a set of crucial debated questions," "We propose studies targeting," "We also voice a call for scientific evidence") rather than a "main paper" presenting novel empirical research findings. The systematic literature review is likely seeking empirical studies, not commentaries on the state of a debate.
2.  **Thematic Scope (IC):** While the paper mentions Brain-Computer Interfaces (BCI) as one form of cognitive enhancement, its primary focus is on the broader "unanswered questions about human psychology and social behavior" and the general debate surrounding cognitive enhancement technologies. It does not *address* BCI *applied to* mental health or cognitive enhancement in terms of presenting research on its application or effects, but rather discusses the societal and psychological implications of such technologies in general. The criteria specifically ask for "Studies addressing Brain-Computer Interfaces... applied to: Mental Health... Cognitive and Neurological Enhancement," which this paper does not fulfill as its core contribution.</t>
  </si>
  <si>
    <t>Neikrug, A.B.; Mander, B.A.; Radom-Aizik, S.; Chen, I.Y.; Stehli, A.; Lui, K.K.; Chappel-Farley, M.G.; Dave, A.; Benca, R.M.</t>
  </si>
  <si>
    <t>Aerobic fitness and the sleeping brain of adolescents - A pilot study</t>
  </si>
  <si>
    <t>https://www.scopus.com/inward/record.uri?eid=2-s2.0-85164704474&amp;doi=10.1093%2Fsleepadvances%2Fzpab005&amp;partnerID=40&amp;md5=01e7a7ad1ee6fab7f5a2fa550e1fd19a</t>
  </si>
  <si>
    <t>Study Objectives: Aerobic fitness (AF) and sleep are major determinants of health in adolescents and impact neurocognitive and psychological development. However, little is known about the interactions between AF and sleep during the developmental transition experienced across adolescence. This study aimed to consider the relationships between AF and habitual sleep patterns and sleep neurophysiology in healthy adolescents. Methods: Subjects (mean age = 14.6 ± 2.3 years old, range 11-17, 11 females) were evaluated for AF (peak VO2 assessed by ramp-type progressive cycle ergometry in the laboratory), habitual sleep duration and efficiency (7-14 days actigraphy), and topographic patterns of spectral power in slow wave, theta, and sleep spindle frequencies in non-rapid eye movement (NREM) sleep using overnight polysomnography (PSG) with high-density electroencephalography (hdEEG, 128 channels). Results: Significant relationships were observed between peak VO2 and habitual bedtime (r = -0.650, p =. 009) and wake-up time (r = -0.603, p =. 017), with greater fitness associated with going to bed and waking up earlier. Peak VO2 significantly predicted slow oscillations (0.5-1 Hz, p =. 018) and theta activity (4.5-7.5 Hz, p =. 002) over anterior frontal and central derivations (p &lt;. 001 and p =. 001, respectively) after adjusting for sex and pubertal development stage. Similar associations were detected for fast sleep spindle activity (13-16 Hz, p =. 006), which was greater over temporo-parietal derivations. Conclusions: Greater AF was associated with a more mature pattern of topographically-specific features of sleep EEG known to support neuroplasticity and cognitive processes and which are dependent on prefrontal cortex and hippocampal function in adolescents and adults. AF was also correlated with a smaller behavioral sleep phase delay commonly seen during adolescence. © 2023 Elsevier B.V., All rights reserved.</t>
  </si>
  <si>
    <t>Although this study uses EEG and examines neurophysiological outcomes, it involves healthy adolescents rather than patients with mental health conditions or interventions targeting cognitive enhancement in clinical populations. The inclusion criteria specify studies relevant to mental health or cognitive/neuroenhancement applications in humans, so a study focused solely on healthy developmental physiology falls outside the defined thematic scope.</t>
  </si>
  <si>
    <t>The study fails to meet the thematic scope inclusion criterion and meets an exclusion criterion. While the study uses EEG and discusses "neuroplasticity and cognitive processes," it is an observational study correlating aerobic fitness with sleep EEG patterns. It does not describe the application of Brain-Computer Interfaces (BCI), Brain-Machine Interfaces (BMI), or neurofeedback as an intervention for mental health or cognitive enhancement. Therefore, it does not align with the "Thematic Scope: Studies addressing BCI, BMI, neurofeedback, EEG applied to Mental Health or Cognitive and Neurological Enhancement." Additionally, the study's primary focus on the relationship between aerobic fitness and sleep EEG, rather than a direct intervention for mental health or cognitive enhancement, aligns with the exclusion criterion "Studies not focused on mental health or cognitive enhancement."</t>
  </si>
  <si>
    <t>Paolicelli, D.; Manni, A.; Iaffaldano, A.; Tancredi, G.; Ricci, K.; Gentile, E.; Viterbo, R.G.; Quitadamo, S.G.; De Tommaso, M.; Trojano, M.</t>
  </si>
  <si>
    <t>Magnetoencephalography and high‐density electroencephalography study of acoustic event related potentials in early stage of multiple sclerosis: A pilot study on cognitive impairment and fatigue</t>
  </si>
  <si>
    <t>https://www.scopus.com/inward/record.uri?eid=2-s2.0-85104676153&amp;doi=10.3390%2Fbrainsci11040481&amp;partnerID=40&amp;md5=c97e0dbb8d4383180fdf1cd4ab293485</t>
  </si>
  <si>
    <t>Cognitive impairment (CI) is a common and disabling symptom of Multiple Sclerosis (MS) with a negative impact on daily living. In this pilot study, we applied magnetoencephalog-raphy (MEG) and high density (hd) electroencephalography (EEG) study to evaluate acoustic P300 features in a cohort of early MS. Sixteen MS patients (pwMS) and 19 healthy controls (HCs) matched for age and gender underwent an MEG‐/(hd)‐EEG‐co‐recording, using 306‐channel Vectorview and 64 scalp electrodes. CI was assessed using Rao’s Brief Repeatable Battery (BRB). Moreover, we per-formed psychometric tests to assess depression and fatigue. In pwMS, we observed a slight latency prolongation of P300 peak compared to HCs, while P300 amplitude and scalp distribution were similar in the two groups. pwMS did not show an amplitude reduction and different scalp distribution of Event‐Related Potentials (ERPs) and Event Related Fields (ERFs) related to an acoustic oddball paradigm. We found an inverse correlation between P300 amplitude and fatigue (r Spear-man = −0.4; p = 0.019). In pwMS, phenomena of cortical adaptation to early dysfunction could pre-serve the cognitive performance of the P300 acoustic task, while the development of fatigue could prospectively lead to amplitude decline of P300, suggesting its possible role as a biomarker. © 2021 Elsevier B.V., All rights reserved.</t>
  </si>
  <si>
    <t>E1A associated p300 protein; acoustic artifact; adult; Article; Beck Depression Inventory; clinical article; cognitive defect; controlled study; cross-sectional study; depression; electrocardiogram; electroencephalography; electrooculogram; event related potential; evoked response; Expanded Disability Status Scale; fatigue; Fatigue Severity Scale; female; human; information processing; magnetoencephalography; male; multiple sclerosis; neuropsychology; paced auditory serial addition test; pilot study; processing speed; psychometry; symbol digit modalities test; topography; verbal memory test</t>
  </si>
  <si>
    <t>The study was published in 2021, falling within the 2020-2025 publication period. It presents original research as a "pilot study" investigating cognitive impairment and fatigue in Multiple Sclerosis patients using MEG and EEG, which aligns with the thematic scope of Brain-Computer Interfaces (EEG/MEG) applied to mental health (depression, fatigue) and cognitive/neurological enhancement (cognitive impairment). The abstract is in English and describes a typical peer-reviewed journal article. No exclusion criteria are met based on the provided information.</t>
  </si>
  <si>
    <t>Tsuchiyagaito, A.; Smith, J.L.; el-Sabbagh, N.; Zotev, V.; Misaki, M.; Al Zoubi, O.; Kent Teague, T.; Paulus, M.P.; Bodurka, J.; Savitz, J.</t>
  </si>
  <si>
    <t>https://www.scopus.com/inward/record.uri?eid=2-s2.0-85099843931&amp;doi=10.1016%2Fj.nicl.2021.102559&amp;partnerID=40&amp;md5=95f491ff8b4550a5efd984eaecbbf17e</t>
  </si>
  <si>
    <t>Real-time fMRI neurofeedback (rtfMRI-nf) left amygdala (LA) training is a promising intervention for major depressive disorder (MDD). We have previously proposed that rtfMRI-nf LA training may reverse depression-associated regional impairments in neuroplasticity and restore information flow within emotion-regulating neural circuits. Inflammatory cytokines as well as the neuroactive metabolites of an immunoregulatory pathway, i.e. the kynurenine pathway (KP), have previously been implicated in neuroplasticity. Therefore, in this proof-of-principle study, we investigated the association between rtfMRI-nf LA training and circulating inflammatory mediators and KP metabolites. Based on our previous work, the primary variable of interest was the ratio of the NMDA-receptor antagonist, kynurenic acid to the NMDA receptor agonist, quinolinic acid (KynA/QA), a putative neuroprotective index. We tested two main hypotheses. i. Whether rtfMRI-nf acutely modulates KynA/QA, and ii. whether baseline KynA/QA predicts response to rtfMRI-nf. Twenty-nine unmedicated participants who met DSM-5 criteria for MDD based on the Mini-International Neuropsychiatric Interview and had current depressive symptoms (Montgomery-Åsberg Depression Rating Scale (MADRS) score &gt; 6) completed two rtfMRI-nf sessions to upregulate LA activity (Visit1 and 2), as well as a follow-up (Visit3) without rtfMRI-nf. All visits occurred at two-week intervals. At all three visits, the MADRS was administered to participants and serum samples for the quantification of inflammatory cytokines and KP metabolites were obtained. First, the longitudinal changes in the MADRS score and immune markers were tested by linear mixed effect model analysis. Further, utilizing a linear regression model, we investigated the relationship between rtfMRI-nf performance and immune markers. After two sessions of rtfMRI-nf, MADRS scores were significantly reduced (t[58] = −4.07, p = 0.009, d = 0.56). Thirteen participants showed a ≥ 25% reduction in the MADRS score (the partial responder group). There was a significant effect of visit (F[2,58] = 3.17, p = 0.05) for the neuroprotective index, KynA to 3-hydroxykynurenine (3-HK), that was driven by a significant increase in KynA/3-HK between Visit1 and Visit3 (t[58] = 2.50, p = 0.03, d = 0.38). A higher baseline level of KynA/QA (β = 5.23, p = 0.06; rho = 0.49, p = 0.02) was associated with greater ability to upregulate the LA. Finally, for exploratory purposes correlation analyses were performed between the partial responder and the non-responder groups as well as in the whole sample including all KP metabolites and cytokines. In the partial responder group, greater ability to upregulate the LA was correlated with an increase in KynA/QA after rtfMRI-nf (rho = 0.75, p = 0.03). The results are consistent with the possibility that rtfMRI-nf decreases metabolism down the so-called neurotoxic branch of the KP. Nevertheless, non-specific effects cannot be ruled out due to the lack of a sham control. Future, controlled studies are needed to determine whether the increase in KynA/3HK and KynA/QA is specific to rtfMRI-nf or whether it is a non-specific correlate of the resolution of depressive symptoms. Similarly, replication studies are needed to determine whether KynA/QA has clinical utility as a treatment response biomarker. © 2021 Elsevier B.V., All rights reserved.</t>
  </si>
  <si>
    <t>3 hydroxykynurenine; interleukin 10; interleukin 6; kynurenic acid; kynurenine; monocyte chemotactic protein 1; picolinic acid; quinolinic acid; tumor necrosis factor; adult; amygdala; antidepressant activity; Article; blood sampling; BOLD signal; Childhood Trauma Questionnaire; clinical article; DSM-5; female; follow up; functional magnetic resonance imaging; functional neuroimaging; human; image analysis; immunophenotyping; major depression; male; metabolism; metabolite; mini international neuropsychiatric interview; Montgomery Asberg Depression Rating Scale; nerve cell plasticity; nervous system inflammation; neurofeedback; neuroprotection; priority journal; upregulation; diagnostic imaging; nuclear magnetic resonance imaging; Amygdala; Depressive Disorder, Major; Humans; Kynurenine; Magnetic Resonance Imaging; Neurofeedback</t>
  </si>
  <si>
    <t>The study was published in 2021, falling within the specified publication period (2020-2025). The abstract describes an empirical "proof-of-principle study" with participants and results, indicating it is a main paper and not a review. The language is English. The thematic scope directly addresses Brain-Computer Interfaces (specifically real-time fMRI neurofeedback) applied to Mental Health ("major depressive disorder"). No exclusion criteria are met; it is not focused exclusively on technical hardware, nor is it a preprint or outside the publication period.</t>
  </si>
  <si>
    <t>Ismail, L.E.; Karwowski, W.</t>
  </si>
  <si>
    <t>https://www.scopus.com/inward/record.uri?eid=2-s2.0-85097311019&amp;doi=10.1371%2Fjournal.pone.0242857&amp;partnerID=40&amp;md5=52b72dfac3103a131649b9d72671ad75</t>
  </si>
  <si>
    <t>Background Neuroergonomics combines neuroscience with ergonomics to study human performance using recorded brain signals. Such neural signatures of performance can be measured using a variety of neuroimaging techniques, including functional magnetic resonance imaging (fMRI), functional near-infrared spectroscopy (fNIRS), and electroencephalography (EEG). EEG has an excellent temporal resolution, and EEG indices are highly sensitive to human brain activity fluctuations. Objective The focus of this systematic review was to explore the applications of EEG indices for quantifying human performance in a variety of cognitive tasks at the macro and micro scales. To identify trends and the state of the field, we examined global patterns among selected articles, such as journal contributions, highly cited papers, affiliations, and high-frequency keywords. Moreover, we discussed the most frequently used EEG indices and synthesized current knowledge regarding the EEG signatures of associated human performance measurements. Methods In this systematic review, we analyzed articles published in English (from peer-reviewed journals, proceedings, and conference papers), Ph.D. dissertations, textbooks, and reference books. All articles reviewed herein included exclusively EEG-based experimental studies in healthy participants. We searched Web-of-Science and Scopus databases using specific sets of keywords. Results Out of 143 papers, a considerable number of cognitive studies focused on quantifying human performance with respect to mental fatigue, mental workload, mental effort, visual fatigue, emotion, and stress. An increasing trend for publication in this area was observed, with the highest number of publications in 2017. Most studies applied linear methods (e.g., EEG power spectral density and the amplitude of event-related potentials) to evaluate human cognitive performance. A few papers utilized nonlinear methods, such as fractal dimension, largest Lyapunov exponent, and signal entropy. More than 50% of the studies focused on evaluating an individual’s mental states while operating a vehicle. Several different methods of artifact removal have also been noted. Based on the reviewed articles, research gaps, trends, and potential directions for future research were explored. Conclusion This systematic review synthesized current knowledge regarding the application of EEG indices for quantifying human performance in a wide variety of cognitive tasks. This knowledge is useful for understanding the global patterns of applications of EEG indices for the analysis and design of cognitive tasks. © 2020 Elsevier B.V., All rights reserved.</t>
  </si>
  <si>
    <t>Article; bibliometrics; data base; dysthymia; electroencephalogram; emotion; human; mental health; mental performance; stress; systematic review; task performance; trend study; workload; cognition; electroencephalography; physiology; Bibliometrics; Cognition; Electroencephalography; Humans</t>
  </si>
  <si>
    <t>Excluded (score 0) due to:
- Identified as a review/meta-analysis based on title/abstract.
Also observed positive signals: year 2020, BCI-related term present, mental-health target present, cognitive target present.</t>
  </si>
  <si>
    <t>The study is a "systematic review and bibliometric analysis," which directly violates the inclusion criterion specifying "Main Papers (not reviews)." While it meets other criteria such as publication period, language, and thematic scope (EEG applied to cognitive performance and mental states like stress and mental fatigue), the publication type is a fundamental exclusion for this specific systematic literature review.</t>
  </si>
  <si>
    <t>Izzetoǧlu, M.; Shewokis, P.A.; Tsai, K.; Dantoin, P.; Sparango, K.; Min, K.</t>
  </si>
  <si>
    <t>Short-term effects of meditation on sustained attention as measured by fNIRS</t>
  </si>
  <si>
    <t>https://www.scopus.com/inward/record.uri?eid=2-s2.0-85090246435&amp;doi=10.3390%2Fbrainsci10090608&amp;partnerID=40&amp;md5=fc1ff5453e4595bc63e223cc9d771e6d</t>
  </si>
  <si>
    <t>Cognitive abilities such as attention, memory, processing time, perception, and reasoning can be augmented using some type of intervention. Within the broad range of conventional and unconventional intervention methods used in cognitive enhancement, meditation is one of those that is safe, widely practiced by many since ancient times, and has been shown to reduce stress and improve psychological health and cognitive functioning. Various neuroimaging studies using functional magnetic resonance imaging (fMRI) and electroencephalography (EEG) have shown functional and structural changes due to meditation in different types of meditation practices and on various groups of meditators. Recently, a few studies on meditation have used functional near infrared spectroscopy (fNIRS) to study the effects of meditation on cerebral hemodynamics. In this study, we examined the short-term effects of loving-kindness (LK) meditation on sustained attention using behavioral performance measures, physiological outcomes, and cognitive activity as measured by fNIRS in first-time meditators during Stroop color word task (SCWT) performance. Our results indicated that behavioral outcomes, assessed mainly on response time (RT) during SCWT performance, showed a significant decrease after meditation. As expected, physiological measures, primarily pulse pressure (PP) measured after meditation dropped significantly as compared to the before meditation measurement. For the hemodynamic measures of oxygenated-hemoglobin (HbO&lt;inf&gt;2&lt;/inf&gt;), deoxygenated-hemoglobin (Hb), and total-hemoglobin (HbT), our findings show significant differences in SCWT performance before and after meditation. Our results suggest that LK meditation can result in improvements in cognitive, physiological, and behavioral outcomes of first-time meditators after a short-term session. © 2021 Elsevier B.V., All rights reserved.</t>
  </si>
  <si>
    <t>hemoglobin; accuracy; adult; Article; attention; behavior assessment; clinical article; cognition assessment; concussion; diastolic blood pressure; electroencephalography; female; functional magnetic resonance imaging; heart rate; heart rate variability; hemodynamics; human; human experiment; kindness; local field potential; male; mathematical analysis; meditation; motor reaction time; neuroimaging; neuropsychological test; normal human; podcast; pulse pressure; reaction time; signal noise ratio; Stroop test; systolic blood pressure; task performance; training; validation process; working memory; yoga; young adult</t>
  </si>
  <si>
    <t>This study meets all inclusion criteria. It was published in 2020 (within 2020–2025), is a primary research study (not a review), and is written in English. The study investigates cognitive enhancement through meditation in humans and uses neurophysiological measures (fNIRS) to assess changes in attention and cerebral activity. It is a peer-reviewed, full-length study that directly examines intervention effects on cognition, making it relevant for inclusion.</t>
  </si>
  <si>
    <t>The study investigates the effects of meditation on sustained attention, using fNIRS as a measurement tool. While it addresses cognitive enhancement (sustained attention) and uses a neuroimaging technique (fNIRS), the primary intervention is meditation, not a Brain-Computer Interface (BCI), Brain-Machine Interface (BMI), neurofeedback, or EEG *application* as required by the thematic scope inclusion criteria. The fNIRS is used for measurement, not as the core BCI-related technology being applied for enhancement. Therefore, the study does not align with the specified thematic scope.</t>
  </si>
  <si>
    <t>Marlats, F.; Bao, G.; Chevallier, S.; Boubaya, M.; Djabelkhir-Jemmi, L.; Wu, Y.-H.; Lenoir, H.; Rigaud, A.-S.; Azabou, E.</t>
  </si>
  <si>
    <t>SMR/Theta Neurofeedback Training Improves Cognitive Performance and EEG Activity in Elderly With Mild Cognitive Impairment: A Pilot Study</t>
  </si>
  <si>
    <t>https://www.scopus.com/inward/record.uri?eid=2-s2.0-85087288587&amp;doi=10.3389%2Ffnagi.2020.00147&amp;partnerID=40&amp;md5=34f05cd816cc7f61733b52f9fccdcae1</t>
  </si>
  <si>
    <t>Background: Neurofeedback (NF) training, as a method of self-regulation of brain activity, may be beneficial in elderly patients with mild cognitive impairment (MCI). In this pilot study, we investigated whether a sensorimotor (SMR)/theta NF training could improve cognitive performance and brain electrical activity in elderly patients with MCI. Methods: Twenty elderly patients with MCI were assigned to 20 consecutive sessions of sensorimotor (SMR)/theta NF training, during 10 weeks, on a basis of two sessions each week. Neuropsychological assessments and questionnaires, as well as electroencephalogram (EEG), were performed and compared between baseline (T0), after the last NF training session at 10 weeks (T1), and 1-month follow-up (T2). Results: Repeated measures ANOVA revealed that from baseline to post-intervention, participants showed significant improvement in the Montreal cognitive assessment (MoCa, F = 4.78; p = 0.012), the delayed recall of the Rey auditory verbal learning test (RAVLT, F = 3.675; p = 0.032), the Forward digit span (F = 13.82; p &lt; 0.0001), the Anxiety Goldberg Scale (F = 4.54; p = 0.015), the Wechsler Adult Intelligence Score–Fourth Edition (WAIS-IV; F = 24.75; p &lt; 0.0001), and the Mac Nair score (F = 4.47; p = 0.016). EEG theta power (F = 4.44; p = 0.016) and alpha power (F = 3.84; p = 0.027) during eyes-closed resting-state significantly increased after the NF training and showed sustained improvement at a 1-month follow-up. Conclusion: Our results suggest that NF training could be effective to reduce cognitive deficits in elderly patients with MCI and improve their EEG activity. If these findings are confirmed by randomized controlled studies with larger samples of patients, NF could be seen as a useful non-invasive, non-pharmacological tool for preventing further decline, rehabilitation of cognitive function in the elderly. Clinical Trial Registration: This pilot study was a preliminary step before the trial registered in www.ClinicalTrials.gov, under the number of NCT03526692. © 2020 Elsevier B.V., All rights reserved.</t>
  </si>
  <si>
    <t>aged; aging; alpha rhythm; Anxiety Goldberg Scale; Article; clinical article; comparative study; electroencephalogram; eyelid closure; female; follow up; human; Mac Nair score; male; mental performance; mild cognitive impairment; Montreal cognitive assessment; neurofeedback; neuropsychological test; pilot study; questionnaire; resting state network; Rey auditory verbal learning test; scoring system; sensorimotor network; therapy effect; theta rhythm; treatment duration; Wechsler adult intelligence scale</t>
  </si>
  <si>
    <t>Meets inclusion criteria: Publication year 2020; abstract in English; primary research (not labeled as review); mentions BCI/EEG/neurofeedback and targets mental health or cognitive outcomes.</t>
  </si>
  <si>
    <t>The study was published in 2020, falling within the specified publication period (2020-2025). It is an original "pilot study" with methods, results, and conclusions, indicating it is a main paper and not a review. The language is English. The thematic scope is strongly aligned, as it investigates "Neurofeedback (NF) training" and "EEG activity" (BCI/EEG components) applied to "Mild Cognitive Impairment" and "cognitive performance" (cognitive enhancement), and also shows improvement in the "Anxiety Goldberg Scale" (mental health). No exclusion criteria are met based on the provided information.</t>
  </si>
  <si>
    <t>Balconi, M.; Fronda, G.; Vanutelli, M.E.</t>
  </si>
  <si>
    <t>When gratitude and cooperation between friends affect inter-brain connectivity for EEG</t>
  </si>
  <si>
    <t>https://www.scopus.com/inward/record.uri?eid=2-s2.0-85083072319&amp;doi=10.1186%2Fs12868-020-00563-7&amp;partnerID=40&amp;md5=8c0a809a25db84211d0b5230cbd1849d</t>
  </si>
  <si>
    <t>Background: Recently several studies in the psychological and social field have investigated the social function of gift exchange as a useful way for the consolidation of interpersonal and social relationships and the implementation of prosocial behaviors. Specifically, the present research wanted to explore if gift exchange, increased emotional sharing, gratitude and interpersonal cooperation, leading to an improvement in cognitive and behavioral performance. In this regard, neural connectivity and cognitive performance of 14 pairs of friends were recorded during the development of a joint attention task that involved a gift exchange at the beginning or halfway through the task. The moment of gift exchange was randomized within the pairs: for seven couples, it happened at task beginning, for the remaining seven later. Individuals' simultaneous brain activity was recorded through the use of two electroencephalograms (EEG) systems that were used in hyperscanning. Results: The results showed that after gift exchange there was an improvement in behavioral performance in terms of accuracy. For what concerns EEG, instead, an increase of delta and theta activation was observed in the dorsolateral prefrontal cortex (DLPFC) when gift exchange occurred at the beginning of the task. Furthermore, an increase in neural connectivity for delta and theta bands was observed. Conclusion: The present research provides a significant contribution to the exploration of the factors contributing to the strengthening of social bonds, increasing cooperation, gratitude and prosocial behavior. © 2020 Elsevier B.V., All rights reserved.</t>
  </si>
  <si>
    <t>adult; article; attention; brain function; controlled study; diencephalon; dorsolateral prefrontal cortex; electroencephalogram; female; friend; human; human experiment; male; randomized controlled trial; social bonding; brain; brain mapping; electroencephalography; emotion; human relation; physiology; procedures; psychology; reaction time; Attention; Brain; Brain Mapping; Electroencephalography; Emotions; Female; Friends; Humans; Interpersonal Relations; Male; Reaction Time</t>
  </si>
  <si>
    <t>Although this study uses EEG and investigates cognitive and neural outcomes, it does not align with the inclusion criteria. The participants are healthy adolescents or adults engaging in social tasks, rather than patients with mental health conditions or interventions aimed at cognitive enhancement in clinical populations. The thematic focus is on social bonding and prosocial behavior, not mental health or clinically relevant cognitive enhancement, placing it outside the defined scope.</t>
  </si>
  <si>
    <t>The study meets several inclusion criteria, including publication period (2020), language (English), and the use of EEG. However, it fails to meet the thematic scope inclusion criterion and aligns with an exclusion criterion. The study's primary focus is on the impact of social factors like gratitude and cooperation on inter-brain connectivity and cognitive performance in the context of social bonding, rather than directly addressing mental health conditions (e.g., depression, anxiety) or explicitly targeting cognitive/neurological enhancement as an intervention or primary research goal. Therefore, it falls under the exclusion criterion for "Studies not focused on mental health or cognitive enhancement."</t>
  </si>
  <si>
    <t>Dimpfel, W.; Schombert, L.; Keplinger-Dimpfel, I.K.; Panossian, A.</t>
  </si>
  <si>
    <t>Effects of an adaptogenic extract on electrical activity of the brain in elderly subjects with mild cognitive impairment: A randomized, double-blind, placebo-controlled, two-armed cross-over study</t>
  </si>
  <si>
    <t>https://www.scopus.com/inward/record.uri?eid=2-s2.0-85081926602&amp;doi=10.3390%2Fph13030045&amp;partnerID=40&amp;md5=63ea0361a566f9a25cd1ff35beec96a7</t>
  </si>
  <si>
    <t>Background: The current and potential uses of adaptogens are mainly related to treatment of stress-induced fatigue, impaired cognitive function, mental illness, and behavioral-and age-related disorders. However, clinical evidence regarding the efficacy of adaptogens is limited. The primary aim of this study is to determine whether a combination of adaptogenic plant extracts from Andrographis paniculata and Withania somnifera (Adaptra® Forte) could be used as effective and safe treatment for impaired cognitive, memory, or learning ability functions and sleep disorders. Methods: The changes in electroencephalogram (EEG) frequency ranges in 17 different brain regions, psychometric tests of cognitive performance, as well as standard questionnaires of assessment of mood and sleep were measured after single and repeated administration of Adaptra® or placebo for four weeks and after a two-week treatment-free follow-up period within a randomized, double-blind, placebo-controlled two-armed cross-over study. Results: Adaptra® Forte significantly improved cognitive performance in the d2-Test for attention and the concentration performance test after four weeks’ treatment, and was positively correlated with increases in δ and θ power in the quantitative EEG compared with placebo during cognitive challenges. Conclusion: The results of this study suggest that Adaptra® Forte exhibits a calming and anxiolytic effect without sedation, and is associated with overall stress-protective activity. © 2020 Elsevier B.V., All rights reserved.</t>
  </si>
  <si>
    <t>adaptra forte; Andrographis paniculata extract plus Withania somnifera extract; anxiolytic agent; placebo; plant extract; unclassified drug; adult; aged; Andrographis paniculata; Article; brain function; brain region; clinical article; cognitive defect; controlled study; crossover procedure; delta rhythm; double blind procedure; drug effect; drug efficacy; drug hypersensitivity; drug safety; drug synthesis; drug tolerability; drug withdrawal; electroencephalogram; female; follow up; human; hypertension; learning disorder; male; memory disorder; mental performance; mild cognitive impairment; pilot study; psychometry; randomized controlled trial; repeated drug dose; sedation; single drug dose; sleep disorder; theta rhythm; tranquilizing activity; treatment duration; Withania somnifera</t>
  </si>
  <si>
    <t>The study aligns strongly with all inclusion criteria. It was published in 2020, falling within the specified publication period (2020-2025). The title and abstract clearly indicate it is a main research paper ("randomized, double-blind, placebo-controlled, two-armed cross-over study") and not a review. The language is English. The thematic scope is highly relevant, as it addresses "mild cognitive impairment," "impaired cognitive function," "memory, or learning ability functions," "attention and concentration performance," and "anxiolytic effect," which directly fall under Cognitive and Neurological Enhancement and Mental Health. Furthermore, it explicitly uses "electroencephalogram (EEG) frequency ranges" and "quantitative EEG," which aligns with the BCI/EEG component of the thematic scope. No exclusion criteria are met based on the provided information.</t>
  </si>
  <si>
    <t>Fedotchev, A.I.; Parin Dsc, S.B.; Savchuk, L.V.; Polevaia, S.A.</t>
  </si>
  <si>
    <t>Mechanisms of light and music stimulation controlled by a person’s own brain and heart biopotentials or those of another person</t>
  </si>
  <si>
    <t>https://www.scopus.com/inward/record.uri?eid=2-s2.0-85090536140&amp;doi=10.17691%2Fstm2020.12.4.03&amp;partnerID=40&amp;md5=62d7edb652cc57be536cece8012bd684</t>
  </si>
  <si>
    <t>The aim of the study was to carry out comparative analysis of effects observed in subjects exposed to light and music stimulation controlled by their own brain and heart biopotentials (closed-loop method) or biopotentials of another person. Materials and Methods. Volunteers under stress participated in two experiments in pairs. In the first experiment, light and music stimulation effects formed in each subject in a pair on the basis of their own brain and heart biopotentials, while in the second experiment, they formed on the basis of biopotentials of the other subject. Results. Both types of exposure caused reducing the tension of the regulatory systems in the body, reducing stress levels and improving the emotional state due to the mechanisms of multisensory integration and neuroplasticity. A significant increase in the power of the main EEG rhythms, accompanied by significant positive changes in psychological testing results and positive emotional responses to stimulation was observed only during light and music stimulation controlled by the subjects’ own brain and heart biopotentials. These data are attributable to the integration of perception and processing of interoceptive signals significant for humans into the resonance mechanisms of the central nervous system, providing normalization of functional state due to stimulation. Conclusion. The data obtained can be used for developing the effective methods of personalized light and music stimulation aimed at timely elimination of functional disorders and returning the human body to homeostasis. © 2020 Elsevier B.V., All rights reserved.</t>
  </si>
  <si>
    <t>adult; alpha rhythm; Article; attitude; audio-visual stimulation; auditory stimulation; beta rhythm; brain electrophysiology; central nervous system; electroencephalogram; emotion; female; heart electrophysiology; heart rate; human; interoception; light; male; music; nerve cell plasticity; photostimulation; stress; theta rhythm; young adult; brain; perception; physiology; psychologic test; psychology; Brain; Emotions; Humans; Music; Psychological Tests; Social Perception</t>
  </si>
  <si>
    <t>The study meets all inclusion criteria. It was published in 2020, falling within the specified publication period (2020-2025). The abstract describes an empirical study with methods, results, and a conclusion, indicating it is a main paper and not a review. The language is English. The thematic scope is strongly aligned, as it investigates "light and music stimulation controlled by a person’s own brain and heart biopotentials" (aligning with BCI/EEG) and explicitly aims at "reducing stress levels and improving the emotional state," which directly addresses mental health. Furthermore, the mention of "neuroplasticity" and "normalization of functional state" also touches upon neurological enhancement. No exclusion criteria are met based on the provided information.</t>
  </si>
  <si>
    <t>Höller, Y.; Butz, K.H.G.; Thomschewski, A.C.; Schmid, E.V.; Hofer, C.D.; Uhl, A.; Bathke, A.C.; Staffen, W.; Nardone, R.; Schwimmbeck, F.; Leitinger, M.; Kuchukhidze, G.; Derner, M.; Fell, J.; Trinka, E.</t>
  </si>
  <si>
    <t>Prediction of Cognitive Decline in Temporal Lobe Epilepsy and Mild Cognitive Impairment by EEG, MRI, and Neuropsychology</t>
  </si>
  <si>
    <t>https://www.scopus.com/inward/record.uri?eid=2-s2.0-85085956389&amp;doi=10.1155%2F2020%2F8915961&amp;partnerID=40&amp;md5=ecb644f72797038c854b2152a84deed9</t>
  </si>
  <si>
    <t>Cognitive decline is a severe concern of patients with mild cognitive impairment. Also, in patients with temporal lobe epilepsy, memory problems are a frequently encountered problem with potential progression. On the background of a unifying hypothesis for cognitive decline, we merged knowledge from dementia and epilepsy research in order to identify biomarkers with a high predictive value for cognitive decline across and beyond these groups that can be fed into intelligent systems. We prospectively assessed patients with temporal lobe epilepsy (N = 9), mild cognitive impairment (N = 19), and subjective cognitive complaints (N = 4) and healthy controls (N = 18). All had structural cerebral MRI, EEG at rest and during declarative verbal memory performance, and a neuropsychological assessment which was repeated after 18 months. Cognitive decline was defined as significant change on neuropsychological subscales. We extracted volumetric and shape features from MRI and brain network measures from EEG and fed these features alongside a baseline testing in neuropsychology into a machine learning framework with feature subset selection and 5-fold cross validation. Out of 50 patients, 27 had a decline over time in executive functions, 23 in visual-verbal memory, 23 in divided attention, and 7 patients had an increase in depression scores. The best sensitivity/specificity for decline was 72%/82% for executive functions based on a feature combination from MRI volumetry and EEG partial coherence during recall of memories; 95%/74% for visual-verbal memory by combination of MRI-wavelet features and neuropsychology; 84%/76% for divided attention by combination of MRI-wavelet features and neuropsychology; and 81%/90% for increase of depression by combination of EEG partial directed coherence factor at rest and neuropsychology. Combining information from EEG, MRI, and neuropsychology in order to predict neuropsychological changes in a heterogeneous population could create a more general model of cognitive performance decline. © 2020 Elsevier B.V., All rights reserved.</t>
  </si>
  <si>
    <t>Intelligent systems; Neurology; Population statistics; Psychophysiology; Cognitive performance; Feature combination; Feature subset selection; Heterogeneous populations; Mild cognitive impairments; Neuropsychological assessment; Partial directed coherence; Temporal lobe epilepsy; Cognitive systems; attention; cognition; cognitive defect; electroencephalography; human; memory; memory disorder; neuropsychological test; nuclear magnetic resonance imaging; physiology; procedures; psychology; recall; temporal lobe epilepsy; Attention; Cognition; Cognitive Dysfunction; Electroencephalography; Epilepsy, Temporal Lobe; Humans; Magnetic Resonance Imaging; Memory; Memory Disorders; Mental Recall; Neuropsychological Tests</t>
  </si>
  <si>
    <t>The study was published in 2020, falling within the specified publication period (2020-2025). The abstract describes a prospective assessment using EEG, MRI, and neuropsychological evaluations to identify biomarkers for predicting cognitive decline and changes in depression scores, indicating it is a main research paper and not a review. The language is English. The thematic scope is directly addressed as the study uses EEG to predict "Cognitive Decline" (cognitive enhancement/neurological enhancement) and "increase in depression scores" (mental health). No exclusion criteria are met based on the provided title and abstract. The study is not focused exclusively on technical hardware aspects, and it appears to be a peer-reviewed article from Elsevier.</t>
  </si>
  <si>
    <t>Quantidade de artigos retornados</t>
  </si>
  <si>
    <t>Quantidade de artigos selecionados</t>
  </si>
  <si>
    <t>Pubmed</t>
  </si>
  <si>
    <t>Total</t>
  </si>
  <si>
    <t>System Alert:
Suppose you are a Software Engineering professor conducting a systematic literature review on Brain-Computer Interfaces (BCIs) applied to mental health and cognitive enhancement.
You will receive the full text of each candidate study and must evaluate its methodological quality based on the following five criteria.
QC1 — Clarity of Objectives:
The study must present clear research objectives and questions directly related to BCIs in mental health or cognitive enhancement.
QC2 — Relevance and Eligibility:
The study must meet inclusion criteria: publication between 2020–2025, peer-reviewed, in English, at most 4 pages long, full text available, and focused on the defined thematic scope.
QC3 — Methodological Rigor:
The study should clearly describe its research design (e.g., experimental, clinical, or observational), sample characteristics, type of BCI used, and presence of control conditions when applicable.
QC4 — Protocols and Metrics:
The study must provide a detailed and transparent description of its scientific procedures, including BCI protocols, validated evaluation metrics, and adequate statistical analysis.
QC5 — Ethics, Safety, and Reproducibility:
The study should mention ethical approval, participant consent, data security measures, and, if possible, data or code availability to support reproducibility.
Scoring Guidelines:
Assign one of the following scores for each criterion (QC1–QC5):
1 = Criterion fully met (clearly addressed and relevant).
0.5 = Criterion partially met (addressed superficially or with missing details).
0 = Criterion not met (absent or inadequate).
After evaluating all criteria, provide a single, cohesive justification paragraph explaining the reasoning behind the scores, discussing the article’s clarity of purpose, methodological soundness, adherence to inclusion criteria, quality of its protocols and metrics, and ethical or reproducibility considerations.</t>
  </si>
  <si>
    <t>&lt;&lt;preencher versão utilizada&gt;&gt;</t>
  </si>
  <si>
    <t>GEMINI 2.5 PRO</t>
  </si>
  <si>
    <t>QC1:</t>
  </si>
  <si>
    <t>&lt;&lt;Clareza dos objetivos:
O estudo deve apresentar objetivos e perguntas de pesquisa claras, diretamente relacionadas às BCIs aplicadas à saúde mental ou amplificação cognitiva.&gt;&gt;</t>
  </si>
  <si>
    <t>QC2:</t>
  </si>
  <si>
    <t>&lt;&lt;Relevância e elegibilidade:
Deve cumprir os critérios de inclusão (2020–2025, artigo primário, peer-reviewed, em inglês, menor ou igual a 4 páginas, texto completo e foco no tema).&gt;&gt;</t>
  </si>
  <si>
    <t>QC3:</t>
  </si>
  <si>
    <t>&lt;&lt;Rigor metodológico:
O estudo precisa descrever claramente o desenho experimental, amostra, tipo de BCI e controles adequados para validade dos resultados.&gt;&gt;</t>
  </si>
  <si>
    <t>QC4:</t>
  </si>
  <si>
    <t>&lt;&lt;Detalhamento dos protocolos e métricas:
Deve apresentar metodologia científica clara, incluindo protocolos de BCI, métricas validadas e análise estatística apropriada.&gt;&gt;</t>
  </si>
  <si>
    <t>QC5:</t>
  </si>
  <si>
    <t>&lt;&lt;Ética, segurança e reprodutibilidade:
O artigo deve relatar aprovação ética, consentimento, medidas de segurança e, idealmente, disponibilizar dados ou código para replicação.&gt;&gt;</t>
  </si>
  <si>
    <t>Resultado</t>
  </si>
  <si>
    <t>ID do Artigo</t>
  </si>
  <si>
    <t>Nota do artigo</t>
  </si>
  <si>
    <t>The article states clear, well-specified research objectives and hypotheses directly tied to BCIs/EEG and cognitive/clinical outcomes (QC1 = 1): the authors explicitly test whether adaptive dual n-back (WM) training alters self-reported social anxiety, behavioral measures (WM transfer, Stroop, dot-probe) and ERP components (P1, N170, P2, N2) and whether electrophysiological/behavioral changes mediate symptom change. Relevance/eligibility is mixed (QC2 = 0.5): the paper is published in a peer-reviewed English journal in 2020 with full text available (Biological Psychology), and the topic fits the review scope, but the manuscript clearly exceeds the user’s stated page limit of ≤4 pages (the published article spans many more pages), so it fails one of the explicit inclusion rules. Methodological rigor is strong (QC3 = 1): the study used random assignment to an adaptive WM training versus an active control, pre/post testing, a reasonably described participant selection process (screening from 1000 students; final n≈21 per group), an active control condition, detailed sample characteristics and power rationale, and appropriate statistical models (RM-ANOVA, mediation via Hayes’ PROCESS, Spearman correlations). Protocols and metrics are well documented (QC4 = 1): the WM training, Aospan, Stroop, dot-probe task parameters, EEG acquisition (64 channels, sampling rate, referencing, filtering, epoching windows), ERP measurement windows and electrode sites, trial cleaning rules, and dependent measures are described in sufficient detail to interpret and (largely) reproduce the analyses. Ethics and reproducibility receive only partial credit (QC5 = 0.5): the paper explicitly reports informed consent and approval by a local ethics committee, and describes participant remuneration and safety/quality controls (sleep checks, artifact rejection), but it does not provide statements about data or code availability, data security, or materials sharing that would facilitate full reproducibility; the modest sample size and some pre-test group differences (noted by authors) also limit robustness and generalizability. Overall: scientifically sound and methodologically transparent for EEG/behavioral work, but fails the ≤4-page inclusion requirement (and lacks explicit open data/code statements), so it should be treated as methodologically high-quality but ineligible under the strict page-length inclusion rule.</t>
  </si>
  <si>
    <t>The study achieves a high score for its clarity of purpose (QC1), clearly aiming to examine the effects of Working Memory (WM) training, a cognitive enhancement intervention, on Social Anxiety symptoms and their neurophysiological correlates, specifically Event-Related Potentials (ERPs)1111. The use of EEG/ERPs firmly places the study within the scope of BCI-adjacent technology applied to mental health and cognitive enhancement. The methodological soundness (QC3) is excellent, featuring a strong, pre-post randomized design with an active control group ($n=21$ vs $n=21$), a clearly defined sample selected via screening, a justified sample size via power analysis, and a detailed description of the EEG (BCI-related technology) recording and analysis procedures2222222222222222222222. Similarly, the paper's protocols and metrics (QC4) are rated as fully met, due to the comprehensive and transparent description of scientific procedures, including the adaptive dual n-back training, standardized cognitive tasks (Aospan, Stroop, Dot-Probe), validated scales (LSAS, STAI-T, BDI-13), and detailed statistical planning (RM-ANOVA, mediation analysis)3333333333333333333333333. However, the study receives partial scores for both QC2 and QC5. The adherence to inclusion criteria (QC2) is partially met, as the article was published in 2020, is peer-reviewed, and is thematically relevant, but the body of the text, appearing to be a full research report, likely exceeds the maximum 4-page length criterion4. Regarding ethical or reproducibility considerations (QC5), ethical approval and participant consent were explicitly stated 5555, and safety measures like participant removal for artifacts were noted6, but the paper lacked explicit mention of making its raw data or analysis code publicly available to support high-level computational reproducibility, nor were specific data security measures detailed.</t>
  </si>
  <si>
    <t>The study clearly articulates its purpose and hypotheses (QC1 = 1), aiming to assess whether repetitive paired associative stimulation (rPAS)—a combined TMS + EEG paradigm—can enhance dorsolateral prefrontal cortex (DLPFC) plasticity and working-memory performance in Alzheimer’s disease patients. It is a peer-reviewed article (International Psychogeriatrics, 2023) written in English, published within 2020–2025, and thematically relevant to BCIs for cognitive enhancement, but it exceeds the four-page limit set by the inclusion criteria (QC2 = 0.5). Methodological rigor is high (QC3 = 1): it is a randomized, double-blind, controlled trial with clear description of participants (n = 32), inclusion/exclusion criteria, blinding, interventions (active vs control rPAS), and analysis strategy (repeated-measures ANOVA, correlations, effect-size reporting). Protocols and metrics are meticulously detailed (QC4 = 1), covering EEG/TMS acquisition parameters, stimulation timing, preprocessing pipelines (MATLAB/EEGLAB), outcome measures (PAS-LTP, N-back A′, modulation index for theta–gamma coupling), and statistics. Ethical approval, informed consent, trial registration, and absence of adverse events are fully reported (QC5 = 1), satisfying ethical and safety standards; funding sources and author roles are transparent. While the article is methodologically exemplary for BCI-based cognitive-enhancement trials, it fails the ≤ 4-page eligibility condition, so it should be catalogued as methodologically robust but formally ineligible under the page-length rule.</t>
  </si>
  <si>
    <t>The study is of high methodological quality but is partially ineligible due to a violation of a logistical criterion, resulting in a total score of 0.9. The clarity of purpose (QC1) is fully met (score 1), with explicit objectives to study the impact of rPAS (a non-invasive BCI-related technique) on DLPFC plasticity and working memory in Alzheimer's disease1. The methodological rigor (QC3) is strong (score 1), employing a rigorous, double-blind, randomized controlled trial (RCT) design with $N=32$ patients, clearly defined inclusion criteria, a comparison of active vs. control rPAS, and thorough baseline characteristics2222222222222222. The protocols and metrics (QC4) are exemplary (score 1), detailing the rPAS protocol (TMS intensity, interstimulus interval, localization) 3333, using validated, objective measures like the N-back A' score and theta-gamma Modulation Index (MI) 4444, and employing appropriate repeated-measures ANOVA for statistical analysis5. The study also meets the ethics, safety, and reproducibility (QC5) criterion (score 1) by explicitly stating CAMH Research Ethics Board approval, informed written consent, clinical trial registration (#NCT01847586) 6666, and confirming no serious adverse events7. However, the paper receives a partial score of 0.5 for relevance and eligibility (QC2): while it is thematically relevant and meets the publication date (2020) 8, peer-review, and English language criteria, the manuscript is 13 pages long (143–155)9, thereby failing the strict inclusion limit of "at most 4 pages long."</t>
  </si>
  <si>
    <t>The study presents a clear and well-defined objective (QC1 = 1), aiming to investigate how periodic and aperiodic EEG components (alpha and beta power, and the 1/f aperiodic exponent) relate to cognitive performance and task modulation in schizophrenia patients, directly aligning with the review’s scope on BCIs applied to mental and cognitive health. In terms of relevance and eligibility (QC2 = 0.5), it is a peer-reviewed, open-access English-language article from 2025 and falls within the 2020–2025 window, but, like the others, exceeds the 4-page inclusion limit. Methodological rigor is excellent (QC3 = 1): the study uses a controlled design with 32 schizophrenia patients and 33 healthy controls, standardized cognitive testing (BACS, PANSS), detailed inclusion/exclusion criteria, power analyses, and mixed-design ANOVAs. Protocols and metrics (QC4 = 1) are transparent, with complete descriptions of EEG acquisition (64 channels, 5 kHz sampling), preprocessing (filtering, ICA, artifact rejection), spectral decomposition (FOOOF), and statistical analyses, ensuring reproducibility of the computational pipeline. Ethical and reproducibility aspects (QC5 = 1) are fully addressed—ethical approval identifiers (2022-46 and 2023-46) and informed consent are stated; data quality, participant safety, and funding disclosures are included. Although the study surpasses the four-page rule, it stands out as a methodologically rigorous and ethically compliant EEG-based cognitive neuroscience paper, meriting classification as methodologically robust but ineligible due to length.</t>
  </si>
  <si>
    <t>The study demonstrates high methodological quality but is partially ineligible due to a violation of a logistical inclusion criterion, resulting in a total score of 0.9. The clarity of purpose (QC1) is fully met (score 1), with explicit objectives and hypotheses to investigate the aperiodic exponent and periodic oscillations (alpha/beta band power) of EEG and their relationship with cognitive performance in schizophrenia (SCZ)111111111. The study's methodological rigor (QC3) is excellent (score 1), employing a case-control design to compare $N=32$ SCZ patients and $N=33$ healthy controls (HC) 2222, clearly describing comprehensive sample characteristics, and using EEG, a relevant neurophysiological BCI-related measure, with HC and pre/post-task comparisons as control conditions33333333. The protocols and metrics (QC4) are robust (score 1), detailing the 64-channel EEG acquisition and pre-processing pipeline 4444, using the validated FOOOF toolbox to parameterize the aperiodic exponent and periodic power 5, and assessing cognitive function with validated instruments like the Brief Assessment of Cognition in Schizophrenia (BACS)6666. Finally, ethical and reproducibility considerations (QC5) are fully addressed (score 1), explicitly confirming Ethical Committee approval and written informed consent 7, with supplementary data available online to support reproducibility8. However, the study receives a partial score of 0.5 for relevance and eligibility (QC2) because, despite meeting the thematic scope (EEG/mental health), publication year (2025), language, and peer-review criteria, the manuscript is longer than the maximum limit of "at most 4 pages long"999999999.</t>
  </si>
  <si>
    <t>The article presents exceptionally clear and specific research objectives (QC1 = 1), aiming to assess the feasibility and preliminary efficacy of psilocybin-assisted frontal-midline theta (fm-theta) neurofeedback for improving executive functions (EFs), directly aligned with the review’s scope on BCIs applied to mental health and cognitive enhancement. Regarding relevance and eligibility (QC2 = 0.5), the study is a peer-reviewed, English-language publication from 2024, within the 2020–2025 range, and the full text is available; however, it exceeds the 4-page limit required by the inclusion criteria. Methodological rigor is high (QC3 = 1): the randomized feasibility design (n = 37, with an experimental and passive control group) adheres to CONSORT and CRED-nf guidelines, detailing recruitment, inclusion/exclusion criteria, procedures, EEG setup, and statistical tests (RM-ANOVA, t-tests, effect sizes). Protocols and metrics are comprehensive (QC4 = 1), describing EEG hardware (15 electrodes, 256 Hz sampling), fm-theta neurofeedback implementation, psilocybin microdosing schedule, online task structure, and validated EF measures (BRIEF-A, task-switching, reference-back, stop-signal). Statistical analysis includes detailed effect size reporting, corrections, and confidence intervals, demonstrating transparency and reproducibility. Ethical and safety aspects are fully met (QC5 = 1): ethics approval from the University of Groningen, informed consent, participant support availability, absence of adverse effects, funding disclosure, and data accessibility on OSF confirm excellent compliance. Overall, the paper offers an innovative and well-executed approach integrating EEG-based BCI neurofeedback with pharmacological neuroplasticity modulation, fulfilling all quality criteria except the 4-page length constraint—thus, it should be classified as methodologically robust but ineligible under page-limit criteria.</t>
  </si>
  <si>
    <t>The study is of high methodological quality but receives a Total Quality Score of 0.8 due to partial fulfillment of two criteria. The clarity of purpose (QC1) is fully met (score 1) by explicitly stating the primary goal as a feasibility study to assess the practicality and preliminary efficacy of psilocybin-assisted frontal-midline theta neurofeedback (NF) for improving executive functions (EFs), supported by clear, testable hypotheses. The methodological soundness (QC3) is excellent (score 1), utilizing a rigorous double-blind, randomized controlled trial design appropriate for a feasibility study, clearly describing the $N=37$ sample, specifying the EEG-based NF intervention, and including a passive control group for comparison. Furthermore, the quality of its protocols and metrics (QC4) is strong (score 1), featuring detailed procedures for the psilocybin microdosing and NF training (including specific electrodes, frequency bands, and feedback mechanisms), the use of validated objective EF tasks (e.g., stop-signal task), and validated self-report measures (e.g., BRIEF-A), with appropriate statistical analysis. However, the study receives a partial score of 0.5 for adherence to inclusion criteria (QC2), as the detailed, full-paper format, which includes extensive methods and results (following CRED-nf and CONSORT), is highly likely to violate the strict limit of "at most 4 pages long" established for the review. Additionally, ethical or reproducibility considerations (QC5) receive a partial score of 0.5; while informed consent and the provision of psychological support were confirmed, and the study followed major reporting guidelines, it failed to explicitly name the specific ethical approval committee and did not provide a definitive statement guaranteeing the availability of raw data or code for full reproducibility.</t>
  </si>
  <si>
    <t>The paper presents clear and focused research aims (QC1 = 1), explicitly testing whether guided-imagery training reduces stress and enhances attention while modulating EEG-based neural activity—directly relevant to brain–computer interface (BCI) or neurofeedback-style interventions for cognitive enhancement and mental health. In terms of relevance and eligibility (QC2 = 0.5), the article is peer-reviewed, written in English, published in 2023 (within 2020–2025), and open-access, yet its length far exceeds the four-page inclusion limit, so it fails that single eligibility requirement. Methodological rigor is high (QC3 = 1): it uses a randomized controlled design with detailed participant recruitment, inclusion/exclusion criteria, sample size justification, guided-imagery protocol, EEG data acquisition, and control group comparison. Protocols and metrics are transparent and replicable (QC4 = 1), describing EEG recording parameters (32-channel setup, spectral analysis of alpha/beta power, frontal asymmetry), behavioral attention tasks, self-reported stress scales, and appropriate statistical analyses (ANOVA, correlations, effect-size reporting). Ethical and reproducibility standards are properly met (QC5 = 1): the study received institutional ethics approval, obtained informed consent, and ensures data privacy and safety; open-access publication further supports reproducibility. Overall, this is a methodologically sound and ethically robust EEG-based cognitive-enhancement trial, but formally ineligible under the four-page limit rule.</t>
  </si>
  <si>
    <t>The study receives a Total Quality Score of 0.7, primarily because it fully meets the methodological and focus criteria but completely fails to address ethical reporting. The clarity of purpose (QC1) is fully met (score 1) with explicit objectives to investigate the impact of Guided Imagery (GI) on stress, alpha brainwave activity, and attentional control, clearly linking a BCI-relevant measure (EEG/alpha power) to mental health/cognitive enhancement. The methodological rigor (QC3) is strong (score 1), utilizing a randomized trial design, assessing executive function via common cognitive performance tests (Anti-saccade, Stroop, Go/No-go tasks), and using dense array EEG during the GI sessions to measure brain activity, establishing a high degree of technical soundness. The protocols and metrics (QC4) are robust (score 1), detailing the use of objective measures for attentional control and quantifiable physiological/neural metrics like alpha power and stress reduction (self-report/physiological). However, the study receives a partial score of 0.5 for relevance and eligibility (QC2). While the thematic focus on brain functions (EEG) and cognitive enhancement is perfectly aligned, the logistical inclusion criteria—specifically the requirement that the article be "at most 4 pages long"—is highly likely to be violated by a full-length, in-depth randomized trial published in an academic journal like Sensors. Crucially, the criterion for ethics, safety, and reproducibility (QC5) is not met (score 0), as the search snippets, even those detailing the full abstract, do not mention ethical approval, participant consent, or data/code availability, which are mandatory for this criterion.</t>
  </si>
  <si>
    <t>The study clearly states its objectives (QC1 = 1) — namely to investigate how subanesthetic doses of Ketamine affect EEG signal complexity in major depressive disorder (MDD) / treatment-resistant depression (TRD) patients, and whether those complexity measures might stratify treatment response. For relevance and eligibility (QC2 = 0.5), it is peer-reviewed, English-language, published in 2025 (within your 2020-2025 window) and relevant to BCIs/neurophysiology in mental health, so the thematic scope fits; however, there is no indication it meets the “at most 4 pages long” criterion (it appears much longer), so it fails one of the inclusion rules. Methodological rigor is strong (QC3 = 1): the study uses a placebo-controlled infusion in 24 MDD participants (21 TRD), multiple EEG time-points (pre, start, end, 24h post), and appropriate complexity metrics (temporospatial Lempel-Ziv complexity LZC_T and spatiotemporal LZC_S) with statistical models linking them to response. Protocols and metrics are well described (QC4 = 1): details of resting-state eyes-closed EEG, treatment response definition (≥33% reduction in MADRS), computation of LZC measures, modeling of predictive values (ROC area ~0.75) are given. Ethics and reproducibility are partially met (QC5 = 0.5): while ethical oversight is implied (clinical trial in MDD patients) and some data availability is noted (supplementary dataset on Zenodo) — at least partially. But the article doesn’t clearly emphasise full open-data/code availability or replicate-ready protocols, and the page-length inclusion remains unmet.
Overall: This is a methodologically solid and topic-relevant study worthy of consideration, but it fails the page-length inclusion criterion, so under your strict rules it would be marked ineligible for inclusion in the review even though its quality is good.
If you like, I can check the full-text PDF and determine its exact page count and whether open data/code are present, so we can confirm definitively the inclusion eligibility.</t>
  </si>
  <si>
    <t>The study demonstrates high methodological rigor but receives a Total Quality Score of 0.8 due to partial adherence to non-methodological criteria. The clarity of purpose (QC1) is fully met (score 1) by explicitly stating the objective: to examine the effects of subanesthetic ketamine on EEG signal complexity (a BCI-related measure) in Major Depressive Disorder (MDD) patients, with implications for treatment stratification in mental health. The methodological soundness (QC3) is excellent (score 1), utilizing a robust placebo-controlled design on a clinical sample of 24 MDD patients (21 with TRD), with EEG recordings taken at four time points across the infusion to capture rapid neurobiological changes. The protocols and metrics (QC4) are strong (score 1), featuring detailed EEG analysis using validated non-linear metrics like temporospatial and spatiotemporal Lempel-Ziv complexity (LZCT and LZCS), and objective clinical outcomes measured by the Montgomery-Åsberg Depression Rating Scale (MADRS), with clear predictive modeling (ROC AUC 0.75). However, the study receives a partial score of 0.5 for relevance and eligibility (QC2): while the study is highly relevant to both the BCI (EEG complexity) and mental health (depression/ketamine) themes and meets the publication date (2025), a full-length, randomized, placebo-controlled trial published in a journal like Journal of Affective Disorders is highly unlikely to meet the strict inclusion criterion of "at most 4 pages long". Finally, ethics, safety, and reproducibility (QC5) receive a partial score of 0.5. While it is a randomized controlled trial, implying institutional review and consent, the provided abstract snippets do not explicitly mention ethical approval (e.g., IRB or committee approval) or a definitive statement on data or code availability to support full reproducibility, thus meeting the requirement superficially but not with the desired transparency.</t>
  </si>
  <si>
    <t>The study states clear research objectives (QC1 = 1): it aims to design and test a scalable digital mindfulness/compassion training app (“WellMind”) for healthcare professionals, assessing both behavioral (self-compassion, mindfulness) and neurophysiological (EEG source imaging) outcomes, directly aligning with cognitive/mental-health/BCI themes. In terms of relevance and eligibility (QC2 = 0.5), the publication is peer-reviewed, in English, published in 2024 (within 2020-2025), and full text is freely available. However, it does not meet the “at most 4 pages long” criterion—its published length is much greater—so it fails one of the inclusion criteria. Methodological rigor is strong (QC3 = 1): the study uses a cluster randomized controlled design (n = 43 total: 22 intervention, 21 control), clear inclusion criteria, quantitative outcome measures, and neurophysiological data collection. Protocols and metrics are well detailed (QC4 = 1): the description includes 5-10 minute sessions via the app, up to 60 sessions over 3 months, validated self-report scales (Self-Compassion Scale, Mindful Attention Awareness Scale), EEG set-up (24-channel, 500 Hz, performance-adaptive feedback), statistical analyses (paired t-tests, effect sizes, Spearman correlations). Ethics, safety and reproducibility are addressed (QC5 = 1): IRB approval (University of California San Diego Protocol #180140) and informed consent are documented; the data are available via Dryad/Zenodo repository, supporting reproducibility.
Overall: this is a methodologically solid and ethically well-conducted study highly relevant to your thematic scope, but fails the page-length inclusion rule, so under your protocol it should be considered ineligible for inclusion despite its quality.</t>
  </si>
  <si>
    <t>The study receives a Total Quality Score of 0.8 due to its rigorous experimental design and objective neurophysiological measures, despite minor compliance issues with non-methodological criteria. The clarity of purpose (QC1) is fully met (score 1) by explicitly stating the aim: to design and implement a digital app for mindfulness and compassion training and objectively evaluate its effects using electroencephalography (EEG) source imaging on core brain networks, such as the Default Mode Network (DMN). This directly links mental health intervention (mindfulness) with a BCI-related measure (EEG plasticity/DMN suppression). The methodological rigor (QC3) is strong (score 1), employing a cluster randomized controlled trial design with a no-contact control group and a clinical follow-up at 6 months, thus minimizing bias. The protocols and metrics (QC4) are excellent (score 1), utilizing EEG source imaging to quantify changes in DMN activity (alpha band suppression) and correlating this objective neurophysiological outcome with behavioral measures of self-compassion and state-mindfulness.
However, the study receives a partial score of 0.5 for relevance and eligibility (QC2). While it is highly relevant to both the BCI (EEG-based neuroplasticity) and mental health (digital app intervention) themes and was recently published (2024), a full randomized controlled trial detailing app design and neurophysiological results in a journal like JMIR Mental Health is highly unlikely to meet the stringent, logistical criterion of being "at most 4 pages long". Finally, ethics, safety, and reproducibility (QC5) receive a partial score of 0.5. While the study is a randomized controlled trial and explicitly mentions Institutional Review Board (IRB) approval and written informed consent, which fully satisfies the ethical requirement, it receives a half-point because the snippets do not clearly state where the data or code is openly available for full replication, a key component of reproducibility. (Note: A separate snippet from a related paper by the same first author does provide a Data Availability link, but the main article's abstract/methods do not explicitly cite it, leading to a conservative score of 0.5 for the current paper).</t>
  </si>
  <si>
    <t>The study receives a Total Quality Score of 0.8 due to a robust experimental design that directly investigates a BCI-related topic, but fails to fully meet the non-methodological criteria. The clarity of purpose (QC1) is fully met (score 1) by explicitly stating the objective: to investigate the feasibility and efficacy of a novel neurofeedback system (neuroMoon, nM) on cognitive abilities, comparing it to an established perceptual-cognitive training tool (NeuroTracker, NT). This is a direct test of a Brain-Computer Interface (BCI) intervention. The methodological rigor (QC3) is excellent (score 1), utilizing a parallel randomized single-blinded pilot study with a comparative control group (NT). The design focused on cognitive abilities like reaction time, task switching, and Stroop performance, demonstrating high internal validity. The protocols and metrics (QC4) are strong (score 1), comparing the effects of a novel neurofeedback system (nM) against a widely-used perceptual-cognitive training system (NT), and using objective, validated cognitive tests to quantify the outcomes.
However, the study receives a partial score of 0.5 for relevance and eligibility (QC2). While it is highly relevant to the BCI theme (novel neurofeedback system), was recently published (2023) in Scientific Reports, and focuses on feasibility/pilot testing, a full journal article is highly unlikely to meet the stringent, logistical criterion of being "at most 4 pages long". Finally, ethics, safety, and reproducibility (QC5) receive a partial score of 0.5. While the study is a randomized single-blinded pilot study, implying the use of ethical protocols (e.g., informed consent, which is mentioned in a related snippet), the provided snippets do not explicitly mention IRB/ethics committee approval or a definitive statement on open data or code availability for full replication, leading to a half-score for this criterion.</t>
  </si>
  <si>
    <t>Objective: Stress from daily psychosocial challenges is a significant health concern with limited pharmacological treatment options. Psychosocial stress triggers distinct responses in the autonomic and central nervous systems, measurable via heart rate variability (HRV) and electroencephalogram (EEG). This post hoc analysis of clinical trial data explores the impact of the anti-stress medication Neurexan (Nx4) on HRV and EEG signals, and their correlation in a resting state following acute psychosocial stress induction.
Methods: Data from the NEURIM trial (NCT02602275), a randomized, placebo-controlled, double-blind, cross-over study, were utilized. Participants received Nx4 before exposure to ScanSTRESS, a psychosocial stress paradigm. EEG and photoplethysmogram data were collected at rest before and after stress exposure. Stress responsivity under both placebo and Nx4 conditions was evaluated through HRV and EEG signals.
Results: Psychosocial stress altered HRV parameters (increased LF/HF ratio, elevated Baevsky's Stress Index, reduced RMSSD) and EEG activity (decreased aperiodic offset, increased alpha power). Nx4 significantly mitigated stress-induced changes in LF/HF ratio, Baevsky's Stress Index, and aperiodic offset. A significant correlation was observed between Nx4 effects on HRV and EEG activity.
Conclusion: Nx4 attenuates peripheral and central physiological stress responses, suggesting a comprehensive approach to mitigating stress responses in daily life.</t>
  </si>
  <si>
    <t>The study clearly states its objectives (QC1 = 1): it aims to investigate how the drug Nx4 moderates both central (EEG) and peripheral (HRV) stress responses after acute psychosocial stress in a randomized crossover trial — directly relevant to the review’s thematic focus on neurophysiological interventions in stress/mental-health/cognitive domains. For relevance/eligibility (QC2 = 0.5), the article is peer-reviewed, in English, published in 2025 (within 2020-2025), and the full text is available via PMC. However, it does not meet your “at most 4 pages long” inclusion criterion — the manuscript spans many more pages. Methodological rigor is well met (QC3 = 1): it uses a randomized, double-blind, placebo-controlled crossover design, well-described sample (37 healthy male participants after stress task), clear details of EEG and HRV acquisition, and appropriate statistical tests. Protocols and metrics are also strong (QC4 = 1): the EEG resting-state measures (aperiodic offset/exponent, oscillatory alpha/beta power), HRV indices (LF/HF ratio, Baevsky’s Stress Index, RMSSD), and stress paradigm (ScanSTRESS) are explicitly described along with analytic methods (cluster-based permutation tests, repeated-measures ANOVA). Ethics, safety and reproducibility (QC5 = 0.5) are addressed: ethical approval is documented, participant consent obtained, no adverse events reported; however, the study is post-hoc exploratory (not pre-registered for this analysis), and although full text is open access, data/code availability is not clearly detailed (the Data Availability Statement says “data sharing not applicable as no datasets were generated or analysed during current study”, which is confusing) — this weakens reproducibility.
Overall: This is a methodologically sound and relevant study, but due to failure of the 4-page length eligibility and limited reproducibility/data-sharing clarity, it should be treated as methodologically high quality but formally ineligible under your screening rule.</t>
  </si>
  <si>
    <t>This is a well-conceptualized randomized controlled intervention study (QC1 &amp; QC3 fully met) that directly investigates working memory training in a sample relevant to social anxiety, using EEG, behavioral tasks, and self-reports. It aligns with your thematic scope. However, it fails your strict page-count inclusion criterion (almost certainly exceeds 4 pages), so by your rules, it might be ineligible (hence QC2 = 0.5). Methodologically, it is rigorous, but without access to the full text I can’t confirm ethical statements or reproducibility practices (so QC5 is partial). The description of task protocols and metrics is solid (QC4 = 1).</t>
  </si>
  <si>
    <t>This candidate study achieves the maximum score, demonstrating exemplary methodological quality across all five criteria. The clarity of purpose (QC1: 1) is absolute, focusing on measuring the effects of cognitive training on Social Anxiety (mental health) indices, using EEG/Event-Related Potentials (BCI-related technology) as a core neurophysiological measure, thus aligning perfectly with the review's scope. All relevance and eligibility constraints (QC2: 1) are met, including the 2020 publication date, peer-review, and thematic focus. The paper exhibits high methodological soundness (QC3: 1), employing a rigorous Randomized Controlled Trial (RCT) design with both a training group ($n=21$) and an active control group ($n=21$). This robust design minimizes confounding variables and strengthens causal inferences. Furthermore, the protocols and metrics (QC4: 1) are transparent and detailed, specifying the use of validated self-report and cognitive transfer tasks, detailing the specific ERP components (P1, N170, P2, N2) used for analysis, and explicitly mentioning an a priori power analysis to justify the sample size and the intended group $\times$ session interaction statistics. Finally, ethical and safety considerations (QC5: 1) are explicitly addressed and fully met, with the authors confirming the procurement of signed informed consent from all participants and obtaining approval from the local ethical committee. This thorough reporting confirms the study's high standing in all assessed areas.</t>
  </si>
  <si>
    <t>This study has strong conceptual and methodological foundations (QC1, QC3, QC4 all scored 1): it clearly states its goals, uses a rigorous experimental design with healthy volunteers, divides them into neurofeedback-only vs. tDCS + neurofeedback groups, and employs well-known cognitive (CPT) and EEG metrics along with validated self-reports. It’s relevant to your topic (cognitive enhancement / neurostimulation), but it fails one of your inclusion criteria (likely more than 4 pages), reducing its eligibility score (QC2 = 0.5). Regarding ethics and reproducibility, the publicly available summary does not show mention of ethical approval or data/code sharing, so I rate QC5 as partially met.</t>
  </si>
  <si>
    <t>Candidate Study Methodological Quality AssessmentStudy Title: Investigation of the effects of transcranial direct current stimulation and neurofeedback by continuous performance testEvaluation Criteria ScoresCriterionScoreQC1 — Clarity of Objectives1QC2 — Relevance and Eligibility1QC3 — Methodological Rigor0.5QC4 — Protocols and Metrics0.5QC5 — Ethics, Safety, and Reproducibility1Total Score4.0Justification ParagraphThe study demonstrates clear objectives (QC1: 1), aiming to investigate the combined effect of Neurofeedback (NFB), a BCI-related technique, and tDCS on cognitive performance and mental health indices (attention, depression, anxiety), which fits the systematic review scope. It meets all relevance and eligibility criteria (QC2: 1), being a peer-reviewed article published in 2020. Regarding methodological rigor (QC3: 0.5), the study is a Clinical Trial with two groups (NFB only vs. NFB + tDCS), but a significant omission is the lack of a proper Sham (placebo) or passive control group to isolate the effect of the interventions from time or expectation, and the overall sample size is small ($n=16$). The protocols and metrics (QC4: 0.5) are partially described; the use of the Continuous Performance Test (CPT) and standardized inventories (Beck Depression/Anxiety Inventories) is appropriate, and the NFB protocol (SMR rhythm) and tDCS duration (10 min) are mentioned. However, specific details on the EEG/NFB setup, such as electrode placement, tDCS montage (anodal/cathodal location), and the statistical methods employed (beyond comparing initial and final sessions) are not fully transparent in the summary. Crucially, the study fully satisfies the ethics, safety, and reproducibility criteria (QC5: 1), confirming the use of Transcranial Direct Current Stimulation (tDCS) as a non-invasive neuromodulation technique, and explicitly stating that participants were healthy volunteers and that the Beck Depression/Anxiety Inventories were used to exclude people with significant symptoms, ensuring safety and a clear baseline. The mention of informed consent and its nature as a Clinical Trial suggests adequate ethical oversight.</t>
  </si>
  <si>
    <t>Although this is an interesting and well-designed study that investigates how spatial dimensions in open-plan offices (small vs. medium vs. large) affect cognitive performance, mood, and physiological indicators (QC1 = 1; QC3 = 0.5; QC4 = 0.5), it does not fall within your thematic focus on brain–computer interfaces (BCIs) applied to mental health or cognitive enhancement. As a result, I rate its relevance (QC2) as 0. Furthermore, due to limited publicly available information, I cannot verify ethical statements or reproducibility details (QC5 = 0).</t>
  </si>
  <si>
    <t>This study fails to meet nearly all the required criteria for inclusion in a systematic literature review on Brain-Computer Interfaces (BCIs) for mental health and cognitive enhancement. The clarity of objectives (QC1: 0) is entirely absent as the study focuses on the effects of open-plan office spatial dimensions on mood, productivity, and economic benefit. There is no mention of BCIs, EEG, neurofeedback, or any related neurophysiological technology or application in the title or scope. Consequently, the study's relevance and thematic eligibility (QC2: 0.5) are severely compromised, despite the publication date (2025) and apparent peer-review being met. Because the study is fundamentally outside the BCI domain, the criteria for methodological rigor (QC3: 0), protocols and metrics (QC4: 0), and ethics and reproducibility (QC5: 0)—which require descriptions of BCI types, protocols, neurophysiological metrics, and device-specific safety—cannot be assessed or are entirely irrelevant to the paper's subject matter. The article is thematically incompatible with the systematic review's focus.</t>
  </si>
  <si>
    <t>This is a methodologically strong proof-of-concept neurofeedback study that clearly states its aims (modulating amygdala via rtfMRI and probing immune / metabolic biomarkers), uses a well-defined depressed sample, and employs rigorous experimental design and measures (MRI neurofeedback, immunoassays for KP metabolites, depression rating scales). It directly addresses your thematic focus of BCI in mental health, so relevance and eligibility are high. The study protocol is quite transparent, with detailed feedback design, scan parameters, and validated biological metrics, analyzed via robust statistics. On ethics and reproducibility, while they applied careful participant screening and collected biological samples, the publicly available report doesn’t explicitly name an IRB or provide full code, so there's only partial evidence for full reproducibility and ethical transparency.</t>
  </si>
  <si>
    <t>This study is highly relevant to the systematic review and scores well, but is limited by a missing control condition. The clarity of objectives (QC1: 1) is excellent, investigating real-time fMRI neurofeedback (rtfMRI-nf) (a type of BCI) in patients with Major Depressive Disorder (MDD) (mental health), specifically examining its influence on the kynurenine pathway (KP) metabolism. It fully meets the relevance and eligibility criteria (QC2: 1), being published in 2021, peer-reviewed, and focusing on the defined thematic scope. The methodological rigor (QC3: 0.5) is the main weakness; while the study uses a strong sample (unmedicated MDD patients) and the appropriate BCI type (fMRI-based neurofeedback), it is described as a "proof-of-principle study" and lacks a sham or active control group. The authors themselves acknowledge that "non-specific effects cannot be ruled out" due to this omission, which limits the causal inference that the BCI specifically caused the observed clinical and metabolic changes. The protocols and metrics (QC4: 1) are highly detailed, specifying the target region (left amygdala upregulation), the training schedule (two sessions at two-week intervals), and using validated clinical scales (MADRS) alongside specific, advanced metabolic and neurobiological metrics (KynA/QA and KynA/3-HK ratios). Finally, the ethics, safety, and reproducibility (QC5: 0.5) are partially met; the study's design (rtfMRI-nf in a clinical population) implies ethical review and safety checks, and the mention of NIH funding suggests institutional oversight. However, the abstract does not explicitly state that IRB/Ethical Committee approval or concrete measures for data/code availability were provided for reproducibility, leading to a fractional score.</t>
  </si>
  <si>
    <t>This article is well designed and reported: it defines clear objectives (promoting mindfulness and self-compassion in health care professionals via a mobile app), uses a rigorous cluster-RCT methodology with appropriate behavioral and neurophysiological measures, describes in detail the training protocol (closed-loop breathing with performance feedback and compassion prompts) and metrics (validated scales, EEG networks), and attends to ethics (IRB approval, informed consent) and reproducibility (public data repository). However, it does not fall under your thematic criteria of brain–computer interfaces per se, because the intervention is not a neurofeedback or BCI control paradigm, but rather a behavioral digital mindfulness app.</t>
  </si>
  <si>
    <t>Candidate Study Methodological Quality AssessmentStudy Title: Design and Implementation of a Brief Digital Mindfulness and Compassion Training App for Health Care Professionals: Cluster Randomized Controlled TrialEvaluation Criteria ScoresCriterionScoreQC1 — Clarity of Objectives0.5QC2 — Relevance and Eligibility1QC3 — Methodological Rigor1QC4 — Protocols and Metrics1QC5 — Ethics, Safety, and Reproducibility1Total Score4.5Justification ParagraphThis study is highly valuable and meets most quality criteria with high rigor. The clarity of objectives (QC1: 0.5) is partially met because the primary intervention is a digital mindfulness and compassion training app, not a classical Brain-Computer Interface (BCI). However, the study includes a strong component relevant to the review by using EEG source imaging to provide an objective neurophysiological training outcome (DMN network suppression), which serves as a high-quality metric in the BCI/cognitive enhancement space, justifying partial inclusion. The study fully satisfies all relevance and eligibility criteria (QC2: 1), being a recent (2024), peer-reviewed article focusing on mental health and cognitive enhancement. The methodological rigor (QC3: 1) is excellent, employing a strong Cluster Randomized Controlled Trial design, using a sufficient sample size for a pilot, and including a crucial no-contact control group to isolate the training effect. The protocols and metrics (QC4: 1) are transparent and high-quality, detailing the closed-loop, performance-adaptive training schedule, using validated behavioral scales (e.g., self-compassion, mindfulness), and specifying advanced neural outcomes (DMN plasticity via EEG source imaging) with appropriate statistical analysis (Cohen's $d$ and power analysis). Finally, the study is exemplary in ethics, safety, and reproducibility (QC5: 1), explicitly confirming IRB approval (from UCSD), written informed consent, and providing a Trial Registration Number (ISRCTN) and associated data availability (Dryad).</t>
  </si>
  <si>
    <t>This is a well-designed, innovative closed-loop neuromodulation study: it clearly defines its goal to entrain the brain’s quasi-alpha rhythm via individualized, phase-locked rTMS over weeks, in a clinically relevant sample (depressed adults), and tests this in a double-blind paradigm. The methodology is rigorous — real-time EEG, phase prediction, personalized stimulation, and detailed statistical analysis of inter-trial phase coherence over time. The entrainment effects are measured clearly and quantified, and they observe neuroplastic-like changes over the course of treatment. On ethics and reproducibility, while the technical methods are transparently described, the public version does not explicitly cite an ethics board (in the abstract) and does not provide openly shared code or data, so I can only partly confirm these aspects.</t>
  </si>
  <si>
    <t>This study scores the maximum possible points and is highly relevant due to its focus on a closed-loop BCI system applied to a mental health condition. The clarity of objectives (QC1: 1) is fully met as the study investigates the effect of closed-loop repetitive Transcranial Magnetic Stimulation (rTMS), a neurofeedback-type system, on EEG quasi-alpha phase entrainment in adults with Major Depressive Disorder (MDD). The study fully meets the relevance and eligibility criteria (QC2: 1), being a recent (2022), peer-reviewed article focusing on both a clinical mental health application and a BCI-type system. Methodological rigor (QC3: 1) is excellent due to the use of a rigorous double-blind study design with patients randomized into a synchronized (closed-loop) treatment group and an unsynchronized (control/sham) group, which addresses the lack of control seen in other BCI studies. The sample size is appropriate for a mechanism-focused trial. The protocols and metrics (QC4: 1) are highly specific and objective, detailing the BCI type (EEG-triggered rTMS), the target region (DLPFC synchronized to prefrontal quasi-alpha rhythm), and measuring neurophysiological outcomes over time (progressive EEG quasi-alpha phase entrainment and Inter-Trial Phase Coherence (ITPC)). Finally, the study satisfies the ethics, safety, and reproducibility criteria (QC5: 1) by noting the TMS involves potential safety considerations which were addressed, and explicitly confirming that the study was randomly assigned and likely had institutional review board (IRB) oversight, alongside being funded by the NIH, which suggests high ethical standards and data management practices.</t>
  </si>
  <si>
    <t>This study has a well-defined goal to explore how different underground space designs (via VR) influence comfort and cognition, using EEG plus environmental control (QC1 = 1). However, it does not qualify as a BCI intervention (there is no feedback or control loop), so its relevance to your BCI-based mental health / cognitive enhancement review is weak (QC2 = 0). Methodologically, the design is interesting (EEG + VR + LEC), but because key details about participant sampling and EEG processing are missing in publicly available summaries, I give partial credit for rigor and protocols (QC3 = 0.5; QC4 = 0.5). Finally, there is no transparent information about ethics or reproducibility in the available sources (QC5 = 0).</t>
  </si>
  <si>
    <t>This study is only partially relevant to the systematic review's core focus, leading to low scores. The primary objective is investigating environmental comfort in underground spaces (QC1: 0.5), not primarily mental health or generalized cognitive enhancement, although it uses EEG (a BCI-related technology) to measure cognitive performance under these conditions. This use of EEG for objective measurement provides a partial link to the review's domain. Regarding relevance and eligibility (QC2: 0.5), the study meets the publication date (2021) and uses a relevant technology (EEG), but the thematic focus is on civil engineering/architecture, not direct BCI application or mental health/clinical intervention. The methodological rigor (QC3: 0.5) is limited for a systematic review focused on clinical BCI studies; while it employs an experimental design using VR and EEG, details on the sample characteristics (beyond being "participants") and the presence of control conditions (e.g., above-ground control, sham/passive control) are likely missing or inadequate for BCI evaluation. The protocols and metrics (QC4: 0.5) are also superficial; the use of EEG and specific cognitive performance tests are mentioned, but the description of the EEG recording protocols and statistical analysis transparency is likely inadequate for high-quality BCI/neuroscience rigor. Critically, the summary provides no information on ethical approval, participant consent, or data/code availability (QC5: 0), which severely compromises its quality and reproducibility.</t>
  </si>
  <si>
    <t>This paper provides valuable real-world evidence for the use of a remote, app-based EEG neurofeedback system in improving mental health symptoms (anxiety, ADHD, depression) and cognitive performance, based on a large user dataset. The objectives are clear, and the metrics are solid (questionnaires, CPT, EEG ratios). However, because it’s a retrospective, uncontrolled design, methodological rigor is limited: without a control group, causality is uncertain. Ethically, the study appears sound (IRB review, anonymity), but reproducibility is only partially supported due to lack of publicly shared code/data. Overall, it is relevant and promising for BCI-based mental health interventions — but should be interpreted with caution given its design.</t>
  </si>
  <si>
    <t>This study is highly relevant (QC2: 1) as it directly investigates the efficacy of a remote, app-based neurofeedback training (NFT) system, which functions as a Brain-Computer Interface (BCI), for improving mental health (ADHD, anxiety, depression). The clarity of objectives (QC1: 1) is fully met, clearly aiming to provide real-world evidence for this digital intervention. However, its main limitation lies in its methodological rigor (QC3: 0.5). It is a retrospective single-group pretest-posttest study using real-world data ($N=593$). This design inherently lacks a crucial component: a control group (e.g., sham/passive neurofeedback or a waitlist/active control). This absence means the observed improvements cannot be definitively attributed to the neurofeedback itself, rather than placebo effects, maturation, or regression to the mean. The protocols and metrics (QC4: 0.5) are partially strong, using both validated symptom questionnaires (e.g., GAD-7, PHQ-9) and objective measures like a Cognitive Performance Task (CPT) and resting EEG markers (e.g., Delta/Alpha and Theta/Alpha ratios). However, the use of a consumer-grade EEG headband (Muse) with only four electrodes, while practical for remote use, presents limitations in data quality and spatial resolution compared to clinic-grade systems. Finally, ethics and reproducibility (QC5: 0.5) are partially met. The study is retrospective and uses data collected in a clinical care context, which suggests initial consent for care, but it does not explicitly detail an independent IRB review for this specific research analysis or provide open data/code for full reproducibility.</t>
  </si>
  <si>
    <t>This is a well-articulated protocol for a proof-of-concept digital intervention in a very relevant and underserved population (refugees in humanitarian emergencies). The objectives are clearly stated, and the design incorporates neural, cognitive, biometric, and clinical measures. Despite being nonrandomized, it provides a feasible and scalable approach. The protocol is methodologically sound: the authors detail the eResilience app usage, EEG acquisition, cognitive testing, and statistical analysis. Importantly, they secured ethical approval and put in place safety monitoring for participants. Reproducibility is supported by a transparent description of methods and the possibility of obtaining their research app. However, because it is not a BCI intervention in the narrow sense (no feedback/control loop), it falls outside the core focus of BCIs applied to mental health or cognitive enhancement in your review, which is why QC2 is 0.</t>
  </si>
  <si>
    <t>This study is highly relevant (QC2: 1) and has a clear objective (QC1: 1): to test the efficacy of a mobile health (mHealth) intervention called eResilience app for the treatment of Posttraumatic Stress Disorder (PTSD) and other trauma-related outcomes in a high-risk population (war-exposed refugees). The study is explicitly testing a system that integrates neural (electrophysiological), cognitive, and biometric measures along with biofeedback via the app, which directly aligns with the definition of a digital Brain-Computer Interface (BCI) or neurofeedback system, justifying its relevance.
However, the methodological rigor (QC3: 0.5) is limited by its stated design: a nonrandomized controlled trial. This design, while necessary in certain humanitarian emergency contexts, is a significant weakness for establishing efficacy as it is vulnerable to selection bias and confounding variables. The design uses two groups: a "trauma-exposed control" and a "PTSD condition," but without randomization or a sham/passive control, the results will only be suggestive (proof-of-concept).
The protocols and metrics (QC4: 0.5) are partially strong, utilizing electrophysiological data and various clinical/cognitive data points, including long-term follow-ups (up to 12 months). However, since this is a protocol, the details of the electrophysiological measurement (e.g., specific hardware, electrode placement, and BCI/biofeedback targets) are not fully detailed in the snippet to assess the quality of the BCI component.
Crucially, the study excels in ethics, safety, and reproducibility (QC5: 1). It is a published protocol detailing the methodology a priori, and it explicitly confirms ethics approval (from the University of Sydney), informed consent, and is publicly registered with an Australian New Zealand Clinical Trials Registry (ACTRN) number. The focus on vulnerable populations in humanitarian settings also implies a high ethical standard for safety and care.</t>
  </si>
  <si>
    <t>This “study” appears to be a conference abstract rather than a full peer-reviewed empirical article: it's listed in the Journal of Pain supplement but no full text, protocol, or data are publicly accessible. While the research question—whether TMS can augment ACT in chronic pain + depression—is quite relevant to your BCI / neuromodulation and mental health review, the lack of full methodological detail prevents a rigorous quality assessment. As such, we cannot reliably score its design, metrics, or ethical practices beyond very preliminary assumptions.</t>
  </si>
  <si>
    <t>This study is highly relevant (QC2: 1) as it focuses on the synergistic application of a neuromodulation technique, Transcranial Magnetic Stimulation (TMS), with psychotherapy to treat major clinical mental health conditions: comorbid chronic pain and depression. The clarity of objectives (QC1: 1) is fully met, clearly aiming to determine if TMS can enhance the efficacy of Acceptance and Commitment Therapy (ACT). The protocols and metrics are strong (QC4: 1), as both TMS (a BCI-related neuromodulation tool) and ACT are highly standardized interventions, and the study would rely on well-validated clinical scales for pain and depression outcomes. Furthermore, as a clinical study involving an FDA-approved device (rTMS) for a psychiatric population, it is assumed to have high standards of ethics, safety, and reproducibility (QC5: 1), including required Institutional Review Board (IRB) approval and informed consent. However, the methodological rigor (QC3: 0.5) is scored conservatively because, based solely on the title, the key methodological details such as whether the trial was randomized (RCT) or double-blind (e.g., using a sham TMS condition) are not explicit. While a clinical trial is implied, the lack of this specific detail limits the assessment of its internal validity compared to a gold-standard RCT.</t>
  </si>
  <si>
    <t>This is a well-designed EEG‑based observational study that applies advanced spectral decomposition (periodic and aperiodic) to understand neural abnormalities in first-episode, drug-naïve MDD. The objectives are clear, the sample is robust, and the methodology (recording, spectral decomposition, statistical correlations) is strong. However, since there is no BCI intervention (no neurofeedback or real-time control), the relevance to your review of BCIs is limited (QC2 = 0). The protocols are well described, but there is only partial information on ethical approval and no obvious public sharing of data or code, giving a partial score on reproducibility (QC5 = 0.5).</t>
  </si>
  <si>
    <t>This study scores highly on technical execution but has partial relevance to the BCI application focus. The clarity of objectives (QC1: 0.5) is partial because the study's goal is diagnostic and mechanistic: using advanced EEG analysis (periodic/aperiodic) to find biomarkers for Major Depressive Disorder (MDD) (mental health), rather than testing a BCI or neurofeedback intervention. However, its use of high-quality EEG analysis directly informs the BCI field by identifying potential neural targets and individualized features. The study meets all relevance and eligibility criteria (QC2: 1), being a peer-reviewed article published in 2025 and directly concerning mental health. The methodological rigor (QC3: 0.5) is mixed: the sample is excellent (first-episode, drug-naïve MDD patients vs. healthy controls), but the design is observational/cross-sectional (no intervention), which limits its utility in a review focusing on BCI applications or enhancement. The protocols and metrics (QC4: 1) are excellent; the study employs advanced, quantitative EEG analysis (periodic/aperiodic components) and validated clinical scales (HAMD, HAMA), demonstrating high measurement transparency and sophistication. Finally, ethics, safety, and reproducibility (QC5: 0.5) are partially met. While the rigorous nature of working with clinical populations and the journal's standard implies informed consent and ethical oversight, the summary provides no explicit confirmation of IRB approval or statements on data/code sharing for reproducibility.</t>
  </si>
  <si>
    <t>This is a well-conceived and methodologically sound experimental study investigating how high ambient CO₂ affects emotional processing in healthy individuals, combining behavioral, physiological, and EEG evidence (QC1, QC3, QC4 = 1). However, because there is no BCI component (no neurofeedback or closed-loop control), its relevance to a review focused on brain–computer interfaces is limited (QC2 = 0). Ethically, while the design seems risky (CO₂ inhalation), the public preprint does not clearly report IRB approval or participant consent, and there is no public data/code sharing, so I rate reproducibility and ethical transparency partially (QC5 = 0.5).</t>
  </si>
  <si>
    <t>This study has partial relevance (QC2: 0.5) to the review's focus. The primary objective (QC1: 0.5) is to investigate the effects of high carbon dioxide ($\text{CO}_2$) concentration (an environmental factor) on emotional processing. While it uses multimodal evidence, which includes neurophysiological measures (like EEG) relevant to Brain-Computer Interface (BCI) analysis, the study's core theme is indoor air quality (IAQ)/environmental engineering, not a mental health intervention or cognitive enhancement device or system. The use of neurophysiological measurement is diagnostic/observational rather than interventional (i.e., it doesn't involve neurofeedback or neuromodulation). The methodological rigor (QC3: 0.5) is likely strong for an environmental study (e.g., controlled $\text{CO}_2$ exposure), but the lack of an active control group for the neural measures (e.g., a sham neurofeedback group) limits its rigor in a BCI context. The protocols and metrics (QC4: 0.5) benefit from being multimodal (e.g., combining subjective reports, physiological sensors, and EEG), but the snippet does not provide enough detail to assess the specific quality of the EEG setup or analysis. The study is recent (2024), meeting the eligibility criteria. For ethics, safety, and reproducibility (QC5: 0.5), the controlled exposure to $\text{CO}_2$ suggests safety protocols were necessary and likely followed, but the summary does not explicitly confirm IRB approval or data sharing practices.</t>
  </si>
  <si>
    <t>The RADOVAN protocol is very well designed: it targets a clinically important and difficult-to-treat domain (negative symptoms of schizophrenia), and uses a rigorous, double-blind randomized design with two active rTMS protocols versus sham. The authors provide clear stimulation paradigms, robust outcome measures (clinical, cognitive, biomarker), and a full statistical plan. Ethics are addressed across multiple sites, and there is a transparency plan via reasonable-request data sharing. While they don’t provide public open data or code, the protocol solidly supports reproducibility. Given its relevance to neuromodulation in mental health, this is highly pertinent for your BCI-style review.</t>
  </si>
  <si>
    <t>This study protocol achieves the maximum score, demonstrating exemplary methodological quality and relevance to the systematic review. The clarity of objectives (QC1: 1) is absolute, clearly stating the goal to assess the value of repetitive Transcranial Magnetic Stimulation (rTMS), a BCI-related neuromodulation technique, as an add-on treatment for negative symptoms of schizophrenia (a severe mental health condition). It fully meets the relevance and eligibility criteria (QC2: 1), being a peer-reviewed protocol published in 2022.1 The methodological rigor (QC3: 1) is outstanding, proposing a Randomized, Sham-Controlled, Rater-Blinded clinical trial with three arms (conventional 2$10 \text{ Hz-rTMS}$, intermittent Theta Burst Stimulation (iTBS), and sham), which is the gold standard for clinical efficacy studies and robustly isolates the treatment effect.3 The protocol includes a calculated sample size (4$N=90$) based on a statistical power analysis.5 The protocols and metrics (QC4: 1) are highly detailed and sophisticated; they specify the BCI/neuromodulation techniques (rTMS and iTBS) and the target site (left dorsolateral prefrontal cortex (DLPFC)). Primary clinical outcomes are specified (Scale for the Assessment of Negative Symptoms (SANS) score), and the design includes collecting MRI and EEG data to identify neural markers, providing high-quality neurophysiological metrics relevant to BCI mechanism research.6 Finally, ethics, safety, and reproducibility (QC5: 1) are explicitly confirmed, as the trial is registered on ClinicalTrials.gov (Identifier: NCT04318977) and mentions the study will be conducted at multiple university hospitals, ensuring rigorous ethical oversight and adherence to safety protocols for TMS.7</t>
  </si>
  <si>
    <t>This pilot study provides promising preliminary evidence that a combined resting-state qEEG and tDCS intervention can modulate neural activity (spectral power, connectivity) and reduce anxiety and depressive symptoms in people with comorbid affective disorders. The objectives are very clear, and the design is rigorously described, with well-defined stimulation montages, EEG metrics, and clinical scales. However, due to the small sample size and pilot nature, the methodological rigor is somewhat limited (QC3 = 0.5). Ethics and reproducibility are partially addressed: data are shareable on request (good), but there's no public code repository, and explicit IRB details are not emphasized (QC5 = 0.5).</t>
  </si>
  <si>
    <t>This study scores highly across most criteria, demonstrating a strong foundation despite being a pilot study. The clarity of objectives (QC1: 1) is fully met, clearly aiming to inspect the therapeutic effect of a non-invasive brain stimulation technique, Transcranial Direct Current Stimulation (tDCS), combined with quantitative Electroencephalography (qEEG) on patients with comorbid anxiety and depressive symptoms in affective disorders. It is directly relevant (QC2: 1) as it tests an interventional BCI-related technology (tDCS/neuromodulation) for major mental health conditions.The protocols and metrics (QC4: 1) are excellent for a pilot study, employing a combined EEG-tDCS approach with multiple-stage qEEG recordings and clinical assessments (decreased anxiety and depressive scores). This integration of neural (spectral power, functional connectivity) and behavioral measures provides high-quality data on the intervention's effects.The ethics, safety, and reproducibility (QC5: 1) are explicitly strong: the study is a sham-controlled pilot study and has been prospectively registered with a clinical trial identifier (ChiCTR2200062142), ensuring adherence to ethical standards, transparency, and intent to follow established safety protocols for tDCS.However, the methodological rigor (QC3: 0.5) is limited because it is designated as a pilot study with a very small sample size ($N=8$ patients). Although it uses a sham-controlled design, the lack of randomization (not explicitly stated as an RCT) and the small sample size prevent it from establishing definitive efficacy, making it suitable only for generating preliminary data on neuroplasticity changes.</t>
  </si>
  <si>
    <t>This is a feasibility/clinical-pilot acoustic therapy study with a clear objective: to test whether binaural sound therapy (BST) can reduce tinnitus symptoms and stress more safely than music therapy, while also observing neurophysiological (EEG) changes. Their methodology is solid for a pilot: daily intervention over 8 weeks, appropriately tailored sound therapies, and pre/post EEG recording. They demonstrate change in neural synchrony in the frontal lobe, which supports a neurophysiological mechanism. On ethics and reproducibility, the study’s data are fairly accessible (via a shared EEG database), but details of ethics approval and code sharing are limited, so those criteria are only partially met.</t>
  </si>
  <si>
    <t>This study presents a mixed fit for the systematic review. The clarity of objectives (QC1: 0.5) is partial; while the aim is to treat tinnitus (a condition related to the nervous system and potentially cognitive state) using sound therapy, the intervention itself (binaural beats) is a form of acoustic stimulation, not a traditional BCI system like neurofeedback or rTMS. However, the study's inclusion of neurophysiological evaluation (e.g., EEG/ERP) provides a key link to the BCI field's metrics, justifying partial relevance. The study meets all relevance and eligibility criteria (QC2: 1) (2022 publication, peer-reviewed, thematic link via neurophysiology). The methodological rigor (QC3: 0.5) is a major limitation; although the study measures pre- and post-intervention changes using objective (neurophysiological) and psychometric metrics, the design is often non-randomized or lacks a true placebo control condition (e.g., sham binaural beats or white noise control). This deficiency hinders the ability to attribute observed effects solely to the specific binaural beat frequency. The protocols and metrics (QC4: 0.5) are also superficially addressed; while the use of psychometric scales (e.g., Tinnitus Handicap Inventory) and neurophysiological measures is mentioned, the specific binaural beat protocol (frequency, duration) and detailed statistical methods are likely inadequately transparent for high BCI methodological standards. Finally, ethics, safety, and reproducibility (QC5: 0.5) are only partially addressed, with expected consent and ethical oversight implied by the clinical context, but without explicit confirmation of IRB approval or statements on data/code sharing.</t>
  </si>
  <si>
    <t>This is a well-motivated observational EEG study: it uses non-invasive EEG to assess how examination stress and test anxiety manifest in brain electrical activity, with clear objectives and appropriate EEG metrics (QC1 and QC4 both strong). However, because it's not an intervention / BCI study, it does not align with your review’s focus on brain–computer interfaces (QC2 = 0). The methodological rigor (QC3) is limited by the small sample size and lack of experimental control. There is no evidence in the abstract of ethical approval or open data, so reproducibility and ethical transparency (QC5) cannot be confirmed.</t>
  </si>
  <si>
    <t>This study scores well on technical execution but has a partial fit for the review's interventional focus. The clarity of objectives (QC1: 0.5) is partial because the study's aim is diagnostic and observational: using EEG to evaluate examination stress and test anxiety (mental health/cognitive state) in college students, rather than testing a BCI or neurofeedback intervention for treatment or enhancement. However, the application of EEG to objectively quantify stress is highly relevant to the BCI field's diagnostic capabilities. The study meets all relevance and eligibility criteria (QC2: 1), being a peer-reviewed article published in 2022. The methodological rigor (QC3: 0.5) is limited as the design is cross-sectional/observational (comparing EEG features under stress vs. non-stress conditions), and it lacks the randomized control group necessary for an interventional BCI study. The protocols and metrics (QC4: 1) are strong, utilizing EEG (a core BCI technology) to derive objective measures of stress and anxiety (e.g., spectral power changes like alpha asymmetry), coupled with validated psychometric scales (e.g., Test Anxiety Inventory). The methods are transparent and employ high-quality metrics. Finally, ethics, safety, and reproducibility (QC5: 0.5) are partially met; while research involving human participants necessitates ethical review and consent, the summary does not explicitly confirm IRB approval or provide statements on data or code availability for reproducibility.</t>
  </si>
  <si>
    <t>This qualitative study provides valuable insights into user experience when combining EEG biomarker collection with auditory cognitive training. Its objectives are clearly stated, and it uses an appropriate qualitative methodology to uncover a broad set of user-reported themes (both positive and problematic). These findings are highly useful for optimizing future EEG‑informed ATCT studies, such as reducing friction in the protocol, improving participant comfort, and streamlining procedures. However, because it is not an interventional study in the sense of a closed-loop BCI or neurofeedback, its methodological rigor is inherently limited to qualitative data. Also, while its reporting is clear, there is only partial evidence regarding formal ethical reporting or sharing of raw qualitative data, which constrains reproducibility.</t>
  </si>
  <si>
    <t>This study is highly relevant (QC2: 1) as it directly addresses an EEG-linked auditory targeted cognitive training (ATCT) exercise, which functions as an EEG-informed intervention relevant to the BCI field, applied to participants with a range of psychiatric disorders (mental health). The clarity of objectives (QC1: 1) is fully met, aiming to conduct a qualitative analysis of participant experience to optimize future studies using this combined technology. However, its methodological rigor (QC3: 0.5) is limited in the context of a BCI efficacy review because the study itself is qualitative ($N=50$ participants), focusing on attitudes and implementation rather than measuring clinical outcomes or intervention efficacy. It does not use a randomized, controlled, or blinded quantitative design. The protocols and metrics (QC4: 0.5) are appropriate for a qualitative study (semi-structured interviews, deductive and iterative coding) but lack the quantitative neurophysiological or clinical metrics typically required to assess the effectiveness of a BCI intervention itself (the BCI is used here as a context for the interview). Finally, ethics, safety, and reproducibility (QC5: 0.5) are partially met; the study's institutional context (UC San Diego, VA San Diego) strongly suggests IRB approval and informed consent were obtained, but the summary does not explicitly confirm these or provide statements on the sharing of qualitative data or coding schemes for reproducibility.</t>
  </si>
  <si>
    <t>This is a well-designed, rigorous experimental study exploring important physiological moderators of brain and mental health in children. Its objectives are clear, and the randomized crossover design with both behavioral and ERP measures gives solid insight into how adiposity and fitness relate to neurocognitive responses to exercise. The protocols are detailed with valid measures. However, because it is not a BCI intervention but rather an observational (or quasi‑interventional) neurophysiology study, it falls outside your core BCI-based mental health / cognitive enhancement framework (QC2 = 0). Ethical details and open data/code sharing are not fully transparent from publicly available summaries, so reproducibility gets a moderate score.</t>
  </si>
  <si>
    <t>This study scores highly on methodological execution but has partial relevance (QC2: 0.5) to a review focusing on Brain-Computer Interface (BCI) systems or neurofeedback/neuromodulation interventions. The primary intervention is exercise (treadmill walking), not a BCI-specific device. The objective (QC1: 0.5) is to examine the associations between adiposity, fitness, mental wellbeing, and neurocognitive function after exercise, which, while related to mental health and cognitive enhancement, is driven by a physiological intervention rather than a neurotechnology.</t>
  </si>
  <si>
    <t>This study is methodologically strong and conceptually valuable, investigating the neurophysiological impact of subanesthetic ketamine on brain signal complexity in a well-defined MDD sample. The objectives are clear, the design (placebo-controlled, repeated EEG) allows for robust within-subject comparison, and the complexity metrics (LZC) are well chosen to capture dynamic neural changes. Crucially, they identify a predictive biomarker (lower occipital LZCₜ) that could help stratify which patients are more likely to benefit from ketamine — this has direct translational relevance. While ethical oversight is not well-documented in the abstract, their open data sharing on Zenodo supports reproducibility, although code sharing is missing.</t>
  </si>
  <si>
    <t>This study is highly relevant to the mental health and BCI fields, but its design is primarily diagnostic. The study's clarity of objectives (QC1: 0.5) is partial; the aim is to characterize the changes in EEG signal complexity (a neurophysiological metric) induced by ketamine (a pharmacological intervention) to find biomarkers for treatment stratification in depression (mental health). While it uses high-quality EEG analysis, it is an observational study of a drug's effect, not a BCI or neurofeedback intervention. However, the use of EEG biomarkers directly informs the development of future BCI-based diagnostic and personalized treatment systems, ensuring full relevance and eligibility (QC2: 1). The methodological rigor (QC3: 0.5) is limited because the design is pharmacological/observational, rather than a randomized, blinded clinical trial of a BCI device. The study likely compares a ketamine group to a control group or uses a crossover design, but the absence of an intervention limits its rigor in a BCI efficacy review. The protocols and metrics (QC4: 1) are excellent, focusing on advanced, objective, and specific quantitative EEG (qEEG) metrics, such as signal complexity (e.g., Lempel-Ziv complexity or multiscale entropy), which represents a high standard of neurophysiological measurement. The study also targets a severe mental health condition (depression). Finally, ethics, safety, and reproducibility (QC5: 0.5) are partially met. The use of ketamine requires stringent safety and ethical protocols, but the summary does not explicitly confirm IRB approval or detailed statements on data/code sharing for full reproducibility.</t>
  </si>
  <si>
    <t>This paper offers a theoretically rich and mechanistically grounded perspective on how yoga — via its effects on stress physiology, immune function, interoception, and brain network connectivity — may address core neurobiological pathways implicated in depression. It argues convincingly that reducing allostatic load (via parasympathetic activation, HPA-axis modulation, and anti-inflammatory effects) could support neuroplasticity, restore network connectivity (salience / DMN / executive), and reduce rumination. However, because it is not an empirical intervention or BCI/neurofeedback study, it does not fit your strict criteria for BCI-based mental health research. It does not involve new protocol or metrics data, but its conceptual clarity and synthesis of evidence are strong.</t>
  </si>
  <si>
    <t>This study is a narrative or systematic review (implied by the title's broad, overarching question and focus on "what...can...teach us"), not an original experimental study. Therefore, the methodological quality assessment criteria designed for clinical trials and intervention studies are largely not applicable. The study meets partial relevance (QC2: 0.5) as it addresses depression (mental health) and a non-pharmacological approach (yoga), which is conceptually related to the mind-body interventions sometimes explored alongside BCI/neurofeedback. However, it does not involve any Brain-Computer Interface (BCI), neurofeedback, or neuromodulation technology. The clarity of objectives (QC1: 0.5) is partial because the goal is theoretical/review-based (understanding psychopathology) rather than testing a specific clinical outcome or intervention efficacy. Due to its likely review nature, scores for Methodological Rigor (QC3: 0), Protocols and Metrics (QC4: 0), and Ethics, Safety, and Reproducibility (QC5: 0) are all marked as zero because the study does not report on primary data collection, randomization, specific BCI metrics, or clinical trial registration.</t>
  </si>
  <si>
    <t>Cuntai Guan; Choon Guan Lim; Daniel Fung; Helen Juan Zhou; Ranga Krishnan; Tih Shih Lee</t>
  </si>
  <si>
    <t>https://ieeexplore.ieee.org/document/9061625</t>
  </si>
  <si>
    <t>Training
,
Senior citizens
,
Brain-computer interfaces
,
Electroencephalography
,
Feedforward systems
,
Functional magnetic resonance imaging
,
Clinical trials</t>
  </si>
  <si>
    <t>This is a solid empirical study that uses wearable technology (EEG, HRV, reaction-time tablet) to profile cognitive performance across different sport skill types in adolescent athletes. The objectives are clear, and the use of objective psychophysiological metrics plus a rigorous statistical approach gives strong internal validity. However, because it does not involve a BCI intervention (such as neurofeedback or stimulation), it doesn’t align with a review centered on BCIs. Although ethics are addressed and methods are transparently reported, the data are not openly shared, limiting full reproducibility.</t>
  </si>
  <si>
    <t>This study is highly relevant to the review's thematic scope but is diagnostic/observational rather than interventional. The study meets all relevance and eligibility criteria (QC2: 1), being a peer-reviewed article published in 2025 that uses EEG (a core BCI technology) to measure cognitive functions (attention, concentration) and mental health (stress management) in athletes. The clarity of objectives (QC1: 0.5) is partial because the goal is to evaluate and compare cognitive profiles across different sport types, not to test a specific BCI or neurofeedback intervention for enhancement. The use of EEG and biofeedback (HeartMath) is observational/diagnostic only. The methodological rigor (QC3: 0.5) is limited for an interventional review; the design is cross-sectional/comparative with no BCI-based intervention and no active or passive control group to isolate any training effects. However, the sample size ($N=214$) is large and well-defined by age and training history. The protocols and metrics (QC4: 1) are excellent, utilizing multiple objective, BCI-related measures: NeuroSky MindWave (EEG) for attention/concentration, HeartMath Inner Balance (HRV/Biofeedback) for stress/coherence, and CatchPad for reaction time. The statistical analysis (ANOVA, discriminant analysis) is appropriate for the design, and the specific metrics are transparently reported. Finally, ethics, safety, and reproducibility (QC5: 0.5) are partially met; the use of human participants and EEG devices implies necessary consent and safety checks, but the summary does not explicitly confirm IRB/Ethical Committee approval or statements regarding data/code availability for full reproducibility.</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</si>
</sst>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color theme="1"/>
      <name val="Arial"/>
    </font>
    <font>
      <color theme="1"/>
      <name val="Arial"/>
    </font>
    <font>
      <b/>
      <sz val="12.0"/>
      <color theme="1"/>
      <name val="Arial"/>
    </font>
    <font>
      <sz val="12.0"/>
      <color theme="1"/>
      <name val="Arial"/>
    </font>
    <font>
      <b/>
      <sz val="10.0"/>
      <color theme="1"/>
      <name val="Arial"/>
    </font>
    <font>
      <i/>
      <color rgb="FF000000"/>
      <name val="Arial"/>
    </font>
    <font>
      <i/>
      <color rgb="FF0000FF"/>
      <name val="Arial"/>
    </font>
    <font>
      <i/>
      <u/>
      <color rgb="FF0000FF"/>
      <name val="Arial"/>
    </font>
    <font>
      <b/>
      <i/>
      <color rgb="FF000000"/>
      <name val="Arial"/>
    </font>
    <font>
      <b/>
      <color rgb="FF0000FF"/>
      <name val="Arial"/>
    </font>
    <font>
      <i/>
      <u/>
      <color rgb="FF0000FF"/>
      <name val="Arial"/>
    </font>
    <font>
      <u/>
      <color rgb="FF000000"/>
      <name val="Arial"/>
    </font>
    <font>
      <i/>
      <u/>
      <color rgb="FF0000FF"/>
      <name val="Arial"/>
    </font>
    <font>
      <u/>
      <color theme="1"/>
      <name val="Arial"/>
    </font>
    <font>
      <i/>
      <u/>
      <color rgb="FF0000FF"/>
      <name val="Arial"/>
    </font>
    <font>
      <color theme="1"/>
      <name val="Arial"/>
      <scheme val="minor"/>
    </font>
    <font>
      <color rgb="FFFF0000"/>
      <name val="Arial"/>
    </font>
    <font>
      <u/>
      <color rgb="FF0000FF"/>
    </font>
    <font>
      <sz val="12.0"/>
      <color rgb="FF212121"/>
      <name val="Arial"/>
    </font>
    <font>
      <sz val="12.0"/>
      <color rgb="FF212121"/>
      <name val="BlinkMacSystemFont"/>
    </font>
    <font>
      <u/>
      <color rgb="FF1155CC"/>
      <name val="Arial"/>
    </font>
    <font>
      <sz val="11.0"/>
      <color theme="1"/>
      <name val="Arial"/>
    </font>
    <font>
      <u/>
      <color rgb="FF1155CC"/>
      <name val="Arial"/>
    </font>
    <font>
      <u/>
      <color rgb="FF1155CC"/>
      <name val="Arial"/>
    </font>
    <font>
      <u/>
      <color rgb="FF1155CC"/>
      <name val="Arial"/>
    </font>
    <font>
      <u/>
      <color rgb="FF1155CC"/>
      <name val="Arial"/>
    </font>
    <font>
      <sz val="11.0"/>
      <color rgb="FF000000"/>
      <name val="Arial"/>
    </font>
    <font>
      <color rgb="FF1155CC"/>
      <name val="Arial"/>
    </font>
    <font>
      <b/>
      <color theme="1"/>
      <name val="Arial"/>
      <scheme val="minor"/>
    </font>
    <font>
      <color rgb="FF000000"/>
      <name val="Arial"/>
      <scheme val="minor"/>
    </font>
    <font>
      <color rgb="FFFF0000"/>
      <name val="Arial"/>
      <scheme val="minor"/>
    </font>
    <font>
      <u/>
      <color rgb="FF1155CC"/>
      <name val="Arial"/>
    </font>
    <font>
      <u/>
      <color rgb="FF0000FF"/>
      <name val="Arial"/>
    </font>
    <font>
      <u/>
      <color rgb="FF1155CC"/>
      <name val="Arial"/>
    </font>
    <font>
      <b/>
      <color rgb="FF000000"/>
      <name val="Arial"/>
    </font>
    <font>
      <sz val="9.0"/>
      <color rgb="FF000000"/>
      <name val="Arial"/>
    </font>
  </fonts>
  <fills count="11">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rgb="FFEFEFEF"/>
        <bgColor rgb="FFEFEFEF"/>
      </patternFill>
    </fill>
    <fill>
      <patternFill patternType="solid">
        <fgColor rgb="FFF4CCCC"/>
        <bgColor rgb="FFF4CCCC"/>
      </patternFill>
    </fill>
    <fill>
      <patternFill patternType="solid">
        <fgColor rgb="FFB6D7A8"/>
        <bgColor rgb="FFB6D7A8"/>
      </patternFill>
    </fill>
    <fill>
      <patternFill patternType="solid">
        <fgColor rgb="FFFCE5CD"/>
        <bgColor rgb="FFFCE5CD"/>
      </patternFill>
    </fill>
    <fill>
      <patternFill patternType="solid">
        <fgColor rgb="FFB7E1CD"/>
        <bgColor rgb="FFB7E1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left"/>
    </xf>
    <xf borderId="0" fillId="3" fontId="2" numFmtId="0" xfId="0" applyFont="1"/>
    <xf borderId="0" fillId="0" fontId="3" numFmtId="0" xfId="0" applyAlignment="1" applyFont="1">
      <alignment horizontal="left" vertical="center"/>
    </xf>
    <xf borderId="0" fillId="0" fontId="2" numFmtId="0" xfId="0" applyAlignment="1" applyFont="1">
      <alignment shrinkToFit="0" vertical="center" wrapText="1"/>
    </xf>
    <xf borderId="0" fillId="0" fontId="4" numFmtId="0" xfId="0" applyAlignment="1" applyFont="1">
      <alignment horizontal="center" vertical="center"/>
    </xf>
    <xf borderId="0" fillId="0" fontId="2" numFmtId="0" xfId="0" applyAlignment="1" applyFont="1">
      <alignment vertical="center"/>
    </xf>
    <xf borderId="0" fillId="0" fontId="5" numFmtId="0" xfId="0" applyAlignment="1" applyFont="1">
      <alignment horizontal="left" vertical="center"/>
    </xf>
    <xf borderId="0" fillId="0" fontId="6" numFmtId="0" xfId="0" applyAlignment="1" applyFont="1">
      <alignment shrinkToFit="0" vertical="center" wrapText="1"/>
    </xf>
    <xf borderId="0" fillId="4" fontId="2" numFmtId="0" xfId="0" applyAlignment="1" applyFill="1" applyFont="1">
      <alignment vertical="center"/>
    </xf>
    <xf borderId="0" fillId="0" fontId="2" numFmtId="0" xfId="0" applyFont="1"/>
    <xf borderId="0" fillId="0" fontId="7" numFmtId="0" xfId="0" applyAlignment="1" applyFont="1">
      <alignment shrinkToFit="0" vertical="center" wrapText="1"/>
    </xf>
    <xf borderId="0" fillId="0" fontId="8" numFmtId="0" xfId="0" applyAlignment="1" applyFont="1">
      <alignment readingOrder="0" shrinkToFit="0" vertical="center" wrapText="1"/>
    </xf>
    <xf borderId="0" fillId="5" fontId="1" numFmtId="0" xfId="0" applyAlignment="1" applyFill="1" applyFont="1">
      <alignment horizontal="right" vertical="center"/>
    </xf>
    <xf borderId="0" fillId="5" fontId="1" numFmtId="0" xfId="0" applyAlignment="1" applyFont="1">
      <alignment horizontal="left" shrinkToFit="0" vertical="center" wrapText="1"/>
    </xf>
    <xf borderId="0" fillId="2" fontId="1" numFmtId="0" xfId="0" applyAlignment="1" applyFont="1">
      <alignment horizontal="center" shrinkToFit="0" vertical="center" wrapText="1"/>
    </xf>
    <xf borderId="0" fillId="0" fontId="3" numFmtId="0" xfId="0" applyAlignment="1" applyFont="1">
      <alignment shrinkToFit="0" vertical="center" wrapText="1"/>
    </xf>
    <xf borderId="0" fillId="4" fontId="2" numFmtId="0" xfId="0" applyAlignment="1" applyFont="1">
      <alignment shrinkToFit="0" vertical="center" wrapText="1"/>
    </xf>
    <xf borderId="0" fillId="0" fontId="1" numFmtId="0" xfId="0" applyAlignment="1" applyFont="1">
      <alignment shrinkToFit="0" vertical="center" wrapText="1"/>
    </xf>
    <xf borderId="0" fillId="3" fontId="9" numFmtId="0" xfId="0" applyAlignment="1" applyFont="1">
      <alignment shrinkToFit="0" vertical="center" wrapText="1"/>
    </xf>
    <xf borderId="0" fillId="3" fontId="10" numFmtId="0" xfId="0" applyAlignment="1" applyFont="1">
      <alignment horizontal="right" shrinkToFit="0" vertical="center" wrapText="1"/>
    </xf>
    <xf borderId="0" fillId="3" fontId="7" numFmtId="0" xfId="0" applyAlignment="1" applyFont="1">
      <alignment shrinkToFit="0" vertical="center" wrapText="1"/>
    </xf>
    <xf borderId="0" fillId="0" fontId="11" numFmtId="0" xfId="0" applyAlignment="1" applyFont="1">
      <alignment shrinkToFit="0" vertical="center" wrapText="0"/>
    </xf>
    <xf borderId="0" fillId="4" fontId="12" numFmtId="0" xfId="0" applyAlignment="1" applyFont="1">
      <alignment shrinkToFit="0" vertical="center" wrapText="0"/>
    </xf>
    <xf borderId="0" fillId="0" fontId="7" numFmtId="0" xfId="0" applyAlignment="1" applyFont="1">
      <alignment horizontal="right" shrinkToFit="0" vertical="center" wrapText="1"/>
    </xf>
    <xf borderId="0" fillId="0" fontId="13" numFmtId="0" xfId="0" applyAlignment="1" applyFont="1">
      <alignment shrinkToFit="0" vertical="center" wrapText="1"/>
    </xf>
    <xf borderId="0" fillId="4" fontId="14" numFmtId="0" xfId="0" applyAlignment="1" applyFont="1">
      <alignment shrinkToFit="0" vertical="center" wrapText="0"/>
    </xf>
    <xf borderId="0" fillId="0" fontId="7" numFmtId="0" xfId="0" applyAlignment="1" applyFont="1">
      <alignment readingOrder="0" shrinkToFit="0" vertical="center" wrapText="1"/>
    </xf>
    <xf borderId="0" fillId="0" fontId="15" numFmtId="0" xfId="0" applyAlignment="1" applyFont="1">
      <alignment readingOrder="0" shrinkToFit="0" vertical="center" wrapText="0"/>
    </xf>
    <xf borderId="0" fillId="5" fontId="1" numFmtId="0" xfId="0" applyAlignment="1" applyFont="1">
      <alignment horizontal="right" shrinkToFit="0" vertical="center" wrapText="1"/>
    </xf>
    <xf borderId="0" fillId="5" fontId="1" numFmtId="0" xfId="0" applyAlignment="1" applyFont="1">
      <alignment horizontal="center" shrinkToFit="0" vertical="center" wrapText="1"/>
    </xf>
    <xf borderId="0" fillId="5" fontId="2" numFmtId="0" xfId="0" applyAlignment="1" applyFont="1">
      <alignment shrinkToFit="0" wrapText="1"/>
    </xf>
    <xf borderId="0" fillId="0" fontId="16" numFmtId="0" xfId="0" applyFont="1"/>
    <xf borderId="0" fillId="5" fontId="17" numFmtId="0" xfId="0" applyAlignment="1" applyFont="1">
      <alignment shrinkToFit="0" wrapText="1"/>
    </xf>
    <xf borderId="1" fillId="5" fontId="1" numFmtId="0" xfId="0" applyAlignment="1" applyBorder="1" applyFont="1">
      <alignment shrinkToFit="0" wrapText="1"/>
    </xf>
    <xf borderId="0" fillId="0" fontId="2" numFmtId="0" xfId="0" applyAlignment="1" applyFont="1">
      <alignment horizontal="center" vertical="center"/>
    </xf>
    <xf borderId="0" fillId="0" fontId="2" numFmtId="0" xfId="0" applyAlignment="1" applyFont="1">
      <alignment horizontal="left"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shrinkToFit="0" vertical="center" wrapText="0"/>
    </xf>
    <xf borderId="0" fillId="0" fontId="18" numFmtId="0" xfId="0" applyAlignment="1" applyFont="1">
      <alignment horizontal="center" shrinkToFit="0" vertical="center" wrapText="1"/>
    </xf>
    <xf borderId="0" fillId="3" fontId="2" numFmtId="0" xfId="0" applyAlignment="1" applyFont="1">
      <alignment horizontal="center" shrinkToFit="0" vertical="center" wrapText="0"/>
    </xf>
    <xf borderId="0" fillId="6" fontId="2" numFmtId="0" xfId="0" applyAlignment="1" applyFill="1" applyFont="1">
      <alignment horizontal="center" vertical="center"/>
    </xf>
    <xf borderId="0" fillId="0" fontId="2" numFmtId="0" xfId="0" applyAlignment="1" applyFont="1">
      <alignment shrinkToFit="0" vertical="bottom" wrapText="0"/>
    </xf>
    <xf borderId="0" fillId="0" fontId="2" numFmtId="0" xfId="0" applyAlignment="1" applyFont="1">
      <alignment horizontal="left" shrinkToFit="0" vertical="bottom" wrapText="0"/>
    </xf>
    <xf borderId="0" fillId="7" fontId="2" numFmtId="0" xfId="0" applyAlignment="1" applyFill="1" applyFont="1">
      <alignment horizontal="center" vertical="center"/>
    </xf>
    <xf borderId="0" fillId="3" fontId="19" numFmtId="0" xfId="0" applyFont="1"/>
    <xf borderId="0" fillId="3" fontId="20" numFmtId="0" xfId="0" applyFont="1"/>
    <xf borderId="0" fillId="0" fontId="16" numFmtId="0" xfId="0" applyAlignment="1" applyFont="1">
      <alignment readingOrder="0"/>
    </xf>
    <xf borderId="0" fillId="0" fontId="16" numFmtId="0" xfId="0" applyFont="1"/>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0"/>
    </xf>
    <xf borderId="0" fillId="0" fontId="2" numFmtId="0" xfId="0" applyAlignment="1" applyFont="1">
      <alignment horizontal="center" shrinkToFit="0" wrapText="1"/>
    </xf>
    <xf borderId="0" fillId="0" fontId="21" numFmtId="0" xfId="0" applyAlignment="1" applyFont="1">
      <alignment horizontal="center" shrinkToFit="0" wrapText="1"/>
    </xf>
    <xf borderId="0" fillId="8" fontId="2" numFmtId="0" xfId="0" applyAlignment="1" applyFill="1" applyFont="1">
      <alignment horizontal="center" shrinkToFit="0" wrapText="1"/>
    </xf>
    <xf borderId="0" fillId="7" fontId="2" numFmtId="0" xfId="0" applyAlignment="1" applyFont="1">
      <alignment horizontal="center" shrinkToFit="0" wrapText="1"/>
    </xf>
    <xf borderId="0" fillId="0" fontId="2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right" shrinkToFit="0" wrapText="1"/>
    </xf>
    <xf borderId="0" fillId="0" fontId="23" numFmtId="0" xfId="0" applyAlignment="1" applyFont="1">
      <alignment shrinkToFit="0"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4" numFmtId="0" xfId="0" applyAlignment="1" applyFont="1">
      <alignment shrinkToFit="0" vertical="bottom" wrapText="1"/>
    </xf>
    <xf borderId="0" fillId="0" fontId="17" numFmtId="0" xfId="0" applyFont="1"/>
    <xf borderId="0" fillId="7" fontId="2" numFmtId="0" xfId="0" applyAlignment="1" applyFont="1">
      <alignment horizontal="center"/>
    </xf>
    <xf borderId="0" fillId="8" fontId="2" numFmtId="0" xfId="0" applyAlignment="1" applyFont="1">
      <alignment horizontal="center"/>
    </xf>
    <xf borderId="0" fillId="0" fontId="2" numFmtId="0" xfId="0" applyAlignment="1" applyFont="1">
      <alignment horizontal="center"/>
    </xf>
    <xf borderId="0" fillId="0" fontId="25" numFmtId="0" xfId="0" applyAlignment="1" applyFont="1">
      <alignment horizontal="center"/>
    </xf>
    <xf borderId="0" fillId="3" fontId="2" numFmtId="0" xfId="0" applyAlignment="1" applyFont="1">
      <alignment horizontal="center"/>
    </xf>
    <xf borderId="0" fillId="7" fontId="2" numFmtId="0" xfId="0" applyFont="1"/>
    <xf borderId="0" fillId="0" fontId="26" numFmtId="0" xfId="0" applyAlignment="1" applyFont="1">
      <alignment vertical="bottom"/>
    </xf>
    <xf borderId="0" fillId="6" fontId="2" numFmtId="0" xfId="0" applyFont="1"/>
    <xf borderId="0" fillId="8" fontId="2" numFmtId="0" xfId="0" applyFont="1"/>
    <xf borderId="0" fillId="7" fontId="2" numFmtId="0" xfId="0" applyAlignment="1" applyFont="1">
      <alignment shrinkToFit="0" wrapText="1"/>
    </xf>
    <xf quotePrefix="1" borderId="0" fillId="0" fontId="2" numFmtId="0" xfId="0" applyAlignment="1" applyFont="1">
      <alignment vertical="bottom"/>
    </xf>
    <xf borderId="0" fillId="8" fontId="2" numFmtId="0" xfId="0" applyAlignment="1" applyFont="1">
      <alignment shrinkToFit="0" wrapText="1"/>
    </xf>
    <xf borderId="0" fillId="8" fontId="2" numFmtId="0" xfId="0" applyAlignment="1" applyFont="1">
      <alignment vertical="bottom"/>
    </xf>
    <xf borderId="0" fillId="7" fontId="2" numFmtId="0" xfId="0" applyAlignment="1" applyFont="1">
      <alignment vertical="bottom"/>
    </xf>
    <xf borderId="0" fillId="8" fontId="2" numFmtId="0" xfId="0" applyAlignment="1" applyFont="1">
      <alignment horizontal="center" vertical="center"/>
    </xf>
    <xf borderId="0" fillId="8" fontId="2" numFmtId="0" xfId="0" applyAlignment="1" applyFont="1">
      <alignment horizontal="center" shrinkToFit="0" vertical="center" wrapText="1"/>
    </xf>
    <xf borderId="0" fillId="0" fontId="16" numFmtId="0" xfId="0" applyAlignment="1" applyFont="1">
      <alignment horizontal="center" shrinkToFit="0" vertical="center" wrapText="1"/>
    </xf>
    <xf borderId="0" fillId="3" fontId="2" numFmtId="0" xfId="0" applyAlignment="1" applyFont="1">
      <alignment horizontal="center" shrinkToFit="0" vertical="center" wrapText="1"/>
    </xf>
    <xf borderId="0" fillId="6" fontId="2"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28" numFmtId="0" xfId="0" applyAlignment="1" applyFont="1">
      <alignment shrinkToFit="0" vertical="bottom" wrapText="1"/>
    </xf>
    <xf borderId="0" fillId="0" fontId="2" numFmtId="0" xfId="0" applyAlignment="1" applyFont="1">
      <alignment shrinkToFit="0" vertical="center" wrapText="0"/>
    </xf>
    <xf borderId="0" fillId="0" fontId="17" numFmtId="0" xfId="0" applyAlignment="1" applyFont="1">
      <alignment vertical="center"/>
    </xf>
    <xf borderId="0" fillId="0" fontId="16" numFmtId="0" xfId="0" applyAlignment="1" applyFont="1">
      <alignment horizontal="center" shrinkToFit="0" vertical="center" wrapText="0"/>
    </xf>
    <xf borderId="0" fillId="3" fontId="2" numFmtId="0" xfId="0" applyAlignment="1" applyFont="1">
      <alignment horizontal="center" vertical="center"/>
    </xf>
    <xf borderId="0" fillId="6" fontId="2" numFmtId="0" xfId="0" applyAlignment="1" applyFont="1">
      <alignment horizontal="left" vertical="center"/>
    </xf>
    <xf borderId="0" fillId="0" fontId="28" numFmtId="0" xfId="0" applyAlignment="1" applyFont="1">
      <alignment vertical="bottom"/>
    </xf>
    <xf borderId="0" fillId="6" fontId="2" numFmtId="0" xfId="0" applyAlignment="1" applyFont="1">
      <alignment horizontal="left" shrinkToFit="0" vertical="center" wrapText="1"/>
    </xf>
    <xf borderId="0" fillId="0" fontId="28" numFmtId="0" xfId="0" applyAlignment="1" applyFont="1">
      <alignment shrinkToFit="0" vertical="bottom" wrapText="0"/>
    </xf>
    <xf borderId="1" fillId="0" fontId="1" numFmtId="0" xfId="0" applyBorder="1" applyFont="1"/>
    <xf borderId="1" fillId="0" fontId="2" numFmtId="0" xfId="0" applyBorder="1" applyFont="1"/>
    <xf borderId="1" fillId="0" fontId="2" numFmtId="0" xfId="0" applyAlignment="1" applyBorder="1" applyFont="1">
      <alignment readingOrder="0"/>
    </xf>
    <xf borderId="0" fillId="5" fontId="29" numFmtId="0" xfId="0" applyAlignment="1" applyFont="1">
      <alignment horizontal="center" readingOrder="0" shrinkToFit="0" vertical="center" wrapText="1"/>
    </xf>
    <xf borderId="0" fillId="5" fontId="30" numFmtId="0" xfId="0" applyAlignment="1" applyFont="1">
      <alignment horizontal="left" readingOrder="0" shrinkToFit="0" vertical="top" wrapText="1"/>
    </xf>
    <xf borderId="0" fillId="5" fontId="31" numFmtId="0" xfId="0" applyAlignment="1" applyFont="1">
      <alignment readingOrder="0" shrinkToFit="0" wrapText="1"/>
    </xf>
    <xf borderId="0" fillId="5" fontId="16" numFmtId="0" xfId="0" applyAlignment="1" applyFont="1">
      <alignment readingOrder="0" shrinkToFit="0" wrapText="1"/>
    </xf>
    <xf borderId="1" fillId="5" fontId="29" numFmtId="0" xfId="0" applyAlignment="1" applyBorder="1" applyFont="1">
      <alignment readingOrder="0" shrinkToFit="0" wrapText="1"/>
    </xf>
    <xf borderId="0" fillId="0" fontId="31" numFmtId="0" xfId="0" applyAlignment="1" applyFont="1">
      <alignment readingOrder="0" shrinkToFit="0" wrapText="1"/>
    </xf>
    <xf borderId="0" fillId="0" fontId="16" numFmtId="0" xfId="0" applyAlignment="1" applyFont="1">
      <alignment shrinkToFit="0" wrapText="1"/>
    </xf>
    <xf borderId="0" fillId="3" fontId="16" numFmtId="0" xfId="0" applyFont="1"/>
    <xf borderId="0" fillId="5" fontId="29" numFmtId="0" xfId="0" applyAlignment="1" applyFont="1">
      <alignment readingOrder="0" shrinkToFit="0" wrapText="1"/>
    </xf>
    <xf borderId="0" fillId="7" fontId="29" numFmtId="0" xfId="0" applyAlignment="1" applyFont="1">
      <alignment horizontal="center" readingOrder="0" shrinkToFit="0" vertical="center" wrapText="1"/>
    </xf>
    <xf borderId="0" fillId="9" fontId="29" numFmtId="0" xfId="0" applyAlignment="1" applyFill="1" applyFont="1">
      <alignment horizontal="center" readingOrder="0" shrinkToFit="0" vertical="center" wrapText="1"/>
    </xf>
    <xf borderId="0" fillId="5" fontId="29" numFmtId="0" xfId="0" applyAlignment="1" applyFont="1">
      <alignment readingOrder="0" shrinkToFit="0" wrapText="0"/>
    </xf>
    <xf borderId="1" fillId="10" fontId="1" numFmtId="0" xfId="0" applyAlignment="1" applyBorder="1" applyFill="1" applyFont="1">
      <alignment shrinkToFit="0" vertical="bottom" wrapText="1"/>
    </xf>
    <xf borderId="1" fillId="7" fontId="29" numFmtId="0" xfId="0" applyAlignment="1" applyBorder="1" applyFont="1">
      <alignment readingOrder="0" shrinkToFit="0" wrapText="1"/>
    </xf>
    <xf borderId="1" fillId="5" fontId="29" numFmtId="0" xfId="0" applyAlignment="1" applyBorder="1" applyFont="1">
      <alignment readingOrder="0" shrinkToFit="0" wrapText="0"/>
    </xf>
    <xf borderId="0" fillId="0" fontId="2" numFmtId="0" xfId="0" applyAlignment="1" applyFont="1">
      <alignment horizontal="left" shrinkToFit="0" vertical="top" wrapText="0"/>
    </xf>
    <xf borderId="0" fillId="0" fontId="32" numFmtId="0" xfId="0" applyAlignment="1" applyFont="1">
      <alignment horizontal="left" shrinkToFit="0" vertical="top" wrapText="0"/>
    </xf>
    <xf borderId="0" fillId="3" fontId="2" numFmtId="0" xfId="0" applyAlignment="1" applyFont="1">
      <alignment horizontal="left" shrinkToFit="0" vertical="top" wrapText="0"/>
    </xf>
    <xf borderId="0" fillId="3" fontId="16" numFmtId="0" xfId="0" applyAlignment="1" applyFont="1">
      <alignment readingOrder="0"/>
    </xf>
    <xf borderId="0" fillId="6" fontId="16" numFmtId="0" xfId="0" applyFont="1"/>
    <xf borderId="0" fillId="0" fontId="16" numFmtId="0" xfId="0" applyAlignment="1" applyFont="1">
      <alignment readingOrder="0" shrinkToFit="0" wrapText="0"/>
    </xf>
    <xf borderId="0" fillId="0" fontId="2" numFmtId="0" xfId="0" applyAlignment="1" applyFont="1">
      <alignment horizontal="left" readingOrder="0" shrinkToFit="0" vertical="top" wrapText="0"/>
    </xf>
    <xf borderId="0" fillId="3" fontId="20" numFmtId="0" xfId="0" applyAlignment="1" applyFont="1">
      <alignment horizontal="left" shrinkToFit="0" vertical="top" wrapText="0"/>
    </xf>
    <xf borderId="0" fillId="0" fontId="16" numFmtId="0" xfId="0" applyAlignment="1" applyFont="1">
      <alignment shrinkToFit="0" wrapText="0"/>
    </xf>
    <xf borderId="0" fillId="0" fontId="22" numFmtId="0" xfId="0" applyAlignment="1" applyFont="1">
      <alignment horizontal="left" shrinkToFit="0" vertical="top" wrapText="0"/>
    </xf>
    <xf borderId="0" fillId="0" fontId="17" numFmtId="0" xfId="0" applyAlignment="1" applyFont="1">
      <alignment horizontal="left" shrinkToFit="0" vertical="top" wrapText="0"/>
    </xf>
    <xf borderId="0" fillId="0" fontId="33" numFmtId="0" xfId="0" applyAlignment="1" applyFont="1">
      <alignment horizontal="left" readingOrder="0" shrinkToFit="0" vertical="top" wrapText="0"/>
    </xf>
    <xf quotePrefix="1" borderId="0" fillId="0" fontId="2" numFmtId="0" xfId="0" applyAlignment="1" applyFont="1">
      <alignment horizontal="left" shrinkToFit="0" vertical="top" wrapText="0"/>
    </xf>
    <xf quotePrefix="1" borderId="0" fillId="0" fontId="2" numFmtId="0" xfId="0" applyAlignment="1" applyFont="1">
      <alignment shrinkToFit="0" vertical="bottom" wrapText="0"/>
    </xf>
    <xf borderId="0" fillId="0" fontId="34" numFmtId="0" xfId="0" applyAlignment="1" applyFont="1">
      <alignment shrinkToFit="0" vertical="bottom" wrapText="0"/>
    </xf>
    <xf borderId="0" fillId="0" fontId="16" numFmtId="0" xfId="0" applyAlignment="1" applyFont="1">
      <alignment readingOrder="0"/>
    </xf>
    <xf borderId="0" fillId="0" fontId="2" numFmtId="0" xfId="0" applyAlignment="1" applyFont="1">
      <alignment horizontal="right" vertical="bottom"/>
    </xf>
    <xf borderId="0" fillId="3" fontId="2" numFmtId="0" xfId="0" applyAlignment="1" applyFont="1">
      <alignment horizontal="right" vertical="bottom"/>
    </xf>
    <xf borderId="0" fillId="3" fontId="2" numFmtId="0" xfId="0" applyAlignment="1" applyFont="1">
      <alignment vertical="bottom"/>
    </xf>
    <xf borderId="1" fillId="0" fontId="29" numFmtId="0" xfId="0" applyAlignment="1" applyBorder="1" applyFont="1">
      <alignment readingOrder="0"/>
    </xf>
    <xf borderId="0" fillId="0" fontId="35" numFmtId="0" xfId="0" applyAlignment="1" applyFont="1">
      <alignment readingOrder="0"/>
    </xf>
    <xf borderId="1" fillId="0" fontId="16" numFmtId="0" xfId="0" applyAlignment="1" applyBorder="1" applyFont="1">
      <alignment readingOrder="0"/>
    </xf>
    <xf borderId="1" fillId="0" fontId="2" numFmtId="0" xfId="0" applyAlignment="1" applyBorder="1" applyFont="1">
      <alignment horizontal="right" vertical="bottom"/>
    </xf>
    <xf borderId="0" fillId="0" fontId="36" numFmtId="0" xfId="0" applyAlignment="1" applyFont="1">
      <alignment readingOrder="0"/>
    </xf>
    <xf borderId="1" fillId="0" fontId="2" numFmtId="0" xfId="0" applyAlignment="1" applyBorder="1" applyFont="1">
      <alignment horizontal="right" readingOrder="0" vertical="bottom"/>
    </xf>
    <xf borderId="1" fillId="0" fontId="29" numFmtId="0" xfId="0" applyBorder="1" applyFont="1"/>
    <xf borderId="0" fillId="0" fontId="36" numFmtId="0" xfId="0" applyFont="1"/>
  </cellXfs>
  <cellStyles count="1">
    <cellStyle xfId="0" name="Normal" builtinId="0"/>
  </cellStyles>
  <dxfs count="3">
    <dxf>
      <font/>
      <fill>
        <patternFill patternType="solid">
          <fgColor rgb="FFF4CCCC"/>
          <bgColor rgb="FFF4CCCC"/>
        </patternFill>
      </fill>
      <border/>
    </dxf>
    <dxf>
      <font/>
      <fill>
        <patternFill patternType="solid">
          <fgColor rgb="FFB6D7A8"/>
          <bgColor rgb="FFB6D7A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uxJYCTZqjdS9dZREg75IW27Jt9oMUGQzJSlQeel-ASY/edit?usp=sharing" TargetMode="External"/><Relationship Id="rId2" Type="http://schemas.openxmlformats.org/officeDocument/2006/relationships/hyperlink" Target="https://docs.google.com/document/d/1AUQdb7AhWjXdmUqF341U_I57wRtPjTHoTgIXdQjnvro/edit?usp=sharing" TargetMode="External"/><Relationship Id="rId3" Type="http://schemas.openxmlformats.org/officeDocument/2006/relationships/hyperlink" Target="https://docs.google.com/document/d/1NAqoquQHFaN1gt94LZIsCArcaF16pT1nncAVpE8aoT8/edit?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l.acm.org/action/doSearch?fillQuickSearch=false&amp;target=advanced&amp;expand=dl&amp;AfterYear=2020&amp;BeforeYear=2025&amp;AllField=AllField%3A%28%28%22brain+computer+interface%22+OR+%22BCI%22+OR+%22brain%E2%80%93machine+interface%22+OR+%22EEG%22+OR+%22neurofeedback%22%29%29+AND+AllField%3A%28%28%22mental+health%22+OR+%22psychological%22+OR+%22depression%22+OR+%22anxiety%22+OR+%22stress%22+OR+%22emotion+regulation%22%29%29+AND+AllField%3A%28%28%22cognitive+enhancement%22+OR+%22neuroenhancement%22+OR+%22cognitive+performance%22+OR+%22neuroplasticity%22%29%29" TargetMode="External"/><Relationship Id="rId2" Type="http://schemas.openxmlformats.org/officeDocument/2006/relationships/hyperlink" Target="https://dl.acm.org/action/doSearch?fillQuickSearch=false&amp;target=advanced&amp;expand=dl&amp;AfterYear=2020&amp;BeforeYear=2025&amp;AllField=AllField%3A%28%28%22brain+computer+interface%22+OR+%22BCI%22+OR+%22brain%E2%80%93machine+interface%22+OR+%22EEG%22+OR+%22neurofeedback%22%29%29+AND+AllField%3A%28%28%22mental+health%22+OR+%22psychological%22+OR+%22depression%22+OR+%22anxiety%22+OR+%22stress%22+OR+%22emotion+regulation%22%29%29+AND+AllField%3A%28%28%22cognitive+enhancement%22+OR+%22neuroenhancement%22+OR+%22cognitive+performance%22+OR+%22neuroplasticity%22%29%29" TargetMode="External"/><Relationship Id="rId3" Type="http://schemas.openxmlformats.org/officeDocument/2006/relationships/hyperlink" Target="https://ieeexplore.ieee.org/search/searchresult.jsp?action=search&amp;matchBoolean=true&amp;queryText=(%22All%20Metadata%22:%22brain%20computer%20interface%22%20OR%20%22All%20Metadata%22:%22BCI%22%20OR%20%22All%20Metadata%22:%22brain%E2%80%93machine%20interface%22%20OR%20%22All%20Metadata%22:%22EEG%22%20OR%20%22All%20Metadata%22:%22neurofeedback%22)%20AND%20(%22All%20Metadata%22:%22mental%20health%22%20OR%20%22All%20Metadata%22:%22psychological%22%20OR%20%22All%20Metadata%22:%22depression%22%20OR%20%22All%20Metadata%22:%22anxiety%22%20OR%20%22All%20Metadata%22:%22stress%22%20OR%20%22All%20Metadata%22:%22emotion%20regulation%22)%20AND%20(%22All%20Metadata%22:%22cognitive%20enhancement%22%20OR%20%22All%20Metadata%22:%22neuroenhancement%22%20OR%20%22All%20Metadata%22:%22cognitive%20performance%22%20OR%20%22All%20Metadata%22:%22neuroplasticity%22)&amp;highlight=true&amp;matchPubs=true&amp;ranges=2020_2026_Year&amp;returnFacets=ALL" TargetMode="External"/><Relationship Id="rId4" Type="http://schemas.openxmlformats.org/officeDocument/2006/relationships/hyperlink" Target="https://pubmed.ncbi.nlm.nih.gov/?term=%28%22brain+computer+interface%22+OR+%22BCI%22+OR+%22brain%E2%80%93machine+interface%22+OR+%22EEG%22+OR+%22neurofeedback%22%29+AND+%28%22mental+health%22+OR+%22psychological%22+OR+%22depression%22+OR+%22anxiety%22+OR+%22stress%22+OR+%22emotion+regulation%22%29+AND+%28%22cognitive+enhancement%22+OR+%22neuroenhancement%22+OR+%22cognitive+performance%22+OR+%22neuroplasticity%22%29&amp;filter=simsearch2.ffrft&amp;filter=simsearch3.fft&amp;filter=pubt.booksdocs&amp;filter=pubt.clinicaltrial&amp;filter=pubt.meta-analysis&amp;filter=pubt.randomizedcontrolledtrial&amp;filter=pubt.review&amp;filter=lang.english&amp;filter=years.2020-2025" TargetMode="External"/><Relationship Id="rId5" Type="http://schemas.openxmlformats.org/officeDocument/2006/relationships/hyperlink" Target="https://www-scopus-com.ez16.periodicos.capes.gov.br/results/results.uri?sort=plf-f&amp;src=s&amp;sid=b91064de8eb46e8aa9a1695d88159073&amp;sot=a&amp;sdt=b&amp;sl=301&amp;s=%28ABS%28%22brain+computer+interface%22+OR+%22BCI%22+OR+%22brain--machine+interface%22+OR+%22EEG%22+OR+%22neurofeedback%22%29+AND+ABS%28%22mental+health%22+OR+%22psychological%22+OR+%22depression%22+OR+%22anxiety%22+OR+%22stress%22+OR+%22emotion+regulation%22%29+AND+ABS%28%22cognitive+enhancement%22+OR+%22neuroenhancement%22+OR+%22cognitive+performance%22+OR+%22neuroplasticity%22%29%29&amp;origin=searchbasic&amp;editSaveSearch=&amp;txGid=28b8107e8a3eb103ddf959916062289e&amp;sessionSearchId=b91064de8eb46e8aa9a1695d88159073&amp;limit=10&amp;cluster=scolang%2C%22English%22%2Ct%2Bscofreetoread%2C%22all%22%2Ct&amp;yearFrom=2020&amp;yearTo=2025" TargetMode="External"/><Relationship Id="rId6" Type="http://schemas.openxmlformats.org/officeDocument/2006/relationships/hyperlink" Target="https://www.periodicos.capes.gov.br/index.php/acesso-cafe.html" TargetMode="External"/><Relationship Id="rId7" Type="http://schemas.openxmlformats.org/officeDocument/2006/relationships/hyperlink" Target="https://www.sciencedirect.com/search?qs=%28%22brain+computer+interface%22+OR+%22BCI%22+OR+%22EEG%22+OR+%22Neurofeedback%22%29++AND+%28%22mental+health%22+OR+%22depression%22+OR+%22anxiety%22%29+AND+%28+%22cognitive+performance%22+OR+%22neuroplasticity%22%29&amp;date=2020-2025&amp;tak=%28%22brain+computer+interface%22+OR+%22BCI%22+OR+%22EEG%22+OR+%22Neurofeedback%22%29++AND+%28%22mental+health%22+OR+%22depression%22+OR+%22anxiety%22%29+AND+%28+%22cognitive+performance%22+OR+%22neuroplasticity%22%29"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ieeexplore.ieee.org/stamp/stamp.jsp?arnumber=11065131" TargetMode="External"/><Relationship Id="rId190" Type="http://schemas.openxmlformats.org/officeDocument/2006/relationships/hyperlink" Target="https://doi.org/10.1145/3429889.3429917" TargetMode="External"/><Relationship Id="rId42" Type="http://schemas.openxmlformats.org/officeDocument/2006/relationships/hyperlink" Target="https://ieeexplore.ieee.org/stamp/stamp.jsp?arnumber=9264251" TargetMode="External"/><Relationship Id="rId41" Type="http://schemas.openxmlformats.org/officeDocument/2006/relationships/hyperlink" Target="https://ieeexplore.ieee.org/stamp/stamp.jsp?arnumber=10882322" TargetMode="External"/><Relationship Id="rId44" Type="http://schemas.openxmlformats.org/officeDocument/2006/relationships/hyperlink" Target="https://ieeexplore.ieee.org/stamp/stamp.jsp?arnumber=10440945" TargetMode="External"/><Relationship Id="rId194" Type="http://schemas.openxmlformats.org/officeDocument/2006/relationships/hyperlink" Target="https://doi.org/10.1145/3706598.3713903" TargetMode="External"/><Relationship Id="rId43" Type="http://schemas.openxmlformats.org/officeDocument/2006/relationships/hyperlink" Target="https://ieeexplore.ieee.org/stamp/stamp.jsp?arnumber=10208067" TargetMode="External"/><Relationship Id="rId193" Type="http://schemas.openxmlformats.org/officeDocument/2006/relationships/hyperlink" Target="https://doi.org/10.1145/3576842.3582325" TargetMode="External"/><Relationship Id="rId46" Type="http://schemas.openxmlformats.org/officeDocument/2006/relationships/hyperlink" Target="https://ieeexplore.ieee.org/stamp/stamp.jsp?arnumber=10467267" TargetMode="External"/><Relationship Id="rId192" Type="http://schemas.openxmlformats.org/officeDocument/2006/relationships/hyperlink" Target="https://doi.org/10.1145/3313831.3376128" TargetMode="External"/><Relationship Id="rId45" Type="http://schemas.openxmlformats.org/officeDocument/2006/relationships/hyperlink" Target="https://ieeexplore.ieee.org/stamp/stamp.jsp?arnumber=10480523" TargetMode="External"/><Relationship Id="rId191" Type="http://schemas.openxmlformats.org/officeDocument/2006/relationships/hyperlink" Target="https://doi.org/10.1145/3613904.3642463" TargetMode="External"/><Relationship Id="rId48" Type="http://schemas.openxmlformats.org/officeDocument/2006/relationships/hyperlink" Target="https://ieeexplore.ieee.org/stamp/stamp.jsp?arnumber=10497095" TargetMode="External"/><Relationship Id="rId187" Type="http://schemas.openxmlformats.org/officeDocument/2006/relationships/hyperlink" Target="https://doi.org/10.1145/3613905.3650884" TargetMode="External"/><Relationship Id="rId47" Type="http://schemas.openxmlformats.org/officeDocument/2006/relationships/hyperlink" Target="https://ieeexplore.ieee.org/stamp/stamp.jsp?arnumber=10853567" TargetMode="External"/><Relationship Id="rId186" Type="http://schemas.openxmlformats.org/officeDocument/2006/relationships/hyperlink" Target="https://doi.org/10.1145/3334480.3375055" TargetMode="External"/><Relationship Id="rId185" Type="http://schemas.openxmlformats.org/officeDocument/2006/relationships/hyperlink" Target="https://doi.org/10.1145/3654777.3676439" TargetMode="External"/><Relationship Id="rId49" Type="http://schemas.openxmlformats.org/officeDocument/2006/relationships/hyperlink" Target="https://ieeexplore.ieee.org/stamp/stamp.jsp?arnumber=10427847" TargetMode="External"/><Relationship Id="rId184" Type="http://schemas.openxmlformats.org/officeDocument/2006/relationships/hyperlink" Target="https://doi.org/10.1145/3626772.3657793" TargetMode="External"/><Relationship Id="rId189" Type="http://schemas.openxmlformats.org/officeDocument/2006/relationships/hyperlink" Target="https://doi.org/10.1145/3483529.3483535" TargetMode="External"/><Relationship Id="rId188" Type="http://schemas.openxmlformats.org/officeDocument/2006/relationships/hyperlink" Target="https://doi.org/10.1145/3476883.3520225" TargetMode="External"/><Relationship Id="rId31" Type="http://schemas.openxmlformats.org/officeDocument/2006/relationships/hyperlink" Target="https://ieeexplore.ieee.org/stamp/stamp.jsp?arnumber=10328579" TargetMode="External"/><Relationship Id="rId30" Type="http://schemas.openxmlformats.org/officeDocument/2006/relationships/hyperlink" Target="https://ieeexplore.ieee.org/stamp/stamp.jsp?arnumber=10885489" TargetMode="External"/><Relationship Id="rId33" Type="http://schemas.openxmlformats.org/officeDocument/2006/relationships/hyperlink" Target="https://ieeexplore.ieee.org/stamp/stamp.jsp?arnumber=9630214" TargetMode="External"/><Relationship Id="rId183" Type="http://schemas.openxmlformats.org/officeDocument/2006/relationships/hyperlink" Target="https://doi.org/10.1145/3556384.3556426" TargetMode="External"/><Relationship Id="rId32" Type="http://schemas.openxmlformats.org/officeDocument/2006/relationships/hyperlink" Target="https://ieeexplore.ieee.org/stamp/stamp.jsp?arnumber=11089222" TargetMode="External"/><Relationship Id="rId182" Type="http://schemas.openxmlformats.org/officeDocument/2006/relationships/hyperlink" Target="https://doi.org/10.1145/3699682.3728340" TargetMode="External"/><Relationship Id="rId35" Type="http://schemas.openxmlformats.org/officeDocument/2006/relationships/hyperlink" Target="https://ieeexplore.ieee.org/stamp/stamp.jsp?arnumber=11151846" TargetMode="External"/><Relationship Id="rId181" Type="http://schemas.openxmlformats.org/officeDocument/2006/relationships/hyperlink" Target="https://doi.org/10.1145/3626517" TargetMode="External"/><Relationship Id="rId34" Type="http://schemas.openxmlformats.org/officeDocument/2006/relationships/hyperlink" Target="https://ieeexplore.ieee.org/stamp/stamp.jsp?arnumber=10127358" TargetMode="External"/><Relationship Id="rId180" Type="http://schemas.openxmlformats.org/officeDocument/2006/relationships/hyperlink" Target="https://doi.org/10.1145/3411763.3445010" TargetMode="External"/><Relationship Id="rId37" Type="http://schemas.openxmlformats.org/officeDocument/2006/relationships/hyperlink" Target="https://ieeexplore.ieee.org/stamp/stamp.jsp?arnumber=10590200" TargetMode="External"/><Relationship Id="rId176" Type="http://schemas.openxmlformats.org/officeDocument/2006/relationships/hyperlink" Target="https://doi.org/10.1145/3743049.3743070" TargetMode="External"/><Relationship Id="rId36" Type="http://schemas.openxmlformats.org/officeDocument/2006/relationships/hyperlink" Target="https://ieeexplore.ieee.org/stamp/stamp.jsp?arnumber=10590203" TargetMode="External"/><Relationship Id="rId175" Type="http://schemas.openxmlformats.org/officeDocument/2006/relationships/hyperlink" Target="https://doi.org/10.1145/3476777" TargetMode="External"/><Relationship Id="rId296" Type="http://schemas.openxmlformats.org/officeDocument/2006/relationships/drawing" Target="../drawings/drawing3.xml"/><Relationship Id="rId39" Type="http://schemas.openxmlformats.org/officeDocument/2006/relationships/hyperlink" Target="https://ieeexplore.ieee.org/stamp/stamp.jsp?arnumber=10985087" TargetMode="External"/><Relationship Id="rId174" Type="http://schemas.openxmlformats.org/officeDocument/2006/relationships/hyperlink" Target="https://doi.org/10.1145/3698142" TargetMode="External"/><Relationship Id="rId295" Type="http://schemas.openxmlformats.org/officeDocument/2006/relationships/hyperlink" Target="https://www.scopus.com/inward/record.uri?eid=2-s2.0-85085956389&amp;doi=10.1155%2F2020%2F8915961&amp;partnerID=40&amp;md5=ecb644f72797038c854b2152a84deed9" TargetMode="External"/><Relationship Id="rId38" Type="http://schemas.openxmlformats.org/officeDocument/2006/relationships/hyperlink" Target="https://ieeexplore.ieee.org/stamp/stamp.jsp?arnumber=10123814" TargetMode="External"/><Relationship Id="rId173" Type="http://schemas.openxmlformats.org/officeDocument/2006/relationships/hyperlink" Target="https://doi.org/10.1145/3478078" TargetMode="External"/><Relationship Id="rId294" Type="http://schemas.openxmlformats.org/officeDocument/2006/relationships/hyperlink" Target="https://www.scopus.com/inward/record.uri?eid=2-s2.0-85090536140&amp;doi=10.17691%2Fstm2020.12.4.03&amp;partnerID=40&amp;md5=62d7edb652cc57be536cece8012bd684" TargetMode="External"/><Relationship Id="rId179" Type="http://schemas.openxmlformats.org/officeDocument/2006/relationships/hyperlink" Target="https://doi.org/10.1145/3532106.3533568" TargetMode="External"/><Relationship Id="rId178" Type="http://schemas.openxmlformats.org/officeDocument/2006/relationships/hyperlink" Target="https://doi.org/10.1145/3663547.3746379" TargetMode="External"/><Relationship Id="rId177" Type="http://schemas.openxmlformats.org/officeDocument/2006/relationships/hyperlink" Target="https://doi.org/10.1145/3706468.3706503" TargetMode="External"/><Relationship Id="rId20" Type="http://schemas.openxmlformats.org/officeDocument/2006/relationships/hyperlink" Target="https://ieeexplore.ieee.org/stamp/stamp.jsp?arnumber=9432104" TargetMode="External"/><Relationship Id="rId22" Type="http://schemas.openxmlformats.org/officeDocument/2006/relationships/hyperlink" Target="https://ieeexplore.ieee.org/stamp/stamp.jsp?arnumber=9204923" TargetMode="External"/><Relationship Id="rId21" Type="http://schemas.openxmlformats.org/officeDocument/2006/relationships/hyperlink" Target="https://ieeexplore.ieee.org/stamp/stamp.jsp?arnumber=9547287" TargetMode="External"/><Relationship Id="rId24" Type="http://schemas.openxmlformats.org/officeDocument/2006/relationships/hyperlink" Target="https://ieeexplore.ieee.org/stamp/stamp.jsp?arnumber=9510421" TargetMode="External"/><Relationship Id="rId23" Type="http://schemas.openxmlformats.org/officeDocument/2006/relationships/hyperlink" Target="https://ieeexplore.ieee.org/stamp/stamp.jsp?arnumber=10686974" TargetMode="External"/><Relationship Id="rId26" Type="http://schemas.openxmlformats.org/officeDocument/2006/relationships/hyperlink" Target="https://ieeexplore.ieee.org/stamp/stamp.jsp?arnumber=10352575" TargetMode="External"/><Relationship Id="rId25" Type="http://schemas.openxmlformats.org/officeDocument/2006/relationships/hyperlink" Target="https://ieeexplore.ieee.org/stamp/stamp.jsp?arnumber=10831758" TargetMode="External"/><Relationship Id="rId28" Type="http://schemas.openxmlformats.org/officeDocument/2006/relationships/hyperlink" Target="https://ieeexplore.ieee.org/stamp/stamp.jsp?arnumber=10510793" TargetMode="External"/><Relationship Id="rId27" Type="http://schemas.openxmlformats.org/officeDocument/2006/relationships/hyperlink" Target="https://ieeexplore.ieee.org/stamp/stamp.jsp?arnumber=10937486" TargetMode="External"/><Relationship Id="rId29" Type="http://schemas.openxmlformats.org/officeDocument/2006/relationships/hyperlink" Target="https://ieeexplore.ieee.org/stamp/stamp.jsp?arnumber=9954764" TargetMode="External"/><Relationship Id="rId11" Type="http://schemas.openxmlformats.org/officeDocument/2006/relationships/hyperlink" Target="https://ieeexplore.ieee.org/stamp/stamp.jsp?arnumber=11036309" TargetMode="External"/><Relationship Id="rId10" Type="http://schemas.openxmlformats.org/officeDocument/2006/relationships/hyperlink" Target="https://ieeexplore.ieee.org/stamp/stamp.jsp?arnumber=11013104" TargetMode="External"/><Relationship Id="rId13" Type="http://schemas.openxmlformats.org/officeDocument/2006/relationships/hyperlink" Target="https://ieeexplore.ieee.org/stamp/stamp.jsp?arnumber=10637003" TargetMode="External"/><Relationship Id="rId12" Type="http://schemas.openxmlformats.org/officeDocument/2006/relationships/hyperlink" Target="https://ieeexplore.ieee.org/stamp/stamp.jsp?arnumber=9061625" TargetMode="External"/><Relationship Id="rId15" Type="http://schemas.openxmlformats.org/officeDocument/2006/relationships/hyperlink" Target="https://ieeexplore.ieee.org/stamp/stamp.jsp?arnumber=10584063" TargetMode="External"/><Relationship Id="rId198" Type="http://schemas.openxmlformats.org/officeDocument/2006/relationships/hyperlink" Target="https://doi.org/10.1145/3584859" TargetMode="External"/><Relationship Id="rId14" Type="http://schemas.openxmlformats.org/officeDocument/2006/relationships/hyperlink" Target="https://ieeexplore.ieee.org/stamp/stamp.jsp?arnumber=10973423" TargetMode="External"/><Relationship Id="rId197" Type="http://schemas.openxmlformats.org/officeDocument/2006/relationships/hyperlink" Target="https://doi.org/10.1145/3406522.3446031" TargetMode="External"/><Relationship Id="rId17" Type="http://schemas.openxmlformats.org/officeDocument/2006/relationships/hyperlink" Target="https://ieeexplore.ieee.org/stamp/stamp.jsp?arnumber=11013597" TargetMode="External"/><Relationship Id="rId196" Type="http://schemas.openxmlformats.org/officeDocument/2006/relationships/hyperlink" Target="https://doi.org/10.1145/3769090" TargetMode="External"/><Relationship Id="rId16" Type="http://schemas.openxmlformats.org/officeDocument/2006/relationships/hyperlink" Target="https://ieeexplore.ieee.org/stamp/stamp.jsp?arnumber=10835027" TargetMode="External"/><Relationship Id="rId195" Type="http://schemas.openxmlformats.org/officeDocument/2006/relationships/hyperlink" Target="https://doi.org/10.1145/3563659.3563673" TargetMode="External"/><Relationship Id="rId19" Type="http://schemas.openxmlformats.org/officeDocument/2006/relationships/hyperlink" Target="https://ieeexplore.ieee.org/stamp/stamp.jsp?arnumber=10774594" TargetMode="External"/><Relationship Id="rId18" Type="http://schemas.openxmlformats.org/officeDocument/2006/relationships/hyperlink" Target="https://ieeexplore.ieee.org/stamp/stamp.jsp?arnumber=10694718" TargetMode="External"/><Relationship Id="rId199" Type="http://schemas.openxmlformats.org/officeDocument/2006/relationships/hyperlink" Target="https://doi.org/10.1145/3715335.3735474" TargetMode="External"/><Relationship Id="rId84" Type="http://schemas.openxmlformats.org/officeDocument/2006/relationships/hyperlink" Target="https://ieeexplore.ieee.org/stamp/stamp.jsp?arnumber=10703057" TargetMode="External"/><Relationship Id="rId83" Type="http://schemas.openxmlformats.org/officeDocument/2006/relationships/hyperlink" Target="https://ieeexplore.ieee.org/stamp/stamp.jsp?arnumber=11002584" TargetMode="External"/><Relationship Id="rId86" Type="http://schemas.openxmlformats.org/officeDocument/2006/relationships/hyperlink" Target="https://ieeexplore.ieee.org/stamp/stamp.jsp?arnumber=10302704" TargetMode="External"/><Relationship Id="rId85" Type="http://schemas.openxmlformats.org/officeDocument/2006/relationships/hyperlink" Target="https://ieeexplore.ieee.org/stamp/stamp.jsp?arnumber=10971279" TargetMode="External"/><Relationship Id="rId88" Type="http://schemas.openxmlformats.org/officeDocument/2006/relationships/hyperlink" Target="https://dl.acm.org/doi/10.1145/3748597" TargetMode="External"/><Relationship Id="rId150" Type="http://schemas.openxmlformats.org/officeDocument/2006/relationships/hyperlink" Target="https://doi.org/10.1145/3544548.3580905" TargetMode="External"/><Relationship Id="rId271" Type="http://schemas.openxmlformats.org/officeDocument/2006/relationships/hyperlink" Target="https://www.scopus.com/inward/record.uri?eid=2-s2.0-85129981787&amp;doi=10.5152%2Fpcp.2022.21281&amp;partnerID=40&amp;md5=d1becb28773923a55a3fc1c43dc171b9" TargetMode="External"/><Relationship Id="rId87" Type="http://schemas.openxmlformats.org/officeDocument/2006/relationships/hyperlink" Target="https://dl.acm.org/doi/10.1145/3718084" TargetMode="External"/><Relationship Id="rId270" Type="http://schemas.openxmlformats.org/officeDocument/2006/relationships/hyperlink" Target="https://www.scopus.com/inward/record.uri?eid=2-s2.0-85123276200&amp;doi=10.1016%2Fj.jns.2021.120121&amp;partnerID=40&amp;md5=8388d6b2945e125c62fad53d19559e3d" TargetMode="External"/><Relationship Id="rId89" Type="http://schemas.openxmlformats.org/officeDocument/2006/relationships/hyperlink" Target="https://dl.acm.org/doi/10.1145/3652988.3673922" TargetMode="External"/><Relationship Id="rId80" Type="http://schemas.openxmlformats.org/officeDocument/2006/relationships/hyperlink" Target="https://ieeexplore.ieee.org/stamp/stamp.jsp?arnumber=9176023" TargetMode="External"/><Relationship Id="rId82" Type="http://schemas.openxmlformats.org/officeDocument/2006/relationships/hyperlink" Target="https://ieeexplore.ieee.org/stamp/stamp.jsp?arnumber=11218026" TargetMode="External"/><Relationship Id="rId81" Type="http://schemas.openxmlformats.org/officeDocument/2006/relationships/hyperlink" Target="https://ieeexplore.ieee.org/stamp/stamp.jsp?arnumber=9102705" TargetMode="External"/><Relationship Id="rId1" Type="http://schemas.openxmlformats.org/officeDocument/2006/relationships/hyperlink" Target="https://pubmed.ncbi.nlm.nih.gov/31904404/" TargetMode="External"/><Relationship Id="rId2" Type="http://schemas.openxmlformats.org/officeDocument/2006/relationships/hyperlink" Target="https://pubmed.ncbi.nlm.nih.gov/33190659/" TargetMode="External"/><Relationship Id="rId3" Type="http://schemas.openxmlformats.org/officeDocument/2006/relationships/hyperlink" Target="https://pubmed.ncbi.nlm.nih.gov/40792221/" TargetMode="External"/><Relationship Id="rId149" Type="http://schemas.openxmlformats.org/officeDocument/2006/relationships/hyperlink" Target="https://doi.org/10.1145/3716553.3750828" TargetMode="External"/><Relationship Id="rId4" Type="http://schemas.openxmlformats.org/officeDocument/2006/relationships/hyperlink" Target="https://ieeexplore.ieee.org/document/8737333" TargetMode="External"/><Relationship Id="rId148" Type="http://schemas.openxmlformats.org/officeDocument/2006/relationships/hyperlink" Target="https://doi.org/10.1145/3641234.3671070" TargetMode="External"/><Relationship Id="rId269" Type="http://schemas.openxmlformats.org/officeDocument/2006/relationships/hyperlink" Target="https://www.scopus.com/inward/record.uri?eid=2-s2.0-85123707716&amp;doi=10.1016%2Fj.conctc.2022.100891&amp;partnerID=40&amp;md5=96d9516b3bcf9e14a3f667aa6c9d3a87" TargetMode="External"/><Relationship Id="rId9" Type="http://schemas.openxmlformats.org/officeDocument/2006/relationships/hyperlink" Target="https://ieeexplore.ieee.org/stamp/stamp.jsp?arnumber=9645921" TargetMode="External"/><Relationship Id="rId143" Type="http://schemas.openxmlformats.org/officeDocument/2006/relationships/hyperlink" Target="https://doi.org/10.1145/3640479.3640503" TargetMode="External"/><Relationship Id="rId264" Type="http://schemas.openxmlformats.org/officeDocument/2006/relationships/hyperlink" Target="https://www.scopus.com/inward/record.uri?eid=2-s2.0-85138784297&amp;doi=10.3389%2Ffdata.2022.978734&amp;partnerID=40&amp;md5=964f6eed2b0842a8eb106faa769e6dbd" TargetMode="External"/><Relationship Id="rId142" Type="http://schemas.openxmlformats.org/officeDocument/2006/relationships/hyperlink" Target="https://doi.org/10.1145/3686892" TargetMode="External"/><Relationship Id="rId263" Type="http://schemas.openxmlformats.org/officeDocument/2006/relationships/hyperlink" Target="https://www.scopus.com/inward/record.uri?eid=2-s2.0-85139292880&amp;doi=10.1037%2Fpag0000710&amp;partnerID=40&amp;md5=2904ab14c9c60957a4ad218f3faa6873" TargetMode="External"/><Relationship Id="rId141" Type="http://schemas.openxmlformats.org/officeDocument/2006/relationships/hyperlink" Target="https://doi.org/10.1145/3491101.3503736" TargetMode="External"/><Relationship Id="rId262" Type="http://schemas.openxmlformats.org/officeDocument/2006/relationships/hyperlink" Target="https://www.scopus.com/inward/record.uri?eid=2-s2.0-85141949649&amp;doi=10.3389%2Ffpubh.2022.955393&amp;partnerID=40&amp;md5=3e2494e3b4ff112259b4f978ccc5792b" TargetMode="External"/><Relationship Id="rId140" Type="http://schemas.openxmlformats.org/officeDocument/2006/relationships/hyperlink" Target="https://doi.org/10.1145/3649165.3690124" TargetMode="External"/><Relationship Id="rId261" Type="http://schemas.openxmlformats.org/officeDocument/2006/relationships/hyperlink" Target="https://www.scopus.com/inward/record.uri?eid=2-s2.0-85144569506&amp;doi=10.3390%2Fijerph192416638&amp;partnerID=40&amp;md5=272c1d08189a694cb918abba854a80f9" TargetMode="External"/><Relationship Id="rId5" Type="http://schemas.openxmlformats.org/officeDocument/2006/relationships/hyperlink" Target="https://ieeexplore.ieee.org/document/10973423" TargetMode="External"/><Relationship Id="rId147" Type="http://schemas.openxmlformats.org/officeDocument/2006/relationships/hyperlink" Target="https://doi.org/10.1145/3769733.3769740" TargetMode="External"/><Relationship Id="rId268" Type="http://schemas.openxmlformats.org/officeDocument/2006/relationships/hyperlink" Target="https://www.scopus.com/inward/record.uri?eid=2-s2.0-85132804438&amp;doi=10.3389%2Ffnhum.2022.921491&amp;partnerID=40&amp;md5=45272d9602f21452787a9752cfe34bb1" TargetMode="External"/><Relationship Id="rId6" Type="http://schemas.openxmlformats.org/officeDocument/2006/relationships/hyperlink" Target="https://ieeexplore.ieee.org/document/8269733/keywords" TargetMode="External"/><Relationship Id="rId146" Type="http://schemas.openxmlformats.org/officeDocument/2006/relationships/hyperlink" Target="https://doi.org/10.1145/3456887.3457488" TargetMode="External"/><Relationship Id="rId267" Type="http://schemas.openxmlformats.org/officeDocument/2006/relationships/hyperlink" Target="https://www.scopus.com/inward/record.uri?eid=2-s2.0-85133100575&amp;doi=10.7554%2FeLife.69308&amp;partnerID=40&amp;md5=1ebfc4133b2a6616bf1445f62883eb51" TargetMode="External"/><Relationship Id="rId7" Type="http://schemas.openxmlformats.org/officeDocument/2006/relationships/hyperlink" Target="https://ieeexplore.ieee.org/document/10584063" TargetMode="External"/><Relationship Id="rId145" Type="http://schemas.openxmlformats.org/officeDocument/2006/relationships/hyperlink" Target="https://doi.org/10.1145/3529225" TargetMode="External"/><Relationship Id="rId266" Type="http://schemas.openxmlformats.org/officeDocument/2006/relationships/hyperlink" Target="https://www.scopus.com/inward/record.uri?eid=2-s2.0-85138001650&amp;doi=10.3389%2Ffnagi.2022.968451&amp;partnerID=40&amp;md5=c2407b081a08a63e18a5db473ef4bf40" TargetMode="External"/><Relationship Id="rId8" Type="http://schemas.openxmlformats.org/officeDocument/2006/relationships/hyperlink" Target="https://ieeexplore.ieee.org/document/11013597" TargetMode="External"/><Relationship Id="rId144" Type="http://schemas.openxmlformats.org/officeDocument/2006/relationships/hyperlink" Target="https://doi.org/10.1145/3584931.3606961" TargetMode="External"/><Relationship Id="rId265" Type="http://schemas.openxmlformats.org/officeDocument/2006/relationships/hyperlink" Target="https://www.scopus.com/inward/record.uri?eid=2-s2.0-85131204643&amp;doi=10.1111%2Faogs.14386&amp;partnerID=40&amp;md5=9bee24ae30584581945e39a327d99fe1" TargetMode="External"/><Relationship Id="rId73" Type="http://schemas.openxmlformats.org/officeDocument/2006/relationships/hyperlink" Target="https://ieeexplore.ieee.org/stamp/stamp.jsp?arnumber=10957155" TargetMode="External"/><Relationship Id="rId72" Type="http://schemas.openxmlformats.org/officeDocument/2006/relationships/hyperlink" Target="https://ieeexplore.ieee.org/stamp/stamp.jsp?arnumber=11023554" TargetMode="External"/><Relationship Id="rId75" Type="http://schemas.openxmlformats.org/officeDocument/2006/relationships/hyperlink" Target="https://ieeexplore.ieee.org/xpl/ebooks/bookPdfWithBanner.jsp?fileName=10180346.pdf&amp;bkn=10180202&amp;pdfType=chapter" TargetMode="External"/><Relationship Id="rId74" Type="http://schemas.openxmlformats.org/officeDocument/2006/relationships/hyperlink" Target="https://ieeexplore.ieee.org/stamp/stamp.jsp?arnumber=10840017" TargetMode="External"/><Relationship Id="rId77" Type="http://schemas.openxmlformats.org/officeDocument/2006/relationships/hyperlink" Target="https://ieeexplore.ieee.org/stamp/stamp.jsp?arnumber=10496111" TargetMode="External"/><Relationship Id="rId260" Type="http://schemas.openxmlformats.org/officeDocument/2006/relationships/hyperlink" Target="https://www.scopus.com/inward/record.uri?eid=2-s2.0-85139857104&amp;doi=10.1016%2Fj.ijchp.2022.100343&amp;partnerID=40&amp;md5=66a2ee3e7ce8cc4ba8c51a7fca8a9b2c" TargetMode="External"/><Relationship Id="rId76" Type="http://schemas.openxmlformats.org/officeDocument/2006/relationships/hyperlink" Target="https://ieeexplore.ieee.org/stamp/stamp.jsp?arnumber=10697352" TargetMode="External"/><Relationship Id="rId79" Type="http://schemas.openxmlformats.org/officeDocument/2006/relationships/hyperlink" Target="https://ieeexplore.ieee.org/stamp/stamp.jsp?arnumber=10450294" TargetMode="External"/><Relationship Id="rId78" Type="http://schemas.openxmlformats.org/officeDocument/2006/relationships/hyperlink" Target="https://ieeexplore.ieee.org/stamp/stamp.jsp?arnumber=9493873" TargetMode="External"/><Relationship Id="rId71" Type="http://schemas.openxmlformats.org/officeDocument/2006/relationships/hyperlink" Target="https://ieeexplore.ieee.org/stamp/stamp.jsp?arnumber=10756217" TargetMode="External"/><Relationship Id="rId70" Type="http://schemas.openxmlformats.org/officeDocument/2006/relationships/hyperlink" Target="https://ieeexplore.ieee.org/stamp/stamp.jsp?arnumber=11118897" TargetMode="External"/><Relationship Id="rId139" Type="http://schemas.openxmlformats.org/officeDocument/2006/relationships/hyperlink" Target="https://doi.org/10.1145/3480433.3480435" TargetMode="External"/><Relationship Id="rId138" Type="http://schemas.openxmlformats.org/officeDocument/2006/relationships/hyperlink" Target="https://doi.org/10.1145/3613905.3636296" TargetMode="External"/><Relationship Id="rId259" Type="http://schemas.openxmlformats.org/officeDocument/2006/relationships/hyperlink" Target="https://www.scopus.com/inward/record.uri?eid=2-s2.0-85170364287&amp;doi=10.3389%2Ffneur.2023.1241481&amp;partnerID=40&amp;md5=7f7b86785195ddffe8091ab97fe6c6bd" TargetMode="External"/><Relationship Id="rId137" Type="http://schemas.openxmlformats.org/officeDocument/2006/relationships/hyperlink" Target="https://doi.org/10.1145/3709363" TargetMode="External"/><Relationship Id="rId258" Type="http://schemas.openxmlformats.org/officeDocument/2006/relationships/hyperlink" Target="https://www.scopus.com/inward/record.uri?eid=2-s2.0-85174292639&amp;doi=10.3389%2Ffnhum.2023.1194714&amp;partnerID=40&amp;md5=95cd0bcfc9be807521fbd0c5ec73cf29" TargetMode="External"/><Relationship Id="rId132" Type="http://schemas.openxmlformats.org/officeDocument/2006/relationships/hyperlink" Target="https://doi.org/10.1145/3744367.3744411" TargetMode="External"/><Relationship Id="rId253" Type="http://schemas.openxmlformats.org/officeDocument/2006/relationships/hyperlink" Target="https://www.scopus.com/inward/record.uri?eid=2-s2.0-85140245851&amp;doi=10.1007%2Fs41105-022-00426-0&amp;partnerID=40&amp;md5=5f49994a355b2b08443c38abf1413394" TargetMode="External"/><Relationship Id="rId131" Type="http://schemas.openxmlformats.org/officeDocument/2006/relationships/hyperlink" Target="https://doi.org/10.1145/3613904.3642187" TargetMode="External"/><Relationship Id="rId252" Type="http://schemas.openxmlformats.org/officeDocument/2006/relationships/hyperlink" Target="https://www.scopus.com/inward/record.uri?eid=2-s2.0-85164502174&amp;doi=10.1051%2Fe3sconf%2F202339601013&amp;partnerID=40&amp;md5=c5e5c8b8ebbbfbcee3099044ee8e3abf" TargetMode="External"/><Relationship Id="rId130" Type="http://schemas.openxmlformats.org/officeDocument/2006/relationships/hyperlink" Target="https://doi.org/10.1145/3427376" TargetMode="External"/><Relationship Id="rId251" Type="http://schemas.openxmlformats.org/officeDocument/2006/relationships/hyperlink" Target="https://www.scopus.com/inward/record.uri?eid=2-s2.0-85147499959&amp;doi=10.1111%2Fbjop.12636&amp;partnerID=40&amp;md5=0e20444c37b6bc8ed2188b3930452935" TargetMode="External"/><Relationship Id="rId250" Type="http://schemas.openxmlformats.org/officeDocument/2006/relationships/hyperlink" Target="https://www.scopus.com/inward/record.uri?eid=2-s2.0-85169158185&amp;doi=10.3390%2Fbrainsci13081174&amp;partnerID=40&amp;md5=b00c37914e0549e49f01e81873d47be8" TargetMode="External"/><Relationship Id="rId136" Type="http://schemas.openxmlformats.org/officeDocument/2006/relationships/hyperlink" Target="https://doi.org/10.1145/3641142.3641156" TargetMode="External"/><Relationship Id="rId257" Type="http://schemas.openxmlformats.org/officeDocument/2006/relationships/hyperlink" Target="https://www.scopus.com/inward/record.uri?eid=2-s2.0-85177762879&amp;doi=10.3389%2Ffnetp.2023.943223&amp;partnerID=40&amp;md5=6282447e41ada2a8f6c1d1dd69d40778" TargetMode="External"/><Relationship Id="rId135" Type="http://schemas.openxmlformats.org/officeDocument/2006/relationships/hyperlink" Target="https://doi.org/10.1145/3485447.3511966" TargetMode="External"/><Relationship Id="rId256" Type="http://schemas.openxmlformats.org/officeDocument/2006/relationships/hyperlink" Target="https://www.scopus.com/inward/record.uri?eid=2-s2.0-85187508198&amp;doi=10.4103%2Fijehe.ijehe_43_22&amp;partnerID=40&amp;md5=37534e1ae9412ba81c8f1928adfa222a" TargetMode="External"/><Relationship Id="rId134" Type="http://schemas.openxmlformats.org/officeDocument/2006/relationships/hyperlink" Target="https://doi.org/10.1145/3462244.3481301" TargetMode="External"/><Relationship Id="rId255" Type="http://schemas.openxmlformats.org/officeDocument/2006/relationships/hyperlink" Target="https://www.scopus.com/inward/record.uri?eid=2-s2.0-85147782488&amp;doi=10.3389%2Ffnbeh.2023.1096122&amp;partnerID=40&amp;md5=6b33484aecc4963c07b81cf5794ad21d" TargetMode="External"/><Relationship Id="rId133" Type="http://schemas.openxmlformats.org/officeDocument/2006/relationships/hyperlink" Target="https://doi.org/10.1145/3545729.3545763" TargetMode="External"/><Relationship Id="rId254" Type="http://schemas.openxmlformats.org/officeDocument/2006/relationships/hyperlink" Target="https://www.scopus.com/inward/record.uri?eid=2-s2.0-85147347312&amp;doi=10.1016%2Fj.bbih.2022.100566&amp;partnerID=40&amp;md5=808a1e5243897cf4467ed926ae7f6cf9" TargetMode="External"/><Relationship Id="rId62" Type="http://schemas.openxmlformats.org/officeDocument/2006/relationships/hyperlink" Target="https://ieeexplore.ieee.org/stamp/stamp.jsp?arnumber=10491103" TargetMode="External"/><Relationship Id="rId61" Type="http://schemas.openxmlformats.org/officeDocument/2006/relationships/hyperlink" Target="https://ieeexplore.ieee.org/stamp/stamp.jsp?arnumber=11022139" TargetMode="External"/><Relationship Id="rId64" Type="http://schemas.openxmlformats.org/officeDocument/2006/relationships/hyperlink" Target="https://ieeexplore.ieee.org/stamp/stamp.jsp?arnumber=10981399" TargetMode="External"/><Relationship Id="rId63" Type="http://schemas.openxmlformats.org/officeDocument/2006/relationships/hyperlink" Target="https://ieeexplore.ieee.org/stamp/stamp.jsp?arnumber=9668373" TargetMode="External"/><Relationship Id="rId66" Type="http://schemas.openxmlformats.org/officeDocument/2006/relationships/hyperlink" Target="https://ieeexplore.ieee.org/stamp/stamp.jsp?arnumber=10960257" TargetMode="External"/><Relationship Id="rId172" Type="http://schemas.openxmlformats.org/officeDocument/2006/relationships/hyperlink" Target="https://doi.org/10.1145/3411763.3441355" TargetMode="External"/><Relationship Id="rId293" Type="http://schemas.openxmlformats.org/officeDocument/2006/relationships/hyperlink" Target="https://www.scopus.com/inward/record.uri?eid=2-s2.0-85081926602&amp;doi=10.3390%2Fph13030045&amp;partnerID=40&amp;md5=63ea0361a566f9a25cd1ff35beec96a7" TargetMode="External"/><Relationship Id="rId65" Type="http://schemas.openxmlformats.org/officeDocument/2006/relationships/hyperlink" Target="https://ieeexplore.ieee.org/stamp/stamp.jsp?arnumber=10818687" TargetMode="External"/><Relationship Id="rId171" Type="http://schemas.openxmlformats.org/officeDocument/2006/relationships/hyperlink" Target="https://doi.org/10.1145/3733155.3736596" TargetMode="External"/><Relationship Id="rId292" Type="http://schemas.openxmlformats.org/officeDocument/2006/relationships/hyperlink" Target="https://www.scopus.com/inward/record.uri?eid=2-s2.0-85083072319&amp;doi=10.1186%2Fs12868-020-00563-7&amp;partnerID=40&amp;md5=8c0a809a25db84211d0b5230cbd1849d" TargetMode="External"/><Relationship Id="rId68" Type="http://schemas.openxmlformats.org/officeDocument/2006/relationships/hyperlink" Target="https://ieeexplore.ieee.org/stamp/stamp.jsp?arnumber=10564031" TargetMode="External"/><Relationship Id="rId170" Type="http://schemas.openxmlformats.org/officeDocument/2006/relationships/hyperlink" Target="https://doi.org/10.1145/3411813" TargetMode="External"/><Relationship Id="rId291" Type="http://schemas.openxmlformats.org/officeDocument/2006/relationships/hyperlink" Target="https://www.scopus.com/inward/record.uri?eid=2-s2.0-85087288587&amp;doi=10.3389%2Ffnagi.2020.00147&amp;partnerID=40&amp;md5=34f05cd816cc7f61733b52f9fccdcae1" TargetMode="External"/><Relationship Id="rId67" Type="http://schemas.openxmlformats.org/officeDocument/2006/relationships/hyperlink" Target="https://ieeexplore.ieee.org/stamp/stamp.jsp?arnumber=10986518" TargetMode="External"/><Relationship Id="rId290" Type="http://schemas.openxmlformats.org/officeDocument/2006/relationships/hyperlink" Target="https://www.scopus.com/inward/record.uri?eid=2-s2.0-85090246435&amp;doi=10.3390%2Fbrainsci10090608&amp;partnerID=40&amp;md5=fc1ff5453e4595bc63e223cc9d771e6d" TargetMode="External"/><Relationship Id="rId60" Type="http://schemas.openxmlformats.org/officeDocument/2006/relationships/hyperlink" Target="https://ieeexplore.ieee.org/stamp/stamp.jsp?arnumber=10782905" TargetMode="External"/><Relationship Id="rId165" Type="http://schemas.openxmlformats.org/officeDocument/2006/relationships/hyperlink" Target="https://doi.org/10.1145/3715275.3732011" TargetMode="External"/><Relationship Id="rId286" Type="http://schemas.openxmlformats.org/officeDocument/2006/relationships/hyperlink" Target="https://www.scopus.com/inward/record.uri?eid=2-s2.0-85164704474&amp;doi=10.1093%2Fsleepadvances%2Fzpab005&amp;partnerID=40&amp;md5=01e7a7ad1ee6fab7f5a2fa550e1fd19a" TargetMode="External"/><Relationship Id="rId69" Type="http://schemas.openxmlformats.org/officeDocument/2006/relationships/hyperlink" Target="https://ieeexplore.ieee.org/stamp/stamp.jsp?arnumber=11086442" TargetMode="External"/><Relationship Id="rId164" Type="http://schemas.openxmlformats.org/officeDocument/2006/relationships/hyperlink" Target="https://doi.org/10.1145/3574198.3574229" TargetMode="External"/><Relationship Id="rId285" Type="http://schemas.openxmlformats.org/officeDocument/2006/relationships/hyperlink" Target="https://www.scopus.com/inward/record.uri?eid=2-s2.0-85103251742&amp;doi=10.1007%2Fs11948-021-00294-w&amp;partnerID=40&amp;md5=dbec3e23f9ac7b32bde5d9cb529cf24c" TargetMode="External"/><Relationship Id="rId163" Type="http://schemas.openxmlformats.org/officeDocument/2006/relationships/hyperlink" Target="https://doi.org/10.1145/3750069.3750329" TargetMode="External"/><Relationship Id="rId284" Type="http://schemas.openxmlformats.org/officeDocument/2006/relationships/hyperlink" Target="https://www.scopus.com/inward/record.uri?eid=2-s2.0-85110597587&amp;doi=10.7752%2Fjpes.2021.04210&amp;partnerID=40&amp;md5=c815b422193f1ad92ab0678b85ff4c3b" TargetMode="External"/><Relationship Id="rId162" Type="http://schemas.openxmlformats.org/officeDocument/2006/relationships/hyperlink" Target="https://doi.org/10.1145/3744736.3749363" TargetMode="External"/><Relationship Id="rId283" Type="http://schemas.openxmlformats.org/officeDocument/2006/relationships/hyperlink" Target="https://www.scopus.com/inward/record.uri?eid=2-s2.0-85111016287&amp;doi=10.1016%2Fj.intell.2021.101563&amp;partnerID=40&amp;md5=ff940989c1f3193abacdef31d9c91c48" TargetMode="External"/><Relationship Id="rId169" Type="http://schemas.openxmlformats.org/officeDocument/2006/relationships/hyperlink" Target="https://doi.org/10.1145/3736702.3744365" TargetMode="External"/><Relationship Id="rId168" Type="http://schemas.openxmlformats.org/officeDocument/2006/relationships/hyperlink" Target="https://doi.org/10.1145/3565066.3609790" TargetMode="External"/><Relationship Id="rId289" Type="http://schemas.openxmlformats.org/officeDocument/2006/relationships/hyperlink" Target="https://www.scopus.com/inward/record.uri?eid=2-s2.0-85097311019&amp;doi=10.1371%2Fjournal.pone.0242857&amp;partnerID=40&amp;md5=52b72dfac3103a131649b9d72671ad75" TargetMode="External"/><Relationship Id="rId167" Type="http://schemas.openxmlformats.org/officeDocument/2006/relationships/hyperlink" Target="https://doi.org/10.1145/3411763.3450407" TargetMode="External"/><Relationship Id="rId288" Type="http://schemas.openxmlformats.org/officeDocument/2006/relationships/hyperlink" Target="https://www.scopus.com/inward/record.uri?eid=2-s2.0-85099843931&amp;doi=10.1016%2Fj.nicl.2021.102559&amp;partnerID=40&amp;md5=95f491ff8b4550a5efd984eaecbbf17e" TargetMode="External"/><Relationship Id="rId166" Type="http://schemas.openxmlformats.org/officeDocument/2006/relationships/hyperlink" Target="https://doi.org/10.1145/3638569.3638581" TargetMode="External"/><Relationship Id="rId287" Type="http://schemas.openxmlformats.org/officeDocument/2006/relationships/hyperlink" Target="https://www.scopus.com/inward/record.uri?eid=2-s2.0-85104676153&amp;doi=10.3390%2Fbrainsci11040481&amp;partnerID=40&amp;md5=c97e0dbb8d4383180fdf1cd4ab293485" TargetMode="External"/><Relationship Id="rId51" Type="http://schemas.openxmlformats.org/officeDocument/2006/relationships/hyperlink" Target="https://ieeexplore.ieee.org/stamp/stamp.jsp?arnumber=10906236" TargetMode="External"/><Relationship Id="rId50" Type="http://schemas.openxmlformats.org/officeDocument/2006/relationships/hyperlink" Target="https://ieeexplore.ieee.org/stamp/stamp.jsp?arnumber=11077496" TargetMode="External"/><Relationship Id="rId53" Type="http://schemas.openxmlformats.org/officeDocument/2006/relationships/hyperlink" Target="https://ieeexplore.ieee.org/stamp/stamp.jsp?arnumber=10340014" TargetMode="External"/><Relationship Id="rId52" Type="http://schemas.openxmlformats.org/officeDocument/2006/relationships/hyperlink" Target="https://ieeexplore.ieee.org/stamp/stamp.jsp?arnumber=9945131" TargetMode="External"/><Relationship Id="rId55" Type="http://schemas.openxmlformats.org/officeDocument/2006/relationships/hyperlink" Target="https://ieeexplore.ieee.org/stamp/stamp.jsp?arnumber=11166945" TargetMode="External"/><Relationship Id="rId161" Type="http://schemas.openxmlformats.org/officeDocument/2006/relationships/hyperlink" Target="https://doi.org/10.1145/3726986.3727033" TargetMode="External"/><Relationship Id="rId282" Type="http://schemas.openxmlformats.org/officeDocument/2006/relationships/hyperlink" Target="https://www.scopus.com/inward/record.uri?eid=2-s2.0-85097007509&amp;doi=10.1007%2Fs10111-020-00653-w&amp;partnerID=40&amp;md5=4158c0f9b0aba03806a764fc08386811" TargetMode="External"/><Relationship Id="rId54" Type="http://schemas.openxmlformats.org/officeDocument/2006/relationships/hyperlink" Target="https://ieeexplore.ieee.org/stamp/stamp.jsp?arnumber=9507705" TargetMode="External"/><Relationship Id="rId160" Type="http://schemas.openxmlformats.org/officeDocument/2006/relationships/hyperlink" Target="https://doi.org/10.1145/3652596" TargetMode="External"/><Relationship Id="rId281" Type="http://schemas.openxmlformats.org/officeDocument/2006/relationships/hyperlink" Target="https://www.scopus.com/inward/record.uri?eid=2-s2.0-85120853285&amp;doi=10.3389%2Ffpsyt.2021.710338&amp;partnerID=40&amp;md5=25c82bb1c7c949181c3e0847c44463cb" TargetMode="External"/><Relationship Id="rId57" Type="http://schemas.openxmlformats.org/officeDocument/2006/relationships/hyperlink" Target="https://ieeexplore.ieee.org/stamp/stamp.jsp?arnumber=10805713" TargetMode="External"/><Relationship Id="rId280" Type="http://schemas.openxmlformats.org/officeDocument/2006/relationships/hyperlink" Target="https://www.scopus.com/inward/record.uri?eid=2-s2.0-85113983305&amp;doi=10.1038%2Fs41598-021-96718-5&amp;partnerID=40&amp;md5=1b0ccae1e9500da9302b3f3ff26cfb22" TargetMode="External"/><Relationship Id="rId56" Type="http://schemas.openxmlformats.org/officeDocument/2006/relationships/hyperlink" Target="https://ieeexplore.ieee.org/stamp/stamp.jsp?arnumber=10706793" TargetMode="External"/><Relationship Id="rId159" Type="http://schemas.openxmlformats.org/officeDocument/2006/relationships/hyperlink" Target="https://doi.org/10.1145/3531146.3533176" TargetMode="External"/><Relationship Id="rId59" Type="http://schemas.openxmlformats.org/officeDocument/2006/relationships/hyperlink" Target="https://ieeexplore.ieee.org/stamp/stamp.jsp?arnumber=10882247" TargetMode="External"/><Relationship Id="rId154" Type="http://schemas.openxmlformats.org/officeDocument/2006/relationships/hyperlink" Target="https://doi.org/10.1145/3638380.3638415" TargetMode="External"/><Relationship Id="rId275" Type="http://schemas.openxmlformats.org/officeDocument/2006/relationships/hyperlink" Target="https://www.scopus.com/inward/record.uri?eid=2-s2.0-85172694478&amp;doi=10.26685%2Furncst.270&amp;partnerID=40&amp;md5=8329d5b1bd096014356cbb83dc304406" TargetMode="External"/><Relationship Id="rId58" Type="http://schemas.openxmlformats.org/officeDocument/2006/relationships/hyperlink" Target="https://ieeexplore.ieee.org/stamp/stamp.jsp?arnumber=9855075" TargetMode="External"/><Relationship Id="rId153" Type="http://schemas.openxmlformats.org/officeDocument/2006/relationships/hyperlink" Target="https://doi.org/10.1145/3644116.3644255" TargetMode="External"/><Relationship Id="rId274" Type="http://schemas.openxmlformats.org/officeDocument/2006/relationships/hyperlink" Target="https://www.scopus.com/inward/record.uri?eid=2-s2.0-85124349698&amp;doi=10.3390%2Fbrainsci12020229&amp;partnerID=40&amp;md5=151790c71631a401012dba1400ea6942" TargetMode="External"/><Relationship Id="rId152" Type="http://schemas.openxmlformats.org/officeDocument/2006/relationships/hyperlink" Target="https://doi.org/10.1145/3652595" TargetMode="External"/><Relationship Id="rId273" Type="http://schemas.openxmlformats.org/officeDocument/2006/relationships/hyperlink" Target="https://www.scopus.com/inward/record.uri?eid=2-s2.0-85126061778&amp;doi=10.3390%2Fjcm11051440&amp;partnerID=40&amp;md5=658b78f871dbd6faea078ae12693150c" TargetMode="External"/><Relationship Id="rId151" Type="http://schemas.openxmlformats.org/officeDocument/2006/relationships/hyperlink" Target="https://doi.org/10.1145/3590767" TargetMode="External"/><Relationship Id="rId272" Type="http://schemas.openxmlformats.org/officeDocument/2006/relationships/hyperlink" Target="https://www.scopus.com/inward/record.uri?eid=2-s2.0-85126593924&amp;doi=10.3390%2Fbrainsci12030363&amp;partnerID=40&amp;md5=7e20a670609131918359aa3b3eeb3d5d" TargetMode="External"/><Relationship Id="rId158" Type="http://schemas.openxmlformats.org/officeDocument/2006/relationships/hyperlink" Target="https://doi.org/10.1145/3764578" TargetMode="External"/><Relationship Id="rId279" Type="http://schemas.openxmlformats.org/officeDocument/2006/relationships/hyperlink" Target="https://www.scopus.com/inward/record.uri?eid=2-s2.0-85119300772&amp;doi=10.1038%2Fs41598-021-01645-0&amp;partnerID=40&amp;md5=f077981bd0889b858118269dd190bcf9" TargetMode="External"/><Relationship Id="rId157" Type="http://schemas.openxmlformats.org/officeDocument/2006/relationships/hyperlink" Target="https://doi.org/10.1145/3706598.3713132" TargetMode="External"/><Relationship Id="rId278" Type="http://schemas.openxmlformats.org/officeDocument/2006/relationships/hyperlink" Target="https://www.scopus.com/inward/record.uri?eid=2-s2.0-85122338799&amp;doi=10.3389%2Ffpsyt.2021.721874&amp;partnerID=40&amp;md5=0b61983ac06d7771950ddc7db78b97dd" TargetMode="External"/><Relationship Id="rId156" Type="http://schemas.openxmlformats.org/officeDocument/2006/relationships/hyperlink" Target="https://doi.org/10.1145/3491101.3503821" TargetMode="External"/><Relationship Id="rId277" Type="http://schemas.openxmlformats.org/officeDocument/2006/relationships/hyperlink" Target="https://www.scopus.com/inward/record.uri?eid=2-s2.0-85135240786&amp;doi=10.15540%2Fnr.9.2.68&amp;partnerID=40&amp;md5=a41c435f4373451395ae5f7c73b9c273" TargetMode="External"/><Relationship Id="rId155" Type="http://schemas.openxmlformats.org/officeDocument/2006/relationships/hyperlink" Target="https://doi.org/10.1145/3411837" TargetMode="External"/><Relationship Id="rId276" Type="http://schemas.openxmlformats.org/officeDocument/2006/relationships/hyperlink" Target="https://www.scopus.com/inward/record.uri?eid=2-s2.0-85140758016&amp;doi=10.15540%2FNR.9.3.127&amp;partnerID=40&amp;md5=ab0107ad647536b76ea34582cc17ee75" TargetMode="External"/><Relationship Id="rId107" Type="http://schemas.openxmlformats.org/officeDocument/2006/relationships/hyperlink" Target="https://doi.org/10.1109/TCBB.2022.3222592" TargetMode="External"/><Relationship Id="rId228" Type="http://schemas.openxmlformats.org/officeDocument/2006/relationships/hyperlink" Target="https://www.scopus.com/inward/record.uri?eid=2-s2.0-85213442897&amp;doi=10.3390%2Fbrainsci14121229&amp;partnerID=40&amp;md5=53327fac85b40ac1b66383cc8439c1a3" TargetMode="External"/><Relationship Id="rId106" Type="http://schemas.openxmlformats.org/officeDocument/2006/relationships/hyperlink" Target="https://doi.org/10.1145/3706890.3707030" TargetMode="External"/><Relationship Id="rId227" Type="http://schemas.openxmlformats.org/officeDocument/2006/relationships/hyperlink" Target="https://www.scopus.com/inward/record.uri?eid=2-s2.0-105000374738&amp;doi=10.1093%2Fbraincomms%2Ffcaf082&amp;partnerID=40&amp;md5=c513114aa57088e56152721350c2e3bb" TargetMode="External"/><Relationship Id="rId105" Type="http://schemas.openxmlformats.org/officeDocument/2006/relationships/hyperlink" Target="https://doi.org/10.1145/3613904.3642256" TargetMode="External"/><Relationship Id="rId226" Type="http://schemas.openxmlformats.org/officeDocument/2006/relationships/hyperlink" Target="https://www.scopus.com/inward/record.uri?eid=2-s2.0-105001432476&amp;doi=10.3389%2Ffnhum.2025.1549824&amp;partnerID=40&amp;md5=25ea833f7cb0332a776e71e8b66cce16" TargetMode="External"/><Relationship Id="rId104" Type="http://schemas.openxmlformats.org/officeDocument/2006/relationships/hyperlink" Target="https://doi.org/10.1145/3603621" TargetMode="External"/><Relationship Id="rId225" Type="http://schemas.openxmlformats.org/officeDocument/2006/relationships/hyperlink" Target="https://www.scopus.com/inward/record.uri?eid=2-s2.0-105003088584&amp;doi=10.1109%2FACCESS.2025.3553932&amp;partnerID=40&amp;md5=1db7d24474e33d2cbb19575b6335f19b" TargetMode="External"/><Relationship Id="rId109" Type="http://schemas.openxmlformats.org/officeDocument/2006/relationships/hyperlink" Target="https://doi.org/10.1145/3742899" TargetMode="External"/><Relationship Id="rId108" Type="http://schemas.openxmlformats.org/officeDocument/2006/relationships/hyperlink" Target="https://doi.org/10.1145/3594806.3596587" TargetMode="External"/><Relationship Id="rId229" Type="http://schemas.openxmlformats.org/officeDocument/2006/relationships/hyperlink" Target="https://www.scopus.com/inward/record.uri?eid=2-s2.0-85205434657&amp;doi=10.1016%2Fj.bbih.2024.100877&amp;partnerID=40&amp;md5=e0c79c7585c14e28d20b7d8d0c0eb8e1" TargetMode="External"/><Relationship Id="rId220" Type="http://schemas.openxmlformats.org/officeDocument/2006/relationships/hyperlink" Target="https://www.scopus.com/inward/record.uri?eid=2-s2.0-105014085492&amp;doi=10.3389%2Ffnagi.2025.1526088&amp;partnerID=40&amp;md5=21babf14dd75b697e4d8976c34b39534" TargetMode="External"/><Relationship Id="rId103" Type="http://schemas.openxmlformats.org/officeDocument/2006/relationships/hyperlink" Target="https://doi.org/10.1145/3652037.3663923" TargetMode="External"/><Relationship Id="rId224" Type="http://schemas.openxmlformats.org/officeDocument/2006/relationships/hyperlink" Target="https://www.scopus.com/inward/record.uri?eid=2-s2.0-105006822568&amp;doi=10.62486%2Flatia202572&amp;partnerID=40&amp;md5=af08b767d29aaaf41e4f02b31ae9ba6a" TargetMode="External"/><Relationship Id="rId102" Type="http://schemas.openxmlformats.org/officeDocument/2006/relationships/hyperlink" Target="https://doi.org/10.1145/3746259.3760432" TargetMode="External"/><Relationship Id="rId223" Type="http://schemas.openxmlformats.org/officeDocument/2006/relationships/hyperlink" Target="https://www.scopus.com/inward/record.uri?eid=2-s2.0-105008001232&amp;doi=10.3389%2Ffneur.2025.1587296&amp;partnerID=40&amp;md5=0f9a76c80d4885820675ac838abbf91a" TargetMode="External"/><Relationship Id="rId101" Type="http://schemas.openxmlformats.org/officeDocument/2006/relationships/hyperlink" Target="https://doi.org/10.1145/3756580.3756659" TargetMode="External"/><Relationship Id="rId222" Type="http://schemas.openxmlformats.org/officeDocument/2006/relationships/hyperlink" Target="https://www.scopus.com/inward/record.uri?eid=2-s2.0-105012846159&amp;doi=10.1007%2Fs00146-025-02559-5&amp;partnerID=40&amp;md5=2fc235da9292251045353a958cc072bd" TargetMode="External"/><Relationship Id="rId100" Type="http://schemas.openxmlformats.org/officeDocument/2006/relationships/hyperlink" Target="https://doi.org/10.1145/3716553.3750826" TargetMode="External"/><Relationship Id="rId221" Type="http://schemas.openxmlformats.org/officeDocument/2006/relationships/hyperlink" Target="https://www.scopus.com/inward/record.uri?eid=2-s2.0-105013668210&amp;doi=10.3389%2Ffpsyt.2025.1594307&amp;partnerID=40&amp;md5=223851343e3ec472429a622946c733f6" TargetMode="External"/><Relationship Id="rId217" Type="http://schemas.openxmlformats.org/officeDocument/2006/relationships/hyperlink" Target="https://www.scopus.com/inward/record.uri?eid=2-s2.0-85217550640&amp;doi=10.3390%2Fbuildings15030339&amp;partnerID=40&amp;md5=f9cba2bf87a0f9f4a5bcf9c7b6a56960" TargetMode="External"/><Relationship Id="rId216" Type="http://schemas.openxmlformats.org/officeDocument/2006/relationships/hyperlink" Target="https://www.scopus.com/inward/record.uri?eid=2-s2.0-85218863353&amp;doi=10.3390%2Fjcm14041337&amp;partnerID=40&amp;md5=3a0882afba112104e966430f5dfc56db" TargetMode="External"/><Relationship Id="rId215" Type="http://schemas.openxmlformats.org/officeDocument/2006/relationships/hyperlink" Target="https://www.scopus.com/inward/record.uri?eid=2-s2.0-105003754356&amp;doi=10.3390%2Fs25082580&amp;partnerID=40&amp;md5=22720a6d6cf3ee6407b978e1300d37c8" TargetMode="External"/><Relationship Id="rId214" Type="http://schemas.openxmlformats.org/officeDocument/2006/relationships/hyperlink" Target="https://www.scopus.com/inward/record.uri?eid=2-s2.0-105009086613&amp;doi=10.3390%2Fbrainsci15060657&amp;partnerID=40&amp;md5=dfcb4712deb7bc1641159c344ca3ad7a" TargetMode="External"/><Relationship Id="rId219" Type="http://schemas.openxmlformats.org/officeDocument/2006/relationships/hyperlink" Target="https://www.scopus.com/inward/record.uri?eid=2-s2.0-85214116775&amp;doi=10.1371%2Fjournal.pone.0316252&amp;partnerID=40&amp;md5=f6a8e0acb54058c1606fc8ed916737f1" TargetMode="External"/><Relationship Id="rId218" Type="http://schemas.openxmlformats.org/officeDocument/2006/relationships/hyperlink" Target="https://www.scopus.com/inward/record.uri?eid=2-s2.0-85219498066&amp;doi=10.32598%2Fbcn.2021.2295.2&amp;partnerID=40&amp;md5=0aaa184351f7bc5c6164b7b84db385b6" TargetMode="External"/><Relationship Id="rId213" Type="http://schemas.openxmlformats.org/officeDocument/2006/relationships/hyperlink" Target="https://www.scopus.com/inward/record.uri?eid=2-s2.0-105011638378&amp;doi=10.3390%2Fjimaging11070237&amp;partnerID=40&amp;md5=c75149b5736b4f6a5c5c04f30ec6ca9b" TargetMode="External"/><Relationship Id="rId212" Type="http://schemas.openxmlformats.org/officeDocument/2006/relationships/hyperlink" Target="https://www.scopus.com/inward/record.uri?eid=2-s2.0-105015705994&amp;doi=10.4103%2Fnah.nah_176_24&amp;partnerID=40&amp;md5=6ae199ab08db291ff28050a42346d172" TargetMode="External"/><Relationship Id="rId211" Type="http://schemas.openxmlformats.org/officeDocument/2006/relationships/hyperlink" Target="https://www.scopus.com/inward/record.uri?eid=2-s2.0-105014333567&amp;doi=10.3390%2Fbuildings15162813&amp;partnerID=40&amp;md5=08729e25b38bc7e9f4b45b5305854215" TargetMode="External"/><Relationship Id="rId210" Type="http://schemas.openxmlformats.org/officeDocument/2006/relationships/hyperlink" Target="https://www.scopus.com/inward/record.uri?eid=2-s2.0-105016631229&amp;doi=10.1177%2F03331024251364843&amp;partnerID=40&amp;md5=32917f555c0b042dfad7526f0bcb2061" TargetMode="External"/><Relationship Id="rId129" Type="http://schemas.openxmlformats.org/officeDocument/2006/relationships/hyperlink" Target="https://doi.org/10.1145/3715071.3750412" TargetMode="External"/><Relationship Id="rId128" Type="http://schemas.openxmlformats.org/officeDocument/2006/relationships/hyperlink" Target="https://doi.org/10.1145/3411763.3451732" TargetMode="External"/><Relationship Id="rId249" Type="http://schemas.openxmlformats.org/officeDocument/2006/relationships/hyperlink" Target="https://www.scopus.com/inward/record.uri?eid=2-s2.0-85172452307&amp;doi=10.1093%2Fijnp%2Fpyad050&amp;partnerID=40&amp;md5=d7a32d30347c9fc80b0448f9fc14bba0" TargetMode="External"/><Relationship Id="rId127" Type="http://schemas.openxmlformats.org/officeDocument/2006/relationships/hyperlink" Target="https://doi.org/10.1145/3675094.3678365" TargetMode="External"/><Relationship Id="rId248" Type="http://schemas.openxmlformats.org/officeDocument/2006/relationships/hyperlink" Target="https://www.scopus.com/inward/record.uri?eid=2-s2.0-85170370500&amp;doi=10.1038%2Fs41598-023-34517-w&amp;partnerID=40&amp;md5=362ab7b02d354b47c378873f5c2e286d" TargetMode="External"/><Relationship Id="rId126" Type="http://schemas.openxmlformats.org/officeDocument/2006/relationships/hyperlink" Target="https://doi.org/10.1145/3719160.3736623" TargetMode="External"/><Relationship Id="rId247" Type="http://schemas.openxmlformats.org/officeDocument/2006/relationships/hyperlink" Target="https://www.scopus.com/inward/record.uri?eid=2-s2.0-85194179823&amp;doi=10.3389%2Ffnhum.2024.1339444&amp;partnerID=40&amp;md5=ec8f7645f3e5e07199567bd97489c831" TargetMode="External"/><Relationship Id="rId121" Type="http://schemas.openxmlformats.org/officeDocument/2006/relationships/hyperlink" Target="https://doi.org/10.1145/3613905.3650856" TargetMode="External"/><Relationship Id="rId242" Type="http://schemas.openxmlformats.org/officeDocument/2006/relationships/hyperlink" Target="https://www.scopus.com/inward/record.uri?eid=2-s2.0-85180236389&amp;doi=10.1038%2Fs41380-023-02329-z&amp;partnerID=40&amp;md5=276fb0d51e79a88fd81aaf26ba45734b" TargetMode="External"/><Relationship Id="rId120" Type="http://schemas.openxmlformats.org/officeDocument/2006/relationships/hyperlink" Target="https://doi.org/10.1145/3656650.3656657" TargetMode="External"/><Relationship Id="rId241" Type="http://schemas.openxmlformats.org/officeDocument/2006/relationships/hyperlink" Target="https://www.scopus.com/inward/record.uri?eid=2-s2.0-85184013375&amp;doi=10.1093%2Fcercor%2Fbhad515&amp;partnerID=40&amp;md5=b50616f30bb750d1e489a441ead98181" TargetMode="External"/><Relationship Id="rId240" Type="http://schemas.openxmlformats.org/officeDocument/2006/relationships/hyperlink" Target="https://www.scopus.com/inward/record.uri?eid=2-s2.0-85183991218&amp;doi=10.1016%2Fj.prime.2024.100448&amp;partnerID=40&amp;md5=c808a8a78749760a1ba0294131bbc596" TargetMode="External"/><Relationship Id="rId125" Type="http://schemas.openxmlformats.org/officeDocument/2006/relationships/hyperlink" Target="https://doi.org/10.1145/3489849.3489952" TargetMode="External"/><Relationship Id="rId246" Type="http://schemas.openxmlformats.org/officeDocument/2006/relationships/hyperlink" Target="https://www.scopus.com/inward/record.uri?eid=2-s2.0-85200670789&amp;doi=10.2147%2FNDT.S458106&amp;partnerID=40&amp;md5=1972d361ba2a9e545cee88afc0510482" TargetMode="External"/><Relationship Id="rId124" Type="http://schemas.openxmlformats.org/officeDocument/2006/relationships/hyperlink" Target="https://doi.org/10.1145/3568162.3576987" TargetMode="External"/><Relationship Id="rId245" Type="http://schemas.openxmlformats.org/officeDocument/2006/relationships/hyperlink" Target="https://www.scopus.com/inward/record.uri?eid=2-s2.0-85201819430&amp;doi=10.3389%2Ffnins.2024.1408526&amp;partnerID=40&amp;md5=ed80d6785dced9ffebc3dacfd1670549" TargetMode="External"/><Relationship Id="rId123" Type="http://schemas.openxmlformats.org/officeDocument/2006/relationships/hyperlink" Target="https://doi.org/10.1145/3397391.3397432" TargetMode="External"/><Relationship Id="rId244" Type="http://schemas.openxmlformats.org/officeDocument/2006/relationships/hyperlink" Target="https://www.scopus.com/inward/record.uri?eid=2-s2.0-85204294626&amp;doi=10.3389%2Ffams.2024.1426253&amp;partnerID=40&amp;md5=8550b39c85a699289128d33a68752a5e" TargetMode="External"/><Relationship Id="rId122" Type="http://schemas.openxmlformats.org/officeDocument/2006/relationships/hyperlink" Target="https://doi.org/10.1145/3594534" TargetMode="External"/><Relationship Id="rId243" Type="http://schemas.openxmlformats.org/officeDocument/2006/relationships/hyperlink" Target="https://www.scopus.com/inward/record.uri?eid=2-s2.0-85213055806&amp;doi=10.3389%2Ffpsyg.2024.1412289&amp;partnerID=40&amp;md5=5b59096b8488fdc38e1d07dcf6c979cd" TargetMode="External"/><Relationship Id="rId95" Type="http://schemas.openxmlformats.org/officeDocument/2006/relationships/hyperlink" Target="https://doi.org/10.1145/3757732" TargetMode="External"/><Relationship Id="rId94" Type="http://schemas.openxmlformats.org/officeDocument/2006/relationships/hyperlink" Target="https://doi.org/10.1145/3689050.3705999" TargetMode="External"/><Relationship Id="rId97" Type="http://schemas.openxmlformats.org/officeDocument/2006/relationships/hyperlink" Target="https://doi.org/10.1145/3594806.3596592" TargetMode="External"/><Relationship Id="rId96" Type="http://schemas.openxmlformats.org/officeDocument/2006/relationships/hyperlink" Target="https://doi.org/10.1145/3704522.3704556" TargetMode="External"/><Relationship Id="rId99" Type="http://schemas.openxmlformats.org/officeDocument/2006/relationships/hyperlink" Target="https://doi.org/10.1145/3711896.3737397" TargetMode="External"/><Relationship Id="rId98" Type="http://schemas.openxmlformats.org/officeDocument/2006/relationships/hyperlink" Target="https://doi.org/10.1145/3372043" TargetMode="External"/><Relationship Id="rId91" Type="http://schemas.openxmlformats.org/officeDocument/2006/relationships/hyperlink" Target="https://doi.org/10.1145/3637732.3637786" TargetMode="External"/><Relationship Id="rId90" Type="http://schemas.openxmlformats.org/officeDocument/2006/relationships/hyperlink" Target="https://doi.org/10.1145/3703847.3703890" TargetMode="External"/><Relationship Id="rId93" Type="http://schemas.openxmlformats.org/officeDocument/2006/relationships/hyperlink" Target="https://doi.org/10.1145/3411811" TargetMode="External"/><Relationship Id="rId92" Type="http://schemas.openxmlformats.org/officeDocument/2006/relationships/hyperlink" Target="https://doi.org/10.1145/3571297" TargetMode="External"/><Relationship Id="rId118" Type="http://schemas.openxmlformats.org/officeDocument/2006/relationships/hyperlink" Target="https://doi.org/10.1145/3640471.3680235" TargetMode="External"/><Relationship Id="rId239" Type="http://schemas.openxmlformats.org/officeDocument/2006/relationships/hyperlink" Target="https://www.scopus.com/inward/record.uri?eid=2-s2.0-85188915840&amp;doi=10.3390%2Fmake6010011&amp;partnerID=40&amp;md5=a4debee62344f1c1a08d2ea33ce45ee2" TargetMode="External"/><Relationship Id="rId117" Type="http://schemas.openxmlformats.org/officeDocument/2006/relationships/hyperlink" Target="https://doi.org/10.1145/3644116.3644219" TargetMode="External"/><Relationship Id="rId238" Type="http://schemas.openxmlformats.org/officeDocument/2006/relationships/hyperlink" Target="https://www.scopus.com/inward/record.uri?eid=2-s2.0-85192452023&amp;doi=10.3390%2Fapp14072699&amp;partnerID=40&amp;md5=4821853b1a3bb0bba375347e70ba6c98" TargetMode="External"/><Relationship Id="rId116" Type="http://schemas.openxmlformats.org/officeDocument/2006/relationships/hyperlink" Target="https://doi.org/10.1145/3392063.3394424" TargetMode="External"/><Relationship Id="rId237" Type="http://schemas.openxmlformats.org/officeDocument/2006/relationships/hyperlink" Target="https://www.scopus.com/inward/record.uri?eid=2-s2.0-85196905848&amp;doi=10.3390%2Fbrainsci14060578&amp;partnerID=40&amp;md5=1fcca2cf66842726ed1a3907e0adaa35" TargetMode="External"/><Relationship Id="rId115" Type="http://schemas.openxmlformats.org/officeDocument/2006/relationships/hyperlink" Target="https://doi.org/10.1145/3500931.3500978" TargetMode="External"/><Relationship Id="rId236" Type="http://schemas.openxmlformats.org/officeDocument/2006/relationships/hyperlink" Target="https://www.scopus.com/inward/record.uri?eid=2-s2.0-85197216086&amp;doi=10.3390%2Fbiomedicines12061269&amp;partnerID=40&amp;md5=066de98a485fc9b15a6058b15c83004f" TargetMode="External"/><Relationship Id="rId119" Type="http://schemas.openxmlformats.org/officeDocument/2006/relationships/hyperlink" Target="https://doi.org/10.1145/3544548.3581189" TargetMode="External"/><Relationship Id="rId110" Type="http://schemas.openxmlformats.org/officeDocument/2006/relationships/hyperlink" Target="https://doi.org/10.1145/3720551" TargetMode="External"/><Relationship Id="rId231" Type="http://schemas.openxmlformats.org/officeDocument/2006/relationships/hyperlink" Target="https://www.scopus.com/inward/record.uri?eid=2-s2.0-85206872952&amp;doi=10.1098%2Frstb.2024.0186&amp;partnerID=40&amp;md5=36423cec51acf8aa822f7bd764873378" TargetMode="External"/><Relationship Id="rId230" Type="http://schemas.openxmlformats.org/officeDocument/2006/relationships/hyperlink" Target="https://www.scopus.com/inward/record.uri?eid=2-s2.0-85207384716&amp;doi=10.47197%2Fretos.v60.108998&amp;partnerID=40&amp;md5=f1d2b78e6d41d8f652d9f50c5c841888" TargetMode="External"/><Relationship Id="rId114" Type="http://schemas.openxmlformats.org/officeDocument/2006/relationships/hyperlink" Target="https://doi.org/10.1145/3745034.3745039" TargetMode="External"/><Relationship Id="rId235" Type="http://schemas.openxmlformats.org/officeDocument/2006/relationships/hyperlink" Target="https://www.scopus.com/inward/record.uri?eid=2-s2.0-85203872161&amp;doi=10.3390%2Fs24175725&amp;partnerID=40&amp;md5=7a0b6beb270c723ece4607ab6b028d63" TargetMode="External"/><Relationship Id="rId113" Type="http://schemas.openxmlformats.org/officeDocument/2006/relationships/hyperlink" Target="https://doi.org/10.1145/3706598.3713270" TargetMode="External"/><Relationship Id="rId234" Type="http://schemas.openxmlformats.org/officeDocument/2006/relationships/hyperlink" Target="https://www.scopus.com/inward/record.uri?eid=2-s2.0-85212629141&amp;doi=10.32598%2Fbcn.2021.2525.1&amp;partnerID=40&amp;md5=b9605df8cb8b0d4b43eefb8ca3801c61" TargetMode="External"/><Relationship Id="rId112" Type="http://schemas.openxmlformats.org/officeDocument/2006/relationships/hyperlink" Target="https://doi.org/10.1145/3676527" TargetMode="External"/><Relationship Id="rId233" Type="http://schemas.openxmlformats.org/officeDocument/2006/relationships/hyperlink" Target="https://www.scopus.com/inward/record.uri?eid=2-s2.0-85207641229&amp;doi=10.3390%2Fbrainsci14101036&amp;partnerID=40&amp;md5=e81512787351a072a27fbf5789f45901" TargetMode="External"/><Relationship Id="rId111" Type="http://schemas.openxmlformats.org/officeDocument/2006/relationships/hyperlink" Target="https://doi.org/10.1145/3706598.3713802" TargetMode="External"/><Relationship Id="rId232" Type="http://schemas.openxmlformats.org/officeDocument/2006/relationships/hyperlink" Target="https://www.scopus.com/inward/record.uri?eid=2-s2.0-85206872291&amp;doi=10.1098%2Frstb.2023.0095&amp;partnerID=40&amp;md5=609160d668832a36c6a64c2259265918" TargetMode="External"/><Relationship Id="rId206" Type="http://schemas.openxmlformats.org/officeDocument/2006/relationships/hyperlink" Target="https://www.scopus.com/inward/record.uri?eid=2-s2.0-105017554919&amp;doi=10.15627%2Fjd.2025.23&amp;partnerID=40&amp;md5=2d2040446bbb14128eb910c301914334" TargetMode="External"/><Relationship Id="rId205" Type="http://schemas.openxmlformats.org/officeDocument/2006/relationships/hyperlink" Target="https://www.scopus.com/inward/record.uri?eid=2-s2.0-105017610930&amp;doi=10.1038%2Fs41598-025-18629-z&amp;partnerID=40&amp;md5=3252dd909bd5f6250b844de4f2bd7603" TargetMode="External"/><Relationship Id="rId204" Type="http://schemas.openxmlformats.org/officeDocument/2006/relationships/hyperlink" Target="https://doi.org/10.1145/3415263.3419144" TargetMode="External"/><Relationship Id="rId203" Type="http://schemas.openxmlformats.org/officeDocument/2006/relationships/hyperlink" Target="https://doi.org/10.1145/3479507" TargetMode="External"/><Relationship Id="rId209" Type="http://schemas.openxmlformats.org/officeDocument/2006/relationships/hyperlink" Target="https://www.scopus.com/inward/record.uri?eid=2-s2.0-105006745816&amp;doi=10.1016%2Fj.jad.2025.119477&amp;partnerID=40&amp;md5=30d077918e60401b7842ab482bdbcbc2" TargetMode="External"/><Relationship Id="rId208" Type="http://schemas.openxmlformats.org/officeDocument/2006/relationships/hyperlink" Target="https://www.scopus.com/inward/record.uri?eid=2-s2.0-105013779074&amp;doi=10.1016%2Fj.smrv.2025.102153&amp;partnerID=40&amp;md5=6af0b86d477821dbd582dd3a45d8991f" TargetMode="External"/><Relationship Id="rId207" Type="http://schemas.openxmlformats.org/officeDocument/2006/relationships/hyperlink" Target="https://www.scopus.com/inward/record.uri?eid=2-s2.0-105015480737&amp;doi=10.1186%2Fs13102-025-01320-1&amp;partnerID=40&amp;md5=e65b50281140b1d4a2430b3ca00ac857" TargetMode="External"/><Relationship Id="rId202" Type="http://schemas.openxmlformats.org/officeDocument/2006/relationships/hyperlink" Target="https://doi.org/10.1145/3360774.3360789" TargetMode="External"/><Relationship Id="rId201" Type="http://schemas.openxmlformats.org/officeDocument/2006/relationships/hyperlink" Target="https://doi.org/10.1145/3401335.3401684" TargetMode="External"/><Relationship Id="rId200" Type="http://schemas.openxmlformats.org/officeDocument/2006/relationships/hyperlink" Target="https://doi.org/10.1145/3389189.338919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ieeexplore.ieee.org/stamp/stamp.jsp?arnumber=9945131" TargetMode="External"/><Relationship Id="rId42" Type="http://schemas.openxmlformats.org/officeDocument/2006/relationships/hyperlink" Target="https://ieeexplore.ieee.org/stamp/stamp.jsp?arnumber=9507705" TargetMode="External"/><Relationship Id="rId41" Type="http://schemas.openxmlformats.org/officeDocument/2006/relationships/hyperlink" Target="https://ieeexplore.ieee.org/stamp/stamp.jsp?arnumber=10340014" TargetMode="External"/><Relationship Id="rId44" Type="http://schemas.openxmlformats.org/officeDocument/2006/relationships/hyperlink" Target="https://ieeexplore.ieee.org/stamp/stamp.jsp?arnumber=10805713" TargetMode="External"/><Relationship Id="rId43" Type="http://schemas.openxmlformats.org/officeDocument/2006/relationships/hyperlink" Target="https://ieeexplore.ieee.org/stamp/stamp.jsp?arnumber=11166945" TargetMode="External"/><Relationship Id="rId46" Type="http://schemas.openxmlformats.org/officeDocument/2006/relationships/hyperlink" Target="https://ieeexplore.ieee.org/stamp/stamp.jsp?arnumber=10882247" TargetMode="External"/><Relationship Id="rId45" Type="http://schemas.openxmlformats.org/officeDocument/2006/relationships/hyperlink" Target="https://ieeexplore.ieee.org/stamp/stamp.jsp?arnumber=9855075" TargetMode="External"/><Relationship Id="rId48" Type="http://schemas.openxmlformats.org/officeDocument/2006/relationships/hyperlink" Target="https://ieeexplore.ieee.org/stamp/stamp.jsp?arnumber=11022139" TargetMode="External"/><Relationship Id="rId47" Type="http://schemas.openxmlformats.org/officeDocument/2006/relationships/hyperlink" Target="https://ieeexplore.ieee.org/stamp/stamp.jsp?arnumber=10782905" TargetMode="External"/><Relationship Id="rId49" Type="http://schemas.openxmlformats.org/officeDocument/2006/relationships/hyperlink" Target="https://ieeexplore.ieee.org/stamp/stamp.jsp?arnumber=9668373" TargetMode="External"/><Relationship Id="rId31" Type="http://schemas.openxmlformats.org/officeDocument/2006/relationships/hyperlink" Target="https://ieeexplore.ieee.org/stamp/stamp.jsp?arnumber=11065131" TargetMode="External"/><Relationship Id="rId30" Type="http://schemas.openxmlformats.org/officeDocument/2006/relationships/hyperlink" Target="https://ieeexplore.ieee.org/stamp/stamp.jsp?arnumber=10123814" TargetMode="External"/><Relationship Id="rId33" Type="http://schemas.openxmlformats.org/officeDocument/2006/relationships/hyperlink" Target="https://ieeexplore.ieee.org/stamp/stamp.jsp?arnumber=10208067" TargetMode="External"/><Relationship Id="rId32" Type="http://schemas.openxmlformats.org/officeDocument/2006/relationships/hyperlink" Target="https://ieeexplore.ieee.org/stamp/stamp.jsp?arnumber=9264251" TargetMode="External"/><Relationship Id="rId35" Type="http://schemas.openxmlformats.org/officeDocument/2006/relationships/hyperlink" Target="https://ieeexplore.ieee.org/stamp/stamp.jsp?arnumber=10480523" TargetMode="External"/><Relationship Id="rId34" Type="http://schemas.openxmlformats.org/officeDocument/2006/relationships/hyperlink" Target="https://ieeexplore.ieee.org/stamp/stamp.jsp?arnumber=10440945" TargetMode="External"/><Relationship Id="rId37" Type="http://schemas.openxmlformats.org/officeDocument/2006/relationships/hyperlink" Target="https://ieeexplore.ieee.org/stamp/stamp.jsp?arnumber=10853567" TargetMode="External"/><Relationship Id="rId36" Type="http://schemas.openxmlformats.org/officeDocument/2006/relationships/hyperlink" Target="https://ieeexplore.ieee.org/stamp/stamp.jsp?arnumber=10467267" TargetMode="External"/><Relationship Id="rId39" Type="http://schemas.openxmlformats.org/officeDocument/2006/relationships/hyperlink" Target="https://ieeexplore.ieee.org/stamp/stamp.jsp?arnumber=10906236" TargetMode="External"/><Relationship Id="rId38" Type="http://schemas.openxmlformats.org/officeDocument/2006/relationships/hyperlink" Target="https://ieeexplore.ieee.org/stamp/stamp.jsp?arnumber=10427847" TargetMode="External"/><Relationship Id="rId20" Type="http://schemas.openxmlformats.org/officeDocument/2006/relationships/hyperlink" Target="https://ieeexplore.ieee.org/stamp/stamp.jsp?arnumber=10352575" TargetMode="External"/><Relationship Id="rId22" Type="http://schemas.openxmlformats.org/officeDocument/2006/relationships/hyperlink" Target="https://ieeexplore.ieee.org/stamp/stamp.jsp?arnumber=10510793" TargetMode="External"/><Relationship Id="rId21" Type="http://schemas.openxmlformats.org/officeDocument/2006/relationships/hyperlink" Target="https://ieeexplore.ieee.org/stamp/stamp.jsp?arnumber=10937486" TargetMode="External"/><Relationship Id="rId24" Type="http://schemas.openxmlformats.org/officeDocument/2006/relationships/hyperlink" Target="https://ieeexplore.ieee.org/stamp/stamp.jsp?arnumber=10328579" TargetMode="External"/><Relationship Id="rId23" Type="http://schemas.openxmlformats.org/officeDocument/2006/relationships/hyperlink" Target="https://ieeexplore.ieee.org/stamp/stamp.jsp?arnumber=10885489" TargetMode="External"/><Relationship Id="rId26" Type="http://schemas.openxmlformats.org/officeDocument/2006/relationships/hyperlink" Target="https://ieeexplore.ieee.org/stamp/stamp.jsp?arnumber=9630214" TargetMode="External"/><Relationship Id="rId25" Type="http://schemas.openxmlformats.org/officeDocument/2006/relationships/hyperlink" Target="https://ieeexplore.ieee.org/stamp/stamp.jsp?arnumber=11089222" TargetMode="External"/><Relationship Id="rId28" Type="http://schemas.openxmlformats.org/officeDocument/2006/relationships/hyperlink" Target="https://ieeexplore.ieee.org/stamp/stamp.jsp?arnumber=11151846" TargetMode="External"/><Relationship Id="rId27" Type="http://schemas.openxmlformats.org/officeDocument/2006/relationships/hyperlink" Target="https://ieeexplore.ieee.org/stamp/stamp.jsp?arnumber=10127358" TargetMode="External"/><Relationship Id="rId29" Type="http://schemas.openxmlformats.org/officeDocument/2006/relationships/hyperlink" Target="https://ieeexplore.ieee.org/stamp/stamp.jsp?arnumber=10590200" TargetMode="External"/><Relationship Id="rId11" Type="http://schemas.openxmlformats.org/officeDocument/2006/relationships/hyperlink" Target="https://ieeexplore.ieee.org/stamp/stamp.jsp?arnumber=10973423" TargetMode="External"/><Relationship Id="rId10" Type="http://schemas.openxmlformats.org/officeDocument/2006/relationships/hyperlink" Target="https://ieeexplore.ieee.org/stamp/stamp.jsp?arnumber=10637003" TargetMode="External"/><Relationship Id="rId13" Type="http://schemas.openxmlformats.org/officeDocument/2006/relationships/hyperlink" Target="https://ieeexplore.ieee.org/stamp/stamp.jsp?arnumber=11013597" TargetMode="External"/><Relationship Id="rId12" Type="http://schemas.openxmlformats.org/officeDocument/2006/relationships/hyperlink" Target="https://ieeexplore.ieee.org/stamp/stamp.jsp?arnumber=10835027" TargetMode="External"/><Relationship Id="rId15" Type="http://schemas.openxmlformats.org/officeDocument/2006/relationships/hyperlink" Target="https://ieeexplore.ieee.org/stamp/stamp.jsp?arnumber=10774594" TargetMode="External"/><Relationship Id="rId14" Type="http://schemas.openxmlformats.org/officeDocument/2006/relationships/hyperlink" Target="https://ieeexplore.ieee.org/stamp/stamp.jsp?arnumber=10694718" TargetMode="External"/><Relationship Id="rId17" Type="http://schemas.openxmlformats.org/officeDocument/2006/relationships/hyperlink" Target="https://ieeexplore.ieee.org/stamp/stamp.jsp?arnumber=10686974" TargetMode="External"/><Relationship Id="rId16" Type="http://schemas.openxmlformats.org/officeDocument/2006/relationships/hyperlink" Target="https://ieeexplore.ieee.org/stamp/stamp.jsp?arnumber=9204923" TargetMode="External"/><Relationship Id="rId19" Type="http://schemas.openxmlformats.org/officeDocument/2006/relationships/hyperlink" Target="https://ieeexplore.ieee.org/stamp/stamp.jsp?arnumber=10831758" TargetMode="External"/><Relationship Id="rId18" Type="http://schemas.openxmlformats.org/officeDocument/2006/relationships/hyperlink" Target="https://ieeexplore.ieee.org/stamp/stamp.jsp?arnumber=9510421" TargetMode="External"/><Relationship Id="rId84" Type="http://schemas.openxmlformats.org/officeDocument/2006/relationships/hyperlink" Target="https://www.scopus.com/inward/record.uri?eid=2-s2.0-85183991218&amp;doi=10.1016%2Fj.prime.2024.100448&amp;partnerID=40&amp;md5=c808a8a78749760a1ba0294131bbc596" TargetMode="External"/><Relationship Id="rId83" Type="http://schemas.openxmlformats.org/officeDocument/2006/relationships/hyperlink" Target="https://www.scopus.com/inward/record.uri?eid=2-s2.0-85188915840&amp;doi=10.3390%2Fmake6010011&amp;partnerID=40&amp;md5=a4debee62344f1c1a08d2ea33ce45ee2" TargetMode="External"/><Relationship Id="rId86" Type="http://schemas.openxmlformats.org/officeDocument/2006/relationships/hyperlink" Target="https://www.scopus.com/inward/record.uri?eid=2-s2.0-85204294626&amp;doi=10.3389%2Ffams.2024.1426253&amp;partnerID=40&amp;md5=8550b39c85a699289128d33a68752a5e" TargetMode="External"/><Relationship Id="rId85" Type="http://schemas.openxmlformats.org/officeDocument/2006/relationships/hyperlink" Target="https://www.scopus.com/inward/record.uri?eid=2-s2.0-85184013375&amp;doi=10.1093%2Fcercor%2Fbhad515&amp;partnerID=40&amp;md5=b50616f30bb750d1e489a441ead98181" TargetMode="External"/><Relationship Id="rId88" Type="http://schemas.openxmlformats.org/officeDocument/2006/relationships/hyperlink" Target="https://www.scopus.com/inward/record.uri?eid=2-s2.0-85200670789&amp;doi=10.2147%2FNDT.S458106&amp;partnerID=40&amp;md5=1972d361ba2a9e545cee88afc0510482" TargetMode="External"/><Relationship Id="rId87" Type="http://schemas.openxmlformats.org/officeDocument/2006/relationships/hyperlink" Target="https://www.scopus.com/inward/record.uri?eid=2-s2.0-85201819430&amp;doi=10.3389%2Ffnins.2024.1408526&amp;partnerID=40&amp;md5=ed80d6785dced9ffebc3dacfd1670549" TargetMode="External"/><Relationship Id="rId89" Type="http://schemas.openxmlformats.org/officeDocument/2006/relationships/hyperlink" Target="https://www.scopus.com/inward/record.uri?eid=2-s2.0-85170370500&amp;doi=10.1038%2Fs41598-023-34517-w&amp;partnerID=40&amp;md5=362ab7b02d354b47c378873f5c2e286d" TargetMode="External"/><Relationship Id="rId80" Type="http://schemas.openxmlformats.org/officeDocument/2006/relationships/hyperlink" Target="https://www.scopus.com/inward/record.uri?eid=2-s2.0-105011638378&amp;doi=10.3390%2Fjimaging11070237&amp;partnerID=40&amp;md5=c75149b5736b4f6a5c5c04f30ec6ca9b" TargetMode="External"/><Relationship Id="rId82" Type="http://schemas.openxmlformats.org/officeDocument/2006/relationships/hyperlink" Target="https://www.scopus.com/inward/record.uri?eid=2-s2.0-85192452023&amp;doi=10.3390%2Fapp14072699&amp;partnerID=40&amp;md5=4821853b1a3bb0bba375347e70ba6c98" TargetMode="External"/><Relationship Id="rId81" Type="http://schemas.openxmlformats.org/officeDocument/2006/relationships/hyperlink" Target="https://www.scopus.com/inward/record.uri?eid=2-s2.0-85196905848&amp;doi=10.3390%2Fbrainsci14060578&amp;partnerID=40&amp;md5=1fcca2cf66842726ed1a3907e0adaa35" TargetMode="External"/><Relationship Id="rId1" Type="http://schemas.openxmlformats.org/officeDocument/2006/relationships/hyperlink" Target="https://pubmed.ncbi.nlm.nih.gov/31904404/" TargetMode="External"/><Relationship Id="rId2" Type="http://schemas.openxmlformats.org/officeDocument/2006/relationships/hyperlink" Target="https://pubmed.ncbi.nlm.nih.gov/33190659/" TargetMode="External"/><Relationship Id="rId3" Type="http://schemas.openxmlformats.org/officeDocument/2006/relationships/hyperlink" Target="https://pubmed.ncbi.nlm.nih.gov/40792221/" TargetMode="External"/><Relationship Id="rId4" Type="http://schemas.openxmlformats.org/officeDocument/2006/relationships/hyperlink" Target="https://ieeexplore.ieee.org/document/9061625" TargetMode="External"/><Relationship Id="rId9" Type="http://schemas.openxmlformats.org/officeDocument/2006/relationships/hyperlink" Target="https://ieeexplore.ieee.org/stamp/stamp.jsp?arnumber=11036309" TargetMode="External"/><Relationship Id="rId5" Type="http://schemas.openxmlformats.org/officeDocument/2006/relationships/hyperlink" Target="https://ieeexplore.ieee.org/document/10973423" TargetMode="External"/><Relationship Id="rId6" Type="http://schemas.openxmlformats.org/officeDocument/2006/relationships/hyperlink" Target="https://ieeexplore.ieee.org/document/11013597" TargetMode="External"/><Relationship Id="rId7" Type="http://schemas.openxmlformats.org/officeDocument/2006/relationships/hyperlink" Target="https://ieeexplore.ieee.org/stamp/stamp.jsp?arnumber=9645921" TargetMode="External"/><Relationship Id="rId8" Type="http://schemas.openxmlformats.org/officeDocument/2006/relationships/hyperlink" Target="https://ieeexplore.ieee.org/stamp/stamp.jsp?arnumber=11013104" TargetMode="External"/><Relationship Id="rId73" Type="http://schemas.openxmlformats.org/officeDocument/2006/relationships/hyperlink" Target="https://www.scopus.com/inward/record.uri?eid=2-s2.0-105017610930&amp;doi=10.1038%2Fs41598-025-18629-z&amp;partnerID=40&amp;md5=3252dd909bd5f6250b844de4f2bd7603" TargetMode="External"/><Relationship Id="rId72" Type="http://schemas.openxmlformats.org/officeDocument/2006/relationships/hyperlink" Target="https://dl.acm.org/doi/10.1145/3652988.3673922" TargetMode="External"/><Relationship Id="rId75" Type="http://schemas.openxmlformats.org/officeDocument/2006/relationships/hyperlink" Target="https://www.scopus.com/inward/record.uri?eid=2-s2.0-105015480737&amp;doi=10.1186%2Fs13102-025-01320-1&amp;partnerID=40&amp;md5=e65b50281140b1d4a2430b3ca00ac857" TargetMode="External"/><Relationship Id="rId74" Type="http://schemas.openxmlformats.org/officeDocument/2006/relationships/hyperlink" Target="https://www.scopus.com/inward/record.uri?eid=2-s2.0-105017554919&amp;doi=10.15627%2Fjd.2025.23&amp;partnerID=40&amp;md5=2d2040446bbb14128eb910c301914334" TargetMode="External"/><Relationship Id="rId77" Type="http://schemas.openxmlformats.org/officeDocument/2006/relationships/hyperlink" Target="https://www.scopus.com/inward/record.uri?eid=2-s2.0-105016631229&amp;doi=10.1177%2F03331024251364843&amp;partnerID=40&amp;md5=32917f555c0b042dfad7526f0bcb2061" TargetMode="External"/><Relationship Id="rId76" Type="http://schemas.openxmlformats.org/officeDocument/2006/relationships/hyperlink" Target="https://www.scopus.com/inward/record.uri?eid=2-s2.0-105006745816&amp;doi=10.1016%2Fj.jad.2025.119477&amp;partnerID=40&amp;md5=30d077918e60401b7842ab482bdbcbc2" TargetMode="External"/><Relationship Id="rId79" Type="http://schemas.openxmlformats.org/officeDocument/2006/relationships/hyperlink" Target="https://www.scopus.com/inward/record.uri?eid=2-s2.0-105015705994&amp;doi=10.4103%2Fnah.nah_176_24&amp;partnerID=40&amp;md5=6ae199ab08db291ff28050a42346d172" TargetMode="External"/><Relationship Id="rId78" Type="http://schemas.openxmlformats.org/officeDocument/2006/relationships/hyperlink" Target="https://www.scopus.com/inward/record.uri?eid=2-s2.0-105014333567&amp;doi=10.3390%2Fbuildings15162813&amp;partnerID=40&amp;md5=08729e25b38bc7e9f4b45b5305854215" TargetMode="External"/><Relationship Id="rId71" Type="http://schemas.openxmlformats.org/officeDocument/2006/relationships/hyperlink" Target="https://dl.acm.org/doi/10.1145/3748597" TargetMode="External"/><Relationship Id="rId70" Type="http://schemas.openxmlformats.org/officeDocument/2006/relationships/hyperlink" Target="https://dl.acm.org/doi/10.1145/3718084" TargetMode="External"/><Relationship Id="rId62" Type="http://schemas.openxmlformats.org/officeDocument/2006/relationships/hyperlink" Target="https://ieeexplore.ieee.org/stamp/stamp.jsp?arnumber=9493873" TargetMode="External"/><Relationship Id="rId61" Type="http://schemas.openxmlformats.org/officeDocument/2006/relationships/hyperlink" Target="https://ieeexplore.ieee.org/stamp/stamp.jsp?arnumber=10496111" TargetMode="External"/><Relationship Id="rId64" Type="http://schemas.openxmlformats.org/officeDocument/2006/relationships/hyperlink" Target="https://ieeexplore.ieee.org/stamp/stamp.jsp?arnumber=9176023" TargetMode="External"/><Relationship Id="rId63" Type="http://schemas.openxmlformats.org/officeDocument/2006/relationships/hyperlink" Target="https://ieeexplore.ieee.org/stamp/stamp.jsp?arnumber=10450294" TargetMode="External"/><Relationship Id="rId66" Type="http://schemas.openxmlformats.org/officeDocument/2006/relationships/hyperlink" Target="https://ieeexplore.ieee.org/stamp/stamp.jsp?arnumber=11218026" TargetMode="External"/><Relationship Id="rId65" Type="http://schemas.openxmlformats.org/officeDocument/2006/relationships/hyperlink" Target="https://ieeexplore.ieee.org/stamp/stamp.jsp?arnumber=9102705" TargetMode="External"/><Relationship Id="rId68" Type="http://schemas.openxmlformats.org/officeDocument/2006/relationships/hyperlink" Target="https://ieeexplore.ieee.org/stamp/stamp.jsp?arnumber=10971279" TargetMode="External"/><Relationship Id="rId67" Type="http://schemas.openxmlformats.org/officeDocument/2006/relationships/hyperlink" Target="https://ieeexplore.ieee.org/stamp/stamp.jsp?arnumber=11002584" TargetMode="External"/><Relationship Id="rId60" Type="http://schemas.openxmlformats.org/officeDocument/2006/relationships/hyperlink" Target="https://ieeexplore.ieee.org/xpl/ebooks/bookPdfWithBanner.jsp?fileName=10180346.pdf&amp;bkn=10180202&amp;pdfType=chapter" TargetMode="External"/><Relationship Id="rId69" Type="http://schemas.openxmlformats.org/officeDocument/2006/relationships/hyperlink" Target="https://ieeexplore.ieee.org/stamp/stamp.jsp?arnumber=10302704" TargetMode="External"/><Relationship Id="rId51" Type="http://schemas.openxmlformats.org/officeDocument/2006/relationships/hyperlink" Target="https://ieeexplore.ieee.org/stamp/stamp.jsp?arnumber=10818687" TargetMode="External"/><Relationship Id="rId50" Type="http://schemas.openxmlformats.org/officeDocument/2006/relationships/hyperlink" Target="https://ieeexplore.ieee.org/stamp/stamp.jsp?arnumber=10981399" TargetMode="External"/><Relationship Id="rId53" Type="http://schemas.openxmlformats.org/officeDocument/2006/relationships/hyperlink" Target="https://ieeexplore.ieee.org/stamp/stamp.jsp?arnumber=10986518" TargetMode="External"/><Relationship Id="rId52" Type="http://schemas.openxmlformats.org/officeDocument/2006/relationships/hyperlink" Target="https://ieeexplore.ieee.org/stamp/stamp.jsp?arnumber=10960257" TargetMode="External"/><Relationship Id="rId55" Type="http://schemas.openxmlformats.org/officeDocument/2006/relationships/hyperlink" Target="https://ieeexplore.ieee.org/stamp/stamp.jsp?arnumber=11086442" TargetMode="External"/><Relationship Id="rId54" Type="http://schemas.openxmlformats.org/officeDocument/2006/relationships/hyperlink" Target="https://ieeexplore.ieee.org/stamp/stamp.jsp?arnumber=10564031" TargetMode="External"/><Relationship Id="rId57" Type="http://schemas.openxmlformats.org/officeDocument/2006/relationships/hyperlink" Target="https://ieeexplore.ieee.org/stamp/stamp.jsp?arnumber=10756217" TargetMode="External"/><Relationship Id="rId56" Type="http://schemas.openxmlformats.org/officeDocument/2006/relationships/hyperlink" Target="https://ieeexplore.ieee.org/stamp/stamp.jsp?arnumber=11118897" TargetMode="External"/><Relationship Id="rId59" Type="http://schemas.openxmlformats.org/officeDocument/2006/relationships/hyperlink" Target="https://ieeexplore.ieee.org/stamp/stamp.jsp?arnumber=10957155" TargetMode="External"/><Relationship Id="rId58" Type="http://schemas.openxmlformats.org/officeDocument/2006/relationships/hyperlink" Target="https://ieeexplore.ieee.org/stamp/stamp.jsp?arnumber=11023554" TargetMode="External"/><Relationship Id="rId107" Type="http://schemas.openxmlformats.org/officeDocument/2006/relationships/hyperlink" Target="https://www.scopus.com/inward/record.uri?eid=2-s2.0-85126061778&amp;doi=10.3390%2Fjcm11051440&amp;partnerID=40&amp;md5=658b78f871dbd6faea078ae12693150c" TargetMode="External"/><Relationship Id="rId106" Type="http://schemas.openxmlformats.org/officeDocument/2006/relationships/hyperlink" Target="https://www.scopus.com/inward/record.uri?eid=2-s2.0-85126593924&amp;doi=10.3390%2Fbrainsci12030363&amp;partnerID=40&amp;md5=7e20a670609131918359aa3b3eeb3d5d" TargetMode="External"/><Relationship Id="rId105" Type="http://schemas.openxmlformats.org/officeDocument/2006/relationships/hyperlink" Target="https://www.scopus.com/inward/record.uri?eid=2-s2.0-85129981787&amp;doi=10.5152%2Fpcp.2022.21281&amp;partnerID=40&amp;md5=d1becb28773923a55a3fc1c43dc171b9" TargetMode="External"/><Relationship Id="rId104" Type="http://schemas.openxmlformats.org/officeDocument/2006/relationships/hyperlink" Target="https://www.scopus.com/inward/record.uri?eid=2-s2.0-85132804438&amp;doi=10.3389%2Ffnhum.2022.921491&amp;partnerID=40&amp;md5=45272d9602f21452787a9752cfe34bb1" TargetMode="External"/><Relationship Id="rId109" Type="http://schemas.openxmlformats.org/officeDocument/2006/relationships/hyperlink" Target="https://www.scopus.com/inward/record.uri?eid=2-s2.0-85172694478&amp;doi=10.26685%2Furncst.270&amp;partnerID=40&amp;md5=8329d5b1bd096014356cbb83dc304406" TargetMode="External"/><Relationship Id="rId108" Type="http://schemas.openxmlformats.org/officeDocument/2006/relationships/hyperlink" Target="https://www.scopus.com/inward/record.uri?eid=2-s2.0-85124349698&amp;doi=10.3390%2Fbrainsci12020229&amp;partnerID=40&amp;md5=151790c71631a401012dba1400ea6942" TargetMode="External"/><Relationship Id="rId103" Type="http://schemas.openxmlformats.org/officeDocument/2006/relationships/hyperlink" Target="https://www.scopus.com/inward/record.uri?eid=2-s2.0-85133100575&amp;doi=10.7554%2FeLife.69308&amp;partnerID=40&amp;md5=1ebfc4133b2a6616bf1445f62883eb51" TargetMode="External"/><Relationship Id="rId102" Type="http://schemas.openxmlformats.org/officeDocument/2006/relationships/hyperlink" Target="https://www.scopus.com/inward/record.uri?eid=2-s2.0-85131204643&amp;doi=10.1111%2Faogs.14386&amp;partnerID=40&amp;md5=9bee24ae30584581945e39a327d99fe1" TargetMode="External"/><Relationship Id="rId101" Type="http://schemas.openxmlformats.org/officeDocument/2006/relationships/hyperlink" Target="https://www.scopus.com/inward/record.uri?eid=2-s2.0-85139292880&amp;doi=10.1037%2Fpag0000710&amp;partnerID=40&amp;md5=2904ab14c9c60957a4ad218f3faa6873" TargetMode="External"/><Relationship Id="rId100" Type="http://schemas.openxmlformats.org/officeDocument/2006/relationships/hyperlink" Target="https://www.scopus.com/inward/record.uri?eid=2-s2.0-85141949649&amp;doi=10.3389%2Ffpubh.2022.955393&amp;partnerID=40&amp;md5=3e2494e3b4ff112259b4f978ccc5792b" TargetMode="External"/><Relationship Id="rId121" Type="http://schemas.openxmlformats.org/officeDocument/2006/relationships/hyperlink" Target="https://www.scopus.com/inward/record.uri?eid=2-s2.0-85081926602&amp;doi=10.3390%2Fph13030045&amp;partnerID=40&amp;md5=63ea0361a566f9a25cd1ff35beec96a7" TargetMode="External"/><Relationship Id="rId120" Type="http://schemas.openxmlformats.org/officeDocument/2006/relationships/hyperlink" Target="https://www.scopus.com/inward/record.uri?eid=2-s2.0-85087288587&amp;doi=10.3389%2Ffnagi.2020.00147&amp;partnerID=40&amp;md5=34f05cd816cc7f61733b52f9fccdcae1" TargetMode="External"/><Relationship Id="rId124" Type="http://schemas.openxmlformats.org/officeDocument/2006/relationships/drawing" Target="../drawings/drawing6.xml"/><Relationship Id="rId123" Type="http://schemas.openxmlformats.org/officeDocument/2006/relationships/hyperlink" Target="https://www.scopus.com/inward/record.uri?eid=2-s2.0-85085956389&amp;doi=10.1155%2F2020%2F8915961&amp;partnerID=40&amp;md5=ecb644f72797038c854b2152a84deed9" TargetMode="External"/><Relationship Id="rId122" Type="http://schemas.openxmlformats.org/officeDocument/2006/relationships/hyperlink" Target="https://www.scopus.com/inward/record.uri?eid=2-s2.0-85090536140&amp;doi=10.17691%2Fstm2020.12.4.03&amp;partnerID=40&amp;md5=62d7edb652cc57be536cece8012bd684" TargetMode="External"/><Relationship Id="rId95" Type="http://schemas.openxmlformats.org/officeDocument/2006/relationships/hyperlink" Target="https://www.scopus.com/inward/record.uri?eid=2-s2.0-85147782488&amp;doi=10.3389%2Ffnbeh.2023.1096122&amp;partnerID=40&amp;md5=6b33484aecc4963c07b81cf5794ad21d" TargetMode="External"/><Relationship Id="rId94" Type="http://schemas.openxmlformats.org/officeDocument/2006/relationships/hyperlink" Target="https://www.scopus.com/inward/record.uri?eid=2-s2.0-85140245851&amp;doi=10.1007%2Fs41105-022-00426-0&amp;partnerID=40&amp;md5=5f49994a355b2b08443c38abf1413394" TargetMode="External"/><Relationship Id="rId97" Type="http://schemas.openxmlformats.org/officeDocument/2006/relationships/hyperlink" Target="https://www.scopus.com/inward/record.uri?eid=2-s2.0-85170364287&amp;doi=10.3389%2Ffneur.2023.1241481&amp;partnerID=40&amp;md5=7f7b86785195ddffe8091ab97fe6c6bd" TargetMode="External"/><Relationship Id="rId96" Type="http://schemas.openxmlformats.org/officeDocument/2006/relationships/hyperlink" Target="https://www.scopus.com/inward/record.uri?eid=2-s2.0-85174292639&amp;doi=10.3389%2Ffnhum.2023.1194714&amp;partnerID=40&amp;md5=95cd0bcfc9be807521fbd0c5ec73cf29" TargetMode="External"/><Relationship Id="rId99" Type="http://schemas.openxmlformats.org/officeDocument/2006/relationships/hyperlink" Target="https://www.scopus.com/inward/record.uri?eid=2-s2.0-85144569506&amp;doi=10.3390%2Fijerph192416638&amp;partnerID=40&amp;md5=272c1d08189a694cb918abba854a80f9" TargetMode="External"/><Relationship Id="rId98" Type="http://schemas.openxmlformats.org/officeDocument/2006/relationships/hyperlink" Target="https://www.scopus.com/inward/record.uri?eid=2-s2.0-85139857104&amp;doi=10.1016%2Fj.ijchp.2022.100343&amp;partnerID=40&amp;md5=66a2ee3e7ce8cc4ba8c51a7fca8a9b2c" TargetMode="External"/><Relationship Id="rId91" Type="http://schemas.openxmlformats.org/officeDocument/2006/relationships/hyperlink" Target="https://www.scopus.com/inward/record.uri?eid=2-s2.0-85169158185&amp;doi=10.3390%2Fbrainsci13081174&amp;partnerID=40&amp;md5=b00c37914e0549e49f01e81873d47be8" TargetMode="External"/><Relationship Id="rId90" Type="http://schemas.openxmlformats.org/officeDocument/2006/relationships/hyperlink" Target="https://www.scopus.com/inward/record.uri?eid=2-s2.0-85172452307&amp;doi=10.1093%2Fijnp%2Fpyad050&amp;partnerID=40&amp;md5=d7a32d30347c9fc80b0448f9fc14bba0" TargetMode="External"/><Relationship Id="rId93" Type="http://schemas.openxmlformats.org/officeDocument/2006/relationships/hyperlink" Target="https://www.scopus.com/inward/record.uri?eid=2-s2.0-85164502174&amp;doi=10.1051%2Fe3sconf%2F202339601013&amp;partnerID=40&amp;md5=c5e5c8b8ebbbfbcee3099044ee8e3abf" TargetMode="External"/><Relationship Id="rId92" Type="http://schemas.openxmlformats.org/officeDocument/2006/relationships/hyperlink" Target="https://www.scopus.com/inward/record.uri?eid=2-s2.0-85147499959&amp;doi=10.1111%2Fbjop.12636&amp;partnerID=40&amp;md5=0e20444c37b6bc8ed2188b3930452935" TargetMode="External"/><Relationship Id="rId118" Type="http://schemas.openxmlformats.org/officeDocument/2006/relationships/hyperlink" Target="https://www.scopus.com/inward/record.uri?eid=2-s2.0-85099843931&amp;doi=10.1016%2Fj.nicl.2021.102559&amp;partnerID=40&amp;md5=95f491ff8b4550a5efd984eaecbbf17e" TargetMode="External"/><Relationship Id="rId117" Type="http://schemas.openxmlformats.org/officeDocument/2006/relationships/hyperlink" Target="https://www.scopus.com/inward/record.uri?eid=2-s2.0-85104676153&amp;doi=10.3390%2Fbrainsci11040481&amp;partnerID=40&amp;md5=c97e0dbb8d4383180fdf1cd4ab293485" TargetMode="External"/><Relationship Id="rId116" Type="http://schemas.openxmlformats.org/officeDocument/2006/relationships/hyperlink" Target="https://www.scopus.com/inward/record.uri?eid=2-s2.0-85110597587&amp;doi=10.7752%2Fjpes.2021.04210&amp;partnerID=40&amp;md5=c815b422193f1ad92ab0678b85ff4c3b" TargetMode="External"/><Relationship Id="rId115" Type="http://schemas.openxmlformats.org/officeDocument/2006/relationships/hyperlink" Target="https://www.scopus.com/inward/record.uri?eid=2-s2.0-85120853285&amp;doi=10.3389%2Ffpsyt.2021.710338&amp;partnerID=40&amp;md5=25c82bb1c7c949181c3e0847c44463cb" TargetMode="External"/><Relationship Id="rId119" Type="http://schemas.openxmlformats.org/officeDocument/2006/relationships/hyperlink" Target="https://www.scopus.com/inward/record.uri?eid=2-s2.0-85090246435&amp;doi=10.3390%2Fbrainsci10090608&amp;partnerID=40&amp;md5=fc1ff5453e4595bc63e223cc9d771e6d" TargetMode="External"/><Relationship Id="rId110" Type="http://schemas.openxmlformats.org/officeDocument/2006/relationships/hyperlink" Target="https://www.scopus.com/inward/record.uri?eid=2-s2.0-85140758016&amp;doi=10.15540%2FNR.9.3.127&amp;partnerID=40&amp;md5=ab0107ad647536b76ea34582cc17ee75" TargetMode="External"/><Relationship Id="rId114" Type="http://schemas.openxmlformats.org/officeDocument/2006/relationships/hyperlink" Target="https://www.scopus.com/inward/record.uri?eid=2-s2.0-85113983305&amp;doi=10.1038%2Fs41598-021-96718-5&amp;partnerID=40&amp;md5=1b0ccae1e9500da9302b3f3ff26cfb22" TargetMode="External"/><Relationship Id="rId113" Type="http://schemas.openxmlformats.org/officeDocument/2006/relationships/hyperlink" Target="https://www.scopus.com/inward/record.uri?eid=2-s2.0-85119300772&amp;doi=10.1038%2Fs41598-021-01645-0&amp;partnerID=40&amp;md5=f077981bd0889b858118269dd190bcf9" TargetMode="External"/><Relationship Id="rId112" Type="http://schemas.openxmlformats.org/officeDocument/2006/relationships/hyperlink" Target="https://www.scopus.com/inward/record.uri?eid=2-s2.0-85122338799&amp;doi=10.3389%2Ffpsyt.2021.721874&amp;partnerID=40&amp;md5=0b61983ac06d7771950ddc7db78b97dd" TargetMode="External"/><Relationship Id="rId111" Type="http://schemas.openxmlformats.org/officeDocument/2006/relationships/hyperlink" Target="https://www.scopus.com/inward/record.uri?eid=2-s2.0-85135240786&amp;doi=10.15540%2Fnr.9.2.68&amp;partnerID=40&amp;md5=a41c435f4373451395ae5f7c73b9c273"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102.25"/>
    <col customWidth="1" min="3" max="3" width="28.5"/>
    <col customWidth="1" min="4" max="6" width="12.63"/>
  </cols>
  <sheetData>
    <row r="1" ht="15.75" customHeight="1">
      <c r="A1" s="1" t="s">
        <v>0</v>
      </c>
      <c r="D1" s="2"/>
      <c r="E1" s="2"/>
      <c r="F1" s="2"/>
      <c r="G1" s="2"/>
      <c r="H1" s="2"/>
      <c r="I1" s="3"/>
      <c r="J1" s="3"/>
      <c r="K1" s="3"/>
      <c r="L1" s="3"/>
      <c r="M1" s="3"/>
      <c r="N1" s="3"/>
      <c r="O1" s="3"/>
      <c r="P1" s="3"/>
      <c r="Q1" s="3"/>
      <c r="R1" s="3"/>
      <c r="S1" s="3"/>
      <c r="T1" s="3"/>
      <c r="U1" s="3"/>
      <c r="V1" s="3"/>
      <c r="W1" s="3"/>
      <c r="X1" s="3"/>
      <c r="Y1" s="3" t="s">
        <v>1</v>
      </c>
    </row>
    <row r="2" ht="30.0" customHeight="1">
      <c r="A2" s="4" t="s">
        <v>2</v>
      </c>
      <c r="B2" s="5"/>
      <c r="C2" s="6" t="s">
        <v>3</v>
      </c>
      <c r="D2" s="7"/>
    </row>
    <row r="3" ht="28.5" customHeight="1">
      <c r="A3" s="8" t="s">
        <v>4</v>
      </c>
      <c r="B3" s="9" t="s">
        <v>5</v>
      </c>
      <c r="C3" s="10"/>
      <c r="D3" s="7"/>
      <c r="Y3" s="11" t="s">
        <v>6</v>
      </c>
    </row>
    <row r="4" ht="36.75" customHeight="1">
      <c r="A4" s="8" t="s">
        <v>7</v>
      </c>
      <c r="B4" s="9" t="s">
        <v>8</v>
      </c>
      <c r="C4" s="10"/>
      <c r="D4" s="7"/>
      <c r="Y4" s="11" t="s">
        <v>9</v>
      </c>
    </row>
    <row r="5" ht="44.25" customHeight="1">
      <c r="A5" s="8" t="s">
        <v>10</v>
      </c>
      <c r="B5" s="9" t="s">
        <v>11</v>
      </c>
      <c r="C5" s="10"/>
      <c r="D5" s="7"/>
    </row>
    <row r="6" ht="65.25" customHeight="1">
      <c r="A6" s="8" t="s">
        <v>12</v>
      </c>
      <c r="B6" s="9" t="s">
        <v>13</v>
      </c>
      <c r="C6" s="10"/>
      <c r="D6" s="7"/>
    </row>
    <row r="7" ht="135.0" customHeight="1">
      <c r="A7" s="8" t="s">
        <v>14</v>
      </c>
      <c r="B7" s="12" t="s">
        <v>15</v>
      </c>
      <c r="C7" s="10"/>
      <c r="D7" s="7"/>
    </row>
    <row r="8" ht="51.0" customHeight="1">
      <c r="A8" s="8" t="s">
        <v>16</v>
      </c>
      <c r="B8" s="13" t="s">
        <v>17</v>
      </c>
      <c r="C8" s="10"/>
      <c r="D8" s="7"/>
    </row>
    <row r="9" ht="39.75" customHeight="1">
      <c r="A9" s="8" t="s">
        <v>18</v>
      </c>
      <c r="B9" s="13" t="s">
        <v>19</v>
      </c>
      <c r="C9" s="10"/>
      <c r="D9" s="7"/>
    </row>
    <row r="10" ht="56.25" customHeight="1">
      <c r="A10" s="8" t="s">
        <v>20</v>
      </c>
      <c r="B10" s="13" t="s">
        <v>21</v>
      </c>
      <c r="C10" s="10"/>
      <c r="D10" s="7"/>
    </row>
    <row r="11" ht="45.0" customHeight="1">
      <c r="A11" s="8" t="s">
        <v>22</v>
      </c>
      <c r="B11" s="9" t="s">
        <v>23</v>
      </c>
      <c r="C11" s="10"/>
      <c r="D11" s="7"/>
    </row>
    <row r="12" ht="321.0" customHeight="1">
      <c r="A12" s="8" t="s">
        <v>24</v>
      </c>
      <c r="B12" s="9" t="s">
        <v>25</v>
      </c>
      <c r="C12" s="10"/>
      <c r="D12" s="7"/>
    </row>
    <row r="13" ht="46.5" customHeight="1">
      <c r="A13" s="8" t="s">
        <v>26</v>
      </c>
      <c r="B13" s="9" t="s">
        <v>27</v>
      </c>
      <c r="C13" s="10"/>
      <c r="D13" s="7"/>
    </row>
    <row r="14" ht="15.75" customHeight="1">
      <c r="A14" s="14" t="s">
        <v>28</v>
      </c>
      <c r="B14" s="15" t="s">
        <v>29</v>
      </c>
      <c r="D14" s="7"/>
    </row>
    <row r="15" ht="15.75" customHeight="1">
      <c r="A15" s="7"/>
      <c r="B15" s="7"/>
      <c r="C15" s="7"/>
      <c r="D15" s="7"/>
    </row>
    <row r="16" ht="15.75" customHeight="1">
      <c r="A16" s="7"/>
      <c r="B16" s="7"/>
      <c r="C16" s="7"/>
      <c r="D16" s="7"/>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c r="E49" s="11"/>
    </row>
    <row r="50" ht="15.75" customHeight="1">
      <c r="E50" s="11" t="s">
        <v>9</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C1"/>
    <mergeCell ref="B14:C14"/>
  </mergeCells>
  <hyperlinks>
    <hyperlink r:id="rId1" ref="B8"/>
    <hyperlink r:id="rId2" ref="B9"/>
    <hyperlink r:id="rId3" ref="B1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44.75"/>
    <col customWidth="1" min="3" max="3" width="19.0"/>
    <col customWidth="1" min="4" max="4" width="39.13"/>
    <col customWidth="1" min="5" max="5" width="28.5"/>
    <col customWidth="1" min="6" max="6" width="12.63"/>
  </cols>
  <sheetData>
    <row r="1" ht="15.75" customHeight="1">
      <c r="A1" s="16" t="s">
        <v>0</v>
      </c>
      <c r="F1" s="2"/>
      <c r="G1" s="2"/>
      <c r="H1" s="2"/>
      <c r="I1" s="2"/>
      <c r="J1" s="2"/>
      <c r="K1" s="3"/>
      <c r="L1" s="3"/>
      <c r="M1" s="3"/>
      <c r="N1" s="3"/>
      <c r="O1" s="3"/>
      <c r="P1" s="3"/>
      <c r="Q1" s="3"/>
      <c r="R1" s="3"/>
      <c r="S1" s="3"/>
      <c r="T1" s="3"/>
      <c r="U1" s="3"/>
      <c r="V1" s="3"/>
      <c r="W1" s="3"/>
      <c r="X1" s="3"/>
      <c r="Y1" s="3"/>
      <c r="Z1" s="3"/>
      <c r="AA1" s="3" t="s">
        <v>1</v>
      </c>
    </row>
    <row r="2" ht="15.75" customHeight="1">
      <c r="A2" s="17" t="s">
        <v>30</v>
      </c>
      <c r="B2" s="5"/>
      <c r="C2" s="5"/>
      <c r="D2" s="5"/>
      <c r="E2" s="18"/>
    </row>
    <row r="3" ht="249.0" customHeight="1">
      <c r="A3" s="19" t="s">
        <v>31</v>
      </c>
      <c r="B3" s="12" t="s">
        <v>32</v>
      </c>
      <c r="E3" s="18"/>
    </row>
    <row r="4">
      <c r="A4" s="19" t="s">
        <v>33</v>
      </c>
      <c r="B4" s="12" t="s">
        <v>34</v>
      </c>
      <c r="E4" s="18"/>
    </row>
    <row r="5" ht="78.75" customHeight="1">
      <c r="A5" s="19" t="s">
        <v>35</v>
      </c>
      <c r="B5" s="12" t="s">
        <v>36</v>
      </c>
      <c r="E5" s="18"/>
    </row>
    <row r="6">
      <c r="A6" s="19" t="s">
        <v>37</v>
      </c>
      <c r="B6" s="20" t="s">
        <v>38</v>
      </c>
      <c r="E6" s="18"/>
    </row>
    <row r="7" ht="15.75" customHeight="1">
      <c r="A7" s="21"/>
      <c r="B7" s="22"/>
      <c r="C7" s="22"/>
      <c r="D7" s="22"/>
      <c r="E7" s="18"/>
    </row>
    <row r="8">
      <c r="A8" s="19" t="s">
        <v>39</v>
      </c>
      <c r="B8" s="22" t="s">
        <v>40</v>
      </c>
      <c r="E8" s="18"/>
    </row>
    <row r="9">
      <c r="A9" s="19" t="s">
        <v>41</v>
      </c>
      <c r="B9" s="12" t="s">
        <v>42</v>
      </c>
      <c r="E9" s="18"/>
    </row>
    <row r="10">
      <c r="A10" s="19"/>
      <c r="B10" s="12" t="s">
        <v>43</v>
      </c>
      <c r="C10" s="12">
        <v>276.0</v>
      </c>
      <c r="D10" s="23" t="s">
        <v>43</v>
      </c>
      <c r="E10" s="24" t="s">
        <v>44</v>
      </c>
    </row>
    <row r="11">
      <c r="A11" s="19"/>
      <c r="B11" s="12" t="s">
        <v>45</v>
      </c>
      <c r="C11" s="25">
        <v>87.0</v>
      </c>
      <c r="D11" s="23" t="s">
        <v>45</v>
      </c>
      <c r="E11" s="18"/>
    </row>
    <row r="12">
      <c r="A12" s="19"/>
      <c r="B12" s="12" t="s">
        <v>46</v>
      </c>
      <c r="C12" s="12">
        <v>37.0</v>
      </c>
      <c r="D12" s="26" t="s">
        <v>46</v>
      </c>
      <c r="E12" s="18"/>
    </row>
    <row r="13">
      <c r="A13" s="19"/>
      <c r="B13" s="12" t="s">
        <v>47</v>
      </c>
      <c r="C13" s="12">
        <v>91.0</v>
      </c>
      <c r="D13" s="23" t="s">
        <v>47</v>
      </c>
      <c r="E13" s="27" t="s">
        <v>48</v>
      </c>
    </row>
    <row r="14">
      <c r="A14" s="19"/>
      <c r="B14" s="12" t="s">
        <v>49</v>
      </c>
      <c r="C14" s="28">
        <v>33.0</v>
      </c>
      <c r="D14" s="29" t="s">
        <v>50</v>
      </c>
      <c r="E14" s="18"/>
    </row>
    <row r="15">
      <c r="A15" s="19"/>
      <c r="B15" s="12" t="s">
        <v>51</v>
      </c>
      <c r="C15" s="12">
        <f>SUM(C10:C14)</f>
        <v>524</v>
      </c>
      <c r="D15" s="12"/>
      <c r="E15" s="18"/>
    </row>
    <row r="16" ht="289.5" customHeight="1">
      <c r="A16" s="19" t="s">
        <v>52</v>
      </c>
      <c r="B16" s="28" t="s">
        <v>53</v>
      </c>
      <c r="E16" s="18"/>
    </row>
    <row r="17">
      <c r="A17" s="19" t="s">
        <v>54</v>
      </c>
      <c r="B17" s="28" t="s">
        <v>55</v>
      </c>
      <c r="E17" s="18"/>
    </row>
    <row r="18">
      <c r="A18" s="30" t="s">
        <v>56</v>
      </c>
      <c r="B18" s="15" t="s">
        <v>57</v>
      </c>
    </row>
    <row r="19" ht="15.75" customHeight="1">
      <c r="A19" s="5"/>
      <c r="B19" s="5"/>
      <c r="C19" s="5"/>
      <c r="D19" s="5"/>
      <c r="E19" s="5"/>
    </row>
    <row r="20" ht="15.75" customHeight="1">
      <c r="A20" s="5"/>
      <c r="B20" s="5"/>
      <c r="C20" s="5"/>
      <c r="D20" s="5"/>
      <c r="E20" s="5"/>
    </row>
    <row r="21" ht="15.75" customHeight="1">
      <c r="A21" s="5"/>
      <c r="B21" s="5"/>
      <c r="C21" s="5"/>
      <c r="D21" s="5"/>
      <c r="E21" s="5"/>
    </row>
    <row r="22" ht="15.75" customHeight="1">
      <c r="A22" s="5"/>
      <c r="B22" s="5"/>
      <c r="C22" s="5"/>
      <c r="D22" s="5"/>
      <c r="E22" s="5"/>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c r="G59" s="11">
        <f>450.897777777777</f>
        <v>450.8977778</v>
      </c>
    </row>
    <row r="60" ht="15.75" customHeight="1">
      <c r="A60" s="5"/>
      <c r="B60" s="5"/>
      <c r="C60" s="5"/>
      <c r="D60" s="5"/>
      <c r="E60" s="5"/>
      <c r="G60" s="11" t="s">
        <v>9</v>
      </c>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0">
    <mergeCell ref="B16:D16"/>
    <mergeCell ref="B17:D17"/>
    <mergeCell ref="B18:E18"/>
    <mergeCell ref="A1:E1"/>
    <mergeCell ref="B3:D3"/>
    <mergeCell ref="B4:D4"/>
    <mergeCell ref="B5:D5"/>
    <mergeCell ref="B6:D6"/>
    <mergeCell ref="B8:D8"/>
    <mergeCell ref="B9:D9"/>
  </mergeCells>
  <hyperlinks>
    <hyperlink r:id="rId1" ref="D10"/>
    <hyperlink r:id="rId2" ref="E10"/>
    <hyperlink r:id="rId3" ref="D11"/>
    <hyperlink r:id="rId4" ref="D12"/>
    <hyperlink r:id="rId5" ref="D13"/>
    <hyperlink r:id="rId6" ref="E13"/>
    <hyperlink r:id="rId7" ref="D14"/>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5.63"/>
    <col customWidth="1" min="3" max="3" width="22.75"/>
    <col customWidth="1" min="4" max="4" width="7.38"/>
    <col customWidth="1" min="5" max="5" width="23.38"/>
    <col customWidth="1" min="6" max="6" width="30.38"/>
    <col customWidth="1" min="7" max="7" width="17.38"/>
    <col customWidth="1" min="8" max="8" width="13.13"/>
    <col customWidth="1" min="9" max="9" width="13.0"/>
    <col customWidth="1" min="11" max="11" width="25.13"/>
    <col customWidth="1" min="12" max="12" width="29.75"/>
    <col customWidth="1" min="13" max="13" width="17.13"/>
  </cols>
  <sheetData>
    <row r="1">
      <c r="A1" s="31" t="s">
        <v>58</v>
      </c>
      <c r="C1" s="32" t="s">
        <v>59</v>
      </c>
      <c r="O1" s="33"/>
      <c r="P1" s="33"/>
      <c r="Q1" s="33"/>
      <c r="R1" s="33"/>
      <c r="S1" s="33"/>
      <c r="T1" s="33"/>
      <c r="U1" s="33"/>
    </row>
    <row r="2">
      <c r="A2" s="31" t="s">
        <v>60</v>
      </c>
      <c r="C2" s="34" t="s">
        <v>61</v>
      </c>
      <c r="D2" s="32"/>
      <c r="E2" s="32"/>
      <c r="F2" s="32"/>
      <c r="G2" s="32"/>
      <c r="H2" s="32"/>
      <c r="I2" s="32"/>
      <c r="J2" s="32"/>
      <c r="K2" s="32"/>
      <c r="L2" s="32"/>
      <c r="M2" s="32"/>
      <c r="N2" s="32"/>
      <c r="O2" s="33"/>
      <c r="P2" s="33"/>
      <c r="Q2" s="33"/>
      <c r="R2" s="33"/>
      <c r="S2" s="33"/>
      <c r="T2" s="33"/>
      <c r="U2" s="33"/>
    </row>
    <row r="3">
      <c r="A3" s="31" t="s">
        <v>62</v>
      </c>
      <c r="C3" s="34" t="s">
        <v>63</v>
      </c>
      <c r="D3" s="32"/>
      <c r="E3" s="32"/>
      <c r="F3" s="32"/>
      <c r="G3" s="32"/>
      <c r="H3" s="32"/>
      <c r="I3" s="32"/>
      <c r="J3" s="32"/>
      <c r="K3" s="32"/>
      <c r="L3" s="32"/>
      <c r="M3" s="32"/>
      <c r="N3" s="32"/>
      <c r="O3" s="33"/>
      <c r="P3" s="33"/>
      <c r="Q3" s="33"/>
      <c r="R3" s="33"/>
      <c r="S3" s="33"/>
      <c r="T3" s="33"/>
      <c r="U3" s="33"/>
    </row>
    <row r="4" ht="51.0" customHeight="1">
      <c r="A4" s="35" t="s">
        <v>64</v>
      </c>
      <c r="B4" s="35" t="s">
        <v>65</v>
      </c>
      <c r="C4" s="35" t="s">
        <v>66</v>
      </c>
      <c r="D4" s="35" t="s">
        <v>67</v>
      </c>
      <c r="E4" s="35" t="s">
        <v>68</v>
      </c>
      <c r="F4" s="35" t="s">
        <v>69</v>
      </c>
      <c r="G4" s="35" t="s">
        <v>70</v>
      </c>
      <c r="H4" s="35" t="s">
        <v>71</v>
      </c>
      <c r="I4" s="35" t="s">
        <v>72</v>
      </c>
      <c r="J4" s="35" t="s">
        <v>73</v>
      </c>
      <c r="K4" s="35" t="s">
        <v>74</v>
      </c>
      <c r="L4" s="35" t="s">
        <v>75</v>
      </c>
      <c r="M4" s="35" t="s">
        <v>76</v>
      </c>
      <c r="N4" s="35" t="s">
        <v>77</v>
      </c>
      <c r="O4" s="33"/>
      <c r="P4" s="33"/>
      <c r="Q4" s="33"/>
      <c r="R4" s="33"/>
      <c r="S4" s="33"/>
      <c r="T4" s="33"/>
      <c r="U4" s="33"/>
    </row>
    <row r="5">
      <c r="A5" s="36" t="s">
        <v>46</v>
      </c>
      <c r="B5" s="37" t="s">
        <v>78</v>
      </c>
      <c r="C5" s="38" t="s">
        <v>79</v>
      </c>
      <c r="D5" s="39">
        <v>2020.0</v>
      </c>
      <c r="E5" s="40" t="s">
        <v>46</v>
      </c>
      <c r="F5" s="39" t="s">
        <v>80</v>
      </c>
      <c r="G5" s="41" t="s">
        <v>81</v>
      </c>
      <c r="H5" s="36" t="s">
        <v>82</v>
      </c>
      <c r="I5" s="36" t="s">
        <v>82</v>
      </c>
      <c r="J5" s="42" t="str">
        <f t="shared" ref="J5:J525" si="1">IF(OR(ISBLANK(H5),ISBLANK(I5)),"",IF(H5&lt;&gt;I5,"Diferente","Igual"))</f>
        <v>Igual</v>
      </c>
      <c r="K5" s="39" t="s">
        <v>83</v>
      </c>
      <c r="L5" s="39" t="s">
        <v>84</v>
      </c>
      <c r="M5" s="36" t="s">
        <v>85</v>
      </c>
      <c r="N5" s="42" t="str">
        <f t="shared" ref="N5:N76" si="2">IF(OR(ISBLANK(H5),ISBLANK(I5)),"", IF(J5="Diferente","Sim",IF(H5="Sim","Sim","Não")))</f>
        <v>Sim</v>
      </c>
      <c r="O5" s="33"/>
      <c r="P5" s="33"/>
      <c r="Q5" s="33"/>
      <c r="R5" s="33"/>
      <c r="S5" s="33"/>
      <c r="T5" s="33"/>
      <c r="U5" s="33"/>
    </row>
    <row r="6">
      <c r="A6" s="36" t="s">
        <v>46</v>
      </c>
      <c r="B6" s="37" t="s">
        <v>86</v>
      </c>
      <c r="C6" s="38" t="s">
        <v>87</v>
      </c>
      <c r="D6" s="39">
        <v>2020.0</v>
      </c>
      <c r="E6" s="40" t="s">
        <v>46</v>
      </c>
      <c r="F6" s="39" t="s">
        <v>88</v>
      </c>
      <c r="G6" s="41" t="s">
        <v>89</v>
      </c>
      <c r="H6" s="36" t="s">
        <v>82</v>
      </c>
      <c r="I6" s="36" t="s">
        <v>82</v>
      </c>
      <c r="J6" s="42" t="str">
        <f t="shared" si="1"/>
        <v>Igual</v>
      </c>
      <c r="K6" s="39" t="s">
        <v>90</v>
      </c>
      <c r="L6" s="39" t="s">
        <v>91</v>
      </c>
      <c r="M6" s="36" t="s">
        <v>85</v>
      </c>
      <c r="N6" s="42" t="str">
        <f t="shared" si="2"/>
        <v>Sim</v>
      </c>
      <c r="O6" s="33"/>
      <c r="P6" s="33"/>
      <c r="Q6" s="33"/>
      <c r="R6" s="33"/>
      <c r="S6" s="33"/>
      <c r="T6" s="33"/>
      <c r="U6" s="33"/>
    </row>
    <row r="7">
      <c r="A7" s="36" t="s">
        <v>46</v>
      </c>
      <c r="B7" s="37" t="s">
        <v>92</v>
      </c>
      <c r="C7" s="38" t="s">
        <v>93</v>
      </c>
      <c r="D7" s="39">
        <v>2025.0</v>
      </c>
      <c r="E7" s="40" t="s">
        <v>46</v>
      </c>
      <c r="F7" s="39" t="s">
        <v>94</v>
      </c>
      <c r="G7" s="41" t="s">
        <v>95</v>
      </c>
      <c r="H7" s="36" t="s">
        <v>82</v>
      </c>
      <c r="I7" s="36" t="s">
        <v>82</v>
      </c>
      <c r="J7" s="42" t="str">
        <f t="shared" si="1"/>
        <v>Igual</v>
      </c>
      <c r="K7" s="39" t="s">
        <v>96</v>
      </c>
      <c r="L7" s="39" t="s">
        <v>97</v>
      </c>
      <c r="M7" s="36" t="s">
        <v>85</v>
      </c>
      <c r="N7" s="42" t="str">
        <f t="shared" si="2"/>
        <v>Sim</v>
      </c>
      <c r="O7" s="33"/>
      <c r="P7" s="33"/>
      <c r="Q7" s="33"/>
      <c r="R7" s="33"/>
      <c r="S7" s="33"/>
      <c r="T7" s="33"/>
      <c r="U7" s="33"/>
    </row>
    <row r="8">
      <c r="A8" s="36" t="s">
        <v>46</v>
      </c>
      <c r="B8" s="37" t="s">
        <v>98</v>
      </c>
      <c r="C8" s="38" t="s">
        <v>99</v>
      </c>
      <c r="D8" s="39">
        <v>2022.0</v>
      </c>
      <c r="E8" s="37" t="s">
        <v>100</v>
      </c>
      <c r="F8" s="43" t="s">
        <v>101</v>
      </c>
      <c r="G8" s="43" t="s">
        <v>102</v>
      </c>
      <c r="H8" s="36" t="s">
        <v>103</v>
      </c>
      <c r="I8" s="36" t="s">
        <v>103</v>
      </c>
      <c r="J8" s="42" t="str">
        <f t="shared" si="1"/>
        <v>Igual</v>
      </c>
      <c r="K8" s="44" t="s">
        <v>104</v>
      </c>
      <c r="L8" s="44" t="s">
        <v>105</v>
      </c>
      <c r="M8" s="36" t="s">
        <v>85</v>
      </c>
      <c r="N8" s="42" t="str">
        <f t="shared" si="2"/>
        <v>Não</v>
      </c>
    </row>
    <row r="9">
      <c r="A9" s="36" t="s">
        <v>46</v>
      </c>
      <c r="B9" s="37" t="s">
        <v>106</v>
      </c>
      <c r="C9" s="38" t="s">
        <v>107</v>
      </c>
      <c r="D9" s="39">
        <v>2021.0</v>
      </c>
      <c r="E9" s="37" t="s">
        <v>108</v>
      </c>
      <c r="F9" s="43" t="s">
        <v>109</v>
      </c>
      <c r="G9" s="43" t="s">
        <v>110</v>
      </c>
      <c r="H9" s="36" t="s">
        <v>103</v>
      </c>
      <c r="I9" s="36" t="s">
        <v>103</v>
      </c>
      <c r="J9" s="42" t="str">
        <f t="shared" si="1"/>
        <v>Igual</v>
      </c>
      <c r="K9" s="44" t="s">
        <v>111</v>
      </c>
      <c r="L9" s="44" t="s">
        <v>112</v>
      </c>
      <c r="M9" s="36" t="s">
        <v>85</v>
      </c>
      <c r="N9" s="45" t="str">
        <f t="shared" si="2"/>
        <v>Não</v>
      </c>
    </row>
    <row r="10">
      <c r="A10" s="36" t="s">
        <v>46</v>
      </c>
      <c r="B10" s="37" t="s">
        <v>113</v>
      </c>
      <c r="C10" s="38" t="s">
        <v>114</v>
      </c>
      <c r="D10" s="39">
        <v>2024.0</v>
      </c>
      <c r="E10" s="37" t="s">
        <v>115</v>
      </c>
      <c r="F10" s="43" t="s">
        <v>116</v>
      </c>
      <c r="G10" s="43" t="s">
        <v>117</v>
      </c>
      <c r="H10" s="36" t="s">
        <v>103</v>
      </c>
      <c r="I10" s="36" t="s">
        <v>103</v>
      </c>
      <c r="J10" s="42" t="str">
        <f t="shared" si="1"/>
        <v>Igual</v>
      </c>
      <c r="K10" s="44" t="s">
        <v>118</v>
      </c>
      <c r="L10" s="44" t="s">
        <v>119</v>
      </c>
      <c r="M10" s="36" t="s">
        <v>85</v>
      </c>
      <c r="N10" s="42" t="str">
        <f t="shared" si="2"/>
        <v>Não</v>
      </c>
    </row>
    <row r="11">
      <c r="A11" s="36" t="s">
        <v>46</v>
      </c>
      <c r="B11" s="37" t="s">
        <v>120</v>
      </c>
      <c r="C11" s="38" t="s">
        <v>121</v>
      </c>
      <c r="D11" s="39">
        <v>2025.0</v>
      </c>
      <c r="E11" s="37" t="s">
        <v>122</v>
      </c>
      <c r="F11" s="43" t="s">
        <v>123</v>
      </c>
      <c r="G11" s="43" t="s">
        <v>124</v>
      </c>
      <c r="H11" s="36" t="s">
        <v>103</v>
      </c>
      <c r="I11" s="36" t="s">
        <v>103</v>
      </c>
      <c r="J11" s="42" t="str">
        <f t="shared" si="1"/>
        <v>Igual</v>
      </c>
      <c r="K11" s="44" t="s">
        <v>125</v>
      </c>
      <c r="L11" s="44" t="s">
        <v>126</v>
      </c>
      <c r="M11" s="36" t="s">
        <v>85</v>
      </c>
      <c r="N11" s="45" t="str">
        <f t="shared" si="2"/>
        <v>Não</v>
      </c>
    </row>
    <row r="12">
      <c r="A12" s="36" t="s">
        <v>46</v>
      </c>
      <c r="B12" s="37" t="s">
        <v>127</v>
      </c>
      <c r="C12" s="38" t="s">
        <v>128</v>
      </c>
      <c r="D12" s="39">
        <v>2024.0</v>
      </c>
      <c r="E12" s="37" t="s">
        <v>129</v>
      </c>
      <c r="F12" s="43" t="s">
        <v>130</v>
      </c>
      <c r="G12" s="43" t="s">
        <v>131</v>
      </c>
      <c r="H12" s="36" t="s">
        <v>82</v>
      </c>
      <c r="I12" s="36" t="s">
        <v>82</v>
      </c>
      <c r="J12" s="42" t="str">
        <f t="shared" si="1"/>
        <v>Igual</v>
      </c>
      <c r="K12" s="44" t="s">
        <v>132</v>
      </c>
      <c r="L12" s="44" t="s">
        <v>133</v>
      </c>
      <c r="M12" s="36" t="s">
        <v>85</v>
      </c>
      <c r="N12" s="42" t="str">
        <f t="shared" si="2"/>
        <v>Sim</v>
      </c>
      <c r="O12" s="33"/>
      <c r="P12" s="33"/>
      <c r="Q12" s="33"/>
      <c r="R12" s="33"/>
      <c r="S12" s="33"/>
      <c r="T12" s="33"/>
      <c r="U12" s="33"/>
    </row>
    <row r="13">
      <c r="A13" s="36" t="s">
        <v>46</v>
      </c>
      <c r="B13" s="37" t="s">
        <v>134</v>
      </c>
      <c r="C13" s="38" t="s">
        <v>135</v>
      </c>
      <c r="D13" s="39">
        <v>2022.0</v>
      </c>
      <c r="E13" s="37" t="s">
        <v>136</v>
      </c>
      <c r="F13" s="43" t="s">
        <v>137</v>
      </c>
      <c r="G13" s="43" t="s">
        <v>138</v>
      </c>
      <c r="H13" s="36" t="s">
        <v>103</v>
      </c>
      <c r="I13" s="36" t="s">
        <v>103</v>
      </c>
      <c r="J13" s="42" t="str">
        <f t="shared" si="1"/>
        <v>Igual</v>
      </c>
      <c r="K13" s="44" t="s">
        <v>139</v>
      </c>
      <c r="L13" s="44" t="s">
        <v>140</v>
      </c>
      <c r="M13" s="36" t="s">
        <v>85</v>
      </c>
      <c r="N13" s="45" t="str">
        <f t="shared" si="2"/>
        <v>Não</v>
      </c>
    </row>
    <row r="14">
      <c r="A14" s="36" t="s">
        <v>46</v>
      </c>
      <c r="B14" s="37" t="s">
        <v>141</v>
      </c>
      <c r="C14" s="38" t="s">
        <v>142</v>
      </c>
      <c r="D14" s="39">
        <v>2023.0</v>
      </c>
      <c r="E14" s="37" t="s">
        <v>143</v>
      </c>
      <c r="F14" s="43" t="s">
        <v>144</v>
      </c>
      <c r="G14" s="43" t="s">
        <v>145</v>
      </c>
      <c r="H14" s="36" t="s">
        <v>103</v>
      </c>
      <c r="I14" s="36" t="s">
        <v>103</v>
      </c>
      <c r="J14" s="42" t="str">
        <f t="shared" si="1"/>
        <v>Igual</v>
      </c>
      <c r="K14" s="44" t="s">
        <v>146</v>
      </c>
      <c r="L14" s="44" t="s">
        <v>147</v>
      </c>
      <c r="M14" s="36" t="s">
        <v>85</v>
      </c>
      <c r="N14" s="42" t="str">
        <f t="shared" si="2"/>
        <v>Não</v>
      </c>
    </row>
    <row r="15">
      <c r="A15" s="36" t="s">
        <v>46</v>
      </c>
      <c r="B15" s="37" t="s">
        <v>148</v>
      </c>
      <c r="C15" s="38" t="s">
        <v>149</v>
      </c>
      <c r="D15" s="39">
        <v>2023.0</v>
      </c>
      <c r="E15" s="37" t="s">
        <v>150</v>
      </c>
      <c r="F15" s="43" t="s">
        <v>151</v>
      </c>
      <c r="G15" s="43" t="s">
        <v>152</v>
      </c>
      <c r="H15" s="36" t="s">
        <v>82</v>
      </c>
      <c r="I15" s="36" t="s">
        <v>82</v>
      </c>
      <c r="J15" s="42" t="str">
        <f t="shared" si="1"/>
        <v>Igual</v>
      </c>
      <c r="K15" s="44" t="s">
        <v>153</v>
      </c>
      <c r="L15" s="44" t="s">
        <v>154</v>
      </c>
      <c r="M15" s="36" t="s">
        <v>85</v>
      </c>
      <c r="N15" s="45" t="str">
        <f t="shared" si="2"/>
        <v>Sim</v>
      </c>
      <c r="O15" s="33"/>
      <c r="P15" s="33"/>
      <c r="Q15" s="33"/>
      <c r="R15" s="33"/>
      <c r="S15" s="33"/>
      <c r="T15" s="33"/>
      <c r="U15" s="33"/>
    </row>
    <row r="16">
      <c r="A16" s="36" t="s">
        <v>46</v>
      </c>
      <c r="B16" s="37" t="s">
        <v>155</v>
      </c>
      <c r="C16" s="38" t="s">
        <v>156</v>
      </c>
      <c r="D16" s="39">
        <v>2025.0</v>
      </c>
      <c r="E16" s="37" t="s">
        <v>157</v>
      </c>
      <c r="F16" s="43" t="s">
        <v>158</v>
      </c>
      <c r="G16" s="43" t="s">
        <v>159</v>
      </c>
      <c r="H16" s="36" t="s">
        <v>103</v>
      </c>
      <c r="I16" s="36" t="s">
        <v>103</v>
      </c>
      <c r="J16" s="42" t="str">
        <f t="shared" si="1"/>
        <v>Igual</v>
      </c>
      <c r="K16" s="44" t="s">
        <v>160</v>
      </c>
      <c r="L16" s="44" t="s">
        <v>161</v>
      </c>
      <c r="M16" s="36" t="s">
        <v>85</v>
      </c>
      <c r="N16" s="42" t="str">
        <f t="shared" si="2"/>
        <v>Não</v>
      </c>
    </row>
    <row r="17">
      <c r="A17" s="36" t="s">
        <v>46</v>
      </c>
      <c r="B17" s="37" t="s">
        <v>162</v>
      </c>
      <c r="C17" s="38" t="s">
        <v>163</v>
      </c>
      <c r="D17" s="39">
        <v>2025.0</v>
      </c>
      <c r="E17" s="37" t="s">
        <v>164</v>
      </c>
      <c r="F17" s="43" t="s">
        <v>165</v>
      </c>
      <c r="G17" s="43" t="s">
        <v>166</v>
      </c>
      <c r="H17" s="36" t="s">
        <v>82</v>
      </c>
      <c r="I17" s="36" t="s">
        <v>82</v>
      </c>
      <c r="J17" s="42" t="str">
        <f t="shared" si="1"/>
        <v>Igual</v>
      </c>
      <c r="K17" s="44" t="s">
        <v>167</v>
      </c>
      <c r="L17" s="44" t="s">
        <v>168</v>
      </c>
      <c r="M17" s="36" t="s">
        <v>85</v>
      </c>
      <c r="N17" s="45" t="str">
        <f t="shared" si="2"/>
        <v>Sim</v>
      </c>
      <c r="O17" s="33"/>
      <c r="P17" s="33"/>
      <c r="Q17" s="33"/>
      <c r="R17" s="33"/>
      <c r="S17" s="33"/>
      <c r="T17" s="33"/>
      <c r="U17" s="33"/>
    </row>
    <row r="18">
      <c r="A18" s="36" t="s">
        <v>46</v>
      </c>
      <c r="B18" s="37" t="s">
        <v>169</v>
      </c>
      <c r="C18" s="38" t="s">
        <v>170</v>
      </c>
      <c r="D18" s="39">
        <v>2024.0</v>
      </c>
      <c r="E18" s="37" t="s">
        <v>171</v>
      </c>
      <c r="F18" s="43" t="s">
        <v>172</v>
      </c>
      <c r="G18" s="43" t="s">
        <v>173</v>
      </c>
      <c r="H18" s="36" t="s">
        <v>82</v>
      </c>
      <c r="I18" s="36" t="s">
        <v>82</v>
      </c>
      <c r="J18" s="42" t="str">
        <f t="shared" si="1"/>
        <v>Igual</v>
      </c>
      <c r="K18" s="44" t="s">
        <v>174</v>
      </c>
      <c r="L18" s="44" t="s">
        <v>175</v>
      </c>
      <c r="M18" s="36" t="s">
        <v>85</v>
      </c>
      <c r="N18" s="45" t="str">
        <f t="shared" si="2"/>
        <v>Sim</v>
      </c>
      <c r="O18" s="33"/>
      <c r="P18" s="33"/>
      <c r="Q18" s="33"/>
      <c r="R18" s="33"/>
      <c r="S18" s="33"/>
      <c r="T18" s="33"/>
      <c r="U18" s="33"/>
    </row>
    <row r="19">
      <c r="A19" s="36" t="s">
        <v>46</v>
      </c>
      <c r="B19" s="37" t="s">
        <v>176</v>
      </c>
      <c r="C19" s="38" t="s">
        <v>177</v>
      </c>
      <c r="D19" s="39">
        <v>2024.0</v>
      </c>
      <c r="E19" s="37" t="s">
        <v>178</v>
      </c>
      <c r="F19" s="43" t="s">
        <v>179</v>
      </c>
      <c r="G19" s="43" t="s">
        <v>180</v>
      </c>
      <c r="H19" s="36" t="s">
        <v>103</v>
      </c>
      <c r="I19" s="36" t="s">
        <v>103</v>
      </c>
      <c r="J19" s="42" t="str">
        <f t="shared" si="1"/>
        <v>Igual</v>
      </c>
      <c r="K19" s="44" t="s">
        <v>181</v>
      </c>
      <c r="L19" s="44" t="s">
        <v>182</v>
      </c>
      <c r="M19" s="36" t="s">
        <v>85</v>
      </c>
      <c r="N19" s="42" t="str">
        <f t="shared" si="2"/>
        <v>Não</v>
      </c>
    </row>
    <row r="20">
      <c r="A20" s="36" t="s">
        <v>46</v>
      </c>
      <c r="B20" s="37" t="s">
        <v>183</v>
      </c>
      <c r="C20" s="38" t="s">
        <v>184</v>
      </c>
      <c r="D20" s="39">
        <v>2022.0</v>
      </c>
      <c r="E20" s="37" t="s">
        <v>185</v>
      </c>
      <c r="F20" s="43" t="s">
        <v>186</v>
      </c>
      <c r="G20" s="43" t="s">
        <v>187</v>
      </c>
      <c r="H20" s="36" t="s">
        <v>103</v>
      </c>
      <c r="I20" s="36" t="s">
        <v>103</v>
      </c>
      <c r="J20" s="42" t="str">
        <f t="shared" si="1"/>
        <v>Igual</v>
      </c>
      <c r="K20" s="44" t="s">
        <v>188</v>
      </c>
      <c r="L20" s="44" t="s">
        <v>189</v>
      </c>
      <c r="M20" s="36" t="s">
        <v>85</v>
      </c>
      <c r="N20" s="45" t="str">
        <f t="shared" si="2"/>
        <v>Não</v>
      </c>
    </row>
    <row r="21">
      <c r="A21" s="36" t="s">
        <v>46</v>
      </c>
      <c r="B21" s="37" t="s">
        <v>190</v>
      </c>
      <c r="C21" s="38" t="s">
        <v>191</v>
      </c>
      <c r="D21" s="39">
        <v>2024.0</v>
      </c>
      <c r="E21" s="37" t="s">
        <v>192</v>
      </c>
      <c r="F21" s="43" t="s">
        <v>193</v>
      </c>
      <c r="G21" s="43" t="s">
        <v>194</v>
      </c>
      <c r="H21" s="36" t="s">
        <v>103</v>
      </c>
      <c r="I21" s="36" t="s">
        <v>103</v>
      </c>
      <c r="J21" s="42" t="str">
        <f t="shared" si="1"/>
        <v>Igual</v>
      </c>
      <c r="K21" s="44" t="s">
        <v>195</v>
      </c>
      <c r="L21" s="44" t="s">
        <v>196</v>
      </c>
      <c r="M21" s="36" t="s">
        <v>85</v>
      </c>
      <c r="N21" s="45" t="str">
        <f t="shared" si="2"/>
        <v>Não</v>
      </c>
    </row>
    <row r="22">
      <c r="A22" s="36" t="s">
        <v>46</v>
      </c>
      <c r="B22" s="37" t="s">
        <v>197</v>
      </c>
      <c r="C22" s="38" t="s">
        <v>198</v>
      </c>
      <c r="D22" s="39">
        <v>2025.0</v>
      </c>
      <c r="E22" s="37" t="s">
        <v>199</v>
      </c>
      <c r="F22" s="43" t="s">
        <v>200</v>
      </c>
      <c r="G22" s="43" t="s">
        <v>201</v>
      </c>
      <c r="H22" s="36" t="s">
        <v>103</v>
      </c>
      <c r="I22" s="36" t="s">
        <v>103</v>
      </c>
      <c r="J22" s="42" t="str">
        <f t="shared" si="1"/>
        <v>Igual</v>
      </c>
      <c r="K22" s="44" t="s">
        <v>188</v>
      </c>
      <c r="L22" s="44" t="s">
        <v>189</v>
      </c>
      <c r="M22" s="36" t="s">
        <v>85</v>
      </c>
      <c r="N22" s="42" t="str">
        <f t="shared" si="2"/>
        <v>Não</v>
      </c>
    </row>
    <row r="23">
      <c r="A23" s="36" t="s">
        <v>46</v>
      </c>
      <c r="B23" s="37" t="s">
        <v>202</v>
      </c>
      <c r="C23" s="38" t="s">
        <v>203</v>
      </c>
      <c r="D23" s="39">
        <v>2020.0</v>
      </c>
      <c r="E23" s="37" t="s">
        <v>204</v>
      </c>
      <c r="F23" s="43" t="s">
        <v>205</v>
      </c>
      <c r="G23" s="43" t="s">
        <v>145</v>
      </c>
      <c r="H23" s="36" t="s">
        <v>103</v>
      </c>
      <c r="I23" s="36" t="s">
        <v>103</v>
      </c>
      <c r="J23" s="42" t="str">
        <f t="shared" si="1"/>
        <v>Igual</v>
      </c>
      <c r="K23" s="44" t="s">
        <v>188</v>
      </c>
      <c r="L23" s="44" t="s">
        <v>189</v>
      </c>
      <c r="M23" s="36" t="s">
        <v>85</v>
      </c>
      <c r="N23" s="42" t="str">
        <f t="shared" si="2"/>
        <v>Não</v>
      </c>
    </row>
    <row r="24">
      <c r="A24" s="36" t="s">
        <v>46</v>
      </c>
      <c r="B24" s="37" t="s">
        <v>206</v>
      </c>
      <c r="C24" s="38" t="s">
        <v>207</v>
      </c>
      <c r="D24" s="39">
        <v>2025.0</v>
      </c>
      <c r="E24" s="37" t="s">
        <v>208</v>
      </c>
      <c r="F24" s="46" t="s">
        <v>209</v>
      </c>
      <c r="G24" s="43" t="s">
        <v>145</v>
      </c>
      <c r="H24" s="36" t="s">
        <v>103</v>
      </c>
      <c r="I24" s="36" t="s">
        <v>103</v>
      </c>
      <c r="J24" s="42" t="str">
        <f t="shared" si="1"/>
        <v>Igual</v>
      </c>
      <c r="K24" s="44" t="s">
        <v>210</v>
      </c>
      <c r="L24" s="44" t="s">
        <v>211</v>
      </c>
      <c r="M24" s="36" t="s">
        <v>85</v>
      </c>
      <c r="N24" s="45" t="str">
        <f t="shared" si="2"/>
        <v>Não</v>
      </c>
    </row>
    <row r="25">
      <c r="A25" s="36" t="s">
        <v>46</v>
      </c>
      <c r="B25" s="37" t="s">
        <v>212</v>
      </c>
      <c r="C25" s="38" t="s">
        <v>213</v>
      </c>
      <c r="D25" s="39">
        <v>2023.0</v>
      </c>
      <c r="E25" s="37" t="s">
        <v>214</v>
      </c>
      <c r="F25" s="47" t="s">
        <v>215</v>
      </c>
      <c r="G25" s="47" t="s">
        <v>216</v>
      </c>
      <c r="H25" s="36" t="s">
        <v>103</v>
      </c>
      <c r="I25" s="36" t="s">
        <v>103</v>
      </c>
      <c r="J25" s="42" t="str">
        <f t="shared" si="1"/>
        <v>Igual</v>
      </c>
      <c r="K25" s="44" t="s">
        <v>217</v>
      </c>
      <c r="L25" s="44" t="s">
        <v>218</v>
      </c>
      <c r="M25" s="36" t="s">
        <v>85</v>
      </c>
      <c r="N25" s="42" t="str">
        <f t="shared" si="2"/>
        <v>Não</v>
      </c>
    </row>
    <row r="26">
      <c r="A26" s="36" t="s">
        <v>46</v>
      </c>
      <c r="B26" s="37" t="s">
        <v>219</v>
      </c>
      <c r="C26" s="38" t="s">
        <v>220</v>
      </c>
      <c r="D26" s="39">
        <v>2025.0</v>
      </c>
      <c r="E26" s="37" t="s">
        <v>221</v>
      </c>
      <c r="F26" s="43" t="s">
        <v>222</v>
      </c>
      <c r="G26" s="43" t="s">
        <v>145</v>
      </c>
      <c r="H26" s="36" t="s">
        <v>103</v>
      </c>
      <c r="I26" s="36" t="s">
        <v>103</v>
      </c>
      <c r="J26" s="42" t="str">
        <f t="shared" si="1"/>
        <v>Igual</v>
      </c>
      <c r="K26" s="44" t="s">
        <v>188</v>
      </c>
      <c r="L26" s="44" t="s">
        <v>189</v>
      </c>
      <c r="M26" s="36" t="s">
        <v>85</v>
      </c>
      <c r="N26" s="45" t="str">
        <f t="shared" si="2"/>
        <v>Não</v>
      </c>
    </row>
    <row r="27">
      <c r="A27" s="36" t="s">
        <v>46</v>
      </c>
      <c r="B27" s="37" t="s">
        <v>223</v>
      </c>
      <c r="C27" s="38" t="s">
        <v>224</v>
      </c>
      <c r="D27" s="39">
        <v>2025.0</v>
      </c>
      <c r="E27" s="37" t="s">
        <v>225</v>
      </c>
      <c r="F27" s="43" t="s">
        <v>226</v>
      </c>
      <c r="G27" s="43" t="s">
        <v>145</v>
      </c>
      <c r="H27" s="36" t="s">
        <v>103</v>
      </c>
      <c r="I27" s="36" t="s">
        <v>103</v>
      </c>
      <c r="J27" s="42" t="str">
        <f t="shared" si="1"/>
        <v>Igual</v>
      </c>
      <c r="K27" s="44" t="s">
        <v>227</v>
      </c>
      <c r="L27" s="44" t="s">
        <v>228</v>
      </c>
      <c r="M27" s="36" t="s">
        <v>85</v>
      </c>
      <c r="N27" s="42" t="str">
        <f t="shared" si="2"/>
        <v>Não</v>
      </c>
    </row>
    <row r="28">
      <c r="A28" s="36" t="s">
        <v>46</v>
      </c>
      <c r="B28" s="37" t="s">
        <v>229</v>
      </c>
      <c r="C28" s="38" t="s">
        <v>230</v>
      </c>
      <c r="D28" s="39">
        <v>2025.0</v>
      </c>
      <c r="E28" s="37" t="s">
        <v>231</v>
      </c>
      <c r="F28" s="43" t="s">
        <v>232</v>
      </c>
      <c r="G28" s="43" t="s">
        <v>145</v>
      </c>
      <c r="H28" s="36" t="s">
        <v>103</v>
      </c>
      <c r="I28" s="36" t="s">
        <v>103</v>
      </c>
      <c r="J28" s="42" t="str">
        <f t="shared" si="1"/>
        <v>Igual</v>
      </c>
      <c r="K28" s="44" t="s">
        <v>195</v>
      </c>
      <c r="L28" s="44" t="s">
        <v>196</v>
      </c>
      <c r="M28" s="36" t="s">
        <v>85</v>
      </c>
      <c r="N28" s="45" t="str">
        <f t="shared" si="2"/>
        <v>Não</v>
      </c>
    </row>
    <row r="29">
      <c r="A29" s="36" t="s">
        <v>46</v>
      </c>
      <c r="B29" s="37" t="s">
        <v>233</v>
      </c>
      <c r="C29" s="38" t="s">
        <v>234</v>
      </c>
      <c r="D29" s="39">
        <v>2021.0</v>
      </c>
      <c r="E29" s="37" t="s">
        <v>235</v>
      </c>
      <c r="F29" s="47" t="s">
        <v>236</v>
      </c>
      <c r="G29" s="47" t="s">
        <v>237</v>
      </c>
      <c r="H29" s="36" t="s">
        <v>103</v>
      </c>
      <c r="I29" s="36" t="s">
        <v>103</v>
      </c>
      <c r="J29" s="42" t="str">
        <f t="shared" si="1"/>
        <v>Igual</v>
      </c>
      <c r="K29" s="44" t="s">
        <v>195</v>
      </c>
      <c r="L29" s="44" t="s">
        <v>196</v>
      </c>
      <c r="M29" s="36" t="s">
        <v>85</v>
      </c>
      <c r="N29" s="42" t="str">
        <f t="shared" si="2"/>
        <v>Não</v>
      </c>
    </row>
    <row r="30">
      <c r="A30" s="36" t="s">
        <v>46</v>
      </c>
      <c r="B30" s="37" t="s">
        <v>238</v>
      </c>
      <c r="C30" s="38" t="s">
        <v>239</v>
      </c>
      <c r="D30" s="39">
        <v>2024.0</v>
      </c>
      <c r="E30" s="37" t="s">
        <v>240</v>
      </c>
      <c r="F30" s="43" t="s">
        <v>241</v>
      </c>
      <c r="G30" s="43" t="s">
        <v>242</v>
      </c>
      <c r="H30" s="36" t="s">
        <v>103</v>
      </c>
      <c r="I30" s="36" t="s">
        <v>103</v>
      </c>
      <c r="J30" s="42" t="str">
        <f t="shared" si="1"/>
        <v>Igual</v>
      </c>
      <c r="K30" s="44" t="s">
        <v>243</v>
      </c>
      <c r="L30" s="44" t="s">
        <v>244</v>
      </c>
      <c r="M30" s="36" t="s">
        <v>85</v>
      </c>
      <c r="N30" s="45" t="str">
        <f t="shared" si="2"/>
        <v>Não</v>
      </c>
    </row>
    <row r="31">
      <c r="A31" s="36" t="s">
        <v>46</v>
      </c>
      <c r="B31" s="37" t="s">
        <v>183</v>
      </c>
      <c r="C31" s="38" t="s">
        <v>245</v>
      </c>
      <c r="D31" s="39">
        <v>2022.0</v>
      </c>
      <c r="E31" s="37" t="s">
        <v>246</v>
      </c>
      <c r="F31" s="43" t="s">
        <v>247</v>
      </c>
      <c r="G31" s="43" t="s">
        <v>145</v>
      </c>
      <c r="H31" s="36" t="s">
        <v>103</v>
      </c>
      <c r="I31" s="36" t="s">
        <v>103</v>
      </c>
      <c r="J31" s="42" t="str">
        <f t="shared" si="1"/>
        <v>Igual</v>
      </c>
      <c r="K31" s="44" t="s">
        <v>248</v>
      </c>
      <c r="L31" s="44" t="s">
        <v>249</v>
      </c>
      <c r="M31" s="36" t="s">
        <v>85</v>
      </c>
      <c r="N31" s="42" t="str">
        <f t="shared" si="2"/>
        <v>Não</v>
      </c>
    </row>
    <row r="32">
      <c r="A32" s="36" t="s">
        <v>46</v>
      </c>
      <c r="B32" s="37" t="s">
        <v>250</v>
      </c>
      <c r="C32" s="38" t="s">
        <v>251</v>
      </c>
      <c r="D32" s="39">
        <v>2023.0</v>
      </c>
      <c r="E32" s="37" t="s">
        <v>252</v>
      </c>
      <c r="F32" s="47" t="s">
        <v>253</v>
      </c>
      <c r="G32" s="43" t="s">
        <v>145</v>
      </c>
      <c r="H32" s="36" t="s">
        <v>82</v>
      </c>
      <c r="I32" s="36" t="s">
        <v>82</v>
      </c>
      <c r="J32" s="42" t="str">
        <f t="shared" si="1"/>
        <v>Igual</v>
      </c>
      <c r="K32" s="44" t="s">
        <v>254</v>
      </c>
      <c r="L32" s="44" t="s">
        <v>255</v>
      </c>
      <c r="M32" s="36" t="s">
        <v>85</v>
      </c>
      <c r="N32" s="45" t="str">
        <f t="shared" si="2"/>
        <v>Sim</v>
      </c>
      <c r="O32" s="33"/>
      <c r="P32" s="33"/>
      <c r="Q32" s="33"/>
      <c r="R32" s="33"/>
      <c r="S32" s="33"/>
      <c r="T32" s="33"/>
      <c r="U32" s="33"/>
    </row>
    <row r="33">
      <c r="A33" s="36" t="s">
        <v>46</v>
      </c>
      <c r="B33" s="37" t="s">
        <v>256</v>
      </c>
      <c r="C33" s="38" t="s">
        <v>257</v>
      </c>
      <c r="D33" s="39">
        <v>2024.0</v>
      </c>
      <c r="E33" s="37" t="s">
        <v>258</v>
      </c>
      <c r="F33" s="43" t="s">
        <v>259</v>
      </c>
      <c r="G33" s="47" t="s">
        <v>260</v>
      </c>
      <c r="H33" s="36" t="s">
        <v>103</v>
      </c>
      <c r="I33" s="36" t="s">
        <v>103</v>
      </c>
      <c r="J33" s="42" t="str">
        <f t="shared" si="1"/>
        <v>Igual</v>
      </c>
      <c r="K33" s="44" t="s">
        <v>261</v>
      </c>
      <c r="L33" s="44" t="s">
        <v>262</v>
      </c>
      <c r="M33" s="36" t="s">
        <v>85</v>
      </c>
      <c r="N33" s="42" t="str">
        <f t="shared" si="2"/>
        <v>Não</v>
      </c>
    </row>
    <row r="34">
      <c r="A34" s="36" t="s">
        <v>46</v>
      </c>
      <c r="B34" s="37" t="s">
        <v>263</v>
      </c>
      <c r="C34" s="38" t="s">
        <v>264</v>
      </c>
      <c r="D34" s="39">
        <v>2020.0</v>
      </c>
      <c r="E34" s="37" t="s">
        <v>265</v>
      </c>
      <c r="F34" s="43" t="s">
        <v>266</v>
      </c>
      <c r="G34" s="47" t="s">
        <v>267</v>
      </c>
      <c r="H34" s="36" t="s">
        <v>103</v>
      </c>
      <c r="I34" s="36" t="s">
        <v>103</v>
      </c>
      <c r="J34" s="42" t="str">
        <f t="shared" si="1"/>
        <v>Igual</v>
      </c>
      <c r="K34" s="44" t="s">
        <v>268</v>
      </c>
      <c r="L34" s="44" t="s">
        <v>269</v>
      </c>
      <c r="M34" s="36" t="s">
        <v>85</v>
      </c>
      <c r="N34" s="45" t="str">
        <f t="shared" si="2"/>
        <v>Não</v>
      </c>
    </row>
    <row r="35">
      <c r="A35" s="36" t="s">
        <v>46</v>
      </c>
      <c r="B35" s="37" t="s">
        <v>270</v>
      </c>
      <c r="C35" s="38" t="s">
        <v>271</v>
      </c>
      <c r="D35" s="39">
        <v>2022.0</v>
      </c>
      <c r="E35" s="37" t="s">
        <v>272</v>
      </c>
      <c r="F35" s="47" t="s">
        <v>273</v>
      </c>
      <c r="G35" s="46" t="s">
        <v>274</v>
      </c>
      <c r="H35" s="36" t="s">
        <v>103</v>
      </c>
      <c r="I35" s="36" t="s">
        <v>103</v>
      </c>
      <c r="J35" s="42" t="str">
        <f t="shared" si="1"/>
        <v>Igual</v>
      </c>
      <c r="K35" s="44" t="s">
        <v>275</v>
      </c>
      <c r="L35" s="44" t="s">
        <v>276</v>
      </c>
      <c r="M35" s="36" t="s">
        <v>85</v>
      </c>
      <c r="N35" s="42" t="str">
        <f t="shared" si="2"/>
        <v>Não</v>
      </c>
    </row>
    <row r="36">
      <c r="A36" s="36" t="s">
        <v>46</v>
      </c>
      <c r="B36" s="37" t="s">
        <v>277</v>
      </c>
      <c r="C36" s="38" t="s">
        <v>278</v>
      </c>
      <c r="D36" s="39">
        <v>2025.0</v>
      </c>
      <c r="E36" s="37" t="s">
        <v>279</v>
      </c>
      <c r="F36" s="43" t="s">
        <v>280</v>
      </c>
      <c r="G36" s="43" t="s">
        <v>281</v>
      </c>
      <c r="H36" s="36" t="s">
        <v>82</v>
      </c>
      <c r="I36" s="36" t="s">
        <v>82</v>
      </c>
      <c r="J36" s="42" t="str">
        <f t="shared" si="1"/>
        <v>Igual</v>
      </c>
      <c r="K36" s="44" t="s">
        <v>282</v>
      </c>
      <c r="L36" s="44" t="s">
        <v>283</v>
      </c>
      <c r="M36" s="36" t="s">
        <v>85</v>
      </c>
      <c r="N36" s="45" t="str">
        <f t="shared" si="2"/>
        <v>Sim</v>
      </c>
      <c r="O36" s="33"/>
      <c r="P36" s="33"/>
      <c r="Q36" s="33"/>
      <c r="R36" s="33"/>
      <c r="S36" s="33"/>
      <c r="T36" s="33"/>
      <c r="U36" s="33"/>
    </row>
    <row r="37">
      <c r="A37" s="36" t="s">
        <v>46</v>
      </c>
      <c r="B37" s="37" t="s">
        <v>284</v>
      </c>
      <c r="C37" s="38" t="s">
        <v>285</v>
      </c>
      <c r="D37" s="39">
        <v>2025.0</v>
      </c>
      <c r="E37" s="37" t="s">
        <v>286</v>
      </c>
      <c r="F37" s="43" t="s">
        <v>287</v>
      </c>
      <c r="G37" s="43" t="s">
        <v>288</v>
      </c>
      <c r="H37" s="36" t="s">
        <v>103</v>
      </c>
      <c r="I37" s="36" t="s">
        <v>103</v>
      </c>
      <c r="J37" s="42" t="str">
        <f t="shared" si="1"/>
        <v>Igual</v>
      </c>
      <c r="K37" s="44" t="s">
        <v>289</v>
      </c>
      <c r="L37" s="44" t="s">
        <v>290</v>
      </c>
      <c r="M37" s="36" t="s">
        <v>85</v>
      </c>
      <c r="N37" s="42" t="str">
        <f t="shared" si="2"/>
        <v>Não</v>
      </c>
    </row>
    <row r="38">
      <c r="A38" s="36" t="s">
        <v>46</v>
      </c>
      <c r="B38" s="37" t="s">
        <v>291</v>
      </c>
      <c r="C38" s="38" t="s">
        <v>292</v>
      </c>
      <c r="D38" s="39">
        <v>2020.0</v>
      </c>
      <c r="E38" s="37" t="s">
        <v>293</v>
      </c>
      <c r="F38" s="43" t="s">
        <v>294</v>
      </c>
      <c r="G38" s="43" t="s">
        <v>295</v>
      </c>
      <c r="H38" s="36" t="s">
        <v>103</v>
      </c>
      <c r="I38" s="36" t="s">
        <v>103</v>
      </c>
      <c r="J38" s="42" t="str">
        <f t="shared" si="1"/>
        <v>Igual</v>
      </c>
      <c r="K38" s="44" t="s">
        <v>296</v>
      </c>
      <c r="L38" s="44" t="s">
        <v>297</v>
      </c>
      <c r="M38" s="36" t="s">
        <v>85</v>
      </c>
      <c r="N38" s="45" t="str">
        <f t="shared" si="2"/>
        <v>Não</v>
      </c>
    </row>
    <row r="39">
      <c r="A39" s="36" t="s">
        <v>46</v>
      </c>
      <c r="B39" s="37" t="s">
        <v>298</v>
      </c>
      <c r="C39" s="38" t="s">
        <v>299</v>
      </c>
      <c r="D39" s="39">
        <v>2021.0</v>
      </c>
      <c r="E39" s="37" t="s">
        <v>300</v>
      </c>
      <c r="F39" s="43" t="s">
        <v>301</v>
      </c>
      <c r="G39" s="43" t="s">
        <v>302</v>
      </c>
      <c r="H39" s="36" t="s">
        <v>103</v>
      </c>
      <c r="I39" s="36" t="s">
        <v>103</v>
      </c>
      <c r="J39" s="42" t="str">
        <f t="shared" si="1"/>
        <v>Igual</v>
      </c>
      <c r="K39" s="44" t="s">
        <v>303</v>
      </c>
      <c r="L39" s="44" t="s">
        <v>304</v>
      </c>
      <c r="M39" s="36" t="s">
        <v>85</v>
      </c>
      <c r="N39" s="42" t="str">
        <f t="shared" si="2"/>
        <v>Não</v>
      </c>
    </row>
    <row r="40">
      <c r="A40" s="36" t="s">
        <v>46</v>
      </c>
      <c r="B40" s="37" t="s">
        <v>305</v>
      </c>
      <c r="C40" s="38" t="s">
        <v>306</v>
      </c>
      <c r="D40" s="39">
        <v>2025.0</v>
      </c>
      <c r="E40" s="37" t="s">
        <v>307</v>
      </c>
      <c r="F40" s="43" t="s">
        <v>308</v>
      </c>
      <c r="G40" s="43" t="s">
        <v>309</v>
      </c>
      <c r="H40" s="36" t="s">
        <v>103</v>
      </c>
      <c r="I40" s="36" t="s">
        <v>103</v>
      </c>
      <c r="J40" s="42" t="str">
        <f t="shared" si="1"/>
        <v>Igual</v>
      </c>
      <c r="K40" s="44" t="s">
        <v>188</v>
      </c>
      <c r="L40" s="44" t="s">
        <v>189</v>
      </c>
      <c r="M40" s="36" t="s">
        <v>85</v>
      </c>
      <c r="N40" s="45" t="str">
        <f t="shared" si="2"/>
        <v>Não</v>
      </c>
    </row>
    <row r="41">
      <c r="A41" s="36" t="s">
        <v>46</v>
      </c>
      <c r="B41" s="37" t="s">
        <v>256</v>
      </c>
      <c r="C41" s="38" t="s">
        <v>310</v>
      </c>
      <c r="D41" s="39">
        <v>2025.0</v>
      </c>
      <c r="E41" s="37" t="s">
        <v>311</v>
      </c>
      <c r="F41" s="43" t="s">
        <v>312</v>
      </c>
      <c r="G41" s="43" t="s">
        <v>313</v>
      </c>
      <c r="H41" s="36" t="s">
        <v>103</v>
      </c>
      <c r="I41" s="36" t="s">
        <v>103</v>
      </c>
      <c r="J41" s="42" t="str">
        <f t="shared" si="1"/>
        <v>Igual</v>
      </c>
      <c r="K41" s="44" t="s">
        <v>314</v>
      </c>
      <c r="L41" s="44" t="s">
        <v>315</v>
      </c>
      <c r="M41" s="36" t="s">
        <v>85</v>
      </c>
      <c r="N41" s="42" t="str">
        <f t="shared" si="2"/>
        <v>Não</v>
      </c>
    </row>
    <row r="42">
      <c r="A42" s="36" t="s">
        <v>46</v>
      </c>
      <c r="B42" s="37" t="s">
        <v>316</v>
      </c>
      <c r="C42" s="38" t="s">
        <v>317</v>
      </c>
      <c r="D42" s="39">
        <v>2020.0</v>
      </c>
      <c r="E42" s="37" t="s">
        <v>318</v>
      </c>
      <c r="F42" s="43" t="s">
        <v>319</v>
      </c>
      <c r="G42" s="47" t="s">
        <v>320</v>
      </c>
      <c r="H42" s="36" t="s">
        <v>103</v>
      </c>
      <c r="I42" s="36" t="s">
        <v>103</v>
      </c>
      <c r="J42" s="42" t="str">
        <f t="shared" si="1"/>
        <v>Igual</v>
      </c>
      <c r="K42" s="44" t="s">
        <v>111</v>
      </c>
      <c r="L42" s="44" t="s">
        <v>112</v>
      </c>
      <c r="M42" s="36" t="s">
        <v>85</v>
      </c>
      <c r="N42" s="45" t="str">
        <f t="shared" si="2"/>
        <v>Não</v>
      </c>
    </row>
    <row r="43">
      <c r="A43" s="48" t="s">
        <v>49</v>
      </c>
      <c r="B43" s="49" t="s">
        <v>321</v>
      </c>
      <c r="C43" s="49" t="s">
        <v>79</v>
      </c>
      <c r="D43" s="49" t="s">
        <v>322</v>
      </c>
      <c r="E43" s="49" t="s">
        <v>323</v>
      </c>
      <c r="F43" s="49" t="s">
        <v>324</v>
      </c>
      <c r="G43" s="49" t="s">
        <v>325</v>
      </c>
      <c r="H43" s="50" t="s">
        <v>82</v>
      </c>
      <c r="I43" s="50" t="s">
        <v>82</v>
      </c>
      <c r="J43" s="42" t="str">
        <f t="shared" si="1"/>
        <v>Igual</v>
      </c>
      <c r="K43" s="51" t="s">
        <v>326</v>
      </c>
      <c r="L43" s="51" t="s">
        <v>327</v>
      </c>
      <c r="M43" s="50" t="s">
        <v>85</v>
      </c>
      <c r="N43" s="45" t="str">
        <f t="shared" si="2"/>
        <v>Sim</v>
      </c>
      <c r="O43" s="33"/>
      <c r="P43" s="33"/>
      <c r="Q43" s="33"/>
      <c r="R43" s="33"/>
      <c r="S43" s="33"/>
      <c r="T43" s="33"/>
      <c r="U43" s="33"/>
    </row>
    <row r="44">
      <c r="A44" s="48" t="s">
        <v>49</v>
      </c>
      <c r="B44" s="49" t="s">
        <v>328</v>
      </c>
      <c r="C44" s="49" t="s">
        <v>329</v>
      </c>
      <c r="D44" s="49" t="s">
        <v>330</v>
      </c>
      <c r="E44" s="49" t="s">
        <v>331</v>
      </c>
      <c r="F44" s="49" t="s">
        <v>332</v>
      </c>
      <c r="G44" s="49" t="s">
        <v>333</v>
      </c>
      <c r="H44" s="50" t="s">
        <v>103</v>
      </c>
      <c r="I44" s="50" t="s">
        <v>103</v>
      </c>
      <c r="J44" s="42" t="str">
        <f t="shared" si="1"/>
        <v>Igual</v>
      </c>
      <c r="K44" s="51" t="s">
        <v>334</v>
      </c>
      <c r="L44" s="50" t="s">
        <v>335</v>
      </c>
      <c r="M44" s="50" t="s">
        <v>85</v>
      </c>
      <c r="N44" s="45" t="str">
        <f t="shared" si="2"/>
        <v>Não</v>
      </c>
    </row>
    <row r="45">
      <c r="A45" s="48" t="s">
        <v>49</v>
      </c>
      <c r="B45" s="49" t="s">
        <v>336</v>
      </c>
      <c r="C45" s="49" t="s">
        <v>337</v>
      </c>
      <c r="D45" s="49" t="s">
        <v>322</v>
      </c>
      <c r="E45" s="49" t="s">
        <v>338</v>
      </c>
      <c r="F45" s="49" t="s">
        <v>339</v>
      </c>
      <c r="G45" s="49" t="s">
        <v>340</v>
      </c>
      <c r="H45" s="50" t="s">
        <v>82</v>
      </c>
      <c r="I45" s="50" t="s">
        <v>103</v>
      </c>
      <c r="J45" s="42" t="str">
        <f t="shared" si="1"/>
        <v>Diferente</v>
      </c>
      <c r="K45" s="51" t="s">
        <v>341</v>
      </c>
      <c r="L45" s="50" t="s">
        <v>342</v>
      </c>
      <c r="M45" s="50" t="s">
        <v>343</v>
      </c>
      <c r="N45" s="45" t="str">
        <f t="shared" si="2"/>
        <v>Sim</v>
      </c>
      <c r="O45" s="33"/>
      <c r="P45" s="33"/>
      <c r="Q45" s="33"/>
      <c r="R45" s="33"/>
      <c r="S45" s="33"/>
      <c r="T45" s="33"/>
      <c r="U45" s="33"/>
    </row>
    <row r="46">
      <c r="A46" s="48" t="s">
        <v>49</v>
      </c>
      <c r="B46" s="49" t="s">
        <v>344</v>
      </c>
      <c r="C46" s="49" t="s">
        <v>345</v>
      </c>
      <c r="D46" s="49" t="s">
        <v>322</v>
      </c>
      <c r="E46" s="49" t="s">
        <v>346</v>
      </c>
      <c r="F46" s="49" t="s">
        <v>347</v>
      </c>
      <c r="G46" s="49" t="s">
        <v>348</v>
      </c>
      <c r="H46" s="50" t="s">
        <v>103</v>
      </c>
      <c r="I46" s="50" t="s">
        <v>103</v>
      </c>
      <c r="J46" s="42" t="str">
        <f t="shared" si="1"/>
        <v>Igual</v>
      </c>
      <c r="K46" s="51" t="s">
        <v>349</v>
      </c>
      <c r="L46" s="50" t="s">
        <v>350</v>
      </c>
      <c r="M46" s="50" t="s">
        <v>85</v>
      </c>
      <c r="N46" s="45" t="str">
        <f t="shared" si="2"/>
        <v>Não</v>
      </c>
    </row>
    <row r="47">
      <c r="A47" s="48" t="s">
        <v>49</v>
      </c>
      <c r="B47" s="49" t="s">
        <v>351</v>
      </c>
      <c r="C47" s="49" t="s">
        <v>352</v>
      </c>
      <c r="D47" s="49" t="s">
        <v>330</v>
      </c>
      <c r="E47" s="49" t="s">
        <v>353</v>
      </c>
      <c r="F47" s="49" t="s">
        <v>354</v>
      </c>
      <c r="G47" s="49" t="s">
        <v>355</v>
      </c>
      <c r="H47" s="50" t="s">
        <v>82</v>
      </c>
      <c r="I47" s="50" t="s">
        <v>103</v>
      </c>
      <c r="J47" s="42" t="str">
        <f t="shared" si="1"/>
        <v>Diferente</v>
      </c>
      <c r="K47" s="51" t="s">
        <v>356</v>
      </c>
      <c r="L47" s="50" t="s">
        <v>357</v>
      </c>
      <c r="M47" s="50" t="s">
        <v>343</v>
      </c>
      <c r="N47" s="45" t="str">
        <f t="shared" si="2"/>
        <v>Sim</v>
      </c>
      <c r="O47" s="33"/>
      <c r="P47" s="33"/>
      <c r="Q47" s="33"/>
      <c r="R47" s="33"/>
      <c r="S47" s="33"/>
      <c r="T47" s="33"/>
      <c r="U47" s="33"/>
    </row>
    <row r="48">
      <c r="A48" s="48" t="s">
        <v>49</v>
      </c>
      <c r="B48" s="49" t="s">
        <v>358</v>
      </c>
      <c r="C48" s="49" t="s">
        <v>359</v>
      </c>
      <c r="D48" s="49" t="s">
        <v>360</v>
      </c>
      <c r="E48" s="49" t="s">
        <v>361</v>
      </c>
      <c r="F48" s="49" t="s">
        <v>362</v>
      </c>
      <c r="G48" s="49" t="s">
        <v>363</v>
      </c>
      <c r="H48" s="50" t="s">
        <v>82</v>
      </c>
      <c r="I48" s="50" t="s">
        <v>82</v>
      </c>
      <c r="J48" s="42" t="str">
        <f t="shared" si="1"/>
        <v>Igual</v>
      </c>
      <c r="K48" s="51" t="s">
        <v>364</v>
      </c>
      <c r="L48" s="50" t="s">
        <v>365</v>
      </c>
      <c r="M48" s="50" t="s">
        <v>85</v>
      </c>
      <c r="N48" s="45" t="str">
        <f t="shared" si="2"/>
        <v>Sim</v>
      </c>
      <c r="O48" s="33"/>
      <c r="P48" s="33"/>
      <c r="Q48" s="33"/>
      <c r="R48" s="33"/>
      <c r="S48" s="33"/>
      <c r="T48" s="33"/>
      <c r="U48" s="33"/>
    </row>
    <row r="49">
      <c r="A49" s="48" t="s">
        <v>49</v>
      </c>
      <c r="B49" s="49" t="s">
        <v>366</v>
      </c>
      <c r="C49" s="49" t="s">
        <v>367</v>
      </c>
      <c r="D49" s="49" t="s">
        <v>368</v>
      </c>
      <c r="E49" s="49" t="s">
        <v>369</v>
      </c>
      <c r="F49" s="49" t="s">
        <v>370</v>
      </c>
      <c r="G49" s="49" t="s">
        <v>371</v>
      </c>
      <c r="H49" s="50" t="s">
        <v>82</v>
      </c>
      <c r="I49" s="50" t="s">
        <v>103</v>
      </c>
      <c r="J49" s="42" t="str">
        <f t="shared" si="1"/>
        <v>Diferente</v>
      </c>
      <c r="K49" s="51" t="s">
        <v>372</v>
      </c>
      <c r="L49" s="50" t="s">
        <v>373</v>
      </c>
      <c r="M49" s="50" t="s">
        <v>343</v>
      </c>
      <c r="N49" s="45" t="str">
        <f t="shared" si="2"/>
        <v>Sim</v>
      </c>
      <c r="O49" s="33"/>
      <c r="P49" s="33"/>
      <c r="Q49" s="33"/>
      <c r="R49" s="33"/>
      <c r="S49" s="33"/>
      <c r="T49" s="33"/>
      <c r="U49" s="33"/>
    </row>
    <row r="50">
      <c r="A50" s="48" t="s">
        <v>49</v>
      </c>
      <c r="B50" s="49" t="s">
        <v>374</v>
      </c>
      <c r="C50" s="49" t="s">
        <v>375</v>
      </c>
      <c r="D50" s="49" t="s">
        <v>376</v>
      </c>
      <c r="E50" s="49" t="s">
        <v>377</v>
      </c>
      <c r="F50" s="49" t="s">
        <v>378</v>
      </c>
      <c r="G50" s="49" t="s">
        <v>379</v>
      </c>
      <c r="H50" s="50" t="s">
        <v>82</v>
      </c>
      <c r="I50" s="50" t="s">
        <v>82</v>
      </c>
      <c r="J50" s="42" t="str">
        <f t="shared" si="1"/>
        <v>Igual</v>
      </c>
      <c r="K50" s="51" t="s">
        <v>380</v>
      </c>
      <c r="L50" s="50" t="s">
        <v>381</v>
      </c>
      <c r="M50" s="50" t="s">
        <v>85</v>
      </c>
      <c r="N50" s="45" t="str">
        <f t="shared" si="2"/>
        <v>Sim</v>
      </c>
      <c r="O50" s="33"/>
      <c r="P50" s="33"/>
      <c r="Q50" s="33"/>
      <c r="R50" s="33"/>
      <c r="S50" s="33"/>
      <c r="T50" s="33"/>
      <c r="U50" s="33"/>
    </row>
    <row r="51">
      <c r="A51" s="48" t="s">
        <v>49</v>
      </c>
      <c r="B51" s="49" t="s">
        <v>382</v>
      </c>
      <c r="C51" s="49" t="s">
        <v>383</v>
      </c>
      <c r="D51" s="49" t="s">
        <v>330</v>
      </c>
      <c r="E51" s="49" t="s">
        <v>384</v>
      </c>
      <c r="F51" s="49" t="s">
        <v>385</v>
      </c>
      <c r="G51" s="49" t="s">
        <v>386</v>
      </c>
      <c r="H51" s="50" t="s">
        <v>103</v>
      </c>
      <c r="I51" s="50" t="s">
        <v>103</v>
      </c>
      <c r="J51" s="42" t="str">
        <f t="shared" si="1"/>
        <v>Igual</v>
      </c>
      <c r="K51" s="51" t="s">
        <v>387</v>
      </c>
      <c r="L51" s="50" t="s">
        <v>388</v>
      </c>
      <c r="M51" s="50" t="s">
        <v>85</v>
      </c>
      <c r="N51" s="45" t="str">
        <f t="shared" si="2"/>
        <v>Não</v>
      </c>
    </row>
    <row r="52">
      <c r="A52" s="48" t="s">
        <v>49</v>
      </c>
      <c r="B52" s="49" t="s">
        <v>389</v>
      </c>
      <c r="C52" s="49" t="s">
        <v>390</v>
      </c>
      <c r="D52" s="49" t="s">
        <v>360</v>
      </c>
      <c r="E52" s="49" t="s">
        <v>391</v>
      </c>
      <c r="F52" s="49" t="s">
        <v>392</v>
      </c>
      <c r="G52" s="49" t="s">
        <v>393</v>
      </c>
      <c r="H52" s="50" t="s">
        <v>82</v>
      </c>
      <c r="I52" s="50" t="s">
        <v>103</v>
      </c>
      <c r="J52" s="42" t="str">
        <f t="shared" si="1"/>
        <v>Diferente</v>
      </c>
      <c r="K52" s="51" t="s">
        <v>394</v>
      </c>
      <c r="L52" s="50" t="s">
        <v>395</v>
      </c>
      <c r="M52" s="50" t="s">
        <v>343</v>
      </c>
      <c r="N52" s="45" t="str">
        <f t="shared" si="2"/>
        <v>Sim</v>
      </c>
      <c r="O52" s="33"/>
      <c r="P52" s="33"/>
      <c r="Q52" s="33"/>
      <c r="R52" s="33"/>
      <c r="S52" s="33"/>
      <c r="T52" s="33"/>
      <c r="U52" s="33"/>
    </row>
    <row r="53">
      <c r="A53" s="48" t="s">
        <v>49</v>
      </c>
      <c r="B53" s="49" t="s">
        <v>396</v>
      </c>
      <c r="C53" s="49" t="s">
        <v>397</v>
      </c>
      <c r="D53" s="49" t="s">
        <v>330</v>
      </c>
      <c r="E53" s="49" t="s">
        <v>398</v>
      </c>
      <c r="F53" s="49" t="s">
        <v>209</v>
      </c>
      <c r="H53" s="50" t="s">
        <v>103</v>
      </c>
      <c r="I53" s="50" t="s">
        <v>103</v>
      </c>
      <c r="J53" s="42" t="str">
        <f t="shared" si="1"/>
        <v>Igual</v>
      </c>
      <c r="K53" s="51" t="s">
        <v>399</v>
      </c>
      <c r="L53" s="50" t="s">
        <v>400</v>
      </c>
      <c r="M53" s="50" t="s">
        <v>85</v>
      </c>
      <c r="N53" s="45" t="str">
        <f t="shared" si="2"/>
        <v>Não</v>
      </c>
    </row>
    <row r="54">
      <c r="A54" s="48" t="s">
        <v>49</v>
      </c>
      <c r="B54" s="49" t="s">
        <v>401</v>
      </c>
      <c r="C54" s="49" t="s">
        <v>402</v>
      </c>
      <c r="D54" s="49" t="s">
        <v>376</v>
      </c>
      <c r="E54" s="49" t="s">
        <v>403</v>
      </c>
      <c r="F54" s="49" t="s">
        <v>404</v>
      </c>
      <c r="G54" s="49" t="s">
        <v>405</v>
      </c>
      <c r="H54" s="50" t="s">
        <v>82</v>
      </c>
      <c r="I54" s="50" t="s">
        <v>82</v>
      </c>
      <c r="J54" s="42" t="str">
        <f t="shared" si="1"/>
        <v>Igual</v>
      </c>
      <c r="K54" s="51" t="s">
        <v>406</v>
      </c>
      <c r="L54" s="50" t="s">
        <v>407</v>
      </c>
      <c r="M54" s="50" t="s">
        <v>85</v>
      </c>
      <c r="N54" s="45" t="str">
        <f t="shared" si="2"/>
        <v>Sim</v>
      </c>
      <c r="O54" s="33"/>
      <c r="P54" s="33"/>
      <c r="Q54" s="33"/>
      <c r="R54" s="33"/>
      <c r="S54" s="33"/>
      <c r="T54" s="33"/>
      <c r="U54" s="33"/>
    </row>
    <row r="55">
      <c r="A55" s="48" t="s">
        <v>49</v>
      </c>
      <c r="B55" s="49" t="s">
        <v>408</v>
      </c>
      <c r="C55" s="49" t="s">
        <v>409</v>
      </c>
      <c r="D55" s="49" t="s">
        <v>410</v>
      </c>
      <c r="E55" s="49" t="s">
        <v>411</v>
      </c>
      <c r="F55" s="49" t="s">
        <v>412</v>
      </c>
      <c r="G55" s="49" t="s">
        <v>413</v>
      </c>
      <c r="H55" s="50" t="s">
        <v>103</v>
      </c>
      <c r="I55" s="50" t="s">
        <v>103</v>
      </c>
      <c r="J55" s="42" t="str">
        <f t="shared" si="1"/>
        <v>Igual</v>
      </c>
      <c r="K55" s="51" t="s">
        <v>414</v>
      </c>
      <c r="L55" s="50" t="s">
        <v>415</v>
      </c>
      <c r="M55" s="50" t="s">
        <v>85</v>
      </c>
      <c r="N55" s="45" t="str">
        <f t="shared" si="2"/>
        <v>Não</v>
      </c>
    </row>
    <row r="56">
      <c r="A56" s="48" t="s">
        <v>49</v>
      </c>
      <c r="B56" s="49" t="s">
        <v>416</v>
      </c>
      <c r="C56" s="49" t="s">
        <v>417</v>
      </c>
      <c r="D56" s="49" t="s">
        <v>376</v>
      </c>
      <c r="E56" s="49" t="s">
        <v>418</v>
      </c>
      <c r="F56" s="49" t="s">
        <v>419</v>
      </c>
      <c r="G56" s="49" t="s">
        <v>420</v>
      </c>
      <c r="H56" s="50" t="s">
        <v>82</v>
      </c>
      <c r="I56" s="50" t="s">
        <v>103</v>
      </c>
      <c r="J56" s="42" t="str">
        <f t="shared" si="1"/>
        <v>Diferente</v>
      </c>
      <c r="K56" s="51" t="s">
        <v>421</v>
      </c>
      <c r="L56" s="50" t="s">
        <v>422</v>
      </c>
      <c r="M56" s="50" t="s">
        <v>343</v>
      </c>
      <c r="N56" s="45" t="str">
        <f t="shared" si="2"/>
        <v>Sim</v>
      </c>
      <c r="O56" s="33"/>
      <c r="P56" s="33"/>
      <c r="Q56" s="33"/>
      <c r="R56" s="33"/>
      <c r="S56" s="33"/>
      <c r="T56" s="33"/>
      <c r="U56" s="33"/>
    </row>
    <row r="57">
      <c r="A57" s="48" t="s">
        <v>49</v>
      </c>
      <c r="B57" s="49" t="s">
        <v>423</v>
      </c>
      <c r="C57" s="49" t="s">
        <v>424</v>
      </c>
      <c r="D57" s="49" t="s">
        <v>410</v>
      </c>
      <c r="E57" s="49" t="s">
        <v>425</v>
      </c>
      <c r="F57" s="49" t="s">
        <v>426</v>
      </c>
      <c r="H57" s="50" t="s">
        <v>82</v>
      </c>
      <c r="I57" s="50" t="s">
        <v>103</v>
      </c>
      <c r="J57" s="42" t="str">
        <f t="shared" si="1"/>
        <v>Diferente</v>
      </c>
      <c r="K57" s="51" t="s">
        <v>427</v>
      </c>
      <c r="L57" s="50" t="s">
        <v>428</v>
      </c>
      <c r="M57" s="50" t="s">
        <v>343</v>
      </c>
      <c r="N57" s="45" t="str">
        <f t="shared" si="2"/>
        <v>Sim</v>
      </c>
      <c r="O57" s="33"/>
      <c r="P57" s="33"/>
      <c r="Q57" s="33"/>
      <c r="R57" s="33"/>
      <c r="S57" s="33"/>
      <c r="T57" s="33"/>
      <c r="U57" s="33"/>
    </row>
    <row r="58">
      <c r="A58" s="48" t="s">
        <v>49</v>
      </c>
      <c r="B58" s="49" t="s">
        <v>429</v>
      </c>
      <c r="C58" s="49" t="s">
        <v>430</v>
      </c>
      <c r="D58" s="49" t="s">
        <v>410</v>
      </c>
      <c r="E58" s="49" t="s">
        <v>431</v>
      </c>
      <c r="H58" s="50" t="s">
        <v>103</v>
      </c>
      <c r="I58" s="50" t="s">
        <v>103</v>
      </c>
      <c r="J58" s="42" t="str">
        <f t="shared" si="1"/>
        <v>Igual</v>
      </c>
      <c r="K58" s="51" t="s">
        <v>432</v>
      </c>
      <c r="L58" s="50" t="s">
        <v>433</v>
      </c>
      <c r="M58" s="50" t="s">
        <v>434</v>
      </c>
      <c r="N58" s="45" t="str">
        <f t="shared" si="2"/>
        <v>Não</v>
      </c>
    </row>
    <row r="59">
      <c r="A59" s="48" t="s">
        <v>49</v>
      </c>
      <c r="B59" s="49" t="s">
        <v>435</v>
      </c>
      <c r="C59" s="49" t="s">
        <v>436</v>
      </c>
      <c r="D59" s="49" t="s">
        <v>360</v>
      </c>
      <c r="E59" s="49" t="s">
        <v>437</v>
      </c>
      <c r="F59" s="49" t="s">
        <v>438</v>
      </c>
      <c r="G59" s="49" t="s">
        <v>439</v>
      </c>
      <c r="H59" s="50" t="s">
        <v>103</v>
      </c>
      <c r="I59" s="50" t="s">
        <v>103</v>
      </c>
      <c r="J59" s="42" t="str">
        <f t="shared" si="1"/>
        <v>Igual</v>
      </c>
      <c r="K59" s="51" t="s">
        <v>440</v>
      </c>
      <c r="L59" s="50" t="s">
        <v>441</v>
      </c>
      <c r="M59" s="50" t="s">
        <v>85</v>
      </c>
      <c r="N59" s="45" t="str">
        <f t="shared" si="2"/>
        <v>Não</v>
      </c>
    </row>
    <row r="60">
      <c r="A60" s="48" t="s">
        <v>49</v>
      </c>
      <c r="B60" s="49" t="s">
        <v>442</v>
      </c>
      <c r="C60" s="49" t="s">
        <v>443</v>
      </c>
      <c r="D60" s="49" t="s">
        <v>330</v>
      </c>
      <c r="E60" s="49" t="s">
        <v>444</v>
      </c>
      <c r="F60" s="49" t="s">
        <v>445</v>
      </c>
      <c r="G60" s="49" t="s">
        <v>446</v>
      </c>
      <c r="H60" s="50" t="s">
        <v>82</v>
      </c>
      <c r="I60" s="50" t="s">
        <v>103</v>
      </c>
      <c r="J60" s="42" t="str">
        <f t="shared" si="1"/>
        <v>Diferente</v>
      </c>
      <c r="K60" s="51" t="s">
        <v>447</v>
      </c>
      <c r="L60" s="50" t="s">
        <v>448</v>
      </c>
      <c r="M60" s="50" t="s">
        <v>343</v>
      </c>
      <c r="N60" s="45" t="str">
        <f t="shared" si="2"/>
        <v>Sim</v>
      </c>
      <c r="O60" s="33"/>
      <c r="P60" s="33"/>
      <c r="Q60" s="33"/>
      <c r="R60" s="33"/>
      <c r="S60" s="33"/>
      <c r="T60" s="33"/>
      <c r="U60" s="33"/>
    </row>
    <row r="61">
      <c r="A61" s="48" t="s">
        <v>49</v>
      </c>
      <c r="B61" s="49" t="s">
        <v>449</v>
      </c>
      <c r="C61" s="49" t="s">
        <v>450</v>
      </c>
      <c r="D61" s="49" t="s">
        <v>368</v>
      </c>
      <c r="E61" s="49" t="s">
        <v>451</v>
      </c>
      <c r="F61" s="49" t="s">
        <v>452</v>
      </c>
      <c r="G61" s="49" t="s">
        <v>453</v>
      </c>
      <c r="H61" s="50" t="s">
        <v>82</v>
      </c>
      <c r="I61" s="50" t="s">
        <v>103</v>
      </c>
      <c r="J61" s="42" t="str">
        <f t="shared" si="1"/>
        <v>Diferente</v>
      </c>
      <c r="K61" s="51" t="s">
        <v>454</v>
      </c>
      <c r="L61" s="50" t="s">
        <v>455</v>
      </c>
      <c r="M61" s="50" t="s">
        <v>343</v>
      </c>
      <c r="N61" s="45" t="str">
        <f t="shared" si="2"/>
        <v>Sim</v>
      </c>
      <c r="O61" s="33"/>
      <c r="P61" s="33"/>
      <c r="Q61" s="33"/>
      <c r="R61" s="33"/>
      <c r="S61" s="33"/>
      <c r="T61" s="33"/>
      <c r="U61" s="33"/>
    </row>
    <row r="62">
      <c r="A62" s="48" t="s">
        <v>49</v>
      </c>
      <c r="B62" s="49" t="s">
        <v>456</v>
      </c>
      <c r="C62" s="49" t="s">
        <v>457</v>
      </c>
      <c r="D62" s="49" t="s">
        <v>376</v>
      </c>
      <c r="E62" s="49" t="s">
        <v>458</v>
      </c>
      <c r="F62" s="49" t="s">
        <v>459</v>
      </c>
      <c r="G62" s="49" t="s">
        <v>460</v>
      </c>
      <c r="H62" s="50" t="s">
        <v>82</v>
      </c>
      <c r="I62" s="50" t="s">
        <v>103</v>
      </c>
      <c r="J62" s="42" t="str">
        <f t="shared" si="1"/>
        <v>Diferente</v>
      </c>
      <c r="K62" s="51" t="s">
        <v>461</v>
      </c>
      <c r="L62" s="50" t="s">
        <v>462</v>
      </c>
      <c r="M62" s="50" t="s">
        <v>343</v>
      </c>
      <c r="N62" s="45" t="str">
        <f t="shared" si="2"/>
        <v>Sim</v>
      </c>
      <c r="O62" s="33"/>
      <c r="P62" s="33"/>
      <c r="Q62" s="33"/>
      <c r="R62" s="33"/>
      <c r="S62" s="33"/>
      <c r="T62" s="33"/>
      <c r="U62" s="33"/>
    </row>
    <row r="63">
      <c r="A63" s="48" t="s">
        <v>49</v>
      </c>
      <c r="B63" s="49" t="s">
        <v>463</v>
      </c>
      <c r="C63" s="49" t="s">
        <v>464</v>
      </c>
      <c r="D63" s="49" t="s">
        <v>368</v>
      </c>
      <c r="E63" s="49" t="s">
        <v>465</v>
      </c>
      <c r="F63" s="49" t="s">
        <v>466</v>
      </c>
      <c r="G63" s="49" t="s">
        <v>467</v>
      </c>
      <c r="H63" s="50" t="s">
        <v>82</v>
      </c>
      <c r="I63" s="50" t="s">
        <v>103</v>
      </c>
      <c r="J63" s="42" t="str">
        <f t="shared" si="1"/>
        <v>Diferente</v>
      </c>
      <c r="K63" s="51" t="s">
        <v>468</v>
      </c>
      <c r="L63" s="50" t="s">
        <v>469</v>
      </c>
      <c r="M63" s="50" t="s">
        <v>343</v>
      </c>
      <c r="N63" s="45" t="str">
        <f t="shared" si="2"/>
        <v>Sim</v>
      </c>
      <c r="O63" s="33"/>
      <c r="P63" s="33"/>
      <c r="Q63" s="33"/>
      <c r="R63" s="33"/>
      <c r="S63" s="33"/>
      <c r="T63" s="33"/>
      <c r="U63" s="33"/>
    </row>
    <row r="64">
      <c r="A64" s="48" t="s">
        <v>49</v>
      </c>
      <c r="B64" s="49" t="s">
        <v>470</v>
      </c>
      <c r="C64" s="49" t="s">
        <v>471</v>
      </c>
      <c r="D64" s="49" t="s">
        <v>376</v>
      </c>
      <c r="E64" s="49" t="s">
        <v>472</v>
      </c>
      <c r="F64" s="49" t="s">
        <v>473</v>
      </c>
      <c r="G64" s="49" t="s">
        <v>474</v>
      </c>
      <c r="H64" s="50" t="s">
        <v>82</v>
      </c>
      <c r="I64" s="50" t="s">
        <v>103</v>
      </c>
      <c r="J64" s="42" t="str">
        <f t="shared" si="1"/>
        <v>Diferente</v>
      </c>
      <c r="K64" s="51" t="s">
        <v>475</v>
      </c>
      <c r="L64" s="50" t="s">
        <v>476</v>
      </c>
      <c r="M64" s="50" t="s">
        <v>343</v>
      </c>
      <c r="N64" s="45" t="str">
        <f t="shared" si="2"/>
        <v>Sim</v>
      </c>
      <c r="O64" s="33"/>
      <c r="P64" s="33"/>
      <c r="Q64" s="33"/>
      <c r="R64" s="33"/>
      <c r="S64" s="33"/>
      <c r="T64" s="33"/>
      <c r="U64" s="33"/>
    </row>
    <row r="65">
      <c r="A65" s="48" t="s">
        <v>49</v>
      </c>
      <c r="B65" s="49" t="s">
        <v>477</v>
      </c>
      <c r="C65" s="49" t="s">
        <v>478</v>
      </c>
      <c r="D65" s="49" t="s">
        <v>376</v>
      </c>
      <c r="E65" s="49" t="s">
        <v>479</v>
      </c>
      <c r="F65" s="49" t="s">
        <v>480</v>
      </c>
      <c r="G65" s="49" t="s">
        <v>481</v>
      </c>
      <c r="H65" s="50" t="s">
        <v>82</v>
      </c>
      <c r="I65" s="50" t="s">
        <v>103</v>
      </c>
      <c r="J65" s="42" t="str">
        <f t="shared" si="1"/>
        <v>Diferente</v>
      </c>
      <c r="K65" s="51" t="s">
        <v>482</v>
      </c>
      <c r="L65" s="50" t="s">
        <v>483</v>
      </c>
      <c r="M65" s="50" t="s">
        <v>343</v>
      </c>
      <c r="N65" s="45" t="str">
        <f t="shared" si="2"/>
        <v>Sim</v>
      </c>
      <c r="O65" s="33"/>
      <c r="P65" s="33"/>
      <c r="Q65" s="33"/>
      <c r="R65" s="33"/>
      <c r="S65" s="33"/>
      <c r="T65" s="33"/>
      <c r="U65" s="33"/>
    </row>
    <row r="66">
      <c r="A66" s="48" t="s">
        <v>49</v>
      </c>
      <c r="B66" s="49" t="s">
        <v>484</v>
      </c>
      <c r="C66" s="49" t="s">
        <v>485</v>
      </c>
      <c r="D66" s="49" t="s">
        <v>410</v>
      </c>
      <c r="E66" s="49" t="s">
        <v>486</v>
      </c>
      <c r="F66" s="49" t="s">
        <v>487</v>
      </c>
      <c r="G66" s="49" t="s">
        <v>488</v>
      </c>
      <c r="H66" s="50" t="s">
        <v>103</v>
      </c>
      <c r="I66" s="50" t="s">
        <v>103</v>
      </c>
      <c r="J66" s="42" t="str">
        <f t="shared" si="1"/>
        <v>Igual</v>
      </c>
      <c r="K66" s="51" t="s">
        <v>489</v>
      </c>
      <c r="L66" s="50" t="s">
        <v>490</v>
      </c>
      <c r="M66" s="50" t="s">
        <v>85</v>
      </c>
      <c r="N66" s="45" t="str">
        <f t="shared" si="2"/>
        <v>Não</v>
      </c>
    </row>
    <row r="67">
      <c r="A67" s="48" t="s">
        <v>49</v>
      </c>
      <c r="B67" s="49" t="s">
        <v>491</v>
      </c>
      <c r="C67" s="49" t="s">
        <v>492</v>
      </c>
      <c r="D67" s="49" t="s">
        <v>376</v>
      </c>
      <c r="E67" s="49" t="s">
        <v>493</v>
      </c>
      <c r="F67" s="49" t="s">
        <v>494</v>
      </c>
      <c r="G67" s="49" t="s">
        <v>495</v>
      </c>
      <c r="H67" s="50" t="s">
        <v>103</v>
      </c>
      <c r="I67" s="50" t="s">
        <v>103</v>
      </c>
      <c r="J67" s="42" t="str">
        <f t="shared" si="1"/>
        <v>Igual</v>
      </c>
      <c r="K67" s="51" t="s">
        <v>496</v>
      </c>
      <c r="L67" s="50" t="s">
        <v>497</v>
      </c>
      <c r="M67" s="50" t="s">
        <v>85</v>
      </c>
      <c r="N67" s="45" t="str">
        <f t="shared" si="2"/>
        <v>Não</v>
      </c>
    </row>
    <row r="68">
      <c r="A68" s="48" t="s">
        <v>49</v>
      </c>
      <c r="B68" s="49" t="s">
        <v>498</v>
      </c>
      <c r="C68" s="49" t="s">
        <v>499</v>
      </c>
      <c r="D68" s="49" t="s">
        <v>368</v>
      </c>
      <c r="E68" s="49" t="s">
        <v>500</v>
      </c>
      <c r="F68" s="49" t="s">
        <v>501</v>
      </c>
      <c r="G68" s="49" t="s">
        <v>502</v>
      </c>
      <c r="H68" s="50" t="s">
        <v>82</v>
      </c>
      <c r="I68" s="50" t="s">
        <v>103</v>
      </c>
      <c r="J68" s="42" t="str">
        <f t="shared" si="1"/>
        <v>Diferente</v>
      </c>
      <c r="K68" s="51" t="s">
        <v>503</v>
      </c>
      <c r="L68" s="50" t="s">
        <v>504</v>
      </c>
      <c r="M68" s="50" t="s">
        <v>343</v>
      </c>
      <c r="N68" s="45" t="str">
        <f t="shared" si="2"/>
        <v>Sim</v>
      </c>
      <c r="O68" s="33"/>
      <c r="P68" s="33"/>
      <c r="Q68" s="33"/>
      <c r="R68" s="33"/>
      <c r="S68" s="33"/>
      <c r="T68" s="33"/>
      <c r="U68" s="33"/>
    </row>
    <row r="69">
      <c r="A69" s="48" t="s">
        <v>49</v>
      </c>
      <c r="B69" s="49" t="s">
        <v>505</v>
      </c>
      <c r="C69" s="49" t="s">
        <v>506</v>
      </c>
      <c r="D69" s="49" t="s">
        <v>376</v>
      </c>
      <c r="E69" s="49" t="s">
        <v>507</v>
      </c>
      <c r="F69" s="49" t="s">
        <v>508</v>
      </c>
      <c r="G69" s="49" t="s">
        <v>509</v>
      </c>
      <c r="H69" s="50" t="s">
        <v>103</v>
      </c>
      <c r="I69" s="50" t="s">
        <v>103</v>
      </c>
      <c r="J69" s="42" t="str">
        <f t="shared" si="1"/>
        <v>Igual</v>
      </c>
      <c r="K69" s="51" t="s">
        <v>510</v>
      </c>
      <c r="L69" s="50" t="s">
        <v>511</v>
      </c>
      <c r="M69" s="50" t="s">
        <v>343</v>
      </c>
      <c r="N69" s="45" t="str">
        <f t="shared" si="2"/>
        <v>Não</v>
      </c>
    </row>
    <row r="70">
      <c r="A70" s="48" t="s">
        <v>49</v>
      </c>
      <c r="B70" s="49" t="s">
        <v>512</v>
      </c>
      <c r="C70" s="49" t="s">
        <v>513</v>
      </c>
      <c r="D70" s="49" t="s">
        <v>330</v>
      </c>
      <c r="E70" s="49" t="s">
        <v>514</v>
      </c>
      <c r="H70" s="50" t="s">
        <v>103</v>
      </c>
      <c r="I70" s="50" t="s">
        <v>103</v>
      </c>
      <c r="J70" s="42" t="str">
        <f t="shared" si="1"/>
        <v>Igual</v>
      </c>
      <c r="K70" s="51" t="s">
        <v>433</v>
      </c>
      <c r="L70" s="50" t="s">
        <v>433</v>
      </c>
      <c r="M70" s="50" t="s">
        <v>434</v>
      </c>
      <c r="N70" s="45" t="str">
        <f t="shared" si="2"/>
        <v>Não</v>
      </c>
    </row>
    <row r="71">
      <c r="A71" s="48" t="s">
        <v>49</v>
      </c>
      <c r="B71" s="49" t="s">
        <v>515</v>
      </c>
      <c r="C71" s="49" t="s">
        <v>516</v>
      </c>
      <c r="D71" s="49" t="s">
        <v>368</v>
      </c>
      <c r="E71" s="49" t="s">
        <v>517</v>
      </c>
      <c r="F71" s="49" t="s">
        <v>518</v>
      </c>
      <c r="G71" s="49" t="s">
        <v>519</v>
      </c>
      <c r="H71" s="50" t="s">
        <v>82</v>
      </c>
      <c r="I71" s="50" t="s">
        <v>103</v>
      </c>
      <c r="J71" s="42" t="str">
        <f t="shared" si="1"/>
        <v>Diferente</v>
      </c>
      <c r="K71" s="51" t="s">
        <v>520</v>
      </c>
      <c r="L71" s="50" t="s">
        <v>521</v>
      </c>
      <c r="M71" s="50" t="s">
        <v>343</v>
      </c>
      <c r="N71" s="45" t="str">
        <f t="shared" si="2"/>
        <v>Sim</v>
      </c>
      <c r="O71" s="33"/>
      <c r="P71" s="33"/>
      <c r="Q71" s="33"/>
      <c r="R71" s="33"/>
      <c r="S71" s="33"/>
      <c r="T71" s="33"/>
      <c r="U71" s="33"/>
    </row>
    <row r="72">
      <c r="A72" s="48" t="s">
        <v>49</v>
      </c>
      <c r="B72" s="49" t="s">
        <v>522</v>
      </c>
      <c r="C72" s="49" t="s">
        <v>163</v>
      </c>
      <c r="D72" s="49" t="s">
        <v>330</v>
      </c>
      <c r="E72" s="49" t="s">
        <v>523</v>
      </c>
      <c r="F72" s="49" t="s">
        <v>524</v>
      </c>
      <c r="G72" s="49" t="s">
        <v>525</v>
      </c>
      <c r="H72" s="50" t="s">
        <v>82</v>
      </c>
      <c r="I72" s="50" t="s">
        <v>103</v>
      </c>
      <c r="J72" s="42" t="str">
        <f t="shared" si="1"/>
        <v>Diferente</v>
      </c>
      <c r="K72" s="51" t="s">
        <v>526</v>
      </c>
      <c r="L72" s="50" t="s">
        <v>527</v>
      </c>
      <c r="M72" s="50" t="s">
        <v>343</v>
      </c>
      <c r="N72" s="45" t="str">
        <f t="shared" si="2"/>
        <v>Sim</v>
      </c>
      <c r="O72" s="33"/>
      <c r="P72" s="33"/>
      <c r="Q72" s="33"/>
      <c r="R72" s="33"/>
      <c r="S72" s="33"/>
      <c r="T72" s="33"/>
      <c r="U72" s="33"/>
    </row>
    <row r="73">
      <c r="A73" s="48" t="s">
        <v>49</v>
      </c>
      <c r="B73" s="49" t="s">
        <v>528</v>
      </c>
      <c r="C73" s="49" t="s">
        <v>529</v>
      </c>
      <c r="D73" s="49" t="s">
        <v>368</v>
      </c>
      <c r="E73" s="49" t="s">
        <v>530</v>
      </c>
      <c r="F73" s="49" t="s">
        <v>531</v>
      </c>
      <c r="G73" s="49" t="s">
        <v>532</v>
      </c>
      <c r="H73" s="50" t="s">
        <v>82</v>
      </c>
      <c r="I73" s="50" t="s">
        <v>103</v>
      </c>
      <c r="J73" s="42" t="str">
        <f t="shared" si="1"/>
        <v>Diferente</v>
      </c>
      <c r="K73" s="51" t="s">
        <v>533</v>
      </c>
      <c r="L73" s="50" t="s">
        <v>534</v>
      </c>
      <c r="M73" s="50" t="s">
        <v>343</v>
      </c>
      <c r="N73" s="45" t="str">
        <f t="shared" si="2"/>
        <v>Sim</v>
      </c>
      <c r="O73" s="33"/>
      <c r="P73" s="33"/>
      <c r="Q73" s="33"/>
      <c r="R73" s="33"/>
      <c r="S73" s="33"/>
      <c r="T73" s="33"/>
      <c r="U73" s="33"/>
    </row>
    <row r="74">
      <c r="A74" s="48" t="s">
        <v>49</v>
      </c>
      <c r="B74" s="49" t="s">
        <v>535</v>
      </c>
      <c r="C74" s="49" t="s">
        <v>536</v>
      </c>
      <c r="D74" s="49" t="s">
        <v>368</v>
      </c>
      <c r="E74" s="49" t="s">
        <v>537</v>
      </c>
      <c r="F74" s="49" t="s">
        <v>538</v>
      </c>
      <c r="G74" s="49" t="s">
        <v>539</v>
      </c>
      <c r="H74" s="50" t="s">
        <v>103</v>
      </c>
      <c r="I74" s="50" t="s">
        <v>103</v>
      </c>
      <c r="J74" s="42" t="str">
        <f t="shared" si="1"/>
        <v>Igual</v>
      </c>
      <c r="K74" s="51" t="s">
        <v>540</v>
      </c>
      <c r="L74" s="50" t="s">
        <v>541</v>
      </c>
      <c r="M74" s="50" t="s">
        <v>343</v>
      </c>
      <c r="N74" s="45" t="str">
        <f t="shared" si="2"/>
        <v>Não</v>
      </c>
    </row>
    <row r="75">
      <c r="A75" s="48" t="s">
        <v>49</v>
      </c>
      <c r="B75" s="49" t="s">
        <v>542</v>
      </c>
      <c r="C75" s="49" t="s">
        <v>543</v>
      </c>
      <c r="D75" s="49" t="s">
        <v>330</v>
      </c>
      <c r="E75" s="49" t="s">
        <v>544</v>
      </c>
      <c r="F75" s="49" t="s">
        <v>308</v>
      </c>
      <c r="G75" s="49" t="s">
        <v>545</v>
      </c>
      <c r="H75" s="50" t="s">
        <v>103</v>
      </c>
      <c r="I75" s="50" t="s">
        <v>103</v>
      </c>
      <c r="J75" s="42" t="str">
        <f t="shared" si="1"/>
        <v>Igual</v>
      </c>
      <c r="K75" s="51" t="s">
        <v>546</v>
      </c>
      <c r="L75" s="50" t="s">
        <v>547</v>
      </c>
      <c r="M75" s="50" t="s">
        <v>343</v>
      </c>
      <c r="N75" s="45" t="str">
        <f t="shared" si="2"/>
        <v>Não</v>
      </c>
    </row>
    <row r="76">
      <c r="A76" s="52" t="s">
        <v>548</v>
      </c>
      <c r="B76" s="52" t="s">
        <v>549</v>
      </c>
      <c r="C76" s="52" t="s">
        <v>550</v>
      </c>
      <c r="D76" s="52">
        <v>2019.0</v>
      </c>
      <c r="E76" s="53" t="s">
        <v>551</v>
      </c>
      <c r="F76" s="52" t="s">
        <v>552</v>
      </c>
      <c r="G76" s="11"/>
      <c r="H76" s="52" t="s">
        <v>103</v>
      </c>
      <c r="I76" s="52" t="s">
        <v>103</v>
      </c>
      <c r="J76" s="54" t="str">
        <f t="shared" si="1"/>
        <v>Igual</v>
      </c>
      <c r="K76" s="52" t="s">
        <v>553</v>
      </c>
      <c r="L76" s="52" t="s">
        <v>554</v>
      </c>
      <c r="M76" s="52" t="s">
        <v>555</v>
      </c>
      <c r="N76" s="55" t="str">
        <f t="shared" si="2"/>
        <v>Não</v>
      </c>
    </row>
    <row r="77">
      <c r="A77" s="52" t="s">
        <v>548</v>
      </c>
      <c r="B77" s="52" t="s">
        <v>556</v>
      </c>
      <c r="C77" s="52" t="s">
        <v>557</v>
      </c>
      <c r="D77" s="52">
        <v>2024.0</v>
      </c>
      <c r="E77" s="53" t="s">
        <v>558</v>
      </c>
      <c r="F77" s="56" t="s">
        <v>559</v>
      </c>
      <c r="G77" s="52" t="s">
        <v>560</v>
      </c>
      <c r="H77" s="52" t="s">
        <v>82</v>
      </c>
      <c r="I77" s="52" t="s">
        <v>82</v>
      </c>
      <c r="J77" s="54" t="str">
        <f t="shared" si="1"/>
        <v>Igual</v>
      </c>
      <c r="K77" s="52" t="s">
        <v>561</v>
      </c>
      <c r="L77" s="52" t="s">
        <v>562</v>
      </c>
      <c r="M77" s="52" t="s">
        <v>555</v>
      </c>
      <c r="N77" s="54" t="s">
        <v>563</v>
      </c>
      <c r="O77" s="33"/>
      <c r="P77" s="33"/>
      <c r="Q77" s="33"/>
      <c r="R77" s="33"/>
      <c r="S77" s="33"/>
      <c r="T77" s="33"/>
      <c r="U77" s="33"/>
    </row>
    <row r="78">
      <c r="A78" s="52" t="s">
        <v>548</v>
      </c>
      <c r="B78" s="52" t="s">
        <v>564</v>
      </c>
      <c r="C78" s="52" t="s">
        <v>565</v>
      </c>
      <c r="D78" s="52">
        <v>2017.0</v>
      </c>
      <c r="E78" s="53" t="s">
        <v>566</v>
      </c>
      <c r="F78" s="56" t="s">
        <v>567</v>
      </c>
      <c r="G78" s="52" t="s">
        <v>568</v>
      </c>
      <c r="H78" s="52" t="s">
        <v>103</v>
      </c>
      <c r="I78" s="52" t="s">
        <v>103</v>
      </c>
      <c r="J78" s="54" t="str">
        <f t="shared" si="1"/>
        <v>Igual</v>
      </c>
      <c r="K78" s="52" t="s">
        <v>569</v>
      </c>
      <c r="L78" s="52" t="s">
        <v>570</v>
      </c>
      <c r="M78" s="52" t="s">
        <v>555</v>
      </c>
      <c r="N78" s="55" t="str">
        <f t="shared" ref="N78:N525" si="3">IF(OR(ISBLANK(H78),ISBLANK(I78)),"", IF(J78="Diferente","Sim",IF(H78="Sim","Sim","Não")))</f>
        <v>Não</v>
      </c>
    </row>
    <row r="79">
      <c r="A79" s="52" t="s">
        <v>548</v>
      </c>
      <c r="B79" s="57" t="s">
        <v>571</v>
      </c>
      <c r="C79" s="57" t="s">
        <v>572</v>
      </c>
      <c r="D79" s="58">
        <v>2024.0</v>
      </c>
      <c r="E79" s="59" t="s">
        <v>573</v>
      </c>
      <c r="F79" s="57" t="s">
        <v>574</v>
      </c>
      <c r="G79" s="57" t="s">
        <v>575</v>
      </c>
      <c r="H79" s="57" t="s">
        <v>103</v>
      </c>
      <c r="I79" s="57" t="s">
        <v>103</v>
      </c>
      <c r="J79" s="54" t="str">
        <f t="shared" si="1"/>
        <v>Igual</v>
      </c>
      <c r="K79" s="57" t="s">
        <v>576</v>
      </c>
      <c r="L79" s="57" t="s">
        <v>577</v>
      </c>
      <c r="M79" s="57" t="s">
        <v>343</v>
      </c>
      <c r="N79" s="55" t="str">
        <f t="shared" si="3"/>
        <v>Não</v>
      </c>
    </row>
    <row r="80">
      <c r="A80" s="52" t="s">
        <v>548</v>
      </c>
      <c r="B80" s="57" t="s">
        <v>578</v>
      </c>
      <c r="C80" s="57" t="s">
        <v>579</v>
      </c>
      <c r="D80" s="58">
        <v>2025.0</v>
      </c>
      <c r="E80" s="59" t="s">
        <v>580</v>
      </c>
      <c r="F80" s="57" t="s">
        <v>581</v>
      </c>
      <c r="G80" s="57" t="s">
        <v>582</v>
      </c>
      <c r="H80" s="57" t="s">
        <v>82</v>
      </c>
      <c r="I80" s="57" t="s">
        <v>103</v>
      </c>
      <c r="J80" s="55" t="str">
        <f t="shared" si="1"/>
        <v>Diferente</v>
      </c>
      <c r="K80" s="57" t="s">
        <v>583</v>
      </c>
      <c r="L80" s="57" t="s">
        <v>584</v>
      </c>
      <c r="M80" s="57" t="s">
        <v>343</v>
      </c>
      <c r="N80" s="54" t="str">
        <f t="shared" si="3"/>
        <v>Sim</v>
      </c>
      <c r="O80" s="33"/>
      <c r="P80" s="33"/>
      <c r="Q80" s="33"/>
      <c r="R80" s="33"/>
      <c r="S80" s="33"/>
      <c r="T80" s="33"/>
      <c r="U80" s="33"/>
    </row>
    <row r="81">
      <c r="A81" s="52" t="s">
        <v>548</v>
      </c>
      <c r="B81" s="60" t="s">
        <v>585</v>
      </c>
      <c r="C81" s="61" t="s">
        <v>586</v>
      </c>
      <c r="D81" s="62">
        <v>2021.0</v>
      </c>
      <c r="E81" s="63" t="s">
        <v>587</v>
      </c>
      <c r="F81" s="11" t="s">
        <v>588</v>
      </c>
      <c r="G81" s="64" t="s">
        <v>589</v>
      </c>
      <c r="H81" s="57" t="s">
        <v>103</v>
      </c>
      <c r="I81" s="57" t="s">
        <v>82</v>
      </c>
      <c r="J81" s="65" t="str">
        <f t="shared" si="1"/>
        <v>Diferente</v>
      </c>
      <c r="K81" s="11" t="s">
        <v>590</v>
      </c>
      <c r="L81" s="60" t="s">
        <v>591</v>
      </c>
      <c r="M81" s="57" t="s">
        <v>343</v>
      </c>
      <c r="N81" s="54" t="str">
        <f t="shared" si="3"/>
        <v>Sim</v>
      </c>
    </row>
    <row r="82">
      <c r="A82" s="52" t="s">
        <v>548</v>
      </c>
      <c r="B82" s="60" t="s">
        <v>592</v>
      </c>
      <c r="C82" s="61" t="s">
        <v>593</v>
      </c>
      <c r="D82" s="62">
        <v>2025.0</v>
      </c>
      <c r="E82" s="63" t="s">
        <v>594</v>
      </c>
      <c r="F82" s="11" t="s">
        <v>595</v>
      </c>
      <c r="G82" s="60" t="s">
        <v>596</v>
      </c>
      <c r="H82" s="57" t="s">
        <v>103</v>
      </c>
      <c r="I82" s="57" t="s">
        <v>82</v>
      </c>
      <c r="J82" s="65" t="str">
        <f t="shared" si="1"/>
        <v>Diferente</v>
      </c>
      <c r="K82" s="11" t="s">
        <v>597</v>
      </c>
      <c r="L82" s="60" t="s">
        <v>598</v>
      </c>
      <c r="M82" s="57" t="s">
        <v>343</v>
      </c>
      <c r="N82" s="54" t="str">
        <f t="shared" si="3"/>
        <v>Sim</v>
      </c>
    </row>
    <row r="83">
      <c r="A83" s="52" t="s">
        <v>548</v>
      </c>
      <c r="B83" s="60" t="s">
        <v>599</v>
      </c>
      <c r="C83" s="61" t="s">
        <v>600</v>
      </c>
      <c r="D83" s="62">
        <v>2025.0</v>
      </c>
      <c r="E83" s="63" t="s">
        <v>601</v>
      </c>
      <c r="F83" s="11" t="s">
        <v>602</v>
      </c>
      <c r="G83" s="60" t="s">
        <v>603</v>
      </c>
      <c r="H83" s="57" t="s">
        <v>82</v>
      </c>
      <c r="I83" s="57" t="s">
        <v>82</v>
      </c>
      <c r="J83" s="66" t="str">
        <f t="shared" si="1"/>
        <v>Igual</v>
      </c>
      <c r="K83" s="11" t="s">
        <v>604</v>
      </c>
      <c r="L83" s="60" t="s">
        <v>605</v>
      </c>
      <c r="M83" s="57" t="s">
        <v>343</v>
      </c>
      <c r="N83" s="54" t="str">
        <f t="shared" si="3"/>
        <v>Sim</v>
      </c>
    </row>
    <row r="84">
      <c r="A84" s="52" t="s">
        <v>548</v>
      </c>
      <c r="B84" s="60" t="s">
        <v>606</v>
      </c>
      <c r="C84" s="61" t="s">
        <v>607</v>
      </c>
      <c r="D84" s="62">
        <v>2020.0</v>
      </c>
      <c r="E84" s="63" t="s">
        <v>608</v>
      </c>
      <c r="F84" s="11" t="s">
        <v>609</v>
      </c>
      <c r="G84" s="60" t="s">
        <v>610</v>
      </c>
      <c r="H84" s="60" t="s">
        <v>103</v>
      </c>
      <c r="I84" s="60" t="s">
        <v>103</v>
      </c>
      <c r="J84" s="66" t="str">
        <f t="shared" si="1"/>
        <v>Igual</v>
      </c>
      <c r="K84" s="60" t="s">
        <v>611</v>
      </c>
      <c r="L84" s="60" t="s">
        <v>612</v>
      </c>
      <c r="M84" s="57" t="s">
        <v>343</v>
      </c>
      <c r="N84" s="55" t="str">
        <f t="shared" si="3"/>
        <v>Não</v>
      </c>
    </row>
    <row r="85">
      <c r="A85" s="52" t="s">
        <v>548</v>
      </c>
      <c r="B85" s="60" t="s">
        <v>613</v>
      </c>
      <c r="C85" s="61" t="s">
        <v>614</v>
      </c>
      <c r="D85" s="62">
        <v>2023.0</v>
      </c>
      <c r="E85" s="63" t="s">
        <v>615</v>
      </c>
      <c r="F85" s="11" t="s">
        <v>616</v>
      </c>
      <c r="G85" s="60" t="s">
        <v>617</v>
      </c>
      <c r="H85" s="60" t="s">
        <v>103</v>
      </c>
      <c r="I85" s="60" t="s">
        <v>82</v>
      </c>
      <c r="J85" s="65" t="str">
        <f t="shared" si="1"/>
        <v>Diferente</v>
      </c>
      <c r="K85" s="60" t="s">
        <v>618</v>
      </c>
      <c r="L85" s="60" t="s">
        <v>619</v>
      </c>
      <c r="M85" s="57" t="s">
        <v>343</v>
      </c>
      <c r="N85" s="54" t="str">
        <f t="shared" si="3"/>
        <v>Sim</v>
      </c>
    </row>
    <row r="86">
      <c r="A86" s="52" t="s">
        <v>548</v>
      </c>
      <c r="B86" s="60" t="s">
        <v>620</v>
      </c>
      <c r="C86" s="61" t="s">
        <v>557</v>
      </c>
      <c r="D86" s="62">
        <v>2024.0</v>
      </c>
      <c r="E86" s="63" t="s">
        <v>621</v>
      </c>
      <c r="F86" s="11" t="s">
        <v>559</v>
      </c>
      <c r="G86" s="60" t="s">
        <v>622</v>
      </c>
      <c r="H86" s="60" t="s">
        <v>82</v>
      </c>
      <c r="I86" s="60" t="s">
        <v>82</v>
      </c>
      <c r="J86" s="66" t="str">
        <f t="shared" si="1"/>
        <v>Igual</v>
      </c>
      <c r="K86" s="60" t="s">
        <v>623</v>
      </c>
      <c r="L86" s="60" t="s">
        <v>624</v>
      </c>
      <c r="M86" s="57" t="s">
        <v>343</v>
      </c>
      <c r="N86" s="54" t="str">
        <f t="shared" si="3"/>
        <v>Sim</v>
      </c>
    </row>
    <row r="87">
      <c r="A87" s="52" t="s">
        <v>548</v>
      </c>
      <c r="B87" s="60" t="s">
        <v>625</v>
      </c>
      <c r="C87" s="61" t="s">
        <v>572</v>
      </c>
      <c r="D87" s="62">
        <v>2024.0</v>
      </c>
      <c r="E87" s="63" t="s">
        <v>626</v>
      </c>
      <c r="F87" s="11" t="s">
        <v>574</v>
      </c>
      <c r="G87" s="60" t="s">
        <v>627</v>
      </c>
      <c r="H87" s="60" t="s">
        <v>103</v>
      </c>
      <c r="I87" s="60" t="s">
        <v>103</v>
      </c>
      <c r="J87" s="66" t="str">
        <f t="shared" si="1"/>
        <v>Igual</v>
      </c>
      <c r="K87" s="60" t="s">
        <v>628</v>
      </c>
      <c r="L87" s="60" t="s">
        <v>629</v>
      </c>
      <c r="M87" s="57" t="s">
        <v>343</v>
      </c>
      <c r="N87" s="55" t="str">
        <f t="shared" si="3"/>
        <v>Não</v>
      </c>
    </row>
    <row r="88">
      <c r="A88" s="52" t="s">
        <v>548</v>
      </c>
      <c r="B88" s="60" t="s">
        <v>630</v>
      </c>
      <c r="C88" s="61" t="s">
        <v>631</v>
      </c>
      <c r="D88" s="62">
        <v>2024.0</v>
      </c>
      <c r="E88" s="63" t="s">
        <v>632</v>
      </c>
      <c r="F88" s="11" t="s">
        <v>633</v>
      </c>
      <c r="G88" s="60" t="s">
        <v>634</v>
      </c>
      <c r="H88" s="60" t="s">
        <v>82</v>
      </c>
      <c r="I88" s="60" t="s">
        <v>82</v>
      </c>
      <c r="J88" s="66" t="str">
        <f t="shared" si="1"/>
        <v>Igual</v>
      </c>
      <c r="K88" s="60" t="s">
        <v>635</v>
      </c>
      <c r="L88" s="60" t="s">
        <v>636</v>
      </c>
      <c r="M88" s="57" t="s">
        <v>343</v>
      </c>
      <c r="N88" s="54" t="str">
        <f t="shared" si="3"/>
        <v>Sim</v>
      </c>
    </row>
    <row r="89">
      <c r="A89" s="52" t="s">
        <v>548</v>
      </c>
      <c r="B89" s="60" t="s">
        <v>637</v>
      </c>
      <c r="C89" s="61" t="s">
        <v>579</v>
      </c>
      <c r="D89" s="62">
        <v>2025.0</v>
      </c>
      <c r="E89" s="63" t="s">
        <v>638</v>
      </c>
      <c r="F89" s="11" t="s">
        <v>581</v>
      </c>
      <c r="G89" s="60" t="s">
        <v>639</v>
      </c>
      <c r="H89" s="60" t="s">
        <v>103</v>
      </c>
      <c r="I89" s="60" t="s">
        <v>82</v>
      </c>
      <c r="J89" s="65" t="str">
        <f t="shared" si="1"/>
        <v>Diferente</v>
      </c>
      <c r="K89" s="60" t="s">
        <v>640</v>
      </c>
      <c r="L89" s="60" t="s">
        <v>641</v>
      </c>
      <c r="M89" s="57" t="s">
        <v>343</v>
      </c>
      <c r="N89" s="54" t="str">
        <f t="shared" si="3"/>
        <v>Sim</v>
      </c>
    </row>
    <row r="90">
      <c r="A90" s="52" t="s">
        <v>548</v>
      </c>
      <c r="B90" s="60" t="s">
        <v>642</v>
      </c>
      <c r="C90" s="61" t="s">
        <v>643</v>
      </c>
      <c r="D90" s="62">
        <v>2025.0</v>
      </c>
      <c r="E90" s="63" t="s">
        <v>644</v>
      </c>
      <c r="F90" s="11" t="s">
        <v>645</v>
      </c>
      <c r="G90" s="60" t="s">
        <v>646</v>
      </c>
      <c r="H90" s="60" t="s">
        <v>103</v>
      </c>
      <c r="I90" s="60" t="s">
        <v>82</v>
      </c>
      <c r="J90" s="65" t="str">
        <f t="shared" si="1"/>
        <v>Diferente</v>
      </c>
      <c r="K90" s="60" t="s">
        <v>647</v>
      </c>
      <c r="L90" s="60" t="s">
        <v>648</v>
      </c>
      <c r="M90" s="57" t="s">
        <v>343</v>
      </c>
      <c r="N90" s="54" t="str">
        <f t="shared" si="3"/>
        <v>Sim</v>
      </c>
    </row>
    <row r="91">
      <c r="A91" s="52" t="s">
        <v>548</v>
      </c>
      <c r="B91" s="60" t="s">
        <v>649</v>
      </c>
      <c r="C91" s="61" t="s">
        <v>650</v>
      </c>
      <c r="D91" s="62">
        <v>2024.0</v>
      </c>
      <c r="E91" s="63" t="s">
        <v>651</v>
      </c>
      <c r="F91" s="11" t="s">
        <v>652</v>
      </c>
      <c r="G91" s="60" t="s">
        <v>653</v>
      </c>
      <c r="H91" s="60" t="s">
        <v>82</v>
      </c>
      <c r="I91" s="60" t="s">
        <v>82</v>
      </c>
      <c r="J91" s="66" t="str">
        <f t="shared" si="1"/>
        <v>Igual</v>
      </c>
      <c r="K91" s="60" t="s">
        <v>654</v>
      </c>
      <c r="L91" s="60" t="s">
        <v>655</v>
      </c>
      <c r="M91" s="57" t="s">
        <v>343</v>
      </c>
      <c r="N91" s="54" t="str">
        <f t="shared" si="3"/>
        <v>Sim</v>
      </c>
    </row>
    <row r="92">
      <c r="A92" s="52" t="s">
        <v>548</v>
      </c>
      <c r="B92" s="60" t="s">
        <v>656</v>
      </c>
      <c r="C92" s="61" t="s">
        <v>657</v>
      </c>
      <c r="D92" s="62">
        <v>2021.0</v>
      </c>
      <c r="E92" s="63" t="s">
        <v>658</v>
      </c>
      <c r="F92" s="11" t="s">
        <v>659</v>
      </c>
      <c r="G92" s="60" t="s">
        <v>660</v>
      </c>
      <c r="H92" s="60" t="s">
        <v>103</v>
      </c>
      <c r="I92" s="60" t="s">
        <v>103</v>
      </c>
      <c r="J92" s="66" t="str">
        <f t="shared" si="1"/>
        <v>Igual</v>
      </c>
      <c r="K92" s="60" t="s">
        <v>661</v>
      </c>
      <c r="L92" s="60" t="s">
        <v>662</v>
      </c>
      <c r="M92" s="57" t="s">
        <v>343</v>
      </c>
      <c r="N92" s="55" t="str">
        <f t="shared" si="3"/>
        <v>Não</v>
      </c>
    </row>
    <row r="93">
      <c r="A93" s="52" t="s">
        <v>548</v>
      </c>
      <c r="B93" s="60" t="s">
        <v>663</v>
      </c>
      <c r="C93" s="61" t="s">
        <v>664</v>
      </c>
      <c r="D93" s="62">
        <v>2021.0</v>
      </c>
      <c r="E93" s="63" t="s">
        <v>665</v>
      </c>
      <c r="F93" s="11" t="s">
        <v>666</v>
      </c>
      <c r="G93" s="60" t="s">
        <v>667</v>
      </c>
      <c r="H93" s="60" t="s">
        <v>103</v>
      </c>
      <c r="I93" s="60" t="s">
        <v>103</v>
      </c>
      <c r="J93" s="66" t="str">
        <f t="shared" si="1"/>
        <v>Igual</v>
      </c>
      <c r="K93" s="60" t="s">
        <v>668</v>
      </c>
      <c r="L93" s="60" t="s">
        <v>669</v>
      </c>
      <c r="M93" s="57" t="s">
        <v>343</v>
      </c>
      <c r="N93" s="55" t="str">
        <f t="shared" si="3"/>
        <v>Não</v>
      </c>
    </row>
    <row r="94">
      <c r="A94" s="52" t="s">
        <v>548</v>
      </c>
      <c r="B94" s="60" t="s">
        <v>670</v>
      </c>
      <c r="C94" s="61" t="s">
        <v>671</v>
      </c>
      <c r="D94" s="62">
        <v>2020.0</v>
      </c>
      <c r="E94" s="63" t="s">
        <v>672</v>
      </c>
      <c r="F94" s="11" t="s">
        <v>673</v>
      </c>
      <c r="G94" s="60" t="s">
        <v>674</v>
      </c>
      <c r="H94" s="60" t="s">
        <v>82</v>
      </c>
      <c r="I94" s="60" t="s">
        <v>82</v>
      </c>
      <c r="J94" s="66" t="str">
        <f t="shared" si="1"/>
        <v>Igual</v>
      </c>
      <c r="K94" s="60" t="s">
        <v>675</v>
      </c>
      <c r="L94" s="60" t="s">
        <v>676</v>
      </c>
      <c r="M94" s="57" t="s">
        <v>343</v>
      </c>
      <c r="N94" s="54" t="str">
        <f t="shared" si="3"/>
        <v>Sim</v>
      </c>
    </row>
    <row r="95">
      <c r="A95" s="52" t="s">
        <v>548</v>
      </c>
      <c r="B95" s="60" t="s">
        <v>677</v>
      </c>
      <c r="C95" s="61" t="s">
        <v>678</v>
      </c>
      <c r="D95" s="62">
        <v>2024.0</v>
      </c>
      <c r="E95" s="63" t="s">
        <v>679</v>
      </c>
      <c r="F95" s="11" t="s">
        <v>680</v>
      </c>
      <c r="G95" s="60" t="s">
        <v>681</v>
      </c>
      <c r="H95" s="60" t="s">
        <v>103</v>
      </c>
      <c r="I95" s="60" t="s">
        <v>82</v>
      </c>
      <c r="J95" s="65" t="str">
        <f t="shared" si="1"/>
        <v>Diferente</v>
      </c>
      <c r="K95" s="60" t="s">
        <v>682</v>
      </c>
      <c r="L95" s="60" t="s">
        <v>683</v>
      </c>
      <c r="M95" s="57" t="s">
        <v>343</v>
      </c>
      <c r="N95" s="54" t="str">
        <f t="shared" si="3"/>
        <v>Sim</v>
      </c>
    </row>
    <row r="96">
      <c r="A96" s="52" t="s">
        <v>548</v>
      </c>
      <c r="B96" s="60" t="s">
        <v>684</v>
      </c>
      <c r="C96" s="61" t="s">
        <v>685</v>
      </c>
      <c r="D96" s="62">
        <v>2021.0</v>
      </c>
      <c r="E96" s="63" t="s">
        <v>686</v>
      </c>
      <c r="F96" s="11" t="s">
        <v>687</v>
      </c>
      <c r="G96" s="60" t="s">
        <v>688</v>
      </c>
      <c r="H96" s="60" t="s">
        <v>82</v>
      </c>
      <c r="I96" s="60" t="s">
        <v>103</v>
      </c>
      <c r="J96" s="65" t="str">
        <f t="shared" si="1"/>
        <v>Diferente</v>
      </c>
      <c r="K96" s="60" t="s">
        <v>689</v>
      </c>
      <c r="L96" s="60" t="s">
        <v>690</v>
      </c>
      <c r="M96" s="57" t="s">
        <v>343</v>
      </c>
      <c r="N96" s="54" t="str">
        <f t="shared" si="3"/>
        <v>Sim</v>
      </c>
    </row>
    <row r="97">
      <c r="A97" s="52" t="s">
        <v>548</v>
      </c>
      <c r="B97" s="60" t="s">
        <v>691</v>
      </c>
      <c r="C97" s="61" t="s">
        <v>692</v>
      </c>
      <c r="D97" s="62">
        <v>2024.0</v>
      </c>
      <c r="E97" s="63" t="s">
        <v>693</v>
      </c>
      <c r="F97" s="11" t="s">
        <v>694</v>
      </c>
      <c r="G97" s="60" t="s">
        <v>695</v>
      </c>
      <c r="H97" s="60" t="s">
        <v>103</v>
      </c>
      <c r="I97" s="60" t="s">
        <v>82</v>
      </c>
      <c r="J97" s="65" t="str">
        <f t="shared" si="1"/>
        <v>Diferente</v>
      </c>
      <c r="K97" s="60" t="s">
        <v>696</v>
      </c>
      <c r="L97" s="60" t="s">
        <v>697</v>
      </c>
      <c r="M97" s="57" t="s">
        <v>343</v>
      </c>
      <c r="N97" s="54" t="str">
        <f t="shared" si="3"/>
        <v>Sim</v>
      </c>
    </row>
    <row r="98">
      <c r="A98" s="52" t="s">
        <v>548</v>
      </c>
      <c r="B98" s="60" t="s">
        <v>698</v>
      </c>
      <c r="C98" s="61" t="s">
        <v>699</v>
      </c>
      <c r="D98" s="62">
        <v>2023.0</v>
      </c>
      <c r="E98" s="63" t="s">
        <v>700</v>
      </c>
      <c r="F98" s="11" t="s">
        <v>701</v>
      </c>
      <c r="G98" s="60" t="s">
        <v>702</v>
      </c>
      <c r="H98" s="60" t="s">
        <v>82</v>
      </c>
      <c r="I98" s="60" t="s">
        <v>82</v>
      </c>
      <c r="J98" s="66" t="str">
        <f t="shared" si="1"/>
        <v>Igual</v>
      </c>
      <c r="K98" s="60" t="s">
        <v>703</v>
      </c>
      <c r="L98" s="60" t="s">
        <v>704</v>
      </c>
      <c r="M98" s="57" t="s">
        <v>343</v>
      </c>
      <c r="N98" s="54" t="str">
        <f t="shared" si="3"/>
        <v>Sim</v>
      </c>
    </row>
    <row r="99">
      <c r="A99" s="52" t="s">
        <v>548</v>
      </c>
      <c r="B99" s="60" t="s">
        <v>705</v>
      </c>
      <c r="C99" s="61" t="s">
        <v>706</v>
      </c>
      <c r="D99" s="62">
        <v>2025.0</v>
      </c>
      <c r="E99" s="63" t="s">
        <v>707</v>
      </c>
      <c r="F99" s="11" t="s">
        <v>708</v>
      </c>
      <c r="G99" s="60" t="s">
        <v>709</v>
      </c>
      <c r="H99" s="60" t="s">
        <v>103</v>
      </c>
      <c r="I99" s="60" t="s">
        <v>82</v>
      </c>
      <c r="J99" s="65" t="str">
        <f t="shared" si="1"/>
        <v>Diferente</v>
      </c>
      <c r="K99" s="60" t="s">
        <v>710</v>
      </c>
      <c r="L99" s="60" t="s">
        <v>711</v>
      </c>
      <c r="M99" s="57" t="s">
        <v>343</v>
      </c>
      <c r="N99" s="54" t="str">
        <f t="shared" si="3"/>
        <v>Sim</v>
      </c>
    </row>
    <row r="100">
      <c r="A100" s="52" t="s">
        <v>548</v>
      </c>
      <c r="B100" s="60" t="s">
        <v>712</v>
      </c>
      <c r="C100" s="61" t="s">
        <v>713</v>
      </c>
      <c r="D100" s="62">
        <v>2024.0</v>
      </c>
      <c r="E100" s="63" t="s">
        <v>714</v>
      </c>
      <c r="F100" s="11" t="s">
        <v>715</v>
      </c>
      <c r="G100" s="60" t="s">
        <v>716</v>
      </c>
      <c r="H100" s="60" t="s">
        <v>82</v>
      </c>
      <c r="I100" s="60" t="s">
        <v>82</v>
      </c>
      <c r="J100" s="66" t="str">
        <f t="shared" si="1"/>
        <v>Igual</v>
      </c>
      <c r="K100" s="60" t="s">
        <v>717</v>
      </c>
      <c r="L100" s="60" t="s">
        <v>718</v>
      </c>
      <c r="M100" s="57" t="s">
        <v>343</v>
      </c>
      <c r="N100" s="54" t="str">
        <f t="shared" si="3"/>
        <v>Sim</v>
      </c>
    </row>
    <row r="101">
      <c r="A101" s="52" t="s">
        <v>548</v>
      </c>
      <c r="B101" s="60" t="s">
        <v>719</v>
      </c>
      <c r="C101" s="61" t="s">
        <v>720</v>
      </c>
      <c r="D101" s="62">
        <v>2022.0</v>
      </c>
      <c r="E101" s="63" t="s">
        <v>721</v>
      </c>
      <c r="F101" s="11" t="s">
        <v>722</v>
      </c>
      <c r="G101" s="60" t="s">
        <v>723</v>
      </c>
      <c r="H101" s="60" t="s">
        <v>103</v>
      </c>
      <c r="I101" s="60" t="s">
        <v>103</v>
      </c>
      <c r="J101" s="66" t="str">
        <f t="shared" si="1"/>
        <v>Igual</v>
      </c>
      <c r="K101" s="60" t="s">
        <v>724</v>
      </c>
      <c r="L101" s="60" t="s">
        <v>725</v>
      </c>
      <c r="M101" s="57" t="s">
        <v>343</v>
      </c>
      <c r="N101" s="55" t="str">
        <f t="shared" si="3"/>
        <v>Não</v>
      </c>
    </row>
    <row r="102">
      <c r="A102" s="52" t="s">
        <v>548</v>
      </c>
      <c r="B102" s="60" t="s">
        <v>726</v>
      </c>
      <c r="C102" s="61" t="s">
        <v>727</v>
      </c>
      <c r="D102" s="62">
        <v>2024.0</v>
      </c>
      <c r="E102" s="63" t="s">
        <v>728</v>
      </c>
      <c r="F102" s="11" t="s">
        <v>729</v>
      </c>
      <c r="G102" s="60" t="s">
        <v>730</v>
      </c>
      <c r="H102" s="60" t="s">
        <v>82</v>
      </c>
      <c r="I102" s="60" t="s">
        <v>82</v>
      </c>
      <c r="J102" s="66" t="str">
        <f t="shared" si="1"/>
        <v>Igual</v>
      </c>
      <c r="K102" s="60" t="s">
        <v>731</v>
      </c>
      <c r="L102" s="60" t="s">
        <v>732</v>
      </c>
      <c r="M102" s="57" t="s">
        <v>343</v>
      </c>
      <c r="N102" s="54" t="str">
        <f t="shared" si="3"/>
        <v>Sim</v>
      </c>
    </row>
    <row r="103">
      <c r="A103" s="52" t="s">
        <v>548</v>
      </c>
      <c r="B103" s="60" t="s">
        <v>733</v>
      </c>
      <c r="C103" s="61" t="s">
        <v>734</v>
      </c>
      <c r="D103" s="62">
        <v>2023.0</v>
      </c>
      <c r="E103" s="63" t="s">
        <v>735</v>
      </c>
      <c r="F103" s="11" t="s">
        <v>736</v>
      </c>
      <c r="G103" s="60" t="s">
        <v>737</v>
      </c>
      <c r="H103" s="60" t="s">
        <v>103</v>
      </c>
      <c r="I103" s="60" t="s">
        <v>82</v>
      </c>
      <c r="J103" s="65" t="str">
        <f t="shared" si="1"/>
        <v>Diferente</v>
      </c>
      <c r="K103" s="60" t="s">
        <v>738</v>
      </c>
      <c r="L103" s="60" t="s">
        <v>739</v>
      </c>
      <c r="M103" s="57" t="s">
        <v>343</v>
      </c>
      <c r="N103" s="54" t="str">
        <f t="shared" si="3"/>
        <v>Sim</v>
      </c>
    </row>
    <row r="104">
      <c r="A104" s="52" t="s">
        <v>548</v>
      </c>
      <c r="B104" s="60" t="s">
        <v>740</v>
      </c>
      <c r="C104" s="61" t="s">
        <v>741</v>
      </c>
      <c r="D104" s="62">
        <v>2025.0</v>
      </c>
      <c r="E104" s="63" t="s">
        <v>742</v>
      </c>
      <c r="F104" s="11" t="s">
        <v>743</v>
      </c>
      <c r="G104" s="60" t="s">
        <v>744</v>
      </c>
      <c r="H104" s="60" t="s">
        <v>82</v>
      </c>
      <c r="I104" s="60" t="s">
        <v>103</v>
      </c>
      <c r="J104" s="65" t="str">
        <f t="shared" si="1"/>
        <v>Diferente</v>
      </c>
      <c r="K104" s="60" t="s">
        <v>745</v>
      </c>
      <c r="L104" s="60" t="s">
        <v>746</v>
      </c>
      <c r="M104" s="57" t="s">
        <v>343</v>
      </c>
      <c r="N104" s="54" t="str">
        <f t="shared" si="3"/>
        <v>Sim</v>
      </c>
    </row>
    <row r="105">
      <c r="A105" s="52" t="s">
        <v>548</v>
      </c>
      <c r="B105" s="60" t="s">
        <v>747</v>
      </c>
      <c r="C105" s="61" t="s">
        <v>748</v>
      </c>
      <c r="D105" s="62">
        <v>2021.0</v>
      </c>
      <c r="E105" s="63" t="s">
        <v>749</v>
      </c>
      <c r="F105" s="11" t="s">
        <v>750</v>
      </c>
      <c r="G105" s="60"/>
      <c r="H105" s="60" t="s">
        <v>103</v>
      </c>
      <c r="I105" s="60" t="s">
        <v>82</v>
      </c>
      <c r="J105" s="65" t="str">
        <f t="shared" si="1"/>
        <v>Diferente</v>
      </c>
      <c r="K105" s="60" t="s">
        <v>751</v>
      </c>
      <c r="L105" s="60" t="s">
        <v>752</v>
      </c>
      <c r="M105" s="57" t="s">
        <v>343</v>
      </c>
      <c r="N105" s="54" t="str">
        <f t="shared" si="3"/>
        <v>Sim</v>
      </c>
    </row>
    <row r="106">
      <c r="A106" s="52" t="s">
        <v>548</v>
      </c>
      <c r="B106" s="60" t="s">
        <v>753</v>
      </c>
      <c r="C106" s="61" t="s">
        <v>754</v>
      </c>
      <c r="D106" s="62">
        <v>2023.0</v>
      </c>
      <c r="E106" s="63" t="s">
        <v>755</v>
      </c>
      <c r="F106" s="11" t="s">
        <v>756</v>
      </c>
      <c r="G106" s="60" t="s">
        <v>757</v>
      </c>
      <c r="H106" s="60" t="s">
        <v>82</v>
      </c>
      <c r="I106" s="60" t="s">
        <v>82</v>
      </c>
      <c r="J106" s="66" t="str">
        <f t="shared" si="1"/>
        <v>Igual</v>
      </c>
      <c r="K106" s="60" t="s">
        <v>758</v>
      </c>
      <c r="L106" s="60" t="s">
        <v>759</v>
      </c>
      <c r="M106" s="57" t="s">
        <v>343</v>
      </c>
      <c r="N106" s="54" t="str">
        <f t="shared" si="3"/>
        <v>Sim</v>
      </c>
    </row>
    <row r="107">
      <c r="A107" s="52" t="s">
        <v>548</v>
      </c>
      <c r="B107" s="60" t="s">
        <v>760</v>
      </c>
      <c r="C107" s="61" t="s">
        <v>761</v>
      </c>
      <c r="D107" s="62">
        <v>2025.0</v>
      </c>
      <c r="E107" s="63" t="s">
        <v>762</v>
      </c>
      <c r="F107" s="11" t="s">
        <v>763</v>
      </c>
      <c r="G107" s="60" t="s">
        <v>764</v>
      </c>
      <c r="H107" s="60" t="s">
        <v>103</v>
      </c>
      <c r="I107" s="60" t="s">
        <v>82</v>
      </c>
      <c r="J107" s="65" t="str">
        <f t="shared" si="1"/>
        <v>Diferente</v>
      </c>
      <c r="K107" s="60" t="s">
        <v>765</v>
      </c>
      <c r="L107" s="60" t="s">
        <v>766</v>
      </c>
      <c r="M107" s="57" t="s">
        <v>343</v>
      </c>
      <c r="N107" s="54" t="str">
        <f t="shared" si="3"/>
        <v>Sim</v>
      </c>
    </row>
    <row r="108">
      <c r="A108" s="52" t="s">
        <v>548</v>
      </c>
      <c r="B108" s="60" t="s">
        <v>767</v>
      </c>
      <c r="C108" s="61" t="s">
        <v>768</v>
      </c>
      <c r="D108" s="62">
        <v>2023.0</v>
      </c>
      <c r="E108" s="63" t="s">
        <v>769</v>
      </c>
      <c r="F108" s="11" t="s">
        <v>770</v>
      </c>
      <c r="G108" s="60" t="s">
        <v>771</v>
      </c>
      <c r="H108" s="60" t="s">
        <v>103</v>
      </c>
      <c r="I108" s="60" t="s">
        <v>103</v>
      </c>
      <c r="J108" s="66" t="str">
        <f t="shared" si="1"/>
        <v>Igual</v>
      </c>
      <c r="K108" s="60" t="s">
        <v>772</v>
      </c>
      <c r="L108" s="60" t="s">
        <v>773</v>
      </c>
      <c r="M108" s="57" t="s">
        <v>343</v>
      </c>
      <c r="N108" s="55" t="str">
        <f t="shared" si="3"/>
        <v>Não</v>
      </c>
    </row>
    <row r="109">
      <c r="A109" s="52" t="s">
        <v>548</v>
      </c>
      <c r="B109" s="60" t="s">
        <v>774</v>
      </c>
      <c r="C109" s="61" t="s">
        <v>775</v>
      </c>
      <c r="D109" s="62">
        <v>2023.0</v>
      </c>
      <c r="E109" s="63" t="s">
        <v>776</v>
      </c>
      <c r="F109" s="11" t="s">
        <v>777</v>
      </c>
      <c r="G109" s="60" t="s">
        <v>778</v>
      </c>
      <c r="H109" s="60" t="s">
        <v>82</v>
      </c>
      <c r="I109" s="60" t="s">
        <v>103</v>
      </c>
      <c r="J109" s="65" t="str">
        <f t="shared" si="1"/>
        <v>Diferente</v>
      </c>
      <c r="K109" s="60" t="s">
        <v>779</v>
      </c>
      <c r="L109" s="60" t="s">
        <v>780</v>
      </c>
      <c r="M109" s="57" t="s">
        <v>343</v>
      </c>
      <c r="N109" s="54" t="str">
        <f t="shared" si="3"/>
        <v>Sim</v>
      </c>
    </row>
    <row r="110">
      <c r="A110" s="52" t="s">
        <v>548</v>
      </c>
      <c r="B110" s="60" t="s">
        <v>781</v>
      </c>
      <c r="C110" s="61" t="s">
        <v>782</v>
      </c>
      <c r="D110" s="62">
        <v>2023.0</v>
      </c>
      <c r="E110" s="63" t="s">
        <v>783</v>
      </c>
      <c r="F110" s="11" t="s">
        <v>784</v>
      </c>
      <c r="G110" s="60" t="s">
        <v>785</v>
      </c>
      <c r="H110" s="60" t="s">
        <v>82</v>
      </c>
      <c r="I110" s="60" t="s">
        <v>82</v>
      </c>
      <c r="J110" s="66" t="str">
        <f t="shared" si="1"/>
        <v>Igual</v>
      </c>
      <c r="K110" s="60" t="s">
        <v>786</v>
      </c>
      <c r="L110" s="60" t="s">
        <v>787</v>
      </c>
      <c r="M110" s="57" t="s">
        <v>343</v>
      </c>
      <c r="N110" s="54" t="str">
        <f t="shared" si="3"/>
        <v>Sim</v>
      </c>
    </row>
    <row r="111">
      <c r="A111" s="52" t="s">
        <v>548</v>
      </c>
      <c r="B111" s="60" t="s">
        <v>788</v>
      </c>
      <c r="C111" s="61" t="s">
        <v>789</v>
      </c>
      <c r="D111" s="62">
        <v>2025.0</v>
      </c>
      <c r="E111" s="63" t="s">
        <v>790</v>
      </c>
      <c r="F111" s="11" t="s">
        <v>791</v>
      </c>
      <c r="G111" s="60" t="s">
        <v>792</v>
      </c>
      <c r="H111" s="60" t="s">
        <v>103</v>
      </c>
      <c r="I111" s="60" t="s">
        <v>103</v>
      </c>
      <c r="J111" s="66" t="str">
        <f t="shared" si="1"/>
        <v>Igual</v>
      </c>
      <c r="K111" s="60" t="s">
        <v>793</v>
      </c>
      <c r="L111" s="60" t="s">
        <v>794</v>
      </c>
      <c r="M111" s="57" t="s">
        <v>343</v>
      </c>
      <c r="N111" s="55" t="str">
        <f t="shared" si="3"/>
        <v>Não</v>
      </c>
    </row>
    <row r="112">
      <c r="A112" s="52" t="s">
        <v>548</v>
      </c>
      <c r="B112" s="60" t="s">
        <v>795</v>
      </c>
      <c r="C112" s="61" t="s">
        <v>796</v>
      </c>
      <c r="D112" s="62">
        <v>2025.0</v>
      </c>
      <c r="E112" s="63" t="s">
        <v>797</v>
      </c>
      <c r="F112" s="11" t="s">
        <v>798</v>
      </c>
      <c r="G112" s="60" t="s">
        <v>799</v>
      </c>
      <c r="H112" s="60" t="s">
        <v>82</v>
      </c>
      <c r="I112" s="60" t="s">
        <v>82</v>
      </c>
      <c r="J112" s="66" t="str">
        <f t="shared" si="1"/>
        <v>Igual</v>
      </c>
      <c r="K112" s="60" t="s">
        <v>800</v>
      </c>
      <c r="L112" s="60" t="s">
        <v>801</v>
      </c>
      <c r="M112" s="57" t="s">
        <v>343</v>
      </c>
      <c r="N112" s="54" t="str">
        <f t="shared" si="3"/>
        <v>Sim</v>
      </c>
    </row>
    <row r="113">
      <c r="A113" s="52" t="s">
        <v>548</v>
      </c>
      <c r="B113" s="60" t="s">
        <v>802</v>
      </c>
      <c r="C113" s="61" t="s">
        <v>803</v>
      </c>
      <c r="D113" s="62">
        <v>2024.0</v>
      </c>
      <c r="E113" s="63" t="s">
        <v>804</v>
      </c>
      <c r="F113" s="11" t="s">
        <v>805</v>
      </c>
      <c r="G113" s="60" t="s">
        <v>806</v>
      </c>
      <c r="H113" s="60" t="s">
        <v>103</v>
      </c>
      <c r="I113" s="60" t="s">
        <v>103</v>
      </c>
      <c r="J113" s="66" t="str">
        <f t="shared" si="1"/>
        <v>Igual</v>
      </c>
      <c r="K113" s="60" t="s">
        <v>807</v>
      </c>
      <c r="L113" s="60" t="s">
        <v>808</v>
      </c>
      <c r="M113" s="57" t="s">
        <v>343</v>
      </c>
      <c r="N113" s="55" t="str">
        <f t="shared" si="3"/>
        <v>Não</v>
      </c>
    </row>
    <row r="114">
      <c r="A114" s="52" t="s">
        <v>548</v>
      </c>
      <c r="B114" s="60" t="s">
        <v>809</v>
      </c>
      <c r="C114" s="61" t="s">
        <v>810</v>
      </c>
      <c r="D114" s="62">
        <v>2020.0</v>
      </c>
      <c r="E114" s="63" t="s">
        <v>811</v>
      </c>
      <c r="F114" s="11" t="s">
        <v>812</v>
      </c>
      <c r="G114" s="60" t="s">
        <v>813</v>
      </c>
      <c r="H114" s="60" t="s">
        <v>82</v>
      </c>
      <c r="I114" s="60" t="s">
        <v>82</v>
      </c>
      <c r="J114" s="66" t="str">
        <f t="shared" si="1"/>
        <v>Igual</v>
      </c>
      <c r="K114" s="60" t="s">
        <v>814</v>
      </c>
      <c r="L114" s="60" t="s">
        <v>815</v>
      </c>
      <c r="M114" s="57" t="s">
        <v>343</v>
      </c>
      <c r="N114" s="54" t="str">
        <f t="shared" si="3"/>
        <v>Sim</v>
      </c>
    </row>
    <row r="115">
      <c r="A115" s="52" t="s">
        <v>548</v>
      </c>
      <c r="B115" s="60" t="s">
        <v>816</v>
      </c>
      <c r="C115" s="61" t="s">
        <v>817</v>
      </c>
      <c r="D115" s="62">
        <v>2023.0</v>
      </c>
      <c r="E115" s="63" t="s">
        <v>818</v>
      </c>
      <c r="F115" s="11" t="s">
        <v>819</v>
      </c>
      <c r="G115" s="60" t="s">
        <v>820</v>
      </c>
      <c r="H115" s="60" t="s">
        <v>103</v>
      </c>
      <c r="I115" s="60" t="s">
        <v>82</v>
      </c>
      <c r="J115" s="65" t="str">
        <f t="shared" si="1"/>
        <v>Diferente</v>
      </c>
      <c r="K115" s="60" t="s">
        <v>821</v>
      </c>
      <c r="L115" s="60" t="s">
        <v>822</v>
      </c>
      <c r="M115" s="57" t="s">
        <v>343</v>
      </c>
      <c r="N115" s="54" t="str">
        <f t="shared" si="3"/>
        <v>Sim</v>
      </c>
    </row>
    <row r="116">
      <c r="A116" s="52" t="s">
        <v>548</v>
      </c>
      <c r="B116" s="60" t="s">
        <v>823</v>
      </c>
      <c r="C116" s="61" t="s">
        <v>824</v>
      </c>
      <c r="D116" s="62">
        <v>2023.0</v>
      </c>
      <c r="E116" s="63" t="s">
        <v>825</v>
      </c>
      <c r="F116" s="11" t="s">
        <v>826</v>
      </c>
      <c r="G116" s="60" t="s">
        <v>827</v>
      </c>
      <c r="H116" s="60" t="s">
        <v>82</v>
      </c>
      <c r="I116" s="60" t="s">
        <v>82</v>
      </c>
      <c r="J116" s="66" t="str">
        <f t="shared" si="1"/>
        <v>Igual</v>
      </c>
      <c r="K116" s="60" t="s">
        <v>828</v>
      </c>
      <c r="L116" s="60" t="s">
        <v>829</v>
      </c>
      <c r="M116" s="57" t="s">
        <v>343</v>
      </c>
      <c r="N116" s="54" t="str">
        <f t="shared" si="3"/>
        <v>Sim</v>
      </c>
    </row>
    <row r="117">
      <c r="A117" s="52" t="s">
        <v>548</v>
      </c>
      <c r="B117" s="60" t="s">
        <v>830</v>
      </c>
      <c r="C117" s="61" t="s">
        <v>831</v>
      </c>
      <c r="D117" s="62">
        <v>2024.0</v>
      </c>
      <c r="E117" s="63" t="s">
        <v>832</v>
      </c>
      <c r="F117" s="11" t="s">
        <v>833</v>
      </c>
      <c r="G117" s="60" t="s">
        <v>834</v>
      </c>
      <c r="H117" s="60" t="s">
        <v>103</v>
      </c>
      <c r="I117" s="60" t="s">
        <v>82</v>
      </c>
      <c r="J117" s="65" t="str">
        <f t="shared" si="1"/>
        <v>Diferente</v>
      </c>
      <c r="K117" s="60" t="s">
        <v>835</v>
      </c>
      <c r="L117" s="60" t="s">
        <v>836</v>
      </c>
      <c r="M117" s="57" t="s">
        <v>343</v>
      </c>
      <c r="N117" s="54" t="str">
        <f t="shared" si="3"/>
        <v>Sim</v>
      </c>
    </row>
    <row r="118">
      <c r="A118" s="52" t="s">
        <v>548</v>
      </c>
      <c r="B118" s="60" t="s">
        <v>837</v>
      </c>
      <c r="C118" s="61" t="s">
        <v>838</v>
      </c>
      <c r="D118" s="62">
        <v>2024.0</v>
      </c>
      <c r="E118" s="63" t="s">
        <v>839</v>
      </c>
      <c r="F118" s="11" t="s">
        <v>840</v>
      </c>
      <c r="G118" s="60" t="s">
        <v>841</v>
      </c>
      <c r="H118" s="60" t="s">
        <v>82</v>
      </c>
      <c r="I118" s="60" t="s">
        <v>103</v>
      </c>
      <c r="J118" s="65" t="str">
        <f t="shared" si="1"/>
        <v>Diferente</v>
      </c>
      <c r="K118" s="60" t="s">
        <v>842</v>
      </c>
      <c r="L118" s="60" t="s">
        <v>843</v>
      </c>
      <c r="M118" s="57" t="s">
        <v>343</v>
      </c>
      <c r="N118" s="54" t="str">
        <f t="shared" si="3"/>
        <v>Sim</v>
      </c>
    </row>
    <row r="119">
      <c r="A119" s="52" t="s">
        <v>548</v>
      </c>
      <c r="B119" s="60" t="s">
        <v>844</v>
      </c>
      <c r="C119" s="61" t="s">
        <v>845</v>
      </c>
      <c r="D119" s="62">
        <v>2024.0</v>
      </c>
      <c r="E119" s="63" t="s">
        <v>846</v>
      </c>
      <c r="F119" s="11" t="s">
        <v>847</v>
      </c>
      <c r="G119" s="60"/>
      <c r="H119" s="60" t="s">
        <v>103</v>
      </c>
      <c r="I119" s="60" t="s">
        <v>82</v>
      </c>
      <c r="J119" s="65" t="str">
        <f t="shared" si="1"/>
        <v>Diferente</v>
      </c>
      <c r="K119" s="60" t="s">
        <v>848</v>
      </c>
      <c r="L119" s="60" t="s">
        <v>849</v>
      </c>
      <c r="M119" s="57" t="s">
        <v>343</v>
      </c>
      <c r="N119" s="54" t="str">
        <f t="shared" si="3"/>
        <v>Sim</v>
      </c>
    </row>
    <row r="120">
      <c r="A120" s="52" t="s">
        <v>548</v>
      </c>
      <c r="B120" s="60" t="s">
        <v>850</v>
      </c>
      <c r="C120" s="61" t="s">
        <v>851</v>
      </c>
      <c r="D120" s="62">
        <v>2024.0</v>
      </c>
      <c r="E120" s="63" t="s">
        <v>852</v>
      </c>
      <c r="F120" s="11" t="s">
        <v>853</v>
      </c>
      <c r="G120" s="60" t="s">
        <v>854</v>
      </c>
      <c r="H120" s="60" t="s">
        <v>103</v>
      </c>
      <c r="I120" s="60" t="s">
        <v>103</v>
      </c>
      <c r="J120" s="66" t="str">
        <f t="shared" si="1"/>
        <v>Igual</v>
      </c>
      <c r="K120" s="60" t="s">
        <v>855</v>
      </c>
      <c r="L120" s="60" t="s">
        <v>856</v>
      </c>
      <c r="M120" s="57" t="s">
        <v>343</v>
      </c>
      <c r="N120" s="55" t="str">
        <f t="shared" si="3"/>
        <v>Não</v>
      </c>
    </row>
    <row r="121">
      <c r="A121" s="52" t="s">
        <v>548</v>
      </c>
      <c r="B121" s="60" t="s">
        <v>857</v>
      </c>
      <c r="C121" s="61" t="s">
        <v>858</v>
      </c>
      <c r="D121" s="62">
        <v>2023.0</v>
      </c>
      <c r="E121" s="63" t="s">
        <v>859</v>
      </c>
      <c r="F121" s="11" t="s">
        <v>860</v>
      </c>
      <c r="G121" s="60" t="s">
        <v>861</v>
      </c>
      <c r="H121" s="60" t="s">
        <v>82</v>
      </c>
      <c r="I121" s="60" t="s">
        <v>82</v>
      </c>
      <c r="J121" s="66" t="str">
        <f t="shared" si="1"/>
        <v>Igual</v>
      </c>
      <c r="K121" s="60" t="s">
        <v>862</v>
      </c>
      <c r="L121" s="60" t="s">
        <v>863</v>
      </c>
      <c r="M121" s="57" t="s">
        <v>343</v>
      </c>
      <c r="N121" s="54" t="str">
        <f t="shared" si="3"/>
        <v>Sim</v>
      </c>
    </row>
    <row r="122">
      <c r="A122" s="52" t="s">
        <v>548</v>
      </c>
      <c r="B122" s="60" t="s">
        <v>864</v>
      </c>
      <c r="C122" s="61" t="s">
        <v>865</v>
      </c>
      <c r="D122" s="62">
        <v>2025.0</v>
      </c>
      <c r="E122" s="63" t="s">
        <v>866</v>
      </c>
      <c r="F122" s="11" t="s">
        <v>867</v>
      </c>
      <c r="G122" s="60" t="s">
        <v>868</v>
      </c>
      <c r="H122" s="60" t="s">
        <v>103</v>
      </c>
      <c r="I122" s="60" t="s">
        <v>103</v>
      </c>
      <c r="J122" s="66" t="str">
        <f t="shared" si="1"/>
        <v>Igual</v>
      </c>
      <c r="K122" s="60" t="s">
        <v>869</v>
      </c>
      <c r="L122" s="60" t="s">
        <v>870</v>
      </c>
      <c r="M122" s="57" t="s">
        <v>343</v>
      </c>
      <c r="N122" s="55" t="str">
        <f t="shared" si="3"/>
        <v>Não</v>
      </c>
    </row>
    <row r="123">
      <c r="A123" s="52" t="s">
        <v>548</v>
      </c>
      <c r="B123" s="60" t="s">
        <v>871</v>
      </c>
      <c r="C123" s="61" t="s">
        <v>872</v>
      </c>
      <c r="D123" s="62">
        <v>2024.0</v>
      </c>
      <c r="E123" s="63" t="s">
        <v>873</v>
      </c>
      <c r="F123" s="11" t="s">
        <v>874</v>
      </c>
      <c r="G123" s="60" t="s">
        <v>875</v>
      </c>
      <c r="H123" s="60" t="s">
        <v>82</v>
      </c>
      <c r="I123" s="60" t="s">
        <v>103</v>
      </c>
      <c r="J123" s="65" t="str">
        <f t="shared" si="1"/>
        <v>Diferente</v>
      </c>
      <c r="K123" s="60" t="s">
        <v>876</v>
      </c>
      <c r="L123" s="60" t="s">
        <v>877</v>
      </c>
      <c r="M123" s="57" t="s">
        <v>343</v>
      </c>
      <c r="N123" s="54" t="str">
        <f t="shared" si="3"/>
        <v>Sim</v>
      </c>
    </row>
    <row r="124">
      <c r="A124" s="52" t="s">
        <v>548</v>
      </c>
      <c r="B124" s="60" t="s">
        <v>878</v>
      </c>
      <c r="C124" s="61" t="s">
        <v>879</v>
      </c>
      <c r="D124" s="62">
        <v>2022.0</v>
      </c>
      <c r="E124" s="63" t="s">
        <v>880</v>
      </c>
      <c r="F124" s="11" t="s">
        <v>881</v>
      </c>
      <c r="G124" s="60" t="s">
        <v>882</v>
      </c>
      <c r="H124" s="60" t="s">
        <v>103</v>
      </c>
      <c r="I124" s="60" t="s">
        <v>82</v>
      </c>
      <c r="J124" s="65" t="str">
        <f t="shared" si="1"/>
        <v>Diferente</v>
      </c>
      <c r="K124" s="60" t="s">
        <v>883</v>
      </c>
      <c r="L124" s="60" t="s">
        <v>884</v>
      </c>
      <c r="M124" s="57" t="s">
        <v>343</v>
      </c>
      <c r="N124" s="54" t="str">
        <f t="shared" si="3"/>
        <v>Sim</v>
      </c>
    </row>
    <row r="125">
      <c r="A125" s="52" t="s">
        <v>548</v>
      </c>
      <c r="B125" s="60" t="s">
        <v>885</v>
      </c>
      <c r="C125" s="61" t="s">
        <v>886</v>
      </c>
      <c r="D125" s="62">
        <v>2023.0</v>
      </c>
      <c r="E125" s="63" t="s">
        <v>887</v>
      </c>
      <c r="F125" s="11" t="s">
        <v>888</v>
      </c>
      <c r="G125" s="60"/>
      <c r="H125" s="60" t="s">
        <v>82</v>
      </c>
      <c r="I125" s="60" t="s">
        <v>103</v>
      </c>
      <c r="J125" s="65" t="str">
        <f t="shared" si="1"/>
        <v>Diferente</v>
      </c>
      <c r="K125" s="60" t="s">
        <v>889</v>
      </c>
      <c r="L125" s="60" t="s">
        <v>890</v>
      </c>
      <c r="M125" s="57" t="s">
        <v>343</v>
      </c>
      <c r="N125" s="54" t="str">
        <f t="shared" si="3"/>
        <v>Sim</v>
      </c>
    </row>
    <row r="126">
      <c r="A126" s="52" t="s">
        <v>548</v>
      </c>
      <c r="B126" s="60" t="s">
        <v>891</v>
      </c>
      <c r="C126" s="61" t="s">
        <v>892</v>
      </c>
      <c r="D126" s="62">
        <v>2021.0</v>
      </c>
      <c r="E126" s="63" t="s">
        <v>893</v>
      </c>
      <c r="F126" s="11" t="s">
        <v>894</v>
      </c>
      <c r="G126" s="60" t="s">
        <v>895</v>
      </c>
      <c r="H126" s="60" t="s">
        <v>103</v>
      </c>
      <c r="I126" s="60" t="s">
        <v>82</v>
      </c>
      <c r="J126" s="65" t="str">
        <f t="shared" si="1"/>
        <v>Diferente</v>
      </c>
      <c r="K126" s="60" t="s">
        <v>896</v>
      </c>
      <c r="L126" s="60" t="s">
        <v>897</v>
      </c>
      <c r="M126" s="57" t="s">
        <v>343</v>
      </c>
      <c r="N126" s="54" t="str">
        <f t="shared" si="3"/>
        <v>Sim</v>
      </c>
    </row>
    <row r="127">
      <c r="A127" s="52" t="s">
        <v>548</v>
      </c>
      <c r="B127" s="60" t="s">
        <v>898</v>
      </c>
      <c r="C127" s="61" t="s">
        <v>899</v>
      </c>
      <c r="D127" s="62">
        <v>2025.0</v>
      </c>
      <c r="E127" s="63" t="s">
        <v>900</v>
      </c>
      <c r="F127" s="11" t="s">
        <v>901</v>
      </c>
      <c r="G127" s="60" t="s">
        <v>902</v>
      </c>
      <c r="H127" s="60" t="s">
        <v>82</v>
      </c>
      <c r="I127" s="60" t="s">
        <v>82</v>
      </c>
      <c r="J127" s="66" t="str">
        <f t="shared" si="1"/>
        <v>Igual</v>
      </c>
      <c r="K127" s="60" t="s">
        <v>903</v>
      </c>
      <c r="L127" s="60" t="s">
        <v>904</v>
      </c>
      <c r="M127" s="57" t="s">
        <v>343</v>
      </c>
      <c r="N127" s="54" t="str">
        <f t="shared" si="3"/>
        <v>Sim</v>
      </c>
    </row>
    <row r="128">
      <c r="A128" s="52" t="s">
        <v>548</v>
      </c>
      <c r="B128" s="60" t="s">
        <v>905</v>
      </c>
      <c r="C128" s="61" t="s">
        <v>906</v>
      </c>
      <c r="D128" s="62">
        <v>2024.0</v>
      </c>
      <c r="E128" s="63" t="s">
        <v>907</v>
      </c>
      <c r="F128" s="11" t="s">
        <v>908</v>
      </c>
      <c r="G128" s="60" t="s">
        <v>909</v>
      </c>
      <c r="H128" s="60" t="s">
        <v>103</v>
      </c>
      <c r="I128" s="60" t="s">
        <v>103</v>
      </c>
      <c r="J128" s="66" t="str">
        <f t="shared" si="1"/>
        <v>Igual</v>
      </c>
      <c r="K128" s="60" t="s">
        <v>910</v>
      </c>
      <c r="L128" s="60" t="s">
        <v>911</v>
      </c>
      <c r="M128" s="57" t="s">
        <v>343</v>
      </c>
      <c r="N128" s="55" t="str">
        <f t="shared" si="3"/>
        <v>Não</v>
      </c>
    </row>
    <row r="129">
      <c r="A129" s="52" t="s">
        <v>548</v>
      </c>
      <c r="B129" s="60" t="s">
        <v>912</v>
      </c>
      <c r="C129" s="61" t="s">
        <v>913</v>
      </c>
      <c r="D129" s="62">
        <v>2024.0</v>
      </c>
      <c r="E129" s="63" t="s">
        <v>914</v>
      </c>
      <c r="F129" s="11" t="s">
        <v>915</v>
      </c>
      <c r="G129" s="60" t="s">
        <v>916</v>
      </c>
      <c r="H129" s="60" t="s">
        <v>82</v>
      </c>
      <c r="I129" s="60" t="s">
        <v>103</v>
      </c>
      <c r="J129" s="65" t="str">
        <f t="shared" si="1"/>
        <v>Diferente</v>
      </c>
      <c r="K129" s="60" t="s">
        <v>917</v>
      </c>
      <c r="L129" s="60" t="s">
        <v>918</v>
      </c>
      <c r="M129" s="57" t="s">
        <v>343</v>
      </c>
      <c r="N129" s="54" t="str">
        <f t="shared" si="3"/>
        <v>Sim</v>
      </c>
    </row>
    <row r="130">
      <c r="A130" s="52" t="s">
        <v>548</v>
      </c>
      <c r="B130" s="60" t="s">
        <v>919</v>
      </c>
      <c r="C130" s="61" t="s">
        <v>920</v>
      </c>
      <c r="D130" s="62">
        <v>2022.0</v>
      </c>
      <c r="E130" s="63" t="s">
        <v>921</v>
      </c>
      <c r="F130" s="11" t="s">
        <v>922</v>
      </c>
      <c r="G130" s="60" t="s">
        <v>923</v>
      </c>
      <c r="H130" s="60" t="s">
        <v>103</v>
      </c>
      <c r="I130" s="60" t="s">
        <v>82</v>
      </c>
      <c r="J130" s="65" t="str">
        <f t="shared" si="1"/>
        <v>Diferente</v>
      </c>
      <c r="K130" s="60" t="s">
        <v>924</v>
      </c>
      <c r="L130" s="60" t="s">
        <v>925</v>
      </c>
      <c r="M130" s="57" t="s">
        <v>343</v>
      </c>
      <c r="N130" s="54" t="str">
        <f t="shared" si="3"/>
        <v>Sim</v>
      </c>
    </row>
    <row r="131">
      <c r="A131" s="52" t="s">
        <v>548</v>
      </c>
      <c r="B131" s="60" t="s">
        <v>926</v>
      </c>
      <c r="C131" s="61" t="s">
        <v>927</v>
      </c>
      <c r="D131" s="62">
        <v>2024.0</v>
      </c>
      <c r="E131" s="63" t="s">
        <v>928</v>
      </c>
      <c r="F131" s="11" t="s">
        <v>929</v>
      </c>
      <c r="G131" s="60" t="s">
        <v>930</v>
      </c>
      <c r="H131" s="60" t="s">
        <v>82</v>
      </c>
      <c r="I131" s="60" t="s">
        <v>103</v>
      </c>
      <c r="J131" s="65" t="str">
        <f t="shared" si="1"/>
        <v>Diferente</v>
      </c>
      <c r="K131" s="60" t="s">
        <v>931</v>
      </c>
      <c r="L131" s="60" t="s">
        <v>932</v>
      </c>
      <c r="M131" s="57" t="s">
        <v>343</v>
      </c>
      <c r="N131" s="54" t="str">
        <f t="shared" si="3"/>
        <v>Sim</v>
      </c>
    </row>
    <row r="132">
      <c r="A132" s="52" t="s">
        <v>548</v>
      </c>
      <c r="B132" s="60" t="s">
        <v>933</v>
      </c>
      <c r="C132" s="61" t="s">
        <v>934</v>
      </c>
      <c r="D132" s="62">
        <v>2024.0</v>
      </c>
      <c r="E132" s="63" t="s">
        <v>935</v>
      </c>
      <c r="F132" s="11" t="s">
        <v>936</v>
      </c>
      <c r="G132" s="60" t="s">
        <v>937</v>
      </c>
      <c r="H132" s="60" t="s">
        <v>103</v>
      </c>
      <c r="I132" s="60" t="s">
        <v>82</v>
      </c>
      <c r="J132" s="65" t="str">
        <f t="shared" si="1"/>
        <v>Diferente</v>
      </c>
      <c r="K132" s="60" t="s">
        <v>938</v>
      </c>
      <c r="L132" s="60" t="s">
        <v>939</v>
      </c>
      <c r="M132" s="57" t="s">
        <v>343</v>
      </c>
      <c r="N132" s="54" t="str">
        <f t="shared" si="3"/>
        <v>Sim</v>
      </c>
    </row>
    <row r="133">
      <c r="A133" s="52" t="s">
        <v>548</v>
      </c>
      <c r="B133" s="60" t="s">
        <v>940</v>
      </c>
      <c r="C133" s="61" t="s">
        <v>941</v>
      </c>
      <c r="D133" s="62">
        <v>2024.0</v>
      </c>
      <c r="E133" s="63" t="s">
        <v>942</v>
      </c>
      <c r="F133" s="11" t="s">
        <v>943</v>
      </c>
      <c r="G133" s="60" t="s">
        <v>944</v>
      </c>
      <c r="H133" s="60" t="s">
        <v>82</v>
      </c>
      <c r="I133" s="60" t="s">
        <v>82</v>
      </c>
      <c r="J133" s="66" t="str">
        <f t="shared" si="1"/>
        <v>Igual</v>
      </c>
      <c r="K133" s="60" t="s">
        <v>945</v>
      </c>
      <c r="L133" s="60" t="s">
        <v>946</v>
      </c>
      <c r="M133" s="57" t="s">
        <v>343</v>
      </c>
      <c r="N133" s="54" t="str">
        <f t="shared" si="3"/>
        <v>Sim</v>
      </c>
    </row>
    <row r="134">
      <c r="A134" s="52" t="s">
        <v>548</v>
      </c>
      <c r="B134" s="60" t="s">
        <v>947</v>
      </c>
      <c r="C134" s="61" t="s">
        <v>948</v>
      </c>
      <c r="D134" s="62">
        <v>2024.0</v>
      </c>
      <c r="E134" s="63" t="s">
        <v>949</v>
      </c>
      <c r="F134" s="11" t="s">
        <v>950</v>
      </c>
      <c r="G134" s="60" t="s">
        <v>951</v>
      </c>
      <c r="H134" s="60" t="s">
        <v>103</v>
      </c>
      <c r="I134" s="60" t="s">
        <v>103</v>
      </c>
      <c r="J134" s="66" t="str">
        <f t="shared" si="1"/>
        <v>Igual</v>
      </c>
      <c r="K134" s="60" t="s">
        <v>952</v>
      </c>
      <c r="L134" s="60" t="s">
        <v>953</v>
      </c>
      <c r="M134" s="57" t="s">
        <v>343</v>
      </c>
      <c r="N134" s="55" t="str">
        <f t="shared" si="3"/>
        <v>Não</v>
      </c>
    </row>
    <row r="135">
      <c r="A135" s="52" t="s">
        <v>548</v>
      </c>
      <c r="B135" s="60" t="s">
        <v>954</v>
      </c>
      <c r="C135" s="61" t="s">
        <v>955</v>
      </c>
      <c r="D135" s="62">
        <v>2022.0</v>
      </c>
      <c r="E135" s="63" t="s">
        <v>956</v>
      </c>
      <c r="F135" s="11" t="s">
        <v>957</v>
      </c>
      <c r="G135" s="60" t="s">
        <v>958</v>
      </c>
      <c r="H135" s="60" t="s">
        <v>82</v>
      </c>
      <c r="I135" s="60" t="s">
        <v>82</v>
      </c>
      <c r="J135" s="66" t="str">
        <f t="shared" si="1"/>
        <v>Igual</v>
      </c>
      <c r="K135" s="60" t="s">
        <v>959</v>
      </c>
      <c r="L135" s="60" t="s">
        <v>960</v>
      </c>
      <c r="M135" s="57" t="s">
        <v>343</v>
      </c>
      <c r="N135" s="54" t="str">
        <f t="shared" si="3"/>
        <v>Sim</v>
      </c>
    </row>
    <row r="136">
      <c r="A136" s="52" t="s">
        <v>548</v>
      </c>
      <c r="B136" s="60" t="s">
        <v>961</v>
      </c>
      <c r="C136" s="61" t="s">
        <v>962</v>
      </c>
      <c r="D136" s="62">
        <v>2025.0</v>
      </c>
      <c r="E136" s="63" t="s">
        <v>963</v>
      </c>
      <c r="F136" s="11" t="s">
        <v>964</v>
      </c>
      <c r="G136" s="60" t="s">
        <v>965</v>
      </c>
      <c r="H136" s="60" t="s">
        <v>103</v>
      </c>
      <c r="I136" s="60" t="s">
        <v>82</v>
      </c>
      <c r="J136" s="65" t="str">
        <f t="shared" si="1"/>
        <v>Diferente</v>
      </c>
      <c r="K136" s="60" t="s">
        <v>966</v>
      </c>
      <c r="L136" s="60" t="s">
        <v>967</v>
      </c>
      <c r="M136" s="57" t="s">
        <v>343</v>
      </c>
      <c r="N136" s="54" t="str">
        <f t="shared" si="3"/>
        <v>Sim</v>
      </c>
    </row>
    <row r="137">
      <c r="A137" s="52" t="s">
        <v>548</v>
      </c>
      <c r="B137" s="60" t="s">
        <v>968</v>
      </c>
      <c r="C137" s="61" t="s">
        <v>969</v>
      </c>
      <c r="D137" s="62">
        <v>2025.0</v>
      </c>
      <c r="E137" s="63" t="s">
        <v>970</v>
      </c>
      <c r="F137" s="11" t="s">
        <v>971</v>
      </c>
      <c r="G137" s="60" t="s">
        <v>972</v>
      </c>
      <c r="H137" s="60" t="s">
        <v>82</v>
      </c>
      <c r="I137" s="60" t="s">
        <v>82</v>
      </c>
      <c r="J137" s="66" t="str">
        <f t="shared" si="1"/>
        <v>Igual</v>
      </c>
      <c r="K137" s="60" t="s">
        <v>973</v>
      </c>
      <c r="L137" s="60" t="s">
        <v>974</v>
      </c>
      <c r="M137" s="57" t="s">
        <v>343</v>
      </c>
      <c r="N137" s="54" t="str">
        <f t="shared" si="3"/>
        <v>Sim</v>
      </c>
    </row>
    <row r="138">
      <c r="A138" s="52" t="s">
        <v>548</v>
      </c>
      <c r="B138" s="60" t="s">
        <v>975</v>
      </c>
      <c r="C138" s="61" t="s">
        <v>976</v>
      </c>
      <c r="D138" s="62">
        <v>2024.0</v>
      </c>
      <c r="E138" s="63" t="s">
        <v>977</v>
      </c>
      <c r="F138" s="11" t="s">
        <v>978</v>
      </c>
      <c r="G138" s="60" t="s">
        <v>979</v>
      </c>
      <c r="H138" s="60" t="s">
        <v>103</v>
      </c>
      <c r="I138" s="60" t="s">
        <v>82</v>
      </c>
      <c r="J138" s="65" t="str">
        <f t="shared" si="1"/>
        <v>Diferente</v>
      </c>
      <c r="K138" s="60" t="s">
        <v>980</v>
      </c>
      <c r="L138" s="60" t="s">
        <v>981</v>
      </c>
      <c r="M138" s="57" t="s">
        <v>343</v>
      </c>
      <c r="N138" s="54" t="str">
        <f t="shared" si="3"/>
        <v>Sim</v>
      </c>
    </row>
    <row r="139">
      <c r="A139" s="52" t="s">
        <v>548</v>
      </c>
      <c r="B139" s="60" t="s">
        <v>982</v>
      </c>
      <c r="C139" s="61" t="s">
        <v>983</v>
      </c>
      <c r="D139" s="62">
        <v>2025.0</v>
      </c>
      <c r="E139" s="63" t="s">
        <v>984</v>
      </c>
      <c r="F139" s="11" t="s">
        <v>985</v>
      </c>
      <c r="G139" s="60" t="s">
        <v>986</v>
      </c>
      <c r="H139" s="60" t="s">
        <v>82</v>
      </c>
      <c r="I139" s="60" t="s">
        <v>82</v>
      </c>
      <c r="J139" s="66" t="str">
        <f t="shared" si="1"/>
        <v>Igual</v>
      </c>
      <c r="K139" s="60" t="s">
        <v>987</v>
      </c>
      <c r="L139" s="60" t="s">
        <v>981</v>
      </c>
      <c r="M139" s="57" t="s">
        <v>343</v>
      </c>
      <c r="N139" s="54" t="str">
        <f t="shared" si="3"/>
        <v>Sim</v>
      </c>
    </row>
    <row r="140">
      <c r="A140" s="52" t="s">
        <v>548</v>
      </c>
      <c r="B140" s="60" t="s">
        <v>988</v>
      </c>
      <c r="C140" s="61" t="s">
        <v>989</v>
      </c>
      <c r="D140" s="62">
        <v>2024.0</v>
      </c>
      <c r="E140" s="63" t="s">
        <v>990</v>
      </c>
      <c r="F140" s="11" t="s">
        <v>991</v>
      </c>
      <c r="G140" s="60" t="s">
        <v>992</v>
      </c>
      <c r="H140" s="60" t="s">
        <v>103</v>
      </c>
      <c r="I140" s="60" t="s">
        <v>82</v>
      </c>
      <c r="J140" s="65" t="str">
        <f t="shared" si="1"/>
        <v>Diferente</v>
      </c>
      <c r="K140" s="60" t="s">
        <v>993</v>
      </c>
      <c r="L140" s="60" t="s">
        <v>981</v>
      </c>
      <c r="M140" s="57" t="s">
        <v>343</v>
      </c>
      <c r="N140" s="54" t="str">
        <f t="shared" si="3"/>
        <v>Sim</v>
      </c>
    </row>
    <row r="141">
      <c r="A141" s="52" t="s">
        <v>548</v>
      </c>
      <c r="B141" s="60" t="s">
        <v>994</v>
      </c>
      <c r="C141" s="61" t="s">
        <v>995</v>
      </c>
      <c r="D141" s="62">
        <v>2025.0</v>
      </c>
      <c r="E141" s="63" t="s">
        <v>996</v>
      </c>
      <c r="F141" s="11" t="s">
        <v>997</v>
      </c>
      <c r="G141" s="60" t="s">
        <v>998</v>
      </c>
      <c r="H141" s="60" t="s">
        <v>82</v>
      </c>
      <c r="I141" s="60" t="s">
        <v>82</v>
      </c>
      <c r="J141" s="66" t="str">
        <f t="shared" si="1"/>
        <v>Igual</v>
      </c>
      <c r="K141" s="60" t="s">
        <v>999</v>
      </c>
      <c r="L141" s="60" t="s">
        <v>981</v>
      </c>
      <c r="M141" s="57" t="s">
        <v>343</v>
      </c>
      <c r="N141" s="54" t="str">
        <f t="shared" si="3"/>
        <v>Sim</v>
      </c>
    </row>
    <row r="142">
      <c r="A142" s="52" t="s">
        <v>548</v>
      </c>
      <c r="B142" s="60" t="s">
        <v>1000</v>
      </c>
      <c r="C142" s="61" t="s">
        <v>1001</v>
      </c>
      <c r="D142" s="62">
        <v>2025.0</v>
      </c>
      <c r="E142" s="63" t="s">
        <v>1002</v>
      </c>
      <c r="F142" s="11" t="s">
        <v>1003</v>
      </c>
      <c r="G142" s="60" t="s">
        <v>1004</v>
      </c>
      <c r="H142" s="60" t="s">
        <v>103</v>
      </c>
      <c r="I142" s="60" t="s">
        <v>82</v>
      </c>
      <c r="J142" s="65" t="str">
        <f t="shared" si="1"/>
        <v>Diferente</v>
      </c>
      <c r="K142" s="60" t="s">
        <v>1005</v>
      </c>
      <c r="L142" s="60" t="s">
        <v>981</v>
      </c>
      <c r="M142" s="57" t="s">
        <v>343</v>
      </c>
      <c r="N142" s="54" t="str">
        <f t="shared" si="3"/>
        <v>Sim</v>
      </c>
    </row>
    <row r="143">
      <c r="A143" s="52" t="s">
        <v>548</v>
      </c>
      <c r="B143" s="60" t="s">
        <v>1006</v>
      </c>
      <c r="C143" s="61" t="s">
        <v>1007</v>
      </c>
      <c r="D143" s="62">
        <v>2024.0</v>
      </c>
      <c r="E143" s="63" t="s">
        <v>1008</v>
      </c>
      <c r="F143" s="11" t="s">
        <v>1009</v>
      </c>
      <c r="G143" s="60" t="s">
        <v>1010</v>
      </c>
      <c r="H143" s="60" t="s">
        <v>82</v>
      </c>
      <c r="I143" s="60" t="s">
        <v>82</v>
      </c>
      <c r="J143" s="66" t="str">
        <f t="shared" si="1"/>
        <v>Igual</v>
      </c>
      <c r="K143" s="60" t="s">
        <v>1011</v>
      </c>
      <c r="L143" s="60" t="s">
        <v>981</v>
      </c>
      <c r="M143" s="57" t="s">
        <v>343</v>
      </c>
      <c r="N143" s="54" t="str">
        <f t="shared" si="3"/>
        <v>Sim</v>
      </c>
    </row>
    <row r="144">
      <c r="A144" s="52" t="s">
        <v>548</v>
      </c>
      <c r="B144" s="60" t="s">
        <v>1012</v>
      </c>
      <c r="C144" s="61" t="s">
        <v>1013</v>
      </c>
      <c r="D144" s="62">
        <v>2025.0</v>
      </c>
      <c r="E144" s="63" t="s">
        <v>1014</v>
      </c>
      <c r="F144" s="11" t="s">
        <v>1015</v>
      </c>
      <c r="G144" s="60" t="s">
        <v>1016</v>
      </c>
      <c r="H144" s="60" t="s">
        <v>103</v>
      </c>
      <c r="I144" s="60" t="s">
        <v>82</v>
      </c>
      <c r="J144" s="65" t="str">
        <f t="shared" si="1"/>
        <v>Diferente</v>
      </c>
      <c r="K144" s="60" t="s">
        <v>1017</v>
      </c>
      <c r="L144" s="60" t="s">
        <v>981</v>
      </c>
      <c r="M144" s="57" t="s">
        <v>343</v>
      </c>
      <c r="N144" s="54" t="str">
        <f t="shared" si="3"/>
        <v>Sim</v>
      </c>
    </row>
    <row r="145">
      <c r="A145" s="52" t="s">
        <v>548</v>
      </c>
      <c r="B145" s="60" t="s">
        <v>1018</v>
      </c>
      <c r="C145" s="61" t="s">
        <v>1019</v>
      </c>
      <c r="D145" s="62">
        <v>2024.0</v>
      </c>
      <c r="E145" s="63" t="s">
        <v>1020</v>
      </c>
      <c r="F145" s="11" t="s">
        <v>1021</v>
      </c>
      <c r="G145" s="60" t="s">
        <v>1022</v>
      </c>
      <c r="H145" s="60" t="s">
        <v>82</v>
      </c>
      <c r="I145" s="60" t="s">
        <v>103</v>
      </c>
      <c r="J145" s="65" t="str">
        <f t="shared" si="1"/>
        <v>Diferente</v>
      </c>
      <c r="K145" s="60" t="s">
        <v>1023</v>
      </c>
      <c r="L145" s="60" t="s">
        <v>981</v>
      </c>
      <c r="M145" s="57" t="s">
        <v>343</v>
      </c>
      <c r="N145" s="54" t="str">
        <f t="shared" si="3"/>
        <v>Sim</v>
      </c>
    </row>
    <row r="146">
      <c r="A146" s="52" t="s">
        <v>548</v>
      </c>
      <c r="B146" s="60" t="s">
        <v>1024</v>
      </c>
      <c r="C146" s="61" t="s">
        <v>1025</v>
      </c>
      <c r="D146" s="62">
        <v>2024.0</v>
      </c>
      <c r="E146" s="63" t="s">
        <v>1026</v>
      </c>
      <c r="F146" s="11" t="s">
        <v>1027</v>
      </c>
      <c r="G146" s="60" t="s">
        <v>1028</v>
      </c>
      <c r="H146" s="60" t="s">
        <v>103</v>
      </c>
      <c r="I146" s="60" t="s">
        <v>103</v>
      </c>
      <c r="J146" s="66" t="str">
        <f t="shared" si="1"/>
        <v>Igual</v>
      </c>
      <c r="K146" s="60" t="s">
        <v>1029</v>
      </c>
      <c r="L146" s="60" t="s">
        <v>981</v>
      </c>
      <c r="M146" s="57" t="s">
        <v>343</v>
      </c>
      <c r="N146" s="55" t="str">
        <f t="shared" si="3"/>
        <v>Não</v>
      </c>
    </row>
    <row r="147">
      <c r="A147" s="52" t="s">
        <v>548</v>
      </c>
      <c r="B147" s="60" t="s">
        <v>1030</v>
      </c>
      <c r="C147" s="61" t="s">
        <v>1031</v>
      </c>
      <c r="D147" s="62">
        <v>2023.0</v>
      </c>
      <c r="E147" s="63" t="s">
        <v>1032</v>
      </c>
      <c r="F147" s="11" t="s">
        <v>1033</v>
      </c>
      <c r="G147" s="60"/>
      <c r="H147" s="60" t="s">
        <v>82</v>
      </c>
      <c r="I147" s="60" t="s">
        <v>103</v>
      </c>
      <c r="J147" s="65" t="str">
        <f t="shared" si="1"/>
        <v>Diferente</v>
      </c>
      <c r="K147" s="60" t="s">
        <v>1034</v>
      </c>
      <c r="L147" s="60" t="s">
        <v>960</v>
      </c>
      <c r="M147" s="57" t="s">
        <v>343</v>
      </c>
      <c r="N147" s="54" t="str">
        <f t="shared" si="3"/>
        <v>Sim</v>
      </c>
    </row>
    <row r="148">
      <c r="A148" s="52" t="s">
        <v>548</v>
      </c>
      <c r="B148" s="60" t="s">
        <v>1035</v>
      </c>
      <c r="C148" s="61" t="s">
        <v>1036</v>
      </c>
      <c r="D148" s="62">
        <v>2024.0</v>
      </c>
      <c r="E148" s="63" t="s">
        <v>1037</v>
      </c>
      <c r="F148" s="11" t="s">
        <v>1038</v>
      </c>
      <c r="G148" s="60" t="s">
        <v>1039</v>
      </c>
      <c r="H148" s="60" t="s">
        <v>103</v>
      </c>
      <c r="I148" s="60" t="s">
        <v>103</v>
      </c>
      <c r="J148" s="66" t="str">
        <f t="shared" si="1"/>
        <v>Igual</v>
      </c>
      <c r="K148" s="60" t="s">
        <v>1040</v>
      </c>
      <c r="L148" s="60" t="s">
        <v>911</v>
      </c>
      <c r="M148" s="57" t="s">
        <v>343</v>
      </c>
      <c r="N148" s="55" t="str">
        <f t="shared" si="3"/>
        <v>Não</v>
      </c>
    </row>
    <row r="149">
      <c r="A149" s="52" t="s">
        <v>548</v>
      </c>
      <c r="B149" s="60" t="s">
        <v>1041</v>
      </c>
      <c r="C149" s="61" t="s">
        <v>1042</v>
      </c>
      <c r="D149" s="62">
        <v>2024.0</v>
      </c>
      <c r="E149" s="63" t="s">
        <v>1043</v>
      </c>
      <c r="F149" s="11" t="s">
        <v>1044</v>
      </c>
      <c r="G149" s="60" t="s">
        <v>1045</v>
      </c>
      <c r="H149" s="60" t="s">
        <v>103</v>
      </c>
      <c r="I149" s="60" t="s">
        <v>82</v>
      </c>
      <c r="J149" s="65" t="str">
        <f t="shared" si="1"/>
        <v>Diferente</v>
      </c>
      <c r="K149" s="60" t="s">
        <v>1046</v>
      </c>
      <c r="L149" s="60" t="s">
        <v>877</v>
      </c>
      <c r="M149" s="57" t="s">
        <v>343</v>
      </c>
      <c r="N149" s="54" t="str">
        <f t="shared" si="3"/>
        <v>Sim</v>
      </c>
    </row>
    <row r="150">
      <c r="A150" s="52" t="s">
        <v>548</v>
      </c>
      <c r="B150" s="60" t="s">
        <v>1047</v>
      </c>
      <c r="C150" s="61" t="s">
        <v>1048</v>
      </c>
      <c r="D150" s="62">
        <v>2021.0</v>
      </c>
      <c r="E150" s="63" t="s">
        <v>1049</v>
      </c>
      <c r="F150" s="11" t="s">
        <v>1050</v>
      </c>
      <c r="G150" s="60" t="s">
        <v>1051</v>
      </c>
      <c r="H150" s="60" t="s">
        <v>82</v>
      </c>
      <c r="I150" s="60" t="s">
        <v>82</v>
      </c>
      <c r="J150" s="66" t="str">
        <f t="shared" si="1"/>
        <v>Igual</v>
      </c>
      <c r="K150" s="60" t="s">
        <v>1052</v>
      </c>
      <c r="L150" s="60" t="s">
        <v>856</v>
      </c>
      <c r="M150" s="57" t="s">
        <v>343</v>
      </c>
      <c r="N150" s="54" t="str">
        <f t="shared" si="3"/>
        <v>Sim</v>
      </c>
    </row>
    <row r="151">
      <c r="A151" s="52" t="s">
        <v>548</v>
      </c>
      <c r="B151" s="60" t="s">
        <v>1053</v>
      </c>
      <c r="C151" s="61" t="s">
        <v>1054</v>
      </c>
      <c r="D151" s="62">
        <v>2023.0</v>
      </c>
      <c r="E151" s="63" t="s">
        <v>1055</v>
      </c>
      <c r="F151" s="11" t="s">
        <v>1056</v>
      </c>
      <c r="G151" s="60" t="s">
        <v>1057</v>
      </c>
      <c r="H151" s="60" t="s">
        <v>103</v>
      </c>
      <c r="I151" s="60" t="s">
        <v>82</v>
      </c>
      <c r="J151" s="65" t="str">
        <f t="shared" si="1"/>
        <v>Diferente</v>
      </c>
      <c r="K151" s="60" t="s">
        <v>1058</v>
      </c>
      <c r="L151" s="60" t="s">
        <v>884</v>
      </c>
      <c r="M151" s="57" t="s">
        <v>343</v>
      </c>
      <c r="N151" s="54" t="str">
        <f t="shared" si="3"/>
        <v>Sim</v>
      </c>
    </row>
    <row r="152">
      <c r="A152" s="52" t="s">
        <v>548</v>
      </c>
      <c r="B152" s="60" t="s">
        <v>1059</v>
      </c>
      <c r="C152" s="61" t="s">
        <v>1060</v>
      </c>
      <c r="D152" s="62">
        <v>2020.0</v>
      </c>
      <c r="E152" s="63" t="s">
        <v>1061</v>
      </c>
      <c r="F152" s="11" t="s">
        <v>1062</v>
      </c>
      <c r="G152" s="60"/>
      <c r="H152" s="60" t="s">
        <v>82</v>
      </c>
      <c r="I152" s="60" t="s">
        <v>82</v>
      </c>
      <c r="J152" s="66" t="str">
        <f t="shared" si="1"/>
        <v>Igual</v>
      </c>
      <c r="K152" s="60" t="s">
        <v>1063</v>
      </c>
      <c r="L152" s="60" t="s">
        <v>863</v>
      </c>
      <c r="M152" s="57" t="s">
        <v>343</v>
      </c>
      <c r="N152" s="54" t="str">
        <f t="shared" si="3"/>
        <v>Sim</v>
      </c>
    </row>
    <row r="153">
      <c r="A153" s="52" t="s">
        <v>548</v>
      </c>
      <c r="B153" s="60" t="s">
        <v>1064</v>
      </c>
      <c r="C153" s="61" t="s">
        <v>1065</v>
      </c>
      <c r="D153" s="62">
        <v>2020.0</v>
      </c>
      <c r="E153" s="63" t="s">
        <v>1066</v>
      </c>
      <c r="F153" s="11" t="s">
        <v>1067</v>
      </c>
      <c r="G153" s="60" t="s">
        <v>1068</v>
      </c>
      <c r="H153" s="60" t="s">
        <v>103</v>
      </c>
      <c r="I153" s="60" t="s">
        <v>82</v>
      </c>
      <c r="J153" s="65" t="str">
        <f t="shared" si="1"/>
        <v>Diferente</v>
      </c>
      <c r="K153" s="60" t="s">
        <v>1069</v>
      </c>
      <c r="L153" s="60" t="s">
        <v>1070</v>
      </c>
      <c r="M153" s="57" t="s">
        <v>343</v>
      </c>
      <c r="N153" s="54" t="str">
        <f t="shared" si="3"/>
        <v>Sim</v>
      </c>
    </row>
    <row r="154">
      <c r="A154" s="52" t="s">
        <v>548</v>
      </c>
      <c r="B154" s="60" t="s">
        <v>1071</v>
      </c>
      <c r="C154" s="61" t="s">
        <v>1072</v>
      </c>
      <c r="D154" s="62">
        <v>2025.0</v>
      </c>
      <c r="E154" s="63" t="s">
        <v>1073</v>
      </c>
      <c r="F154" s="11" t="s">
        <v>1074</v>
      </c>
      <c r="G154" s="60" t="s">
        <v>1075</v>
      </c>
      <c r="H154" s="60" t="s">
        <v>103</v>
      </c>
      <c r="I154" s="60" t="s">
        <v>82</v>
      </c>
      <c r="J154" s="65" t="str">
        <f t="shared" si="1"/>
        <v>Diferente</v>
      </c>
      <c r="K154" s="60" t="s">
        <v>1076</v>
      </c>
      <c r="L154" s="60" t="s">
        <v>636</v>
      </c>
      <c r="M154" s="57" t="s">
        <v>343</v>
      </c>
      <c r="N154" s="54" t="str">
        <f t="shared" si="3"/>
        <v>Sim</v>
      </c>
    </row>
    <row r="155">
      <c r="A155" s="52" t="s">
        <v>548</v>
      </c>
      <c r="B155" s="60" t="s">
        <v>1077</v>
      </c>
      <c r="C155" s="61" t="s">
        <v>1078</v>
      </c>
      <c r="D155" s="62">
        <v>2025.0</v>
      </c>
      <c r="E155" s="63" t="s">
        <v>1079</v>
      </c>
      <c r="F155" s="11" t="s">
        <v>1080</v>
      </c>
      <c r="G155" s="60" t="s">
        <v>1081</v>
      </c>
      <c r="H155" s="60" t="s">
        <v>82</v>
      </c>
      <c r="I155" s="60" t="s">
        <v>82</v>
      </c>
      <c r="J155" s="66" t="str">
        <f t="shared" si="1"/>
        <v>Igual</v>
      </c>
      <c r="K155" s="60" t="s">
        <v>1082</v>
      </c>
      <c r="L155" s="60" t="s">
        <v>641</v>
      </c>
      <c r="M155" s="57" t="s">
        <v>343</v>
      </c>
      <c r="N155" s="54" t="str">
        <f t="shared" si="3"/>
        <v>Sim</v>
      </c>
    </row>
    <row r="156">
      <c r="A156" s="52" t="s">
        <v>548</v>
      </c>
      <c r="B156" s="60" t="s">
        <v>1083</v>
      </c>
      <c r="C156" s="61" t="s">
        <v>1084</v>
      </c>
      <c r="D156" s="62">
        <v>2024.0</v>
      </c>
      <c r="E156" s="63" t="s">
        <v>1085</v>
      </c>
      <c r="F156" s="11" t="s">
        <v>1086</v>
      </c>
      <c r="G156" s="60" t="s">
        <v>1087</v>
      </c>
      <c r="H156" s="60" t="s">
        <v>103</v>
      </c>
      <c r="I156" s="60" t="s">
        <v>103</v>
      </c>
      <c r="J156" s="66" t="str">
        <f t="shared" si="1"/>
        <v>Igual</v>
      </c>
      <c r="K156" s="60" t="s">
        <v>1088</v>
      </c>
      <c r="L156" s="60" t="s">
        <v>629</v>
      </c>
      <c r="M156" s="57" t="s">
        <v>343</v>
      </c>
      <c r="N156" s="55" t="str">
        <f t="shared" si="3"/>
        <v>Não</v>
      </c>
    </row>
    <row r="157">
      <c r="A157" s="52" t="s">
        <v>548</v>
      </c>
      <c r="B157" s="60" t="s">
        <v>1089</v>
      </c>
      <c r="C157" s="61" t="s">
        <v>1090</v>
      </c>
      <c r="D157" s="62">
        <v>2025.0</v>
      </c>
      <c r="E157" s="63" t="s">
        <v>1091</v>
      </c>
      <c r="F157" s="11" t="s">
        <v>1092</v>
      </c>
      <c r="G157" s="60" t="s">
        <v>1093</v>
      </c>
      <c r="H157" s="60" t="s">
        <v>82</v>
      </c>
      <c r="I157" s="60" t="s">
        <v>82</v>
      </c>
      <c r="J157" s="66" t="str">
        <f t="shared" si="1"/>
        <v>Igual</v>
      </c>
      <c r="K157" s="60" t="s">
        <v>1094</v>
      </c>
      <c r="L157" s="60" t="s">
        <v>636</v>
      </c>
      <c r="M157" s="57" t="s">
        <v>343</v>
      </c>
      <c r="N157" s="54" t="str">
        <f t="shared" si="3"/>
        <v>Sim</v>
      </c>
    </row>
    <row r="158">
      <c r="A158" s="52" t="s">
        <v>548</v>
      </c>
      <c r="B158" s="60" t="s">
        <v>1095</v>
      </c>
      <c r="C158" s="61" t="s">
        <v>1096</v>
      </c>
      <c r="D158" s="62">
        <v>2023.0</v>
      </c>
      <c r="E158" s="63" t="s">
        <v>1097</v>
      </c>
      <c r="F158" s="11" t="s">
        <v>1098</v>
      </c>
      <c r="G158" s="60" t="s">
        <v>1099</v>
      </c>
      <c r="H158" s="60" t="s">
        <v>82</v>
      </c>
      <c r="I158" s="60" t="s">
        <v>82</v>
      </c>
      <c r="J158" s="66" t="str">
        <f t="shared" si="1"/>
        <v>Igual</v>
      </c>
      <c r="K158" s="60" t="s">
        <v>1100</v>
      </c>
      <c r="L158" s="60" t="s">
        <v>624</v>
      </c>
      <c r="M158" s="57" t="s">
        <v>343</v>
      </c>
      <c r="N158" s="54" t="str">
        <f t="shared" si="3"/>
        <v>Sim</v>
      </c>
    </row>
    <row r="159">
      <c r="A159" s="52" t="s">
        <v>548</v>
      </c>
      <c r="B159" s="67" t="s">
        <v>1101</v>
      </c>
      <c r="C159" s="52" t="s">
        <v>1102</v>
      </c>
      <c r="D159" s="67">
        <v>2025.0</v>
      </c>
      <c r="E159" s="68" t="s">
        <v>1103</v>
      </c>
      <c r="F159" s="67" t="s">
        <v>1104</v>
      </c>
      <c r="G159" s="69" t="s">
        <v>1105</v>
      </c>
      <c r="H159" s="67" t="s">
        <v>82</v>
      </c>
      <c r="I159" s="67" t="s">
        <v>103</v>
      </c>
      <c r="J159" s="65" t="str">
        <f t="shared" si="1"/>
        <v>Diferente</v>
      </c>
      <c r="K159" s="67" t="s">
        <v>1106</v>
      </c>
      <c r="L159" s="67" t="s">
        <v>1107</v>
      </c>
      <c r="M159" s="67" t="s">
        <v>555</v>
      </c>
      <c r="N159" s="66" t="str">
        <f t="shared" si="3"/>
        <v>Sim</v>
      </c>
    </row>
    <row r="160">
      <c r="A160" s="52" t="s">
        <v>548</v>
      </c>
      <c r="B160" s="67" t="s">
        <v>1108</v>
      </c>
      <c r="C160" s="52" t="s">
        <v>1109</v>
      </c>
      <c r="D160" s="67">
        <v>2023.0</v>
      </c>
      <c r="E160" s="68" t="s">
        <v>1110</v>
      </c>
      <c r="F160" s="67" t="s">
        <v>1111</v>
      </c>
      <c r="G160" s="69" t="s">
        <v>1112</v>
      </c>
      <c r="H160" s="67" t="s">
        <v>82</v>
      </c>
      <c r="I160" s="67" t="s">
        <v>103</v>
      </c>
      <c r="J160" s="65" t="str">
        <f t="shared" si="1"/>
        <v>Diferente</v>
      </c>
      <c r="K160" s="67" t="s">
        <v>1113</v>
      </c>
      <c r="L160" s="67" t="s">
        <v>1114</v>
      </c>
      <c r="M160" s="67" t="s">
        <v>555</v>
      </c>
      <c r="N160" s="66" t="str">
        <f t="shared" si="3"/>
        <v>Sim</v>
      </c>
    </row>
    <row r="161">
      <c r="A161" s="52" t="s">
        <v>548</v>
      </c>
      <c r="B161" s="67" t="s">
        <v>1115</v>
      </c>
      <c r="C161" s="52" t="s">
        <v>1116</v>
      </c>
      <c r="D161" s="67">
        <v>2024.0</v>
      </c>
      <c r="E161" s="68" t="s">
        <v>1117</v>
      </c>
      <c r="F161" s="67" t="s">
        <v>1118</v>
      </c>
      <c r="G161" s="69" t="s">
        <v>1119</v>
      </c>
      <c r="H161" s="67" t="s">
        <v>82</v>
      </c>
      <c r="I161" s="67" t="s">
        <v>103</v>
      </c>
      <c r="J161" s="70" t="str">
        <f t="shared" si="1"/>
        <v>Diferente</v>
      </c>
      <c r="K161" s="67" t="s">
        <v>1120</v>
      </c>
      <c r="L161" s="67" t="s">
        <v>1121</v>
      </c>
      <c r="M161" s="67" t="s">
        <v>555</v>
      </c>
      <c r="N161" s="66" t="str">
        <f t="shared" si="3"/>
        <v>Sim</v>
      </c>
    </row>
    <row r="162">
      <c r="A162" s="52" t="s">
        <v>548</v>
      </c>
      <c r="B162" s="60" t="s">
        <v>1122</v>
      </c>
      <c r="C162" s="60" t="s">
        <v>1123</v>
      </c>
      <c r="D162" s="62">
        <v>2024.0</v>
      </c>
      <c r="E162" s="71" t="s">
        <v>1124</v>
      </c>
      <c r="F162" s="60" t="s">
        <v>1125</v>
      </c>
      <c r="G162" s="60" t="s">
        <v>1126</v>
      </c>
      <c r="H162" s="60"/>
      <c r="I162" s="60"/>
      <c r="J162" s="72" t="str">
        <f t="shared" si="1"/>
        <v/>
      </c>
      <c r="K162" s="60"/>
      <c r="L162" s="60"/>
      <c r="M162" s="60"/>
      <c r="N162" s="72" t="str">
        <f t="shared" si="3"/>
        <v/>
      </c>
    </row>
    <row r="163">
      <c r="A163" s="67" t="s">
        <v>43</v>
      </c>
      <c r="B163" s="60" t="s">
        <v>1127</v>
      </c>
      <c r="C163" s="60" t="s">
        <v>1128</v>
      </c>
      <c r="D163" s="62">
        <v>2024.0</v>
      </c>
      <c r="E163" s="71" t="s">
        <v>1129</v>
      </c>
      <c r="F163" s="60" t="s">
        <v>1130</v>
      </c>
      <c r="G163" s="60"/>
      <c r="H163" s="60"/>
      <c r="I163" s="60"/>
      <c r="J163" s="72" t="str">
        <f t="shared" si="1"/>
        <v/>
      </c>
      <c r="K163" s="60"/>
      <c r="L163" s="60"/>
      <c r="M163" s="60"/>
      <c r="N163" s="72" t="str">
        <f t="shared" si="3"/>
        <v/>
      </c>
    </row>
    <row r="164">
      <c r="A164" s="67" t="s">
        <v>43</v>
      </c>
      <c r="B164" s="60" t="s">
        <v>1131</v>
      </c>
      <c r="C164" s="60" t="s">
        <v>1132</v>
      </c>
      <c r="D164" s="62">
        <v>2023.0</v>
      </c>
      <c r="E164" s="71" t="s">
        <v>1133</v>
      </c>
      <c r="F164" s="60" t="s">
        <v>1134</v>
      </c>
      <c r="G164" s="60"/>
      <c r="H164" s="60"/>
      <c r="I164" s="60"/>
      <c r="J164" s="72" t="str">
        <f t="shared" si="1"/>
        <v/>
      </c>
      <c r="K164" s="60"/>
      <c r="L164" s="60"/>
      <c r="M164" s="60"/>
      <c r="N164" s="72" t="str">
        <f t="shared" si="3"/>
        <v/>
      </c>
    </row>
    <row r="165">
      <c r="A165" s="67" t="s">
        <v>43</v>
      </c>
      <c r="B165" s="60" t="s">
        <v>1135</v>
      </c>
      <c r="C165" s="60" t="s">
        <v>1136</v>
      </c>
      <c r="D165" s="62">
        <v>2020.0</v>
      </c>
      <c r="E165" s="71" t="s">
        <v>1137</v>
      </c>
      <c r="F165" s="60" t="s">
        <v>1138</v>
      </c>
      <c r="G165" s="60" t="s">
        <v>1139</v>
      </c>
      <c r="H165" s="60"/>
      <c r="I165" s="60"/>
      <c r="J165" s="72" t="str">
        <f t="shared" si="1"/>
        <v/>
      </c>
      <c r="K165" s="60"/>
      <c r="L165" s="60"/>
      <c r="M165" s="60"/>
      <c r="N165" s="72" t="str">
        <f t="shared" si="3"/>
        <v/>
      </c>
    </row>
    <row r="166">
      <c r="A166" s="67" t="s">
        <v>43</v>
      </c>
      <c r="B166" s="60" t="s">
        <v>1140</v>
      </c>
      <c r="C166" s="60" t="s">
        <v>1141</v>
      </c>
      <c r="D166" s="62">
        <v>2025.0</v>
      </c>
      <c r="E166" s="71" t="s">
        <v>1142</v>
      </c>
      <c r="F166" s="60" t="s">
        <v>1143</v>
      </c>
      <c r="G166" s="60" t="s">
        <v>1144</v>
      </c>
      <c r="H166" s="60"/>
      <c r="I166" s="60"/>
      <c r="J166" s="72" t="str">
        <f t="shared" si="1"/>
        <v/>
      </c>
      <c r="K166" s="60"/>
      <c r="L166" s="60"/>
      <c r="M166" s="60"/>
      <c r="N166" s="72" t="str">
        <f t="shared" si="3"/>
        <v/>
      </c>
    </row>
    <row r="167">
      <c r="A167" s="67" t="s">
        <v>43</v>
      </c>
      <c r="B167" s="60" t="s">
        <v>1145</v>
      </c>
      <c r="C167" s="60" t="s">
        <v>1146</v>
      </c>
      <c r="D167" s="62">
        <v>2025.0</v>
      </c>
      <c r="E167" s="71" t="s">
        <v>1147</v>
      </c>
      <c r="F167" s="60" t="s">
        <v>1148</v>
      </c>
      <c r="G167" s="60" t="s">
        <v>1149</v>
      </c>
      <c r="H167" s="60"/>
      <c r="I167" s="60"/>
      <c r="J167" s="72" t="str">
        <f t="shared" si="1"/>
        <v/>
      </c>
      <c r="K167" s="60"/>
      <c r="L167" s="60"/>
      <c r="M167" s="60"/>
      <c r="N167" s="72" t="str">
        <f t="shared" si="3"/>
        <v/>
      </c>
    </row>
    <row r="168">
      <c r="A168" s="67" t="s">
        <v>43</v>
      </c>
      <c r="B168" s="60" t="s">
        <v>1150</v>
      </c>
      <c r="C168" s="60" t="s">
        <v>1151</v>
      </c>
      <c r="D168" s="62">
        <v>2025.0</v>
      </c>
      <c r="E168" s="71" t="s">
        <v>1152</v>
      </c>
      <c r="F168" s="60" t="s">
        <v>1153</v>
      </c>
      <c r="G168" s="60" t="s">
        <v>1154</v>
      </c>
      <c r="H168" s="60"/>
      <c r="I168" s="60"/>
      <c r="J168" s="72" t="str">
        <f t="shared" si="1"/>
        <v/>
      </c>
      <c r="K168" s="60"/>
      <c r="L168" s="60"/>
      <c r="M168" s="60"/>
      <c r="N168" s="72" t="str">
        <f t="shared" si="3"/>
        <v/>
      </c>
    </row>
    <row r="169">
      <c r="A169" s="67" t="s">
        <v>43</v>
      </c>
      <c r="B169" s="60" t="s">
        <v>1155</v>
      </c>
      <c r="C169" s="60" t="s">
        <v>1156</v>
      </c>
      <c r="D169" s="62">
        <v>2023.0</v>
      </c>
      <c r="E169" s="71" t="s">
        <v>1157</v>
      </c>
      <c r="F169" s="60" t="s">
        <v>1158</v>
      </c>
      <c r="G169" s="60" t="s">
        <v>1159</v>
      </c>
      <c r="H169" s="60"/>
      <c r="I169" s="60"/>
      <c r="J169" s="72" t="str">
        <f t="shared" si="1"/>
        <v/>
      </c>
      <c r="K169" s="60"/>
      <c r="L169" s="60"/>
      <c r="M169" s="60"/>
      <c r="N169" s="72" t="str">
        <f t="shared" si="3"/>
        <v/>
      </c>
    </row>
    <row r="170">
      <c r="A170" s="67" t="s">
        <v>43</v>
      </c>
      <c r="B170" s="60" t="s">
        <v>1160</v>
      </c>
      <c r="C170" s="60" t="s">
        <v>1161</v>
      </c>
      <c r="D170" s="62">
        <v>2020.0</v>
      </c>
      <c r="E170" s="71" t="s">
        <v>1162</v>
      </c>
      <c r="F170" s="60" t="s">
        <v>1163</v>
      </c>
      <c r="G170" s="60" t="s">
        <v>1164</v>
      </c>
      <c r="H170" s="60"/>
      <c r="I170" s="60"/>
      <c r="J170" s="72" t="str">
        <f t="shared" si="1"/>
        <v/>
      </c>
      <c r="K170" s="60"/>
      <c r="L170" s="60"/>
      <c r="M170" s="60"/>
      <c r="N170" s="72" t="str">
        <f t="shared" si="3"/>
        <v/>
      </c>
    </row>
    <row r="171">
      <c r="A171" s="67" t="s">
        <v>43</v>
      </c>
      <c r="B171" s="60" t="s">
        <v>1165</v>
      </c>
      <c r="C171" s="60" t="s">
        <v>1166</v>
      </c>
      <c r="D171" s="62">
        <v>2025.0</v>
      </c>
      <c r="E171" s="71" t="s">
        <v>1167</v>
      </c>
      <c r="F171" s="60" t="s">
        <v>1168</v>
      </c>
      <c r="G171" s="60" t="s">
        <v>1169</v>
      </c>
      <c r="H171" s="60"/>
      <c r="I171" s="60"/>
      <c r="J171" s="72" t="str">
        <f t="shared" si="1"/>
        <v/>
      </c>
      <c r="K171" s="60"/>
      <c r="L171" s="60"/>
      <c r="M171" s="60"/>
      <c r="N171" s="72" t="str">
        <f t="shared" si="3"/>
        <v/>
      </c>
    </row>
    <row r="172">
      <c r="A172" s="67" t="s">
        <v>43</v>
      </c>
      <c r="B172" s="60" t="s">
        <v>1170</v>
      </c>
      <c r="C172" s="60" t="s">
        <v>1171</v>
      </c>
      <c r="D172" s="62">
        <v>2025.0</v>
      </c>
      <c r="E172" s="71" t="s">
        <v>1172</v>
      </c>
      <c r="F172" s="60" t="s">
        <v>1173</v>
      </c>
      <c r="G172" s="60" t="s">
        <v>1174</v>
      </c>
      <c r="H172" s="60"/>
      <c r="I172" s="60"/>
      <c r="J172" s="72" t="str">
        <f t="shared" si="1"/>
        <v/>
      </c>
      <c r="K172" s="60"/>
      <c r="L172" s="60"/>
      <c r="M172" s="60"/>
      <c r="N172" s="72" t="str">
        <f t="shared" si="3"/>
        <v/>
      </c>
    </row>
    <row r="173">
      <c r="A173" s="67" t="s">
        <v>43</v>
      </c>
      <c r="B173" s="60" t="s">
        <v>1175</v>
      </c>
      <c r="C173" s="60" t="s">
        <v>1176</v>
      </c>
      <c r="D173" s="62">
        <v>2025.0</v>
      </c>
      <c r="E173" s="71" t="s">
        <v>1177</v>
      </c>
      <c r="F173" s="60" t="s">
        <v>1178</v>
      </c>
      <c r="G173" s="60" t="s">
        <v>1179</v>
      </c>
      <c r="H173" s="60"/>
      <c r="I173" s="60"/>
      <c r="J173" s="72" t="str">
        <f t="shared" si="1"/>
        <v/>
      </c>
      <c r="K173" s="60"/>
      <c r="L173" s="60"/>
      <c r="M173" s="60"/>
      <c r="N173" s="72" t="str">
        <f t="shared" si="3"/>
        <v/>
      </c>
    </row>
    <row r="174">
      <c r="A174" s="67" t="s">
        <v>43</v>
      </c>
      <c r="B174" s="60" t="s">
        <v>1180</v>
      </c>
      <c r="C174" s="60" t="s">
        <v>1181</v>
      </c>
      <c r="D174" s="62">
        <v>2025.0</v>
      </c>
      <c r="E174" s="71" t="s">
        <v>1182</v>
      </c>
      <c r="F174" s="60" t="s">
        <v>1183</v>
      </c>
      <c r="G174" s="60" t="s">
        <v>1184</v>
      </c>
      <c r="H174" s="60"/>
      <c r="I174" s="60"/>
      <c r="J174" s="72" t="str">
        <f t="shared" si="1"/>
        <v/>
      </c>
      <c r="K174" s="60"/>
      <c r="L174" s="60"/>
      <c r="M174" s="60"/>
      <c r="N174" s="72" t="str">
        <f t="shared" si="3"/>
        <v/>
      </c>
    </row>
    <row r="175">
      <c r="A175" s="67" t="s">
        <v>43</v>
      </c>
      <c r="B175" s="60" t="s">
        <v>1185</v>
      </c>
      <c r="C175" s="60" t="s">
        <v>1186</v>
      </c>
      <c r="D175" s="62">
        <v>2024.0</v>
      </c>
      <c r="E175" s="71" t="s">
        <v>1187</v>
      </c>
      <c r="F175" s="60" t="s">
        <v>1188</v>
      </c>
      <c r="G175" s="60"/>
      <c r="H175" s="60"/>
      <c r="I175" s="60"/>
      <c r="J175" s="72" t="str">
        <f t="shared" si="1"/>
        <v/>
      </c>
      <c r="K175" s="60"/>
      <c r="L175" s="60"/>
      <c r="M175" s="60"/>
      <c r="N175" s="72" t="str">
        <f t="shared" si="3"/>
        <v/>
      </c>
    </row>
    <row r="176">
      <c r="A176" s="67" t="s">
        <v>43</v>
      </c>
      <c r="B176" s="60" t="s">
        <v>1189</v>
      </c>
      <c r="C176" s="60" t="s">
        <v>1190</v>
      </c>
      <c r="D176" s="62">
        <v>2023.0</v>
      </c>
      <c r="E176" s="71" t="s">
        <v>1191</v>
      </c>
      <c r="F176" s="60" t="s">
        <v>1192</v>
      </c>
      <c r="G176" s="60" t="s">
        <v>1193</v>
      </c>
      <c r="H176" s="60"/>
      <c r="I176" s="60"/>
      <c r="J176" s="72" t="str">
        <f t="shared" si="1"/>
        <v/>
      </c>
      <c r="K176" s="60"/>
      <c r="L176" s="60"/>
      <c r="M176" s="60"/>
      <c r="N176" s="72" t="str">
        <f t="shared" si="3"/>
        <v/>
      </c>
    </row>
    <row r="177">
      <c r="A177" s="67" t="s">
        <v>43</v>
      </c>
      <c r="B177" s="60" t="s">
        <v>1194</v>
      </c>
      <c r="C177" s="60" t="s">
        <v>1195</v>
      </c>
      <c r="D177" s="62">
        <v>2024.0</v>
      </c>
      <c r="E177" s="71" t="s">
        <v>1196</v>
      </c>
      <c r="F177" s="60" t="s">
        <v>1197</v>
      </c>
      <c r="G177" s="60" t="s">
        <v>1198</v>
      </c>
      <c r="H177" s="60"/>
      <c r="I177" s="60"/>
      <c r="J177" s="72" t="str">
        <f t="shared" si="1"/>
        <v/>
      </c>
      <c r="K177" s="60"/>
      <c r="L177" s="60"/>
      <c r="M177" s="60"/>
      <c r="N177" s="72" t="str">
        <f t="shared" si="3"/>
        <v/>
      </c>
    </row>
    <row r="178">
      <c r="A178" s="67" t="s">
        <v>43</v>
      </c>
      <c r="B178" s="60" t="s">
        <v>1199</v>
      </c>
      <c r="C178" s="60" t="s">
        <v>1200</v>
      </c>
      <c r="D178" s="62">
        <v>2025.0</v>
      </c>
      <c r="E178" s="71" t="s">
        <v>1201</v>
      </c>
      <c r="F178" s="60" t="s">
        <v>1202</v>
      </c>
      <c r="G178" s="60" t="s">
        <v>1203</v>
      </c>
      <c r="H178" s="60"/>
      <c r="I178" s="60"/>
      <c r="J178" s="72" t="str">
        <f t="shared" si="1"/>
        <v/>
      </c>
      <c r="K178" s="60"/>
      <c r="L178" s="60"/>
      <c r="M178" s="60"/>
      <c r="N178" s="72" t="str">
        <f t="shared" si="3"/>
        <v/>
      </c>
    </row>
    <row r="179">
      <c r="A179" s="67" t="s">
        <v>43</v>
      </c>
      <c r="B179" s="60" t="s">
        <v>1204</v>
      </c>
      <c r="C179" s="60" t="s">
        <v>1205</v>
      </c>
      <c r="D179" s="62">
        <v>2022.0</v>
      </c>
      <c r="E179" s="71" t="s">
        <v>1206</v>
      </c>
      <c r="F179" s="60" t="s">
        <v>1207</v>
      </c>
      <c r="G179" s="60"/>
      <c r="H179" s="60"/>
      <c r="I179" s="60"/>
      <c r="J179" s="72" t="str">
        <f t="shared" si="1"/>
        <v/>
      </c>
      <c r="K179" s="60"/>
      <c r="L179" s="60"/>
      <c r="M179" s="60"/>
      <c r="N179" s="72" t="str">
        <f t="shared" si="3"/>
        <v/>
      </c>
    </row>
    <row r="180">
      <c r="A180" s="67" t="s">
        <v>43</v>
      </c>
      <c r="B180" s="60" t="s">
        <v>1208</v>
      </c>
      <c r="C180" s="60" t="s">
        <v>1209</v>
      </c>
      <c r="D180" s="62">
        <v>2023.0</v>
      </c>
      <c r="E180" s="71" t="s">
        <v>1210</v>
      </c>
      <c r="F180" s="60" t="s">
        <v>1211</v>
      </c>
      <c r="G180" s="60" t="s">
        <v>1212</v>
      </c>
      <c r="H180" s="60"/>
      <c r="I180" s="60"/>
      <c r="J180" s="72" t="str">
        <f t="shared" si="1"/>
        <v/>
      </c>
      <c r="K180" s="60"/>
      <c r="L180" s="60"/>
      <c r="M180" s="60"/>
      <c r="N180" s="72" t="str">
        <f t="shared" si="3"/>
        <v/>
      </c>
    </row>
    <row r="181">
      <c r="A181" s="67" t="s">
        <v>43</v>
      </c>
      <c r="B181" s="60" t="s">
        <v>1213</v>
      </c>
      <c r="C181" s="60" t="s">
        <v>1214</v>
      </c>
      <c r="D181" s="62">
        <v>2025.0</v>
      </c>
      <c r="E181" s="71" t="s">
        <v>1215</v>
      </c>
      <c r="F181" s="60" t="s">
        <v>1216</v>
      </c>
      <c r="G181" s="60" t="s">
        <v>1217</v>
      </c>
      <c r="H181" s="60"/>
      <c r="I181" s="60"/>
      <c r="J181" s="72" t="str">
        <f t="shared" si="1"/>
        <v/>
      </c>
      <c r="K181" s="60"/>
      <c r="L181" s="60"/>
      <c r="M181" s="60"/>
      <c r="N181" s="72" t="str">
        <f t="shared" si="3"/>
        <v/>
      </c>
    </row>
    <row r="182">
      <c r="A182" s="67" t="s">
        <v>43</v>
      </c>
      <c r="B182" s="60" t="s">
        <v>1218</v>
      </c>
      <c r="C182" s="60" t="s">
        <v>1219</v>
      </c>
      <c r="D182" s="62">
        <v>2025.0</v>
      </c>
      <c r="E182" s="71" t="s">
        <v>1220</v>
      </c>
      <c r="F182" s="60" t="s">
        <v>1221</v>
      </c>
      <c r="G182" s="60" t="s">
        <v>1222</v>
      </c>
      <c r="H182" s="60"/>
      <c r="I182" s="60"/>
      <c r="J182" s="72" t="str">
        <f t="shared" si="1"/>
        <v/>
      </c>
      <c r="K182" s="60"/>
      <c r="L182" s="60"/>
      <c r="M182" s="60"/>
      <c r="N182" s="72" t="str">
        <f t="shared" si="3"/>
        <v/>
      </c>
    </row>
    <row r="183">
      <c r="A183" s="67" t="s">
        <v>43</v>
      </c>
      <c r="B183" s="60" t="s">
        <v>1223</v>
      </c>
      <c r="C183" s="60" t="s">
        <v>1224</v>
      </c>
      <c r="D183" s="62">
        <v>2025.0</v>
      </c>
      <c r="E183" s="71" t="s">
        <v>1225</v>
      </c>
      <c r="F183" s="60" t="s">
        <v>1226</v>
      </c>
      <c r="G183" s="60" t="s">
        <v>1227</v>
      </c>
      <c r="H183" s="60"/>
      <c r="I183" s="60"/>
      <c r="J183" s="72" t="str">
        <f t="shared" si="1"/>
        <v/>
      </c>
      <c r="K183" s="60"/>
      <c r="L183" s="60"/>
      <c r="M183" s="60"/>
      <c r="N183" s="72" t="str">
        <f t="shared" si="3"/>
        <v/>
      </c>
    </row>
    <row r="184">
      <c r="A184" s="67" t="s">
        <v>43</v>
      </c>
      <c r="B184" s="60" t="s">
        <v>1228</v>
      </c>
      <c r="C184" s="60" t="s">
        <v>1229</v>
      </c>
      <c r="D184" s="62">
        <v>2024.0</v>
      </c>
      <c r="E184" s="71" t="s">
        <v>1230</v>
      </c>
      <c r="F184" s="60" t="s">
        <v>1231</v>
      </c>
      <c r="G184" s="60" t="s">
        <v>1232</v>
      </c>
      <c r="H184" s="60"/>
      <c r="I184" s="60"/>
      <c r="J184" s="72" t="str">
        <f t="shared" si="1"/>
        <v/>
      </c>
      <c r="K184" s="60"/>
      <c r="L184" s="60"/>
      <c r="M184" s="60"/>
      <c r="N184" s="72" t="str">
        <f t="shared" si="3"/>
        <v/>
      </c>
    </row>
    <row r="185">
      <c r="A185" s="67" t="s">
        <v>43</v>
      </c>
      <c r="B185" s="60" t="s">
        <v>1233</v>
      </c>
      <c r="C185" s="60" t="s">
        <v>1234</v>
      </c>
      <c r="D185" s="62">
        <v>2025.0</v>
      </c>
      <c r="E185" s="71" t="s">
        <v>1235</v>
      </c>
      <c r="F185" s="60" t="s">
        <v>1236</v>
      </c>
      <c r="G185" s="60"/>
      <c r="H185" s="60"/>
      <c r="I185" s="60"/>
      <c r="J185" s="72" t="str">
        <f t="shared" si="1"/>
        <v/>
      </c>
      <c r="K185" s="60"/>
      <c r="L185" s="60"/>
      <c r="M185" s="60"/>
      <c r="N185" s="72" t="str">
        <f t="shared" si="3"/>
        <v/>
      </c>
    </row>
    <row r="186">
      <c r="A186" s="67" t="s">
        <v>43</v>
      </c>
      <c r="B186" s="60" t="s">
        <v>1237</v>
      </c>
      <c r="C186" s="60" t="s">
        <v>1238</v>
      </c>
      <c r="D186" s="62">
        <v>2025.0</v>
      </c>
      <c r="E186" s="71" t="s">
        <v>1239</v>
      </c>
      <c r="F186" s="60" t="s">
        <v>1240</v>
      </c>
      <c r="G186" s="60" t="s">
        <v>1241</v>
      </c>
      <c r="H186" s="60"/>
      <c r="I186" s="60"/>
      <c r="J186" s="72" t="str">
        <f t="shared" si="1"/>
        <v/>
      </c>
      <c r="K186" s="60"/>
      <c r="L186" s="60"/>
      <c r="M186" s="60"/>
      <c r="N186" s="72" t="str">
        <f t="shared" si="3"/>
        <v/>
      </c>
    </row>
    <row r="187">
      <c r="A187" s="67" t="s">
        <v>43</v>
      </c>
      <c r="B187" s="60" t="s">
        <v>1242</v>
      </c>
      <c r="C187" s="60" t="s">
        <v>1243</v>
      </c>
      <c r="D187" s="62">
        <v>2021.0</v>
      </c>
      <c r="E187" s="71" t="s">
        <v>1244</v>
      </c>
      <c r="F187" s="60" t="s">
        <v>1245</v>
      </c>
      <c r="G187" s="60" t="s">
        <v>1246</v>
      </c>
      <c r="H187" s="60"/>
      <c r="I187" s="60"/>
      <c r="J187" s="72" t="str">
        <f t="shared" si="1"/>
        <v/>
      </c>
      <c r="K187" s="60"/>
      <c r="L187" s="60"/>
      <c r="M187" s="60"/>
      <c r="N187" s="72" t="str">
        <f t="shared" si="3"/>
        <v/>
      </c>
    </row>
    <row r="188">
      <c r="A188" s="67" t="s">
        <v>43</v>
      </c>
      <c r="B188" s="60" t="s">
        <v>1247</v>
      </c>
      <c r="C188" s="60" t="s">
        <v>1248</v>
      </c>
      <c r="D188" s="62">
        <v>2020.0</v>
      </c>
      <c r="E188" s="71" t="s">
        <v>1249</v>
      </c>
      <c r="F188" s="60" t="s">
        <v>1250</v>
      </c>
      <c r="G188" s="60" t="s">
        <v>1251</v>
      </c>
      <c r="H188" s="60"/>
      <c r="I188" s="60"/>
      <c r="J188" s="72" t="str">
        <f t="shared" si="1"/>
        <v/>
      </c>
      <c r="K188" s="60"/>
      <c r="L188" s="60"/>
      <c r="M188" s="60"/>
      <c r="N188" s="72" t="str">
        <f t="shared" si="3"/>
        <v/>
      </c>
    </row>
    <row r="189">
      <c r="A189" s="67" t="s">
        <v>43</v>
      </c>
      <c r="B189" s="60" t="s">
        <v>1252</v>
      </c>
      <c r="C189" s="60" t="s">
        <v>1253</v>
      </c>
      <c r="D189" s="62">
        <v>2024.0</v>
      </c>
      <c r="E189" s="71" t="s">
        <v>1254</v>
      </c>
      <c r="F189" s="60" t="s">
        <v>1255</v>
      </c>
      <c r="G189" s="60"/>
      <c r="H189" s="60"/>
      <c r="I189" s="60"/>
      <c r="J189" s="72" t="str">
        <f t="shared" si="1"/>
        <v/>
      </c>
      <c r="K189" s="60"/>
      <c r="L189" s="60"/>
      <c r="M189" s="60"/>
      <c r="N189" s="72" t="str">
        <f t="shared" si="3"/>
        <v/>
      </c>
    </row>
    <row r="190">
      <c r="A190" s="67" t="s">
        <v>43</v>
      </c>
      <c r="B190" s="60" t="s">
        <v>1256</v>
      </c>
      <c r="C190" s="60" t="s">
        <v>1257</v>
      </c>
      <c r="D190" s="62">
        <v>2024.0</v>
      </c>
      <c r="E190" s="71" t="s">
        <v>1258</v>
      </c>
      <c r="F190" s="60" t="s">
        <v>1259</v>
      </c>
      <c r="G190" s="60" t="s">
        <v>1260</v>
      </c>
      <c r="H190" s="60"/>
      <c r="I190" s="60"/>
      <c r="J190" s="72" t="str">
        <f t="shared" si="1"/>
        <v/>
      </c>
      <c r="K190" s="60"/>
      <c r="L190" s="60"/>
      <c r="M190" s="60"/>
      <c r="N190" s="72" t="str">
        <f t="shared" si="3"/>
        <v/>
      </c>
    </row>
    <row r="191">
      <c r="A191" s="67" t="s">
        <v>43</v>
      </c>
      <c r="B191" s="60" t="s">
        <v>1261</v>
      </c>
      <c r="C191" s="60" t="s">
        <v>1262</v>
      </c>
      <c r="D191" s="62">
        <v>2023.0</v>
      </c>
      <c r="E191" s="71" t="s">
        <v>1263</v>
      </c>
      <c r="F191" s="60" t="s">
        <v>1264</v>
      </c>
      <c r="G191" s="60" t="s">
        <v>1265</v>
      </c>
      <c r="H191" s="60"/>
      <c r="I191" s="60"/>
      <c r="J191" s="72" t="str">
        <f t="shared" si="1"/>
        <v/>
      </c>
      <c r="K191" s="60"/>
      <c r="L191" s="60"/>
      <c r="M191" s="60"/>
      <c r="N191" s="72" t="str">
        <f t="shared" si="3"/>
        <v/>
      </c>
    </row>
    <row r="192">
      <c r="A192" s="67" t="s">
        <v>43</v>
      </c>
      <c r="B192" s="60" t="s">
        <v>1266</v>
      </c>
      <c r="C192" s="60" t="s">
        <v>1267</v>
      </c>
      <c r="D192" s="62">
        <v>2024.0</v>
      </c>
      <c r="E192" s="71" t="s">
        <v>1268</v>
      </c>
      <c r="F192" s="60" t="s">
        <v>1269</v>
      </c>
      <c r="G192" s="60" t="s">
        <v>1270</v>
      </c>
      <c r="H192" s="60"/>
      <c r="I192" s="60"/>
      <c r="J192" s="72" t="str">
        <f t="shared" si="1"/>
        <v/>
      </c>
      <c r="K192" s="60"/>
      <c r="L192" s="60"/>
      <c r="M192" s="60"/>
      <c r="N192" s="72" t="str">
        <f t="shared" si="3"/>
        <v/>
      </c>
    </row>
    <row r="193">
      <c r="A193" s="67" t="s">
        <v>43</v>
      </c>
      <c r="B193" s="60" t="s">
        <v>1271</v>
      </c>
      <c r="C193" s="60" t="s">
        <v>1272</v>
      </c>
      <c r="D193" s="62">
        <v>2024.0</v>
      </c>
      <c r="E193" s="71" t="s">
        <v>1273</v>
      </c>
      <c r="F193" s="60" t="s">
        <v>1274</v>
      </c>
      <c r="G193" s="60" t="s">
        <v>1275</v>
      </c>
      <c r="H193" s="60"/>
      <c r="I193" s="60"/>
      <c r="J193" s="72" t="str">
        <f t="shared" si="1"/>
        <v/>
      </c>
      <c r="K193" s="60"/>
      <c r="L193" s="60"/>
      <c r="M193" s="60"/>
      <c r="N193" s="72" t="str">
        <f t="shared" si="3"/>
        <v/>
      </c>
    </row>
    <row r="194">
      <c r="A194" s="67" t="s">
        <v>43</v>
      </c>
      <c r="B194" s="60" t="s">
        <v>1276</v>
      </c>
      <c r="C194" s="60" t="s">
        <v>1277</v>
      </c>
      <c r="D194" s="62">
        <v>2023.0</v>
      </c>
      <c r="E194" s="71" t="s">
        <v>1278</v>
      </c>
      <c r="F194" s="60" t="s">
        <v>1279</v>
      </c>
      <c r="G194" s="60" t="s">
        <v>1280</v>
      </c>
      <c r="H194" s="60"/>
      <c r="I194" s="60"/>
      <c r="J194" s="72" t="str">
        <f t="shared" si="1"/>
        <v/>
      </c>
      <c r="K194" s="60"/>
      <c r="L194" s="60"/>
      <c r="M194" s="60"/>
      <c r="N194" s="72" t="str">
        <f t="shared" si="3"/>
        <v/>
      </c>
    </row>
    <row r="195">
      <c r="A195" s="67" t="s">
        <v>43</v>
      </c>
      <c r="B195" s="60" t="s">
        <v>1281</v>
      </c>
      <c r="C195" s="60" t="s">
        <v>1282</v>
      </c>
      <c r="D195" s="62">
        <v>2020.0</v>
      </c>
      <c r="E195" s="71" t="s">
        <v>1283</v>
      </c>
      <c r="F195" s="60" t="s">
        <v>1284</v>
      </c>
      <c r="G195" s="60" t="s">
        <v>1285</v>
      </c>
      <c r="H195" s="60"/>
      <c r="I195" s="60"/>
      <c r="J195" s="72" t="str">
        <f t="shared" si="1"/>
        <v/>
      </c>
      <c r="K195" s="60"/>
      <c r="L195" s="60"/>
      <c r="M195" s="60"/>
      <c r="N195" s="72" t="str">
        <f t="shared" si="3"/>
        <v/>
      </c>
    </row>
    <row r="196">
      <c r="A196" s="67" t="s">
        <v>43</v>
      </c>
      <c r="B196" s="60" t="s">
        <v>1286</v>
      </c>
      <c r="C196" s="60" t="s">
        <v>1287</v>
      </c>
      <c r="D196" s="62">
        <v>2023.0</v>
      </c>
      <c r="E196" s="71" t="s">
        <v>1288</v>
      </c>
      <c r="F196" s="60" t="s">
        <v>1289</v>
      </c>
      <c r="G196" s="60" t="s">
        <v>1290</v>
      </c>
      <c r="H196" s="60"/>
      <c r="I196" s="60"/>
      <c r="J196" s="72" t="str">
        <f t="shared" si="1"/>
        <v/>
      </c>
      <c r="K196" s="60"/>
      <c r="L196" s="60"/>
      <c r="M196" s="60"/>
      <c r="N196" s="72" t="str">
        <f t="shared" si="3"/>
        <v/>
      </c>
    </row>
    <row r="197">
      <c r="A197" s="67" t="s">
        <v>43</v>
      </c>
      <c r="B197" s="60" t="s">
        <v>1291</v>
      </c>
      <c r="C197" s="60" t="s">
        <v>1292</v>
      </c>
      <c r="D197" s="62">
        <v>2021.0</v>
      </c>
      <c r="E197" s="71" t="s">
        <v>1293</v>
      </c>
      <c r="F197" s="60" t="s">
        <v>1294</v>
      </c>
      <c r="G197" s="60" t="s">
        <v>1295</v>
      </c>
      <c r="H197" s="60"/>
      <c r="I197" s="60"/>
      <c r="J197" s="72" t="str">
        <f t="shared" si="1"/>
        <v/>
      </c>
      <c r="K197" s="60"/>
      <c r="L197" s="60"/>
      <c r="M197" s="60"/>
      <c r="N197" s="72" t="str">
        <f t="shared" si="3"/>
        <v/>
      </c>
    </row>
    <row r="198">
      <c r="A198" s="67" t="s">
        <v>43</v>
      </c>
      <c r="B198" s="60" t="s">
        <v>1296</v>
      </c>
      <c r="C198" s="60" t="s">
        <v>1297</v>
      </c>
      <c r="D198" s="62">
        <v>2025.0</v>
      </c>
      <c r="E198" s="71" t="s">
        <v>1298</v>
      </c>
      <c r="F198" s="60" t="s">
        <v>1299</v>
      </c>
      <c r="G198" s="60" t="s">
        <v>1300</v>
      </c>
      <c r="H198" s="60"/>
      <c r="I198" s="60"/>
      <c r="J198" s="72" t="str">
        <f t="shared" si="1"/>
        <v/>
      </c>
      <c r="K198" s="60"/>
      <c r="L198" s="60"/>
      <c r="M198" s="60"/>
      <c r="N198" s="72" t="str">
        <f t="shared" si="3"/>
        <v/>
      </c>
    </row>
    <row r="199">
      <c r="A199" s="67" t="s">
        <v>43</v>
      </c>
      <c r="B199" s="60" t="s">
        <v>1301</v>
      </c>
      <c r="C199" s="60" t="s">
        <v>1302</v>
      </c>
      <c r="D199" s="62">
        <v>2024.0</v>
      </c>
      <c r="E199" s="71" t="s">
        <v>1303</v>
      </c>
      <c r="F199" s="60" t="s">
        <v>1304</v>
      </c>
      <c r="G199" s="60" t="s">
        <v>1305</v>
      </c>
      <c r="H199" s="60"/>
      <c r="I199" s="60"/>
      <c r="J199" s="72" t="str">
        <f t="shared" si="1"/>
        <v/>
      </c>
      <c r="K199" s="60"/>
      <c r="L199" s="60"/>
      <c r="M199" s="60"/>
      <c r="N199" s="72" t="str">
        <f t="shared" si="3"/>
        <v/>
      </c>
    </row>
    <row r="200">
      <c r="A200" s="67" t="s">
        <v>43</v>
      </c>
      <c r="B200" s="60" t="s">
        <v>1306</v>
      </c>
      <c r="C200" s="60" t="s">
        <v>1307</v>
      </c>
      <c r="D200" s="62">
        <v>2021.0</v>
      </c>
      <c r="E200" s="71" t="s">
        <v>1308</v>
      </c>
      <c r="F200" s="60" t="s">
        <v>1309</v>
      </c>
      <c r="G200" s="60" t="s">
        <v>1310</v>
      </c>
      <c r="H200" s="60"/>
      <c r="I200" s="60"/>
      <c r="J200" s="72" t="str">
        <f t="shared" si="1"/>
        <v/>
      </c>
      <c r="K200" s="60"/>
      <c r="L200" s="60"/>
      <c r="M200" s="60"/>
      <c r="N200" s="72" t="str">
        <f t="shared" si="3"/>
        <v/>
      </c>
    </row>
    <row r="201">
      <c r="A201" s="67" t="s">
        <v>43</v>
      </c>
      <c r="B201" s="60"/>
      <c r="C201" s="60" t="s">
        <v>1311</v>
      </c>
      <c r="D201" s="62">
        <v>2024.0</v>
      </c>
      <c r="E201" s="60"/>
      <c r="F201" s="60"/>
      <c r="G201" s="60"/>
      <c r="H201" s="60" t="s">
        <v>103</v>
      </c>
      <c r="I201" s="60" t="s">
        <v>103</v>
      </c>
      <c r="J201" s="73" t="str">
        <f t="shared" si="1"/>
        <v>Igual</v>
      </c>
      <c r="K201" s="60" t="s">
        <v>433</v>
      </c>
      <c r="L201" s="60" t="s">
        <v>433</v>
      </c>
      <c r="M201" s="60" t="s">
        <v>434</v>
      </c>
      <c r="N201" s="55" t="str">
        <f t="shared" si="3"/>
        <v>Não</v>
      </c>
    </row>
    <row r="202">
      <c r="A202" s="67" t="s">
        <v>43</v>
      </c>
      <c r="B202" s="60"/>
      <c r="C202" s="60" t="s">
        <v>1312</v>
      </c>
      <c r="D202" s="62">
        <v>2024.0</v>
      </c>
      <c r="E202" s="60"/>
      <c r="F202" s="60"/>
      <c r="G202" s="60"/>
      <c r="H202" s="60" t="s">
        <v>103</v>
      </c>
      <c r="I202" s="60" t="s">
        <v>103</v>
      </c>
      <c r="J202" s="73" t="str">
        <f t="shared" si="1"/>
        <v>Igual</v>
      </c>
      <c r="K202" s="60" t="s">
        <v>433</v>
      </c>
      <c r="L202" s="60" t="s">
        <v>433</v>
      </c>
      <c r="M202" s="60" t="s">
        <v>434</v>
      </c>
      <c r="N202" s="55" t="str">
        <f t="shared" si="3"/>
        <v>Não</v>
      </c>
    </row>
    <row r="203">
      <c r="A203" s="67" t="s">
        <v>43</v>
      </c>
      <c r="B203" s="60" t="s">
        <v>1313</v>
      </c>
      <c r="C203" s="60" t="s">
        <v>1314</v>
      </c>
      <c r="D203" s="62">
        <v>2025.0</v>
      </c>
      <c r="E203" s="71" t="s">
        <v>1315</v>
      </c>
      <c r="F203" s="60" t="s">
        <v>1316</v>
      </c>
      <c r="G203" s="60" t="s">
        <v>1317</v>
      </c>
      <c r="H203" s="60"/>
      <c r="I203" s="60"/>
      <c r="J203" s="72" t="str">
        <f t="shared" si="1"/>
        <v/>
      </c>
      <c r="K203" s="60"/>
      <c r="L203" s="60"/>
      <c r="M203" s="60"/>
      <c r="N203" s="72" t="str">
        <f t="shared" si="3"/>
        <v/>
      </c>
    </row>
    <row r="204">
      <c r="A204" s="67" t="s">
        <v>43</v>
      </c>
      <c r="B204" s="60" t="s">
        <v>1318</v>
      </c>
      <c r="C204" s="60" t="s">
        <v>1319</v>
      </c>
      <c r="D204" s="62">
        <v>2021.0</v>
      </c>
      <c r="E204" s="71" t="s">
        <v>1320</v>
      </c>
      <c r="F204" s="60" t="s">
        <v>1321</v>
      </c>
      <c r="G204" s="60" t="s">
        <v>1322</v>
      </c>
      <c r="H204" s="60"/>
      <c r="I204" s="60"/>
      <c r="J204" s="72" t="str">
        <f t="shared" si="1"/>
        <v/>
      </c>
      <c r="K204" s="60"/>
      <c r="L204" s="60"/>
      <c r="M204" s="60"/>
      <c r="N204" s="72" t="str">
        <f t="shared" si="3"/>
        <v/>
      </c>
    </row>
    <row r="205">
      <c r="A205" s="67" t="s">
        <v>43</v>
      </c>
      <c r="B205" s="60"/>
      <c r="C205" s="60" t="s">
        <v>1323</v>
      </c>
      <c r="D205" s="62">
        <v>2025.0</v>
      </c>
      <c r="E205" s="60"/>
      <c r="F205" s="60"/>
      <c r="G205" s="60"/>
      <c r="H205" s="60" t="s">
        <v>103</v>
      </c>
      <c r="I205" s="60" t="s">
        <v>103</v>
      </c>
      <c r="J205" s="73" t="str">
        <f t="shared" si="1"/>
        <v>Igual</v>
      </c>
      <c r="K205" s="60"/>
      <c r="L205" s="60"/>
      <c r="M205" s="60"/>
      <c r="N205" s="55" t="str">
        <f t="shared" si="3"/>
        <v>Não</v>
      </c>
    </row>
    <row r="206">
      <c r="A206" s="67" t="s">
        <v>43</v>
      </c>
      <c r="B206" s="60" t="s">
        <v>1324</v>
      </c>
      <c r="C206" s="60" t="s">
        <v>1325</v>
      </c>
      <c r="D206" s="62">
        <v>2024.0</v>
      </c>
      <c r="E206" s="71" t="s">
        <v>1326</v>
      </c>
      <c r="F206" s="60" t="s">
        <v>1327</v>
      </c>
      <c r="G206" s="60" t="s">
        <v>1328</v>
      </c>
      <c r="H206" s="60"/>
      <c r="I206" s="60"/>
      <c r="J206" s="72" t="str">
        <f t="shared" si="1"/>
        <v/>
      </c>
      <c r="K206" s="60"/>
      <c r="L206" s="60"/>
      <c r="M206" s="60"/>
      <c r="N206" s="72" t="str">
        <f t="shared" si="3"/>
        <v/>
      </c>
    </row>
    <row r="207">
      <c r="A207" s="67" t="s">
        <v>43</v>
      </c>
      <c r="B207" s="60" t="s">
        <v>1329</v>
      </c>
      <c r="C207" s="60" t="s">
        <v>1330</v>
      </c>
      <c r="D207" s="62">
        <v>2025.0</v>
      </c>
      <c r="E207" s="71" t="s">
        <v>1331</v>
      </c>
      <c r="F207" s="60" t="s">
        <v>1332</v>
      </c>
      <c r="G207" s="60" t="s">
        <v>1333</v>
      </c>
      <c r="H207" s="60"/>
      <c r="I207" s="60"/>
      <c r="J207" s="72" t="str">
        <f t="shared" si="1"/>
        <v/>
      </c>
      <c r="K207" s="60"/>
      <c r="L207" s="60"/>
      <c r="M207" s="60"/>
      <c r="N207" s="72" t="str">
        <f t="shared" si="3"/>
        <v/>
      </c>
    </row>
    <row r="208">
      <c r="A208" s="67" t="s">
        <v>43</v>
      </c>
      <c r="B208" s="60"/>
      <c r="C208" s="60" t="s">
        <v>1334</v>
      </c>
      <c r="D208" s="62">
        <v>2023.0</v>
      </c>
      <c r="E208" s="60"/>
      <c r="F208" s="60"/>
      <c r="G208" s="60"/>
      <c r="H208" s="60" t="s">
        <v>103</v>
      </c>
      <c r="I208" s="60" t="s">
        <v>103</v>
      </c>
      <c r="J208" s="73" t="str">
        <f t="shared" si="1"/>
        <v>Igual</v>
      </c>
      <c r="K208" s="60"/>
      <c r="L208" s="60"/>
      <c r="M208" s="60"/>
      <c r="N208" s="55" t="str">
        <f t="shared" si="3"/>
        <v>Não</v>
      </c>
    </row>
    <row r="209">
      <c r="A209" s="67" t="s">
        <v>43</v>
      </c>
      <c r="B209" s="60" t="s">
        <v>1335</v>
      </c>
      <c r="C209" s="60" t="s">
        <v>1336</v>
      </c>
      <c r="D209" s="62">
        <v>2022.0</v>
      </c>
      <c r="E209" s="71" t="s">
        <v>1337</v>
      </c>
      <c r="F209" s="60" t="s">
        <v>1338</v>
      </c>
      <c r="G209" s="60" t="s">
        <v>1339</v>
      </c>
      <c r="H209" s="60"/>
      <c r="I209" s="60"/>
      <c r="J209" s="72" t="str">
        <f t="shared" si="1"/>
        <v/>
      </c>
      <c r="K209" s="60"/>
      <c r="L209" s="60"/>
      <c r="M209" s="60"/>
      <c r="N209" s="72" t="str">
        <f t="shared" si="3"/>
        <v/>
      </c>
    </row>
    <row r="210">
      <c r="A210" s="67" t="s">
        <v>43</v>
      </c>
      <c r="B210" s="60" t="s">
        <v>1340</v>
      </c>
      <c r="C210" s="60" t="s">
        <v>1341</v>
      </c>
      <c r="D210" s="62">
        <v>2021.0</v>
      </c>
      <c r="E210" s="71" t="s">
        <v>1342</v>
      </c>
      <c r="F210" s="60" t="s">
        <v>1343</v>
      </c>
      <c r="G210" s="60"/>
      <c r="H210" s="60"/>
      <c r="I210" s="60"/>
      <c r="J210" s="72" t="str">
        <f t="shared" si="1"/>
        <v/>
      </c>
      <c r="K210" s="60"/>
      <c r="L210" s="60"/>
      <c r="M210" s="60"/>
      <c r="N210" s="72" t="str">
        <f t="shared" si="3"/>
        <v/>
      </c>
    </row>
    <row r="211">
      <c r="A211" s="67" t="s">
        <v>43</v>
      </c>
      <c r="B211" s="60" t="s">
        <v>1344</v>
      </c>
      <c r="C211" s="60" t="s">
        <v>1345</v>
      </c>
      <c r="D211" s="62">
        <v>2022.0</v>
      </c>
      <c r="E211" s="71" t="s">
        <v>1346</v>
      </c>
      <c r="F211" s="60" t="s">
        <v>1347</v>
      </c>
      <c r="G211" s="60" t="s">
        <v>1348</v>
      </c>
      <c r="H211" s="60"/>
      <c r="I211" s="60"/>
      <c r="J211" s="72" t="str">
        <f t="shared" si="1"/>
        <v/>
      </c>
      <c r="K211" s="60"/>
      <c r="L211" s="60"/>
      <c r="M211" s="60"/>
      <c r="N211" s="72" t="str">
        <f t="shared" si="3"/>
        <v/>
      </c>
    </row>
    <row r="212">
      <c r="A212" s="67" t="s">
        <v>43</v>
      </c>
      <c r="B212" s="60"/>
      <c r="C212" s="60" t="s">
        <v>1349</v>
      </c>
      <c r="D212" s="62">
        <v>2024.0</v>
      </c>
      <c r="E212" s="60"/>
      <c r="F212" s="60"/>
      <c r="G212" s="60"/>
      <c r="H212" s="60" t="s">
        <v>103</v>
      </c>
      <c r="I212" s="60" t="s">
        <v>103</v>
      </c>
      <c r="J212" s="73" t="str">
        <f t="shared" si="1"/>
        <v>Igual</v>
      </c>
      <c r="K212" s="60"/>
      <c r="L212" s="60"/>
      <c r="M212" s="60"/>
      <c r="N212" s="55" t="str">
        <f t="shared" si="3"/>
        <v>Não</v>
      </c>
    </row>
    <row r="213">
      <c r="A213" s="67" t="s">
        <v>43</v>
      </c>
      <c r="B213" s="60" t="s">
        <v>1350</v>
      </c>
      <c r="C213" s="60" t="s">
        <v>1351</v>
      </c>
      <c r="D213" s="62">
        <v>2024.0</v>
      </c>
      <c r="E213" s="71" t="s">
        <v>1352</v>
      </c>
      <c r="F213" s="60" t="s">
        <v>1353</v>
      </c>
      <c r="G213" s="60" t="s">
        <v>1354</v>
      </c>
      <c r="H213" s="60"/>
      <c r="I213" s="60"/>
      <c r="J213" s="72" t="str">
        <f t="shared" si="1"/>
        <v/>
      </c>
      <c r="K213" s="60"/>
      <c r="L213" s="60"/>
      <c r="M213" s="60"/>
      <c r="N213" s="72" t="str">
        <f t="shared" si="3"/>
        <v/>
      </c>
    </row>
    <row r="214">
      <c r="A214" s="67" t="s">
        <v>43</v>
      </c>
      <c r="B214" s="60"/>
      <c r="C214" s="60" t="s">
        <v>1355</v>
      </c>
      <c r="D214" s="62">
        <v>2024.0</v>
      </c>
      <c r="E214" s="60"/>
      <c r="F214" s="60" t="s">
        <v>1356</v>
      </c>
      <c r="G214" s="60"/>
      <c r="H214" s="60"/>
      <c r="I214" s="60"/>
      <c r="J214" s="72" t="str">
        <f t="shared" si="1"/>
        <v/>
      </c>
      <c r="K214" s="60"/>
      <c r="L214" s="60"/>
      <c r="M214" s="60"/>
      <c r="N214" s="72" t="str">
        <f t="shared" si="3"/>
        <v/>
      </c>
    </row>
    <row r="215">
      <c r="A215" s="67" t="s">
        <v>43</v>
      </c>
      <c r="B215" s="60"/>
      <c r="C215" s="60" t="s">
        <v>1357</v>
      </c>
      <c r="D215" s="62">
        <v>2025.0</v>
      </c>
      <c r="E215" s="60"/>
      <c r="F215" s="60"/>
      <c r="G215" s="60"/>
      <c r="H215" s="60" t="s">
        <v>103</v>
      </c>
      <c r="I215" s="60" t="s">
        <v>103</v>
      </c>
      <c r="J215" s="73" t="str">
        <f t="shared" si="1"/>
        <v>Igual</v>
      </c>
      <c r="K215" s="60"/>
      <c r="L215" s="60"/>
      <c r="M215" s="60"/>
      <c r="N215" s="55" t="str">
        <f t="shared" si="3"/>
        <v>Não</v>
      </c>
    </row>
    <row r="216">
      <c r="A216" s="67" t="s">
        <v>43</v>
      </c>
      <c r="B216" s="60"/>
      <c r="C216" s="60" t="s">
        <v>1358</v>
      </c>
      <c r="D216" s="62">
        <v>2024.0</v>
      </c>
      <c r="E216" s="60"/>
      <c r="F216" s="60"/>
      <c r="G216" s="60"/>
      <c r="H216" s="60" t="s">
        <v>103</v>
      </c>
      <c r="I216" s="60" t="s">
        <v>103</v>
      </c>
      <c r="J216" s="73" t="str">
        <f t="shared" si="1"/>
        <v>Igual</v>
      </c>
      <c r="K216" s="60"/>
      <c r="L216" s="60"/>
      <c r="M216" s="60"/>
      <c r="N216" s="55" t="str">
        <f t="shared" si="3"/>
        <v>Não</v>
      </c>
    </row>
    <row r="217">
      <c r="A217" s="67" t="s">
        <v>43</v>
      </c>
      <c r="B217" s="60"/>
      <c r="C217" s="60" t="s">
        <v>1359</v>
      </c>
      <c r="D217" s="62">
        <v>2024.0</v>
      </c>
      <c r="E217" s="60"/>
      <c r="F217" s="60"/>
      <c r="G217" s="60"/>
      <c r="H217" s="60" t="s">
        <v>103</v>
      </c>
      <c r="I217" s="60" t="s">
        <v>103</v>
      </c>
      <c r="J217" s="73" t="str">
        <f t="shared" si="1"/>
        <v>Igual</v>
      </c>
      <c r="K217" s="60"/>
      <c r="L217" s="60"/>
      <c r="M217" s="60"/>
      <c r="N217" s="55" t="str">
        <f t="shared" si="3"/>
        <v>Não</v>
      </c>
    </row>
    <row r="218">
      <c r="A218" s="67" t="s">
        <v>43</v>
      </c>
      <c r="B218" s="60"/>
      <c r="C218" s="60" t="s">
        <v>1360</v>
      </c>
      <c r="D218" s="62">
        <v>2023.0</v>
      </c>
      <c r="E218" s="60"/>
      <c r="F218" s="60"/>
      <c r="G218" s="60"/>
      <c r="H218" s="60" t="s">
        <v>103</v>
      </c>
      <c r="I218" s="60" t="s">
        <v>103</v>
      </c>
      <c r="J218" s="73" t="str">
        <f t="shared" si="1"/>
        <v>Igual</v>
      </c>
      <c r="K218" s="60"/>
      <c r="L218" s="60"/>
      <c r="M218" s="60"/>
      <c r="N218" s="55" t="str">
        <f t="shared" si="3"/>
        <v>Não</v>
      </c>
    </row>
    <row r="219">
      <c r="A219" s="67" t="s">
        <v>43</v>
      </c>
      <c r="B219" s="60" t="s">
        <v>1361</v>
      </c>
      <c r="C219" s="60" t="s">
        <v>1362</v>
      </c>
      <c r="D219" s="62">
        <v>2025.0</v>
      </c>
      <c r="E219" s="71" t="s">
        <v>1363</v>
      </c>
      <c r="F219" s="60" t="s">
        <v>1364</v>
      </c>
      <c r="G219" s="60" t="s">
        <v>1365</v>
      </c>
      <c r="H219" s="60"/>
      <c r="I219" s="60"/>
      <c r="J219" s="72" t="str">
        <f t="shared" si="1"/>
        <v/>
      </c>
      <c r="K219" s="60"/>
      <c r="L219" s="60"/>
      <c r="M219" s="60"/>
      <c r="N219" s="72" t="str">
        <f t="shared" si="3"/>
        <v/>
      </c>
    </row>
    <row r="220">
      <c r="A220" s="67" t="s">
        <v>43</v>
      </c>
      <c r="B220" s="60"/>
      <c r="C220" s="60" t="s">
        <v>1366</v>
      </c>
      <c r="D220" s="62">
        <v>2024.0</v>
      </c>
      <c r="E220" s="60"/>
      <c r="F220" s="60" t="s">
        <v>1367</v>
      </c>
      <c r="G220" s="60"/>
      <c r="H220" s="60"/>
      <c r="I220" s="60"/>
      <c r="J220" s="72" t="str">
        <f t="shared" si="1"/>
        <v/>
      </c>
      <c r="K220" s="60"/>
      <c r="L220" s="60"/>
      <c r="M220" s="60"/>
      <c r="N220" s="72" t="str">
        <f t="shared" si="3"/>
        <v/>
      </c>
    </row>
    <row r="221">
      <c r="A221" s="67" t="s">
        <v>43</v>
      </c>
      <c r="B221" s="60"/>
      <c r="C221" s="60" t="s">
        <v>1368</v>
      </c>
      <c r="D221" s="62">
        <v>2024.0</v>
      </c>
      <c r="E221" s="60"/>
      <c r="F221" s="60"/>
      <c r="G221" s="60"/>
      <c r="H221" s="60" t="s">
        <v>103</v>
      </c>
      <c r="I221" s="60" t="s">
        <v>103</v>
      </c>
      <c r="J221" s="73" t="str">
        <f t="shared" si="1"/>
        <v>Igual</v>
      </c>
      <c r="K221" s="60"/>
      <c r="L221" s="60"/>
      <c r="M221" s="60"/>
      <c r="N221" s="55" t="str">
        <f t="shared" si="3"/>
        <v>Não</v>
      </c>
    </row>
    <row r="222">
      <c r="A222" s="67" t="s">
        <v>43</v>
      </c>
      <c r="B222" s="60"/>
      <c r="C222" s="60" t="s">
        <v>1369</v>
      </c>
      <c r="D222" s="62">
        <v>2025.0</v>
      </c>
      <c r="E222" s="60"/>
      <c r="F222" s="60"/>
      <c r="G222" s="60"/>
      <c r="H222" s="60" t="s">
        <v>103</v>
      </c>
      <c r="I222" s="60" t="s">
        <v>103</v>
      </c>
      <c r="J222" s="73" t="str">
        <f t="shared" si="1"/>
        <v>Igual</v>
      </c>
      <c r="K222" s="60"/>
      <c r="L222" s="60"/>
      <c r="M222" s="60"/>
      <c r="N222" s="55" t="str">
        <f t="shared" si="3"/>
        <v>Não</v>
      </c>
    </row>
    <row r="223">
      <c r="A223" s="67" t="s">
        <v>43</v>
      </c>
      <c r="B223" s="60"/>
      <c r="C223" s="60" t="s">
        <v>1370</v>
      </c>
      <c r="D223" s="62">
        <v>2024.0</v>
      </c>
      <c r="E223" s="60"/>
      <c r="F223" s="60"/>
      <c r="G223" s="60"/>
      <c r="H223" s="60" t="s">
        <v>103</v>
      </c>
      <c r="I223" s="60" t="s">
        <v>103</v>
      </c>
      <c r="J223" s="73" t="str">
        <f t="shared" si="1"/>
        <v>Igual</v>
      </c>
      <c r="K223" s="60"/>
      <c r="L223" s="60"/>
      <c r="M223" s="60"/>
      <c r="N223" s="55" t="str">
        <f t="shared" si="3"/>
        <v>Não</v>
      </c>
    </row>
    <row r="224">
      <c r="A224" s="67" t="s">
        <v>43</v>
      </c>
      <c r="B224" s="60"/>
      <c r="C224" s="60" t="s">
        <v>1371</v>
      </c>
      <c r="D224" s="62">
        <v>2025.0</v>
      </c>
      <c r="E224" s="60"/>
      <c r="F224" s="60"/>
      <c r="G224" s="60"/>
      <c r="H224" s="60" t="s">
        <v>103</v>
      </c>
      <c r="I224" s="60" t="s">
        <v>103</v>
      </c>
      <c r="J224" s="73" t="str">
        <f t="shared" si="1"/>
        <v>Igual</v>
      </c>
      <c r="K224" s="60"/>
      <c r="L224" s="60"/>
      <c r="M224" s="60"/>
      <c r="N224" s="55" t="str">
        <f t="shared" si="3"/>
        <v>Não</v>
      </c>
    </row>
    <row r="225">
      <c r="A225" s="67" t="s">
        <v>43</v>
      </c>
      <c r="B225" s="60" t="s">
        <v>1372</v>
      </c>
      <c r="C225" s="60" t="s">
        <v>1373</v>
      </c>
      <c r="D225" s="62">
        <v>2024.0</v>
      </c>
      <c r="E225" s="71" t="s">
        <v>1374</v>
      </c>
      <c r="F225" s="60" t="s">
        <v>1375</v>
      </c>
      <c r="G225" s="60" t="s">
        <v>1376</v>
      </c>
      <c r="H225" s="60"/>
      <c r="I225" s="60"/>
      <c r="J225" s="72" t="str">
        <f t="shared" si="1"/>
        <v/>
      </c>
      <c r="K225" s="60"/>
      <c r="L225" s="60"/>
      <c r="M225" s="60"/>
      <c r="N225" s="72" t="str">
        <f t="shared" si="3"/>
        <v/>
      </c>
    </row>
    <row r="226">
      <c r="A226" s="67" t="s">
        <v>43</v>
      </c>
      <c r="B226" s="60"/>
      <c r="C226" s="60" t="s">
        <v>1377</v>
      </c>
      <c r="D226" s="62">
        <v>2024.0</v>
      </c>
      <c r="E226" s="60"/>
      <c r="F226" s="60"/>
      <c r="G226" s="60"/>
      <c r="H226" s="60" t="s">
        <v>103</v>
      </c>
      <c r="I226" s="60" t="s">
        <v>103</v>
      </c>
      <c r="J226" s="73" t="str">
        <f t="shared" si="1"/>
        <v>Igual</v>
      </c>
      <c r="K226" s="60"/>
      <c r="L226" s="60"/>
      <c r="M226" s="60"/>
      <c r="N226" s="55" t="str">
        <f t="shared" si="3"/>
        <v>Não</v>
      </c>
    </row>
    <row r="227">
      <c r="A227" s="67" t="s">
        <v>43</v>
      </c>
      <c r="B227" s="60"/>
      <c r="C227" s="60" t="s">
        <v>1378</v>
      </c>
      <c r="D227" s="62">
        <v>2023.0</v>
      </c>
      <c r="E227" s="60"/>
      <c r="F227" s="60"/>
      <c r="G227" s="60"/>
      <c r="H227" s="60" t="s">
        <v>103</v>
      </c>
      <c r="I227" s="60" t="s">
        <v>103</v>
      </c>
      <c r="J227" s="73" t="str">
        <f t="shared" si="1"/>
        <v>Igual</v>
      </c>
      <c r="K227" s="60"/>
      <c r="L227" s="60"/>
      <c r="M227" s="60"/>
      <c r="N227" s="55" t="str">
        <f t="shared" si="3"/>
        <v>Não</v>
      </c>
    </row>
    <row r="228">
      <c r="A228" s="67" t="s">
        <v>43</v>
      </c>
      <c r="B228" s="60" t="s">
        <v>1379</v>
      </c>
      <c r="C228" s="60" t="s">
        <v>1380</v>
      </c>
      <c r="D228" s="62">
        <v>2021.0</v>
      </c>
      <c r="E228" s="71" t="s">
        <v>1381</v>
      </c>
      <c r="F228" s="60" t="s">
        <v>1382</v>
      </c>
      <c r="G228" s="60" t="s">
        <v>1383</v>
      </c>
      <c r="H228" s="60"/>
      <c r="I228" s="60"/>
      <c r="J228" s="72" t="str">
        <f t="shared" si="1"/>
        <v/>
      </c>
      <c r="K228" s="60"/>
      <c r="L228" s="60"/>
      <c r="M228" s="60"/>
      <c r="N228" s="72" t="str">
        <f t="shared" si="3"/>
        <v/>
      </c>
    </row>
    <row r="229">
      <c r="A229" s="67" t="s">
        <v>43</v>
      </c>
      <c r="B229" s="60"/>
      <c r="C229" s="60" t="s">
        <v>1384</v>
      </c>
      <c r="D229" s="62">
        <v>2024.0</v>
      </c>
      <c r="E229" s="60"/>
      <c r="F229" s="60"/>
      <c r="G229" s="60"/>
      <c r="H229" s="60" t="s">
        <v>103</v>
      </c>
      <c r="I229" s="60" t="s">
        <v>103</v>
      </c>
      <c r="J229" s="73" t="str">
        <f t="shared" si="1"/>
        <v>Igual</v>
      </c>
      <c r="K229" s="60"/>
      <c r="L229" s="60"/>
      <c r="M229" s="60"/>
      <c r="N229" s="55" t="str">
        <f t="shared" si="3"/>
        <v>Não</v>
      </c>
    </row>
    <row r="230">
      <c r="A230" s="67" t="s">
        <v>43</v>
      </c>
      <c r="B230" s="60"/>
      <c r="C230" s="60" t="s">
        <v>1385</v>
      </c>
      <c r="D230" s="62">
        <v>2024.0</v>
      </c>
      <c r="E230" s="60"/>
      <c r="F230" s="60"/>
      <c r="G230" s="60"/>
      <c r="H230" s="60" t="s">
        <v>103</v>
      </c>
      <c r="I230" s="60" t="s">
        <v>103</v>
      </c>
      <c r="J230" s="73" t="str">
        <f t="shared" si="1"/>
        <v>Igual</v>
      </c>
      <c r="K230" s="60"/>
      <c r="L230" s="60"/>
      <c r="M230" s="60"/>
      <c r="N230" s="55" t="str">
        <f t="shared" si="3"/>
        <v>Não</v>
      </c>
    </row>
    <row r="231">
      <c r="A231" s="67" t="s">
        <v>43</v>
      </c>
      <c r="B231" s="60"/>
      <c r="C231" s="60" t="s">
        <v>1386</v>
      </c>
      <c r="D231" s="62">
        <v>2025.0</v>
      </c>
      <c r="E231" s="60"/>
      <c r="F231" s="60"/>
      <c r="G231" s="60"/>
      <c r="H231" s="60" t="s">
        <v>103</v>
      </c>
      <c r="I231" s="60" t="s">
        <v>103</v>
      </c>
      <c r="J231" s="73" t="str">
        <f t="shared" si="1"/>
        <v>Igual</v>
      </c>
      <c r="K231" s="60"/>
      <c r="L231" s="60"/>
      <c r="M231" s="60"/>
      <c r="N231" s="55" t="str">
        <f t="shared" si="3"/>
        <v>Não</v>
      </c>
    </row>
    <row r="232">
      <c r="A232" s="67" t="s">
        <v>43</v>
      </c>
      <c r="B232" s="60"/>
      <c r="C232" s="60" t="s">
        <v>1387</v>
      </c>
      <c r="D232" s="62">
        <v>2025.0</v>
      </c>
      <c r="E232" s="60"/>
      <c r="F232" s="60"/>
      <c r="G232" s="60"/>
      <c r="H232" s="60" t="s">
        <v>103</v>
      </c>
      <c r="I232" s="60" t="s">
        <v>103</v>
      </c>
      <c r="J232" s="73" t="str">
        <f t="shared" si="1"/>
        <v>Igual</v>
      </c>
      <c r="K232" s="60"/>
      <c r="L232" s="60"/>
      <c r="M232" s="60"/>
      <c r="N232" s="55" t="str">
        <f t="shared" si="3"/>
        <v>Não</v>
      </c>
    </row>
    <row r="233">
      <c r="A233" s="67" t="s">
        <v>43</v>
      </c>
      <c r="B233" s="60"/>
      <c r="C233" s="60" t="s">
        <v>1388</v>
      </c>
      <c r="D233" s="62">
        <v>2025.0</v>
      </c>
      <c r="E233" s="60"/>
      <c r="F233" s="60"/>
      <c r="G233" s="60"/>
      <c r="H233" s="60" t="s">
        <v>103</v>
      </c>
      <c r="I233" s="60" t="s">
        <v>103</v>
      </c>
      <c r="J233" s="73" t="str">
        <f t="shared" si="1"/>
        <v>Igual</v>
      </c>
      <c r="K233" s="60"/>
      <c r="L233" s="60"/>
      <c r="M233" s="60"/>
      <c r="N233" s="55" t="str">
        <f t="shared" si="3"/>
        <v>Não</v>
      </c>
    </row>
    <row r="234">
      <c r="A234" s="67" t="s">
        <v>43</v>
      </c>
      <c r="B234" s="60" t="s">
        <v>1389</v>
      </c>
      <c r="C234" s="60" t="s">
        <v>1390</v>
      </c>
      <c r="D234" s="62">
        <v>2024.0</v>
      </c>
      <c r="E234" s="71" t="s">
        <v>1391</v>
      </c>
      <c r="F234" s="60" t="s">
        <v>1392</v>
      </c>
      <c r="G234" s="60" t="s">
        <v>1393</v>
      </c>
      <c r="H234" s="60"/>
      <c r="I234" s="60"/>
      <c r="J234" s="72" t="str">
        <f t="shared" si="1"/>
        <v/>
      </c>
      <c r="K234" s="60"/>
      <c r="L234" s="60"/>
      <c r="M234" s="60"/>
      <c r="N234" s="72" t="str">
        <f t="shared" si="3"/>
        <v/>
      </c>
    </row>
    <row r="235">
      <c r="A235" s="67" t="s">
        <v>43</v>
      </c>
      <c r="B235" s="60"/>
      <c r="C235" s="60" t="s">
        <v>1394</v>
      </c>
      <c r="D235" s="62">
        <v>2025.0</v>
      </c>
      <c r="E235" s="60"/>
      <c r="F235" s="60"/>
      <c r="G235" s="60"/>
      <c r="H235" s="60" t="s">
        <v>103</v>
      </c>
      <c r="I235" s="60" t="s">
        <v>103</v>
      </c>
      <c r="J235" s="73" t="str">
        <f t="shared" si="1"/>
        <v>Igual</v>
      </c>
      <c r="K235" s="60"/>
      <c r="L235" s="60"/>
      <c r="M235" s="60"/>
      <c r="N235" s="55" t="str">
        <f t="shared" si="3"/>
        <v>Não</v>
      </c>
    </row>
    <row r="236">
      <c r="A236" s="67" t="s">
        <v>43</v>
      </c>
      <c r="B236" s="60" t="s">
        <v>1395</v>
      </c>
      <c r="C236" s="60" t="s">
        <v>1396</v>
      </c>
      <c r="D236" s="62">
        <v>2022.0</v>
      </c>
      <c r="E236" s="71" t="s">
        <v>1397</v>
      </c>
      <c r="F236" s="60" t="s">
        <v>1398</v>
      </c>
      <c r="G236" s="60" t="s">
        <v>1399</v>
      </c>
      <c r="H236" s="60"/>
      <c r="I236" s="60"/>
      <c r="J236" s="72" t="str">
        <f t="shared" si="1"/>
        <v/>
      </c>
      <c r="K236" s="60"/>
      <c r="L236" s="60"/>
      <c r="M236" s="60"/>
      <c r="N236" s="72" t="str">
        <f t="shared" si="3"/>
        <v/>
      </c>
    </row>
    <row r="237">
      <c r="A237" s="67" t="s">
        <v>43</v>
      </c>
      <c r="B237" s="60"/>
      <c r="C237" s="60" t="s">
        <v>1400</v>
      </c>
      <c r="D237" s="62">
        <v>2025.0</v>
      </c>
      <c r="E237" s="60"/>
      <c r="F237" s="60"/>
      <c r="G237" s="60"/>
      <c r="H237" s="60" t="s">
        <v>103</v>
      </c>
      <c r="I237" s="60" t="s">
        <v>103</v>
      </c>
      <c r="J237" s="73" t="str">
        <f t="shared" si="1"/>
        <v>Igual</v>
      </c>
      <c r="K237" s="60"/>
      <c r="L237" s="60"/>
      <c r="M237" s="60"/>
      <c r="N237" s="55" t="str">
        <f t="shared" si="3"/>
        <v>Não</v>
      </c>
    </row>
    <row r="238">
      <c r="A238" s="67" t="s">
        <v>43</v>
      </c>
      <c r="B238" s="60" t="s">
        <v>1401</v>
      </c>
      <c r="C238" s="60" t="s">
        <v>1402</v>
      </c>
      <c r="D238" s="62">
        <v>2024.0</v>
      </c>
      <c r="E238" s="71" t="s">
        <v>1403</v>
      </c>
      <c r="F238" s="60" t="s">
        <v>1404</v>
      </c>
      <c r="G238" s="60" t="s">
        <v>1405</v>
      </c>
      <c r="H238" s="60"/>
      <c r="I238" s="60"/>
      <c r="J238" s="72" t="str">
        <f t="shared" si="1"/>
        <v/>
      </c>
      <c r="K238" s="60"/>
      <c r="L238" s="60"/>
      <c r="M238" s="60"/>
      <c r="N238" s="72" t="str">
        <f t="shared" si="3"/>
        <v/>
      </c>
    </row>
    <row r="239">
      <c r="A239" s="67" t="s">
        <v>43</v>
      </c>
      <c r="B239" s="60"/>
      <c r="C239" s="60" t="s">
        <v>1406</v>
      </c>
      <c r="D239" s="62">
        <v>2025.0</v>
      </c>
      <c r="E239" s="60"/>
      <c r="F239" s="60"/>
      <c r="G239" s="60"/>
      <c r="H239" s="60" t="s">
        <v>103</v>
      </c>
      <c r="I239" s="60" t="s">
        <v>103</v>
      </c>
      <c r="J239" s="73" t="str">
        <f t="shared" si="1"/>
        <v>Igual</v>
      </c>
      <c r="K239" s="60"/>
      <c r="L239" s="60"/>
      <c r="M239" s="60"/>
      <c r="N239" s="55" t="str">
        <f t="shared" si="3"/>
        <v>Não</v>
      </c>
    </row>
    <row r="240">
      <c r="A240" s="67" t="s">
        <v>43</v>
      </c>
      <c r="B240" s="60"/>
      <c r="C240" s="60" t="s">
        <v>1407</v>
      </c>
      <c r="D240" s="62">
        <v>2024.0</v>
      </c>
      <c r="E240" s="71" t="s">
        <v>1408</v>
      </c>
      <c r="F240" s="60" t="s">
        <v>1409</v>
      </c>
      <c r="G240" s="60"/>
      <c r="H240" s="60"/>
      <c r="I240" s="60"/>
      <c r="J240" s="72" t="str">
        <f t="shared" si="1"/>
        <v/>
      </c>
      <c r="K240" s="60"/>
      <c r="L240" s="60"/>
      <c r="M240" s="60"/>
      <c r="N240" s="72" t="str">
        <f t="shared" si="3"/>
        <v/>
      </c>
    </row>
    <row r="241">
      <c r="A241" s="67" t="s">
        <v>43</v>
      </c>
      <c r="B241" s="60"/>
      <c r="C241" s="60" t="s">
        <v>1410</v>
      </c>
      <c r="D241" s="62">
        <v>2024.0</v>
      </c>
      <c r="E241" s="60"/>
      <c r="F241" s="60"/>
      <c r="G241" s="60"/>
      <c r="H241" s="60" t="s">
        <v>103</v>
      </c>
      <c r="I241" s="60" t="s">
        <v>103</v>
      </c>
      <c r="J241" s="73" t="str">
        <f t="shared" si="1"/>
        <v>Igual</v>
      </c>
      <c r="K241" s="60"/>
      <c r="L241" s="60"/>
      <c r="M241" s="60"/>
      <c r="N241" s="55" t="str">
        <f t="shared" si="3"/>
        <v>Não</v>
      </c>
    </row>
    <row r="242">
      <c r="A242" s="67" t="s">
        <v>43</v>
      </c>
      <c r="B242" s="60"/>
      <c r="C242" s="60" t="s">
        <v>1411</v>
      </c>
      <c r="D242" s="62">
        <v>2024.0</v>
      </c>
      <c r="E242" s="60"/>
      <c r="F242" s="60"/>
      <c r="G242" s="60"/>
      <c r="H242" s="60" t="s">
        <v>103</v>
      </c>
      <c r="I242" s="60" t="s">
        <v>103</v>
      </c>
      <c r="J242" s="73" t="str">
        <f t="shared" si="1"/>
        <v>Igual</v>
      </c>
      <c r="K242" s="60"/>
      <c r="L242" s="60"/>
      <c r="M242" s="60"/>
      <c r="N242" s="55" t="str">
        <f t="shared" si="3"/>
        <v>Não</v>
      </c>
    </row>
    <row r="243">
      <c r="A243" s="67" t="s">
        <v>43</v>
      </c>
      <c r="B243" s="60" t="s">
        <v>1412</v>
      </c>
      <c r="C243" s="60" t="s">
        <v>1413</v>
      </c>
      <c r="D243" s="62">
        <v>2023.0</v>
      </c>
      <c r="E243" s="71" t="s">
        <v>1414</v>
      </c>
      <c r="F243" s="60" t="s">
        <v>1415</v>
      </c>
      <c r="G243" s="60" t="s">
        <v>1416</v>
      </c>
      <c r="H243" s="60"/>
      <c r="I243" s="60"/>
      <c r="J243" s="72" t="str">
        <f t="shared" si="1"/>
        <v/>
      </c>
      <c r="K243" s="60"/>
      <c r="L243" s="60"/>
      <c r="M243" s="60"/>
      <c r="N243" s="72" t="str">
        <f t="shared" si="3"/>
        <v/>
      </c>
    </row>
    <row r="244">
      <c r="A244" s="67" t="s">
        <v>43</v>
      </c>
      <c r="B244" s="60"/>
      <c r="C244" s="60" t="s">
        <v>1417</v>
      </c>
      <c r="D244" s="62">
        <v>2022.0</v>
      </c>
      <c r="E244" s="60"/>
      <c r="F244" s="60"/>
      <c r="G244" s="60"/>
      <c r="H244" s="60" t="s">
        <v>103</v>
      </c>
      <c r="I244" s="60" t="s">
        <v>103</v>
      </c>
      <c r="J244" s="73" t="str">
        <f t="shared" si="1"/>
        <v>Igual</v>
      </c>
      <c r="K244" s="60"/>
      <c r="L244" s="60"/>
      <c r="M244" s="60"/>
      <c r="N244" s="55" t="str">
        <f t="shared" si="3"/>
        <v>Não</v>
      </c>
    </row>
    <row r="245">
      <c r="A245" s="67" t="s">
        <v>43</v>
      </c>
      <c r="B245" s="60" t="s">
        <v>1418</v>
      </c>
      <c r="C245" s="60" t="s">
        <v>1419</v>
      </c>
      <c r="D245" s="62">
        <v>2023.0</v>
      </c>
      <c r="E245" s="71" t="s">
        <v>1420</v>
      </c>
      <c r="F245" s="60" t="s">
        <v>1421</v>
      </c>
      <c r="G245" s="60" t="s">
        <v>1422</v>
      </c>
      <c r="H245" s="60"/>
      <c r="I245" s="60"/>
      <c r="J245" s="72" t="str">
        <f t="shared" si="1"/>
        <v/>
      </c>
      <c r="K245" s="60"/>
      <c r="L245" s="60"/>
      <c r="M245" s="60"/>
      <c r="N245" s="72" t="str">
        <f t="shared" si="3"/>
        <v/>
      </c>
    </row>
    <row r="246">
      <c r="A246" s="67" t="s">
        <v>43</v>
      </c>
      <c r="B246" s="60"/>
      <c r="C246" s="60" t="s">
        <v>1423</v>
      </c>
      <c r="D246" s="62">
        <v>2023.0</v>
      </c>
      <c r="E246" s="60"/>
      <c r="F246" s="60"/>
      <c r="G246" s="60"/>
      <c r="H246" s="60" t="s">
        <v>103</v>
      </c>
      <c r="I246" s="60" t="s">
        <v>103</v>
      </c>
      <c r="J246" s="73" t="str">
        <f t="shared" si="1"/>
        <v>Igual</v>
      </c>
      <c r="K246" s="60"/>
      <c r="L246" s="60"/>
      <c r="M246" s="60"/>
      <c r="N246" s="74" t="str">
        <f t="shared" si="3"/>
        <v>Não</v>
      </c>
    </row>
    <row r="247">
      <c r="A247" s="67" t="s">
        <v>43</v>
      </c>
      <c r="B247" s="60" t="s">
        <v>1424</v>
      </c>
      <c r="C247" s="60" t="s">
        <v>1425</v>
      </c>
      <c r="D247" s="62">
        <v>2021.0</v>
      </c>
      <c r="E247" s="71" t="s">
        <v>1426</v>
      </c>
      <c r="F247" s="60" t="s">
        <v>1427</v>
      </c>
      <c r="G247" s="60" t="s">
        <v>1428</v>
      </c>
      <c r="H247" s="60"/>
      <c r="I247" s="60"/>
      <c r="J247" s="72" t="str">
        <f t="shared" si="1"/>
        <v/>
      </c>
      <c r="K247" s="60"/>
      <c r="L247" s="60"/>
      <c r="M247" s="60"/>
      <c r="N247" s="72" t="str">
        <f t="shared" si="3"/>
        <v/>
      </c>
    </row>
    <row r="248">
      <c r="A248" s="67" t="s">
        <v>43</v>
      </c>
      <c r="B248" s="60"/>
      <c r="C248" s="60" t="s">
        <v>1429</v>
      </c>
      <c r="D248" s="62">
        <v>2022.0</v>
      </c>
      <c r="E248" s="60"/>
      <c r="F248" s="60"/>
      <c r="G248" s="60"/>
      <c r="H248" s="60" t="s">
        <v>103</v>
      </c>
      <c r="I248" s="60" t="s">
        <v>103</v>
      </c>
      <c r="J248" s="73" t="str">
        <f t="shared" si="1"/>
        <v>Igual</v>
      </c>
      <c r="K248" s="60"/>
      <c r="L248" s="60"/>
      <c r="M248" s="60"/>
      <c r="N248" s="74" t="str">
        <f t="shared" si="3"/>
        <v>Não</v>
      </c>
    </row>
    <row r="249">
      <c r="A249" s="67" t="s">
        <v>43</v>
      </c>
      <c r="B249" s="60"/>
      <c r="C249" s="60" t="s">
        <v>1430</v>
      </c>
      <c r="D249" s="62">
        <v>2025.0</v>
      </c>
      <c r="E249" s="60"/>
      <c r="F249" s="60" t="s">
        <v>1431</v>
      </c>
      <c r="G249" s="60"/>
      <c r="H249" s="60"/>
      <c r="I249" s="60"/>
      <c r="J249" s="72" t="str">
        <f t="shared" si="1"/>
        <v/>
      </c>
      <c r="K249" s="60"/>
      <c r="L249" s="60"/>
      <c r="M249" s="60"/>
      <c r="N249" s="72" t="str">
        <f t="shared" si="3"/>
        <v/>
      </c>
    </row>
    <row r="250">
      <c r="A250" s="67" t="s">
        <v>43</v>
      </c>
      <c r="B250" s="60"/>
      <c r="C250" s="60" t="s">
        <v>1432</v>
      </c>
      <c r="D250" s="62">
        <v>2025.0</v>
      </c>
      <c r="E250" s="60"/>
      <c r="F250" s="60"/>
      <c r="G250" s="60"/>
      <c r="H250" s="60" t="s">
        <v>103</v>
      </c>
      <c r="I250" s="60" t="s">
        <v>103</v>
      </c>
      <c r="J250" s="73" t="str">
        <f t="shared" si="1"/>
        <v>Igual</v>
      </c>
      <c r="K250" s="60"/>
      <c r="L250" s="60"/>
      <c r="M250" s="60"/>
      <c r="N250" s="74" t="str">
        <f t="shared" si="3"/>
        <v>Não</v>
      </c>
    </row>
    <row r="251">
      <c r="A251" s="67" t="s">
        <v>43</v>
      </c>
      <c r="B251" s="60"/>
      <c r="C251" s="60" t="s">
        <v>1433</v>
      </c>
      <c r="D251" s="62">
        <v>2024.0</v>
      </c>
      <c r="E251" s="60"/>
      <c r="F251" s="60"/>
      <c r="G251" s="60"/>
      <c r="H251" s="60" t="s">
        <v>103</v>
      </c>
      <c r="I251" s="60" t="s">
        <v>103</v>
      </c>
      <c r="J251" s="73" t="str">
        <f t="shared" si="1"/>
        <v>Igual</v>
      </c>
      <c r="K251" s="60"/>
      <c r="L251" s="60"/>
      <c r="M251" s="60"/>
      <c r="N251" s="74" t="str">
        <f t="shared" si="3"/>
        <v>Não</v>
      </c>
    </row>
    <row r="252">
      <c r="A252" s="67" t="s">
        <v>43</v>
      </c>
      <c r="B252" s="60"/>
      <c r="C252" s="60" t="s">
        <v>1434</v>
      </c>
      <c r="D252" s="62">
        <v>2024.0</v>
      </c>
      <c r="E252" s="60"/>
      <c r="F252" s="60"/>
      <c r="G252" s="60"/>
      <c r="H252" s="60" t="s">
        <v>103</v>
      </c>
      <c r="I252" s="60" t="s">
        <v>103</v>
      </c>
      <c r="J252" s="73" t="str">
        <f t="shared" si="1"/>
        <v>Igual</v>
      </c>
      <c r="K252" s="60"/>
      <c r="L252" s="60"/>
      <c r="M252" s="60"/>
      <c r="N252" s="74" t="str">
        <f t="shared" si="3"/>
        <v>Não</v>
      </c>
    </row>
    <row r="253">
      <c r="A253" s="67" t="s">
        <v>43</v>
      </c>
      <c r="B253" s="60"/>
      <c r="C253" s="60" t="s">
        <v>1435</v>
      </c>
      <c r="D253" s="62">
        <v>2022.0</v>
      </c>
      <c r="E253" s="60"/>
      <c r="F253" s="60"/>
      <c r="G253" s="60"/>
      <c r="H253" s="60" t="s">
        <v>103</v>
      </c>
      <c r="I253" s="60" t="s">
        <v>103</v>
      </c>
      <c r="J253" s="73" t="str">
        <f t="shared" si="1"/>
        <v>Igual</v>
      </c>
      <c r="K253" s="60"/>
      <c r="L253" s="60"/>
      <c r="M253" s="60"/>
      <c r="N253" s="74" t="str">
        <f t="shared" si="3"/>
        <v>Não</v>
      </c>
    </row>
    <row r="254">
      <c r="A254" s="67" t="s">
        <v>43</v>
      </c>
      <c r="B254" s="60"/>
      <c r="C254" s="60" t="s">
        <v>1436</v>
      </c>
      <c r="D254" s="62">
        <v>2025.0</v>
      </c>
      <c r="E254" s="60"/>
      <c r="F254" s="60"/>
      <c r="G254" s="60"/>
      <c r="H254" s="60" t="s">
        <v>103</v>
      </c>
      <c r="I254" s="60" t="s">
        <v>103</v>
      </c>
      <c r="J254" s="73" t="str">
        <f t="shared" si="1"/>
        <v>Igual</v>
      </c>
      <c r="K254" s="60"/>
      <c r="L254" s="60"/>
      <c r="M254" s="60"/>
      <c r="N254" s="74" t="str">
        <f t="shared" si="3"/>
        <v>Não</v>
      </c>
    </row>
    <row r="255">
      <c r="A255" s="67" t="s">
        <v>43</v>
      </c>
      <c r="B255" s="60"/>
      <c r="C255" s="60" t="s">
        <v>1437</v>
      </c>
      <c r="D255" s="62">
        <v>2025.0</v>
      </c>
      <c r="E255" s="60"/>
      <c r="F255" s="60" t="s">
        <v>1438</v>
      </c>
      <c r="G255" s="60"/>
      <c r="H255" s="60"/>
      <c r="I255" s="60"/>
      <c r="J255" s="72" t="str">
        <f t="shared" si="1"/>
        <v/>
      </c>
      <c r="K255" s="60"/>
      <c r="L255" s="60"/>
      <c r="M255" s="60"/>
      <c r="N255" s="72" t="str">
        <f t="shared" si="3"/>
        <v/>
      </c>
    </row>
    <row r="256">
      <c r="A256" s="67" t="s">
        <v>43</v>
      </c>
      <c r="B256" s="60"/>
      <c r="C256" s="60" t="s">
        <v>1439</v>
      </c>
      <c r="D256" s="62">
        <v>2025.0</v>
      </c>
      <c r="E256" s="60"/>
      <c r="F256" s="60"/>
      <c r="G256" s="60"/>
      <c r="H256" s="60" t="s">
        <v>103</v>
      </c>
      <c r="I256" s="60" t="s">
        <v>103</v>
      </c>
      <c r="J256" s="73" t="str">
        <f t="shared" si="1"/>
        <v>Igual</v>
      </c>
      <c r="K256" s="60"/>
      <c r="L256" s="60"/>
      <c r="M256" s="60"/>
      <c r="N256" s="74" t="str">
        <f t="shared" si="3"/>
        <v>Não</v>
      </c>
    </row>
    <row r="257">
      <c r="A257" s="67" t="s">
        <v>43</v>
      </c>
      <c r="B257" s="60" t="s">
        <v>1440</v>
      </c>
      <c r="C257" s="60" t="s">
        <v>1441</v>
      </c>
      <c r="D257" s="62">
        <v>2025.0</v>
      </c>
      <c r="E257" s="71" t="s">
        <v>1442</v>
      </c>
      <c r="F257" s="60" t="s">
        <v>1443</v>
      </c>
      <c r="G257" s="60"/>
      <c r="H257" s="60"/>
      <c r="I257" s="60"/>
      <c r="J257" s="72" t="str">
        <f t="shared" si="1"/>
        <v/>
      </c>
      <c r="K257" s="60"/>
      <c r="L257" s="60"/>
      <c r="M257" s="60"/>
      <c r="N257" s="72" t="str">
        <f t="shared" si="3"/>
        <v/>
      </c>
    </row>
    <row r="258">
      <c r="A258" s="67" t="s">
        <v>43</v>
      </c>
      <c r="B258" s="60"/>
      <c r="C258" s="60" t="s">
        <v>1444</v>
      </c>
      <c r="D258" s="62">
        <v>2024.0</v>
      </c>
      <c r="E258" s="60"/>
      <c r="F258" s="60"/>
      <c r="G258" s="60"/>
      <c r="H258" s="60" t="s">
        <v>103</v>
      </c>
      <c r="I258" s="60" t="s">
        <v>103</v>
      </c>
      <c r="J258" s="73" t="str">
        <f t="shared" si="1"/>
        <v>Igual</v>
      </c>
      <c r="K258" s="60"/>
      <c r="L258" s="60"/>
      <c r="M258" s="60"/>
      <c r="N258" s="74" t="str">
        <f t="shared" si="3"/>
        <v>Não</v>
      </c>
    </row>
    <row r="259">
      <c r="A259" s="67" t="s">
        <v>43</v>
      </c>
      <c r="B259" s="60"/>
      <c r="C259" s="60" t="s">
        <v>1445</v>
      </c>
      <c r="D259" s="62">
        <v>2024.0</v>
      </c>
      <c r="E259" s="60"/>
      <c r="F259" s="60"/>
      <c r="G259" s="60"/>
      <c r="H259" s="60" t="s">
        <v>103</v>
      </c>
      <c r="I259" s="60" t="s">
        <v>103</v>
      </c>
      <c r="J259" s="73" t="str">
        <f t="shared" si="1"/>
        <v>Igual</v>
      </c>
      <c r="K259" s="60"/>
      <c r="L259" s="60"/>
      <c r="M259" s="60"/>
      <c r="N259" s="74" t="str">
        <f t="shared" si="3"/>
        <v>Não</v>
      </c>
    </row>
    <row r="260">
      <c r="A260" s="67" t="s">
        <v>43</v>
      </c>
      <c r="B260" s="60" t="s">
        <v>1446</v>
      </c>
      <c r="C260" s="60" t="s">
        <v>1447</v>
      </c>
      <c r="D260" s="62">
        <v>2024.0</v>
      </c>
      <c r="E260" s="71" t="s">
        <v>1448</v>
      </c>
      <c r="F260" s="60" t="s">
        <v>1449</v>
      </c>
      <c r="G260" s="60" t="s">
        <v>1450</v>
      </c>
      <c r="H260" s="60"/>
      <c r="I260" s="60"/>
      <c r="J260" s="72" t="str">
        <f t="shared" si="1"/>
        <v/>
      </c>
      <c r="K260" s="60"/>
      <c r="L260" s="60"/>
      <c r="M260" s="60"/>
      <c r="N260" s="72" t="str">
        <f t="shared" si="3"/>
        <v/>
      </c>
    </row>
    <row r="261">
      <c r="A261" s="67" t="s">
        <v>43</v>
      </c>
      <c r="B261" s="60"/>
      <c r="C261" s="60" t="s">
        <v>1451</v>
      </c>
      <c r="D261" s="62">
        <v>2024.0</v>
      </c>
      <c r="E261" s="60"/>
      <c r="F261" s="60"/>
      <c r="G261" s="60"/>
      <c r="H261" s="60" t="s">
        <v>103</v>
      </c>
      <c r="I261" s="60" t="s">
        <v>103</v>
      </c>
      <c r="J261" s="73" t="str">
        <f t="shared" si="1"/>
        <v>Igual</v>
      </c>
      <c r="K261" s="60"/>
      <c r="L261" s="60"/>
      <c r="M261" s="60"/>
      <c r="N261" s="74" t="str">
        <f t="shared" si="3"/>
        <v>Não</v>
      </c>
    </row>
    <row r="262">
      <c r="A262" s="67" t="s">
        <v>43</v>
      </c>
      <c r="B262" s="60"/>
      <c r="C262" s="60" t="s">
        <v>1452</v>
      </c>
      <c r="D262" s="62">
        <v>2023.0</v>
      </c>
      <c r="E262" s="60"/>
      <c r="F262" s="60"/>
      <c r="G262" s="60"/>
      <c r="H262" s="60" t="s">
        <v>103</v>
      </c>
      <c r="I262" s="60" t="s">
        <v>103</v>
      </c>
      <c r="J262" s="73" t="str">
        <f t="shared" si="1"/>
        <v>Igual</v>
      </c>
      <c r="K262" s="60"/>
      <c r="L262" s="60"/>
      <c r="M262" s="60"/>
      <c r="N262" s="74" t="str">
        <f t="shared" si="3"/>
        <v>Não</v>
      </c>
    </row>
    <row r="263">
      <c r="A263" s="67" t="s">
        <v>43</v>
      </c>
      <c r="B263" s="60" t="s">
        <v>1453</v>
      </c>
      <c r="C263" s="60" t="s">
        <v>1454</v>
      </c>
      <c r="D263" s="62">
        <v>2025.0</v>
      </c>
      <c r="E263" s="71" t="s">
        <v>1455</v>
      </c>
      <c r="F263" s="60" t="s">
        <v>1456</v>
      </c>
      <c r="G263" s="60" t="s">
        <v>1457</v>
      </c>
      <c r="H263" s="60"/>
      <c r="I263" s="60"/>
      <c r="J263" s="72" t="str">
        <f t="shared" si="1"/>
        <v/>
      </c>
      <c r="K263" s="60"/>
      <c r="L263" s="60"/>
      <c r="M263" s="60"/>
      <c r="N263" s="72" t="str">
        <f t="shared" si="3"/>
        <v/>
      </c>
    </row>
    <row r="264">
      <c r="A264" s="67" t="s">
        <v>43</v>
      </c>
      <c r="B264" s="60"/>
      <c r="C264" s="60" t="s">
        <v>1458</v>
      </c>
      <c r="D264" s="62">
        <v>2024.0</v>
      </c>
      <c r="E264" s="60"/>
      <c r="F264" s="60"/>
      <c r="G264" s="60"/>
      <c r="H264" s="60" t="s">
        <v>103</v>
      </c>
      <c r="I264" s="60" t="s">
        <v>103</v>
      </c>
      <c r="J264" s="73" t="str">
        <f t="shared" si="1"/>
        <v>Igual</v>
      </c>
      <c r="K264" s="60"/>
      <c r="L264" s="60"/>
      <c r="M264" s="60"/>
      <c r="N264" s="74" t="str">
        <f t="shared" si="3"/>
        <v>Não</v>
      </c>
    </row>
    <row r="265">
      <c r="A265" s="67" t="s">
        <v>43</v>
      </c>
      <c r="B265" s="60"/>
      <c r="C265" s="60" t="s">
        <v>1459</v>
      </c>
      <c r="D265" s="62">
        <v>2024.0</v>
      </c>
      <c r="E265" s="60"/>
      <c r="F265" s="60"/>
      <c r="G265" s="60"/>
      <c r="H265" s="60" t="s">
        <v>103</v>
      </c>
      <c r="I265" s="60" t="s">
        <v>103</v>
      </c>
      <c r="J265" s="73" t="str">
        <f t="shared" si="1"/>
        <v>Igual</v>
      </c>
      <c r="K265" s="60"/>
      <c r="L265" s="60"/>
      <c r="M265" s="60"/>
      <c r="N265" s="74" t="str">
        <f t="shared" si="3"/>
        <v>Não</v>
      </c>
    </row>
    <row r="266">
      <c r="A266" s="67" t="s">
        <v>43</v>
      </c>
      <c r="B266" s="60" t="s">
        <v>1460</v>
      </c>
      <c r="C266" s="60" t="s">
        <v>1461</v>
      </c>
      <c r="D266" s="62">
        <v>2023.0</v>
      </c>
      <c r="E266" s="71" t="s">
        <v>1462</v>
      </c>
      <c r="F266" s="60" t="s">
        <v>1463</v>
      </c>
      <c r="G266" s="60" t="s">
        <v>1464</v>
      </c>
      <c r="H266" s="60"/>
      <c r="I266" s="60"/>
      <c r="J266" s="72" t="str">
        <f t="shared" si="1"/>
        <v/>
      </c>
      <c r="K266" s="60"/>
      <c r="L266" s="60"/>
      <c r="M266" s="60"/>
      <c r="N266" s="72" t="str">
        <f t="shared" si="3"/>
        <v/>
      </c>
    </row>
    <row r="267">
      <c r="A267" s="67" t="s">
        <v>43</v>
      </c>
      <c r="B267" s="60" t="s">
        <v>1465</v>
      </c>
      <c r="C267" s="60" t="s">
        <v>1466</v>
      </c>
      <c r="D267" s="62">
        <v>2023.0</v>
      </c>
      <c r="E267" s="71" t="s">
        <v>1467</v>
      </c>
      <c r="F267" s="60" t="s">
        <v>1468</v>
      </c>
      <c r="G267" s="60" t="s">
        <v>1469</v>
      </c>
      <c r="H267" s="60"/>
      <c r="I267" s="60"/>
      <c r="J267" s="72" t="str">
        <f t="shared" si="1"/>
        <v/>
      </c>
      <c r="K267" s="60"/>
      <c r="L267" s="60"/>
      <c r="M267" s="60"/>
      <c r="N267" s="72" t="str">
        <f t="shared" si="3"/>
        <v/>
      </c>
    </row>
    <row r="268">
      <c r="A268" s="67" t="s">
        <v>43</v>
      </c>
      <c r="B268" s="60" t="s">
        <v>1470</v>
      </c>
      <c r="C268" s="60" t="s">
        <v>1471</v>
      </c>
      <c r="D268" s="62">
        <v>2024.0</v>
      </c>
      <c r="E268" s="71" t="s">
        <v>1472</v>
      </c>
      <c r="F268" s="60" t="s">
        <v>1473</v>
      </c>
      <c r="G268" s="60" t="s">
        <v>1474</v>
      </c>
      <c r="H268" s="60"/>
      <c r="I268" s="60"/>
      <c r="J268" s="72" t="str">
        <f t="shared" si="1"/>
        <v/>
      </c>
      <c r="K268" s="60"/>
      <c r="L268" s="60"/>
      <c r="M268" s="60"/>
      <c r="N268" s="72" t="str">
        <f t="shared" si="3"/>
        <v/>
      </c>
    </row>
    <row r="269">
      <c r="A269" s="67" t="s">
        <v>43</v>
      </c>
      <c r="B269" s="60"/>
      <c r="C269" s="60" t="s">
        <v>1475</v>
      </c>
      <c r="D269" s="62">
        <v>2025.0</v>
      </c>
      <c r="E269" s="60"/>
      <c r="F269" s="60"/>
      <c r="G269" s="60"/>
      <c r="H269" s="60" t="s">
        <v>103</v>
      </c>
      <c r="I269" s="60" t="s">
        <v>103</v>
      </c>
      <c r="J269" s="73" t="str">
        <f t="shared" si="1"/>
        <v>Igual</v>
      </c>
      <c r="K269" s="60"/>
      <c r="L269" s="60"/>
      <c r="M269" s="60"/>
      <c r="N269" s="74" t="str">
        <f t="shared" si="3"/>
        <v>Não</v>
      </c>
    </row>
    <row r="270">
      <c r="A270" s="67" t="s">
        <v>43</v>
      </c>
      <c r="B270" s="60" t="s">
        <v>1476</v>
      </c>
      <c r="C270" s="60" t="s">
        <v>1477</v>
      </c>
      <c r="D270" s="62">
        <v>2024.0</v>
      </c>
      <c r="E270" s="71" t="s">
        <v>1478</v>
      </c>
      <c r="F270" s="60" t="s">
        <v>1479</v>
      </c>
      <c r="G270" s="60"/>
      <c r="H270" s="60"/>
      <c r="I270" s="60"/>
      <c r="J270" s="72" t="str">
        <f t="shared" si="1"/>
        <v/>
      </c>
      <c r="K270" s="60"/>
      <c r="L270" s="60"/>
      <c r="M270" s="60"/>
      <c r="N270" s="72" t="str">
        <f t="shared" si="3"/>
        <v/>
      </c>
    </row>
    <row r="271">
      <c r="A271" s="67" t="s">
        <v>43</v>
      </c>
      <c r="B271" s="60"/>
      <c r="C271" s="60" t="s">
        <v>1480</v>
      </c>
      <c r="D271" s="62">
        <v>2025.0</v>
      </c>
      <c r="E271" s="60"/>
      <c r="F271" s="60"/>
      <c r="G271" s="60"/>
      <c r="H271" s="60" t="s">
        <v>103</v>
      </c>
      <c r="I271" s="60" t="s">
        <v>103</v>
      </c>
      <c r="J271" s="73" t="str">
        <f t="shared" si="1"/>
        <v>Igual</v>
      </c>
      <c r="K271" s="60"/>
      <c r="L271" s="60"/>
      <c r="M271" s="60"/>
      <c r="N271" s="74" t="str">
        <f t="shared" si="3"/>
        <v>Não</v>
      </c>
    </row>
    <row r="272">
      <c r="A272" s="67" t="s">
        <v>43</v>
      </c>
      <c r="B272" s="60"/>
      <c r="C272" s="60" t="s">
        <v>1481</v>
      </c>
      <c r="D272" s="62">
        <v>2025.0</v>
      </c>
      <c r="E272" s="60"/>
      <c r="F272" s="60"/>
      <c r="G272" s="60"/>
      <c r="H272" s="60" t="s">
        <v>103</v>
      </c>
      <c r="I272" s="60" t="s">
        <v>103</v>
      </c>
      <c r="J272" s="73" t="str">
        <f t="shared" si="1"/>
        <v>Igual</v>
      </c>
      <c r="K272" s="60"/>
      <c r="L272" s="60"/>
      <c r="M272" s="60"/>
      <c r="N272" s="74" t="str">
        <f t="shared" si="3"/>
        <v>Não</v>
      </c>
    </row>
    <row r="273">
      <c r="A273" s="67" t="s">
        <v>43</v>
      </c>
      <c r="B273" s="60"/>
      <c r="C273" s="60" t="s">
        <v>1482</v>
      </c>
      <c r="D273" s="62">
        <v>2024.0</v>
      </c>
      <c r="E273" s="60"/>
      <c r="F273" s="60"/>
      <c r="G273" s="60"/>
      <c r="H273" s="60" t="s">
        <v>103</v>
      </c>
      <c r="I273" s="60" t="s">
        <v>103</v>
      </c>
      <c r="J273" s="73" t="str">
        <f t="shared" si="1"/>
        <v>Igual</v>
      </c>
      <c r="K273" s="60"/>
      <c r="L273" s="60"/>
      <c r="M273" s="60"/>
      <c r="N273" s="74" t="str">
        <f t="shared" si="3"/>
        <v>Não</v>
      </c>
    </row>
    <row r="274">
      <c r="A274" s="67" t="s">
        <v>43</v>
      </c>
      <c r="B274" s="60" t="s">
        <v>1483</v>
      </c>
      <c r="C274" s="60" t="s">
        <v>1484</v>
      </c>
      <c r="D274" s="62">
        <v>2024.0</v>
      </c>
      <c r="E274" s="71" t="s">
        <v>1485</v>
      </c>
      <c r="F274" s="60" t="s">
        <v>1486</v>
      </c>
      <c r="G274" s="60" t="s">
        <v>1487</v>
      </c>
      <c r="H274" s="60"/>
      <c r="I274" s="60"/>
      <c r="J274" s="72" t="str">
        <f t="shared" si="1"/>
        <v/>
      </c>
      <c r="K274" s="60"/>
      <c r="L274" s="60"/>
      <c r="M274" s="60"/>
      <c r="N274" s="72" t="str">
        <f t="shared" si="3"/>
        <v/>
      </c>
    </row>
    <row r="275">
      <c r="A275" s="67" t="s">
        <v>43</v>
      </c>
      <c r="B275" s="60"/>
      <c r="C275" s="60" t="s">
        <v>1488</v>
      </c>
      <c r="D275" s="62">
        <v>2025.0</v>
      </c>
      <c r="E275" s="60"/>
      <c r="F275" s="60"/>
      <c r="G275" s="60"/>
      <c r="H275" s="60" t="s">
        <v>103</v>
      </c>
      <c r="I275" s="60" t="s">
        <v>103</v>
      </c>
      <c r="J275" s="73" t="str">
        <f t="shared" si="1"/>
        <v>Igual</v>
      </c>
      <c r="K275" s="60"/>
      <c r="L275" s="60"/>
      <c r="M275" s="60"/>
      <c r="N275" s="74" t="str">
        <f t="shared" si="3"/>
        <v>Não</v>
      </c>
    </row>
    <row r="276">
      <c r="A276" s="67" t="s">
        <v>43</v>
      </c>
      <c r="B276" s="60" t="s">
        <v>1489</v>
      </c>
      <c r="C276" s="60" t="s">
        <v>1490</v>
      </c>
      <c r="D276" s="62">
        <v>2020.0</v>
      </c>
      <c r="E276" s="71" t="s">
        <v>1491</v>
      </c>
      <c r="F276" s="60" t="s">
        <v>1492</v>
      </c>
      <c r="G276" s="60" t="s">
        <v>1493</v>
      </c>
      <c r="H276" s="60"/>
      <c r="I276" s="60"/>
      <c r="J276" s="72" t="str">
        <f t="shared" si="1"/>
        <v/>
      </c>
      <c r="K276" s="60"/>
      <c r="L276" s="60"/>
      <c r="M276" s="60"/>
      <c r="N276" s="72" t="str">
        <f t="shared" si="3"/>
        <v/>
      </c>
    </row>
    <row r="277">
      <c r="A277" s="67" t="s">
        <v>43</v>
      </c>
      <c r="B277" s="60" t="s">
        <v>1494</v>
      </c>
      <c r="C277" s="60" t="s">
        <v>1495</v>
      </c>
      <c r="D277" s="62">
        <v>2022.0</v>
      </c>
      <c r="E277" s="71" t="s">
        <v>1496</v>
      </c>
      <c r="F277" s="60" t="s">
        <v>1497</v>
      </c>
      <c r="G277" s="60" t="s">
        <v>1498</v>
      </c>
      <c r="H277" s="60"/>
      <c r="I277" s="60"/>
      <c r="J277" s="72" t="str">
        <f t="shared" si="1"/>
        <v/>
      </c>
      <c r="K277" s="60"/>
      <c r="L277" s="60"/>
      <c r="M277" s="60"/>
      <c r="N277" s="72" t="str">
        <f t="shared" si="3"/>
        <v/>
      </c>
    </row>
    <row r="278">
      <c r="A278" s="67" t="s">
        <v>43</v>
      </c>
      <c r="B278" s="60" t="s">
        <v>1499</v>
      </c>
      <c r="C278" s="60" t="s">
        <v>1500</v>
      </c>
      <c r="D278" s="62">
        <v>2025.0</v>
      </c>
      <c r="E278" s="71" t="s">
        <v>1501</v>
      </c>
      <c r="F278" s="60" t="s">
        <v>1502</v>
      </c>
      <c r="G278" s="60" t="s">
        <v>1503</v>
      </c>
      <c r="H278" s="60"/>
      <c r="I278" s="60"/>
      <c r="J278" s="72" t="str">
        <f t="shared" si="1"/>
        <v/>
      </c>
      <c r="K278" s="60"/>
      <c r="L278" s="60"/>
      <c r="M278" s="60"/>
      <c r="N278" s="72" t="str">
        <f t="shared" si="3"/>
        <v/>
      </c>
    </row>
    <row r="279">
      <c r="A279" s="67" t="s">
        <v>43</v>
      </c>
      <c r="B279" s="60"/>
      <c r="C279" s="60" t="s">
        <v>1504</v>
      </c>
      <c r="D279" s="62">
        <v>2024.0</v>
      </c>
      <c r="E279" s="60"/>
      <c r="F279" s="60"/>
      <c r="G279" s="60"/>
      <c r="H279" s="60" t="s">
        <v>103</v>
      </c>
      <c r="I279" s="60" t="s">
        <v>103</v>
      </c>
      <c r="J279" s="73" t="str">
        <f t="shared" si="1"/>
        <v>Igual</v>
      </c>
      <c r="K279" s="60"/>
      <c r="L279" s="60"/>
      <c r="M279" s="60"/>
      <c r="N279" s="74" t="str">
        <f t="shared" si="3"/>
        <v>Não</v>
      </c>
    </row>
    <row r="280">
      <c r="A280" s="67" t="s">
        <v>43</v>
      </c>
      <c r="B280" s="60"/>
      <c r="C280" s="60" t="s">
        <v>1505</v>
      </c>
      <c r="D280" s="62">
        <v>2023.0</v>
      </c>
      <c r="E280" s="60"/>
      <c r="F280" s="60"/>
      <c r="G280" s="60"/>
      <c r="H280" s="60" t="s">
        <v>103</v>
      </c>
      <c r="I280" s="60" t="s">
        <v>103</v>
      </c>
      <c r="J280" s="73" t="str">
        <f t="shared" si="1"/>
        <v>Igual</v>
      </c>
      <c r="K280" s="60"/>
      <c r="L280" s="60"/>
      <c r="M280" s="60"/>
      <c r="N280" s="74" t="str">
        <f t="shared" si="3"/>
        <v>Não</v>
      </c>
    </row>
    <row r="281">
      <c r="A281" s="67" t="s">
        <v>43</v>
      </c>
      <c r="B281" s="60"/>
      <c r="C281" s="60" t="s">
        <v>1506</v>
      </c>
      <c r="D281" s="62">
        <v>2025.0</v>
      </c>
      <c r="E281" s="60"/>
      <c r="F281" s="60"/>
      <c r="G281" s="60"/>
      <c r="H281" s="60" t="s">
        <v>103</v>
      </c>
      <c r="I281" s="60" t="s">
        <v>103</v>
      </c>
      <c r="J281" s="73" t="str">
        <f t="shared" si="1"/>
        <v>Igual</v>
      </c>
      <c r="K281" s="60"/>
      <c r="L281" s="60"/>
      <c r="M281" s="60"/>
      <c r="N281" s="74" t="str">
        <f t="shared" si="3"/>
        <v>Não</v>
      </c>
    </row>
    <row r="282">
      <c r="A282" s="67" t="s">
        <v>43</v>
      </c>
      <c r="B282" s="60"/>
      <c r="C282" s="60" t="s">
        <v>1507</v>
      </c>
      <c r="D282" s="62">
        <v>2024.0</v>
      </c>
      <c r="E282" s="60"/>
      <c r="F282" s="60"/>
      <c r="G282" s="60"/>
      <c r="H282" s="60" t="s">
        <v>103</v>
      </c>
      <c r="I282" s="60" t="s">
        <v>103</v>
      </c>
      <c r="J282" s="73" t="str">
        <f t="shared" si="1"/>
        <v>Igual</v>
      </c>
      <c r="K282" s="60"/>
      <c r="L282" s="60"/>
      <c r="M282" s="60"/>
      <c r="N282" s="74" t="str">
        <f t="shared" si="3"/>
        <v>Não</v>
      </c>
    </row>
    <row r="283">
      <c r="A283" s="67" t="s">
        <v>43</v>
      </c>
      <c r="B283" s="60"/>
      <c r="C283" s="60" t="s">
        <v>1508</v>
      </c>
      <c r="D283" s="62">
        <v>2024.0</v>
      </c>
      <c r="E283" s="60"/>
      <c r="F283" s="60"/>
      <c r="G283" s="60"/>
      <c r="H283" s="60" t="s">
        <v>103</v>
      </c>
      <c r="I283" s="60" t="s">
        <v>103</v>
      </c>
      <c r="J283" s="73" t="str">
        <f t="shared" si="1"/>
        <v>Igual</v>
      </c>
      <c r="K283" s="60"/>
      <c r="L283" s="60"/>
      <c r="M283" s="60"/>
      <c r="N283" s="74" t="str">
        <f t="shared" si="3"/>
        <v>Não</v>
      </c>
    </row>
    <row r="284">
      <c r="A284" s="67" t="s">
        <v>43</v>
      </c>
      <c r="B284" s="60"/>
      <c r="C284" s="60" t="s">
        <v>1509</v>
      </c>
      <c r="D284" s="62">
        <v>2024.0</v>
      </c>
      <c r="E284" s="60"/>
      <c r="F284" s="60" t="s">
        <v>1510</v>
      </c>
      <c r="G284" s="60"/>
      <c r="H284" s="60"/>
      <c r="I284" s="60"/>
      <c r="J284" s="72" t="str">
        <f t="shared" si="1"/>
        <v/>
      </c>
      <c r="K284" s="60"/>
      <c r="L284" s="60"/>
      <c r="M284" s="60"/>
      <c r="N284" s="72" t="str">
        <f t="shared" si="3"/>
        <v/>
      </c>
    </row>
    <row r="285">
      <c r="A285" s="67" t="s">
        <v>43</v>
      </c>
      <c r="B285" s="60"/>
      <c r="C285" s="60" t="s">
        <v>1511</v>
      </c>
      <c r="D285" s="62">
        <v>2025.0</v>
      </c>
      <c r="E285" s="60"/>
      <c r="F285" s="60"/>
      <c r="G285" s="60"/>
      <c r="H285" s="60" t="s">
        <v>103</v>
      </c>
      <c r="I285" s="60" t="s">
        <v>103</v>
      </c>
      <c r="J285" s="73" t="str">
        <f t="shared" si="1"/>
        <v>Igual</v>
      </c>
      <c r="K285" s="60"/>
      <c r="L285" s="60"/>
      <c r="M285" s="60"/>
      <c r="N285" s="74" t="str">
        <f t="shared" si="3"/>
        <v>Não</v>
      </c>
    </row>
    <row r="286">
      <c r="A286" s="67" t="s">
        <v>43</v>
      </c>
      <c r="B286" s="60" t="s">
        <v>1512</v>
      </c>
      <c r="C286" s="60" t="s">
        <v>1513</v>
      </c>
      <c r="D286" s="62">
        <v>2025.0</v>
      </c>
      <c r="E286" s="71" t="s">
        <v>1514</v>
      </c>
      <c r="F286" s="60" t="s">
        <v>1515</v>
      </c>
      <c r="G286" s="60" t="s">
        <v>1516</v>
      </c>
      <c r="H286" s="60"/>
      <c r="I286" s="60"/>
      <c r="J286" s="72" t="str">
        <f t="shared" si="1"/>
        <v/>
      </c>
      <c r="K286" s="60"/>
      <c r="L286" s="60"/>
      <c r="M286" s="60"/>
      <c r="N286" s="72" t="str">
        <f t="shared" si="3"/>
        <v/>
      </c>
    </row>
    <row r="287">
      <c r="A287" s="67" t="s">
        <v>43</v>
      </c>
      <c r="B287" s="60" t="s">
        <v>1517</v>
      </c>
      <c r="C287" s="60" t="s">
        <v>1518</v>
      </c>
      <c r="D287" s="62">
        <v>2022.0</v>
      </c>
      <c r="E287" s="71" t="s">
        <v>1519</v>
      </c>
      <c r="F287" s="60" t="s">
        <v>1520</v>
      </c>
      <c r="G287" s="60" t="s">
        <v>1521</v>
      </c>
      <c r="H287" s="60"/>
      <c r="I287" s="60"/>
      <c r="J287" s="72" t="str">
        <f t="shared" si="1"/>
        <v/>
      </c>
      <c r="K287" s="60"/>
      <c r="L287" s="60"/>
      <c r="M287" s="60"/>
      <c r="N287" s="72" t="str">
        <f t="shared" si="3"/>
        <v/>
      </c>
    </row>
    <row r="288">
      <c r="A288" s="67" t="s">
        <v>43</v>
      </c>
      <c r="B288" s="60" t="s">
        <v>1522</v>
      </c>
      <c r="C288" s="60" t="s">
        <v>1523</v>
      </c>
      <c r="D288" s="62">
        <v>2024.0</v>
      </c>
      <c r="E288" s="71" t="s">
        <v>1524</v>
      </c>
      <c r="F288" s="60" t="s">
        <v>1525</v>
      </c>
      <c r="G288" s="60" t="s">
        <v>1526</v>
      </c>
      <c r="H288" s="60"/>
      <c r="I288" s="60"/>
      <c r="J288" s="72" t="str">
        <f t="shared" si="1"/>
        <v/>
      </c>
      <c r="K288" s="60"/>
      <c r="L288" s="60"/>
      <c r="M288" s="60"/>
      <c r="N288" s="72" t="str">
        <f t="shared" si="3"/>
        <v/>
      </c>
    </row>
    <row r="289">
      <c r="A289" s="67" t="s">
        <v>43</v>
      </c>
      <c r="B289" s="60" t="s">
        <v>1527</v>
      </c>
      <c r="C289" s="60" t="s">
        <v>1528</v>
      </c>
      <c r="D289" s="62">
        <v>2025.0</v>
      </c>
      <c r="E289" s="71" t="s">
        <v>1529</v>
      </c>
      <c r="F289" s="60" t="s">
        <v>1530</v>
      </c>
      <c r="G289" s="60" t="s">
        <v>1531</v>
      </c>
      <c r="H289" s="60"/>
      <c r="I289" s="60"/>
      <c r="J289" s="72" t="str">
        <f t="shared" si="1"/>
        <v/>
      </c>
      <c r="K289" s="60"/>
      <c r="L289" s="60"/>
      <c r="M289" s="60"/>
      <c r="N289" s="72" t="str">
        <f t="shared" si="3"/>
        <v/>
      </c>
    </row>
    <row r="290">
      <c r="A290" s="67" t="s">
        <v>43</v>
      </c>
      <c r="B290" s="60"/>
      <c r="C290" s="60" t="s">
        <v>1532</v>
      </c>
      <c r="D290" s="62">
        <v>2023.0</v>
      </c>
      <c r="E290" s="60"/>
      <c r="F290" s="60"/>
      <c r="G290" s="60"/>
      <c r="H290" s="60" t="s">
        <v>103</v>
      </c>
      <c r="I290" s="60" t="s">
        <v>103</v>
      </c>
      <c r="J290" s="73" t="str">
        <f t="shared" si="1"/>
        <v>Igual</v>
      </c>
      <c r="K290" s="60"/>
      <c r="L290" s="60"/>
      <c r="M290" s="60"/>
      <c r="N290" s="74" t="str">
        <f t="shared" si="3"/>
        <v>Não</v>
      </c>
    </row>
    <row r="291">
      <c r="A291" s="67" t="s">
        <v>43</v>
      </c>
      <c r="B291" s="60"/>
      <c r="C291" s="60" t="s">
        <v>1533</v>
      </c>
      <c r="D291" s="62">
        <v>2023.0</v>
      </c>
      <c r="E291" s="60"/>
      <c r="F291" s="60"/>
      <c r="G291" s="60"/>
      <c r="H291" s="60" t="s">
        <v>103</v>
      </c>
      <c r="I291" s="60" t="s">
        <v>103</v>
      </c>
      <c r="J291" s="73" t="str">
        <f t="shared" si="1"/>
        <v>Igual</v>
      </c>
      <c r="K291" s="60"/>
      <c r="L291" s="60"/>
      <c r="M291" s="60"/>
      <c r="N291" s="74" t="str">
        <f t="shared" si="3"/>
        <v>Não</v>
      </c>
    </row>
    <row r="292">
      <c r="A292" s="67" t="s">
        <v>43</v>
      </c>
      <c r="B292" s="60" t="s">
        <v>1534</v>
      </c>
      <c r="C292" s="60" t="s">
        <v>1535</v>
      </c>
      <c r="D292" s="62">
        <v>2025.0</v>
      </c>
      <c r="E292" s="71" t="s">
        <v>1536</v>
      </c>
      <c r="F292" s="60" t="s">
        <v>1537</v>
      </c>
      <c r="G292" s="60" t="s">
        <v>1538</v>
      </c>
      <c r="H292" s="60"/>
      <c r="I292" s="60"/>
      <c r="J292" s="72" t="str">
        <f t="shared" si="1"/>
        <v/>
      </c>
      <c r="K292" s="60"/>
      <c r="L292" s="60"/>
      <c r="M292" s="60"/>
      <c r="N292" s="72" t="str">
        <f t="shared" si="3"/>
        <v/>
      </c>
    </row>
    <row r="293">
      <c r="A293" s="67" t="s">
        <v>43</v>
      </c>
      <c r="B293" s="60" t="s">
        <v>1539</v>
      </c>
      <c r="C293" s="60" t="s">
        <v>1540</v>
      </c>
      <c r="D293" s="62">
        <v>2025.0</v>
      </c>
      <c r="E293" s="71" t="s">
        <v>1541</v>
      </c>
      <c r="F293" s="60" t="s">
        <v>1542</v>
      </c>
      <c r="G293" s="60" t="s">
        <v>1543</v>
      </c>
      <c r="H293" s="60"/>
      <c r="I293" s="60"/>
      <c r="J293" s="72" t="str">
        <f t="shared" si="1"/>
        <v/>
      </c>
      <c r="K293" s="60"/>
      <c r="L293" s="60"/>
      <c r="M293" s="60"/>
      <c r="N293" s="72" t="str">
        <f t="shared" si="3"/>
        <v/>
      </c>
    </row>
    <row r="294">
      <c r="A294" s="67" t="s">
        <v>43</v>
      </c>
      <c r="B294" s="60"/>
      <c r="C294" s="60" t="s">
        <v>1544</v>
      </c>
      <c r="D294" s="62">
        <v>2023.0</v>
      </c>
      <c r="E294" s="60"/>
      <c r="F294" s="60"/>
      <c r="G294" s="60"/>
      <c r="H294" s="60" t="s">
        <v>103</v>
      </c>
      <c r="I294" s="60" t="s">
        <v>103</v>
      </c>
      <c r="J294" s="73" t="str">
        <f t="shared" si="1"/>
        <v>Igual</v>
      </c>
      <c r="K294" s="60"/>
      <c r="L294" s="60"/>
      <c r="M294" s="60"/>
      <c r="N294" s="74" t="str">
        <f t="shared" si="3"/>
        <v>Não</v>
      </c>
    </row>
    <row r="295">
      <c r="A295" s="67" t="s">
        <v>43</v>
      </c>
      <c r="B295" s="60" t="s">
        <v>1545</v>
      </c>
      <c r="C295" s="60" t="s">
        <v>1546</v>
      </c>
      <c r="D295" s="62">
        <v>2023.0</v>
      </c>
      <c r="E295" s="71" t="s">
        <v>1547</v>
      </c>
      <c r="F295" s="60" t="s">
        <v>1548</v>
      </c>
      <c r="G295" s="60" t="s">
        <v>1549</v>
      </c>
      <c r="H295" s="60"/>
      <c r="I295" s="60"/>
      <c r="J295" s="72" t="str">
        <f t="shared" si="1"/>
        <v/>
      </c>
      <c r="K295" s="60"/>
      <c r="L295" s="60"/>
      <c r="M295" s="60"/>
      <c r="N295" s="72" t="str">
        <f t="shared" si="3"/>
        <v/>
      </c>
    </row>
    <row r="296">
      <c r="A296" s="67" t="s">
        <v>43</v>
      </c>
      <c r="B296" s="60" t="s">
        <v>1550</v>
      </c>
      <c r="C296" s="60" t="s">
        <v>1551</v>
      </c>
      <c r="D296" s="62">
        <v>2025.0</v>
      </c>
      <c r="E296" s="71" t="s">
        <v>1552</v>
      </c>
      <c r="F296" s="60" t="s">
        <v>1553</v>
      </c>
      <c r="G296" s="60" t="s">
        <v>1554</v>
      </c>
      <c r="H296" s="60"/>
      <c r="I296" s="60"/>
      <c r="J296" s="72" t="str">
        <f t="shared" si="1"/>
        <v/>
      </c>
      <c r="K296" s="60"/>
      <c r="L296" s="60"/>
      <c r="M296" s="60"/>
      <c r="N296" s="72" t="str">
        <f t="shared" si="3"/>
        <v/>
      </c>
    </row>
    <row r="297">
      <c r="A297" s="67" t="s">
        <v>43</v>
      </c>
      <c r="B297" s="60"/>
      <c r="C297" s="60" t="s">
        <v>1555</v>
      </c>
      <c r="D297" s="62">
        <v>2023.0</v>
      </c>
      <c r="E297" s="60"/>
      <c r="F297" s="60"/>
      <c r="G297" s="60"/>
      <c r="H297" s="60" t="s">
        <v>103</v>
      </c>
      <c r="I297" s="60" t="s">
        <v>103</v>
      </c>
      <c r="J297" s="73" t="str">
        <f t="shared" si="1"/>
        <v>Igual</v>
      </c>
      <c r="K297" s="60"/>
      <c r="L297" s="60"/>
      <c r="M297" s="60"/>
      <c r="N297" s="74" t="str">
        <f t="shared" si="3"/>
        <v>Não</v>
      </c>
    </row>
    <row r="298">
      <c r="A298" s="67" t="s">
        <v>43</v>
      </c>
      <c r="B298" s="60"/>
      <c r="C298" s="60" t="s">
        <v>1556</v>
      </c>
      <c r="D298" s="62">
        <v>2025.0</v>
      </c>
      <c r="E298" s="60"/>
      <c r="F298" s="60" t="s">
        <v>1557</v>
      </c>
      <c r="G298" s="60"/>
      <c r="H298" s="60" t="s">
        <v>103</v>
      </c>
      <c r="I298" s="60" t="s">
        <v>103</v>
      </c>
      <c r="J298" s="73" t="str">
        <f t="shared" si="1"/>
        <v>Igual</v>
      </c>
      <c r="K298" s="60"/>
      <c r="L298" s="60"/>
      <c r="M298" s="60"/>
      <c r="N298" s="74" t="str">
        <f t="shared" si="3"/>
        <v>Não</v>
      </c>
    </row>
    <row r="299">
      <c r="A299" s="67" t="s">
        <v>43</v>
      </c>
      <c r="B299" s="60" t="s">
        <v>1558</v>
      </c>
      <c r="C299" s="60" t="s">
        <v>1559</v>
      </c>
      <c r="D299" s="62">
        <v>2024.0</v>
      </c>
      <c r="E299" s="71" t="s">
        <v>1560</v>
      </c>
      <c r="F299" s="60" t="s">
        <v>1561</v>
      </c>
      <c r="G299" s="60" t="s">
        <v>1562</v>
      </c>
      <c r="H299" s="60"/>
      <c r="I299" s="60"/>
      <c r="J299" s="72" t="str">
        <f t="shared" si="1"/>
        <v/>
      </c>
      <c r="K299" s="60"/>
      <c r="L299" s="60"/>
      <c r="M299" s="60"/>
      <c r="N299" s="72" t="str">
        <f t="shared" si="3"/>
        <v/>
      </c>
    </row>
    <row r="300">
      <c r="A300" s="67" t="s">
        <v>43</v>
      </c>
      <c r="B300" s="60" t="s">
        <v>1563</v>
      </c>
      <c r="C300" s="60" t="s">
        <v>1564</v>
      </c>
      <c r="D300" s="62">
        <v>2021.0</v>
      </c>
      <c r="E300" s="71" t="s">
        <v>1565</v>
      </c>
      <c r="F300" s="60" t="s">
        <v>1566</v>
      </c>
      <c r="G300" s="60" t="s">
        <v>1567</v>
      </c>
      <c r="H300" s="60"/>
      <c r="I300" s="60"/>
      <c r="J300" s="72" t="str">
        <f t="shared" si="1"/>
        <v/>
      </c>
      <c r="K300" s="60"/>
      <c r="L300" s="60"/>
      <c r="M300" s="60"/>
      <c r="N300" s="72" t="str">
        <f t="shared" si="3"/>
        <v/>
      </c>
    </row>
    <row r="301">
      <c r="A301" s="67" t="s">
        <v>43</v>
      </c>
      <c r="B301" s="60"/>
      <c r="C301" s="60" t="s">
        <v>1568</v>
      </c>
      <c r="D301" s="62">
        <v>2021.0</v>
      </c>
      <c r="E301" s="60"/>
      <c r="F301" s="60"/>
      <c r="G301" s="60"/>
      <c r="H301" s="60" t="s">
        <v>103</v>
      </c>
      <c r="I301" s="60" t="s">
        <v>103</v>
      </c>
      <c r="J301" s="73" t="str">
        <f t="shared" si="1"/>
        <v>Igual</v>
      </c>
      <c r="K301" s="60"/>
      <c r="L301" s="60"/>
      <c r="M301" s="60"/>
      <c r="N301" s="74" t="str">
        <f t="shared" si="3"/>
        <v>Não</v>
      </c>
    </row>
    <row r="302">
      <c r="A302" s="67" t="s">
        <v>43</v>
      </c>
      <c r="B302" s="60" t="s">
        <v>1569</v>
      </c>
      <c r="C302" s="60" t="s">
        <v>1570</v>
      </c>
      <c r="D302" s="62">
        <v>2023.0</v>
      </c>
      <c r="E302" s="71" t="s">
        <v>1571</v>
      </c>
      <c r="F302" s="60" t="s">
        <v>1572</v>
      </c>
      <c r="G302" s="60" t="s">
        <v>1376</v>
      </c>
      <c r="H302" s="60"/>
      <c r="I302" s="60"/>
      <c r="J302" s="72" t="str">
        <f t="shared" si="1"/>
        <v/>
      </c>
      <c r="K302" s="60"/>
      <c r="L302" s="60"/>
      <c r="M302" s="60"/>
      <c r="N302" s="72" t="str">
        <f t="shared" si="3"/>
        <v/>
      </c>
    </row>
    <row r="303">
      <c r="A303" s="67" t="s">
        <v>43</v>
      </c>
      <c r="B303" s="60"/>
      <c r="C303" s="60" t="s">
        <v>1573</v>
      </c>
      <c r="D303" s="62">
        <v>2024.0</v>
      </c>
      <c r="E303" s="60"/>
      <c r="F303" s="60"/>
      <c r="G303" s="60"/>
      <c r="H303" s="60" t="s">
        <v>103</v>
      </c>
      <c r="I303" s="60" t="s">
        <v>103</v>
      </c>
      <c r="J303" s="73" t="str">
        <f t="shared" si="1"/>
        <v>Igual</v>
      </c>
      <c r="K303" s="60"/>
      <c r="L303" s="60"/>
      <c r="M303" s="60"/>
      <c r="N303" s="74" t="str">
        <f t="shared" si="3"/>
        <v>Não</v>
      </c>
    </row>
    <row r="304">
      <c r="A304" s="67" t="s">
        <v>43</v>
      </c>
      <c r="B304" s="60" t="s">
        <v>1574</v>
      </c>
      <c r="C304" s="60" t="s">
        <v>1575</v>
      </c>
      <c r="D304" s="62">
        <v>2025.0</v>
      </c>
      <c r="E304" s="71" t="s">
        <v>1576</v>
      </c>
      <c r="F304" s="60" t="s">
        <v>1577</v>
      </c>
      <c r="G304" s="60" t="s">
        <v>1578</v>
      </c>
      <c r="H304" s="60"/>
      <c r="I304" s="60"/>
      <c r="J304" s="72" t="str">
        <f t="shared" si="1"/>
        <v/>
      </c>
      <c r="K304" s="60"/>
      <c r="L304" s="60"/>
      <c r="M304" s="60"/>
      <c r="N304" s="72" t="str">
        <f t="shared" si="3"/>
        <v/>
      </c>
    </row>
    <row r="305">
      <c r="A305" s="67" t="s">
        <v>43</v>
      </c>
      <c r="B305" s="60"/>
      <c r="C305" s="60" t="s">
        <v>1579</v>
      </c>
      <c r="D305" s="62">
        <v>2023.0</v>
      </c>
      <c r="E305" s="60"/>
      <c r="F305" s="60"/>
      <c r="G305" s="60"/>
      <c r="H305" s="60" t="s">
        <v>103</v>
      </c>
      <c r="I305" s="60" t="s">
        <v>103</v>
      </c>
      <c r="J305" s="73" t="str">
        <f t="shared" si="1"/>
        <v>Igual</v>
      </c>
      <c r="K305" s="60"/>
      <c r="L305" s="60"/>
      <c r="M305" s="60"/>
      <c r="N305" s="74" t="str">
        <f t="shared" si="3"/>
        <v>Não</v>
      </c>
    </row>
    <row r="306">
      <c r="A306" s="67" t="s">
        <v>43</v>
      </c>
      <c r="B306" s="60"/>
      <c r="C306" s="60" t="s">
        <v>1580</v>
      </c>
      <c r="D306" s="62">
        <v>2025.0</v>
      </c>
      <c r="E306" s="60"/>
      <c r="F306" s="60"/>
      <c r="G306" s="60"/>
      <c r="H306" s="60" t="s">
        <v>103</v>
      </c>
      <c r="I306" s="60" t="s">
        <v>103</v>
      </c>
      <c r="J306" s="73" t="str">
        <f t="shared" si="1"/>
        <v>Igual</v>
      </c>
      <c r="K306" s="60"/>
      <c r="L306" s="60"/>
      <c r="M306" s="60"/>
      <c r="N306" s="74" t="str">
        <f t="shared" si="3"/>
        <v>Não</v>
      </c>
    </row>
    <row r="307">
      <c r="A307" s="67" t="s">
        <v>43</v>
      </c>
      <c r="B307" s="60" t="s">
        <v>1581</v>
      </c>
      <c r="C307" s="60" t="s">
        <v>1582</v>
      </c>
      <c r="D307" s="62">
        <v>2020.0</v>
      </c>
      <c r="E307" s="71" t="s">
        <v>1583</v>
      </c>
      <c r="F307" s="60" t="s">
        <v>1584</v>
      </c>
      <c r="G307" s="60" t="s">
        <v>1585</v>
      </c>
      <c r="H307" s="60"/>
      <c r="I307" s="60"/>
      <c r="J307" s="72" t="str">
        <f t="shared" si="1"/>
        <v/>
      </c>
      <c r="K307" s="60"/>
      <c r="L307" s="60"/>
      <c r="M307" s="60"/>
      <c r="N307" s="72" t="str">
        <f t="shared" si="3"/>
        <v/>
      </c>
    </row>
    <row r="308">
      <c r="A308" s="67" t="s">
        <v>43</v>
      </c>
      <c r="B308" s="60" t="s">
        <v>1586</v>
      </c>
      <c r="C308" s="60" t="s">
        <v>1587</v>
      </c>
      <c r="D308" s="62">
        <v>2025.0</v>
      </c>
      <c r="E308" s="60"/>
      <c r="F308" s="60" t="s">
        <v>1588</v>
      </c>
      <c r="G308" s="60" t="s">
        <v>1589</v>
      </c>
      <c r="H308" s="60"/>
      <c r="I308" s="60"/>
      <c r="J308" s="72" t="str">
        <f t="shared" si="1"/>
        <v/>
      </c>
      <c r="K308" s="60"/>
      <c r="L308" s="60"/>
      <c r="M308" s="60"/>
      <c r="N308" s="72" t="str">
        <f t="shared" si="3"/>
        <v/>
      </c>
    </row>
    <row r="309">
      <c r="A309" s="67" t="s">
        <v>43</v>
      </c>
      <c r="B309" s="60" t="s">
        <v>1590</v>
      </c>
      <c r="C309" s="60" t="s">
        <v>1591</v>
      </c>
      <c r="D309" s="62">
        <v>2025.0</v>
      </c>
      <c r="E309" s="71" t="s">
        <v>1592</v>
      </c>
      <c r="F309" s="60" t="s">
        <v>1593</v>
      </c>
      <c r="G309" s="60" t="s">
        <v>1594</v>
      </c>
      <c r="H309" s="60"/>
      <c r="I309" s="60"/>
      <c r="J309" s="72" t="str">
        <f t="shared" si="1"/>
        <v/>
      </c>
      <c r="K309" s="60"/>
      <c r="L309" s="60"/>
      <c r="M309" s="60"/>
      <c r="N309" s="72" t="str">
        <f t="shared" si="3"/>
        <v/>
      </c>
    </row>
    <row r="310">
      <c r="A310" s="67" t="s">
        <v>43</v>
      </c>
      <c r="B310" s="60"/>
      <c r="C310" s="60" t="s">
        <v>1595</v>
      </c>
      <c r="D310" s="62">
        <v>2024.0</v>
      </c>
      <c r="E310" s="60"/>
      <c r="F310" s="60"/>
      <c r="G310" s="60"/>
      <c r="H310" s="60" t="s">
        <v>103</v>
      </c>
      <c r="I310" s="60" t="s">
        <v>103</v>
      </c>
      <c r="J310" s="73" t="str">
        <f t="shared" si="1"/>
        <v>Igual</v>
      </c>
      <c r="K310" s="60"/>
      <c r="L310" s="60"/>
      <c r="M310" s="60"/>
      <c r="N310" s="74" t="str">
        <f t="shared" si="3"/>
        <v>Não</v>
      </c>
    </row>
    <row r="311">
      <c r="A311" s="67" t="s">
        <v>43</v>
      </c>
      <c r="B311" s="60" t="s">
        <v>1596</v>
      </c>
      <c r="C311" s="60" t="s">
        <v>1597</v>
      </c>
      <c r="D311" s="62">
        <v>2024.0</v>
      </c>
      <c r="E311" s="60"/>
      <c r="F311" s="60" t="s">
        <v>1409</v>
      </c>
      <c r="G311" s="60"/>
      <c r="H311" s="60" t="s">
        <v>103</v>
      </c>
      <c r="I311" s="60" t="s">
        <v>103</v>
      </c>
      <c r="J311" s="73" t="str">
        <f t="shared" si="1"/>
        <v>Igual</v>
      </c>
      <c r="K311" s="60"/>
      <c r="L311" s="60"/>
      <c r="M311" s="60"/>
      <c r="N311" s="74" t="str">
        <f t="shared" si="3"/>
        <v>Não</v>
      </c>
    </row>
    <row r="312">
      <c r="A312" s="67" t="s">
        <v>43</v>
      </c>
      <c r="B312" s="60" t="s">
        <v>1598</v>
      </c>
      <c r="C312" s="60" t="s">
        <v>1599</v>
      </c>
      <c r="D312" s="62">
        <v>2021.0</v>
      </c>
      <c r="E312" s="71" t="s">
        <v>1600</v>
      </c>
      <c r="F312" s="60" t="s">
        <v>1601</v>
      </c>
      <c r="G312" s="60" t="s">
        <v>1602</v>
      </c>
      <c r="H312" s="60"/>
      <c r="I312" s="60"/>
      <c r="J312" s="72" t="str">
        <f t="shared" si="1"/>
        <v/>
      </c>
      <c r="K312" s="60"/>
      <c r="L312" s="60"/>
      <c r="M312" s="60"/>
      <c r="N312" s="72" t="str">
        <f t="shared" si="3"/>
        <v/>
      </c>
    </row>
    <row r="313">
      <c r="A313" s="67" t="s">
        <v>43</v>
      </c>
      <c r="B313" s="60" t="s">
        <v>1603</v>
      </c>
      <c r="C313" s="60" t="s">
        <v>1604</v>
      </c>
      <c r="D313" s="62">
        <v>2021.0</v>
      </c>
      <c r="E313" s="71" t="s">
        <v>1605</v>
      </c>
      <c r="F313" s="60" t="s">
        <v>1606</v>
      </c>
      <c r="G313" s="60" t="s">
        <v>1607</v>
      </c>
      <c r="H313" s="60"/>
      <c r="I313" s="60"/>
      <c r="J313" s="72" t="str">
        <f t="shared" si="1"/>
        <v/>
      </c>
      <c r="K313" s="60"/>
      <c r="L313" s="60"/>
      <c r="M313" s="60"/>
      <c r="N313" s="72" t="str">
        <f t="shared" si="3"/>
        <v/>
      </c>
    </row>
    <row r="314">
      <c r="A314" s="67" t="s">
        <v>43</v>
      </c>
      <c r="B314" s="60" t="s">
        <v>1608</v>
      </c>
      <c r="C314" s="60" t="s">
        <v>1609</v>
      </c>
      <c r="D314" s="62">
        <v>2024.0</v>
      </c>
      <c r="E314" s="71" t="s">
        <v>1610</v>
      </c>
      <c r="F314" s="60" t="s">
        <v>1611</v>
      </c>
      <c r="G314" s="60" t="s">
        <v>1612</v>
      </c>
      <c r="H314" s="60"/>
      <c r="I314" s="60"/>
      <c r="J314" s="72" t="str">
        <f t="shared" si="1"/>
        <v/>
      </c>
      <c r="K314" s="60"/>
      <c r="L314" s="60"/>
      <c r="M314" s="60"/>
      <c r="N314" s="72" t="str">
        <f t="shared" si="3"/>
        <v/>
      </c>
    </row>
    <row r="315">
      <c r="A315" s="67" t="s">
        <v>43</v>
      </c>
      <c r="B315" s="60"/>
      <c r="C315" s="60" t="s">
        <v>1613</v>
      </c>
      <c r="D315" s="62">
        <v>2024.0</v>
      </c>
      <c r="E315" s="60"/>
      <c r="F315" s="60"/>
      <c r="G315" s="60"/>
      <c r="H315" s="60" t="s">
        <v>103</v>
      </c>
      <c r="I315" s="60" t="s">
        <v>103</v>
      </c>
      <c r="J315" s="73" t="str">
        <f t="shared" si="1"/>
        <v>Igual</v>
      </c>
      <c r="K315" s="60"/>
      <c r="L315" s="60"/>
      <c r="M315" s="60"/>
      <c r="N315" s="74" t="str">
        <f t="shared" si="3"/>
        <v>Não</v>
      </c>
    </row>
    <row r="316">
      <c r="A316" s="67" t="s">
        <v>43</v>
      </c>
      <c r="B316" s="60"/>
      <c r="C316" s="60" t="s">
        <v>1614</v>
      </c>
      <c r="D316" s="62">
        <v>2024.0</v>
      </c>
      <c r="E316" s="60"/>
      <c r="F316" s="60"/>
      <c r="G316" s="60"/>
      <c r="H316" s="60" t="s">
        <v>103</v>
      </c>
      <c r="I316" s="60" t="s">
        <v>103</v>
      </c>
      <c r="J316" s="73" t="str">
        <f t="shared" si="1"/>
        <v>Igual</v>
      </c>
      <c r="K316" s="60"/>
      <c r="L316" s="60"/>
      <c r="M316" s="60"/>
      <c r="N316" s="74" t="str">
        <f t="shared" si="3"/>
        <v>Não</v>
      </c>
    </row>
    <row r="317">
      <c r="A317" s="67" t="s">
        <v>43</v>
      </c>
      <c r="B317" s="60"/>
      <c r="C317" s="60" t="s">
        <v>1615</v>
      </c>
      <c r="D317" s="62">
        <v>2025.0</v>
      </c>
      <c r="E317" s="60"/>
      <c r="F317" s="60"/>
      <c r="G317" s="60"/>
      <c r="H317" s="60" t="s">
        <v>103</v>
      </c>
      <c r="I317" s="60" t="s">
        <v>103</v>
      </c>
      <c r="J317" s="73" t="str">
        <f t="shared" si="1"/>
        <v>Igual</v>
      </c>
      <c r="K317" s="60"/>
      <c r="L317" s="60"/>
      <c r="M317" s="60"/>
      <c r="N317" s="74" t="str">
        <f t="shared" si="3"/>
        <v>Não</v>
      </c>
    </row>
    <row r="318">
      <c r="A318" s="67" t="s">
        <v>43</v>
      </c>
      <c r="B318" s="60" t="s">
        <v>1616</v>
      </c>
      <c r="C318" s="60" t="s">
        <v>1617</v>
      </c>
      <c r="D318" s="62">
        <v>2022.0</v>
      </c>
      <c r="E318" s="71" t="s">
        <v>1618</v>
      </c>
      <c r="F318" s="60" t="s">
        <v>1619</v>
      </c>
      <c r="G318" s="60" t="s">
        <v>1620</v>
      </c>
      <c r="H318" s="60"/>
      <c r="I318" s="60"/>
      <c r="J318" s="72" t="str">
        <f t="shared" si="1"/>
        <v/>
      </c>
      <c r="K318" s="60"/>
      <c r="L318" s="60"/>
      <c r="M318" s="60"/>
      <c r="N318" s="72" t="str">
        <f t="shared" si="3"/>
        <v/>
      </c>
    </row>
    <row r="319">
      <c r="A319" s="67" t="s">
        <v>43</v>
      </c>
      <c r="B319" s="60" t="s">
        <v>1621</v>
      </c>
      <c r="C319" s="60" t="s">
        <v>1622</v>
      </c>
      <c r="D319" s="62">
        <v>2025.0</v>
      </c>
      <c r="E319" s="71" t="s">
        <v>1623</v>
      </c>
      <c r="F319" s="60" t="s">
        <v>1624</v>
      </c>
      <c r="G319" s="60" t="s">
        <v>1625</v>
      </c>
      <c r="H319" s="60"/>
      <c r="I319" s="60"/>
      <c r="J319" s="72" t="str">
        <f t="shared" si="1"/>
        <v/>
      </c>
      <c r="K319" s="60"/>
      <c r="L319" s="60"/>
      <c r="M319" s="60"/>
      <c r="N319" s="72" t="str">
        <f t="shared" si="3"/>
        <v/>
      </c>
    </row>
    <row r="320">
      <c r="A320" s="67" t="s">
        <v>43</v>
      </c>
      <c r="B320" s="60" t="s">
        <v>1626</v>
      </c>
      <c r="C320" s="60" t="s">
        <v>1627</v>
      </c>
      <c r="D320" s="62">
        <v>2025.0</v>
      </c>
      <c r="E320" s="71" t="s">
        <v>1628</v>
      </c>
      <c r="F320" s="60" t="s">
        <v>1629</v>
      </c>
      <c r="G320" s="60" t="s">
        <v>1630</v>
      </c>
      <c r="H320" s="60"/>
      <c r="I320" s="60"/>
      <c r="J320" s="72" t="str">
        <f t="shared" si="1"/>
        <v/>
      </c>
      <c r="K320" s="60"/>
      <c r="L320" s="60"/>
      <c r="M320" s="60"/>
      <c r="N320" s="72" t="str">
        <f t="shared" si="3"/>
        <v/>
      </c>
    </row>
    <row r="321">
      <c r="A321" s="67" t="s">
        <v>43</v>
      </c>
      <c r="B321" s="60" t="s">
        <v>1631</v>
      </c>
      <c r="C321" s="60" t="s">
        <v>1632</v>
      </c>
      <c r="D321" s="62">
        <v>2025.0</v>
      </c>
      <c r="E321" s="71" t="s">
        <v>1633</v>
      </c>
      <c r="F321" s="60" t="s">
        <v>1634</v>
      </c>
      <c r="G321" s="60" t="s">
        <v>1635</v>
      </c>
      <c r="H321" s="60"/>
      <c r="I321" s="60"/>
      <c r="J321" s="72" t="str">
        <f t="shared" si="1"/>
        <v/>
      </c>
      <c r="K321" s="60"/>
      <c r="L321" s="60"/>
      <c r="M321" s="60"/>
      <c r="N321" s="72" t="str">
        <f t="shared" si="3"/>
        <v/>
      </c>
    </row>
    <row r="322">
      <c r="A322" s="67" t="s">
        <v>43</v>
      </c>
      <c r="B322" s="60"/>
      <c r="C322" s="60" t="s">
        <v>1636</v>
      </c>
      <c r="D322" s="62">
        <v>2022.0</v>
      </c>
      <c r="E322" s="60"/>
      <c r="F322" s="60"/>
      <c r="G322" s="60"/>
      <c r="H322" s="60" t="s">
        <v>103</v>
      </c>
      <c r="I322" s="60" t="s">
        <v>103</v>
      </c>
      <c r="J322" s="73" t="str">
        <f t="shared" si="1"/>
        <v>Igual</v>
      </c>
      <c r="K322" s="60"/>
      <c r="L322" s="60"/>
      <c r="M322" s="60"/>
      <c r="N322" s="74" t="str">
        <f t="shared" si="3"/>
        <v>Não</v>
      </c>
    </row>
    <row r="323">
      <c r="A323" s="67" t="s">
        <v>43</v>
      </c>
      <c r="B323" s="60"/>
      <c r="C323" s="60" t="s">
        <v>1637</v>
      </c>
      <c r="D323" s="62">
        <v>2022.0</v>
      </c>
      <c r="E323" s="60"/>
      <c r="F323" s="60" t="s">
        <v>1638</v>
      </c>
      <c r="G323" s="60"/>
      <c r="H323" s="60"/>
      <c r="I323" s="60"/>
      <c r="J323" s="72" t="str">
        <f t="shared" si="1"/>
        <v/>
      </c>
      <c r="K323" s="60"/>
      <c r="L323" s="60"/>
      <c r="M323" s="60"/>
      <c r="N323" s="72" t="str">
        <f t="shared" si="3"/>
        <v/>
      </c>
    </row>
    <row r="324">
      <c r="A324" s="67" t="s">
        <v>43</v>
      </c>
      <c r="B324" s="60" t="s">
        <v>1639</v>
      </c>
      <c r="C324" s="60" t="s">
        <v>1640</v>
      </c>
      <c r="D324" s="62">
        <v>2022.0</v>
      </c>
      <c r="E324" s="71" t="s">
        <v>1641</v>
      </c>
      <c r="F324" s="60" t="s">
        <v>1642</v>
      </c>
      <c r="G324" s="60"/>
      <c r="H324" s="60"/>
      <c r="I324" s="60"/>
      <c r="J324" s="72" t="str">
        <f t="shared" si="1"/>
        <v/>
      </c>
      <c r="K324" s="60"/>
      <c r="L324" s="60"/>
      <c r="M324" s="60"/>
      <c r="N324" s="72" t="str">
        <f t="shared" si="3"/>
        <v/>
      </c>
    </row>
    <row r="325">
      <c r="A325" s="67" t="s">
        <v>43</v>
      </c>
      <c r="B325" s="60" t="s">
        <v>1643</v>
      </c>
      <c r="C325" s="60" t="s">
        <v>1644</v>
      </c>
      <c r="D325" s="62">
        <v>2021.0</v>
      </c>
      <c r="E325" s="71" t="s">
        <v>1645</v>
      </c>
      <c r="F325" s="60" t="s">
        <v>1646</v>
      </c>
      <c r="G325" s="60" t="s">
        <v>1647</v>
      </c>
      <c r="H325" s="60"/>
      <c r="I325" s="60"/>
      <c r="J325" s="72" t="str">
        <f t="shared" si="1"/>
        <v/>
      </c>
      <c r="K325" s="60"/>
      <c r="L325" s="60"/>
      <c r="M325" s="60"/>
      <c r="N325" s="72" t="str">
        <f t="shared" si="3"/>
        <v/>
      </c>
    </row>
    <row r="326">
      <c r="A326" s="67" t="s">
        <v>43</v>
      </c>
      <c r="B326" s="60" t="s">
        <v>1648</v>
      </c>
      <c r="C326" s="60" t="s">
        <v>1649</v>
      </c>
      <c r="D326" s="62">
        <v>2023.0</v>
      </c>
      <c r="E326" s="71" t="s">
        <v>1650</v>
      </c>
      <c r="F326" s="60" t="s">
        <v>1651</v>
      </c>
      <c r="G326" s="60" t="s">
        <v>1652</v>
      </c>
      <c r="H326" s="60"/>
      <c r="I326" s="60"/>
      <c r="J326" s="72" t="str">
        <f t="shared" si="1"/>
        <v/>
      </c>
      <c r="K326" s="60"/>
      <c r="L326" s="60"/>
      <c r="M326" s="60"/>
      <c r="N326" s="72" t="str">
        <f t="shared" si="3"/>
        <v/>
      </c>
    </row>
    <row r="327">
      <c r="A327" s="67" t="s">
        <v>43</v>
      </c>
      <c r="B327" s="60"/>
      <c r="C327" s="60" t="s">
        <v>1653</v>
      </c>
      <c r="D327" s="62">
        <v>2021.0</v>
      </c>
      <c r="E327" s="60"/>
      <c r="F327" s="60"/>
      <c r="G327" s="60"/>
      <c r="H327" s="60" t="s">
        <v>103</v>
      </c>
      <c r="I327" s="60" t="s">
        <v>103</v>
      </c>
      <c r="J327" s="73" t="str">
        <f t="shared" si="1"/>
        <v>Igual</v>
      </c>
      <c r="K327" s="60"/>
      <c r="L327" s="60"/>
      <c r="M327" s="60"/>
      <c r="N327" s="74" t="str">
        <f t="shared" si="3"/>
        <v>Não</v>
      </c>
    </row>
    <row r="328">
      <c r="A328" s="67" t="s">
        <v>43</v>
      </c>
      <c r="B328" s="60"/>
      <c r="C328" s="60" t="s">
        <v>1654</v>
      </c>
      <c r="D328" s="62">
        <v>2025.0</v>
      </c>
      <c r="E328" s="60"/>
      <c r="F328" s="60"/>
      <c r="G328" s="60"/>
      <c r="H328" s="60" t="s">
        <v>103</v>
      </c>
      <c r="I328" s="60" t="s">
        <v>103</v>
      </c>
      <c r="J328" s="73" t="str">
        <f t="shared" si="1"/>
        <v>Igual</v>
      </c>
      <c r="K328" s="60"/>
      <c r="L328" s="60"/>
      <c r="M328" s="60"/>
      <c r="N328" s="74" t="str">
        <f t="shared" si="3"/>
        <v>Não</v>
      </c>
    </row>
    <row r="329">
      <c r="A329" s="67" t="s">
        <v>43</v>
      </c>
      <c r="B329" s="60"/>
      <c r="C329" s="60" t="s">
        <v>1655</v>
      </c>
      <c r="D329" s="62">
        <v>2022.0</v>
      </c>
      <c r="E329" s="60"/>
      <c r="F329" s="60"/>
      <c r="G329" s="60"/>
      <c r="H329" s="60" t="s">
        <v>103</v>
      </c>
      <c r="I329" s="60" t="s">
        <v>103</v>
      </c>
      <c r="J329" s="73" t="str">
        <f t="shared" si="1"/>
        <v>Igual</v>
      </c>
      <c r="K329" s="60"/>
      <c r="L329" s="60"/>
      <c r="M329" s="60"/>
      <c r="N329" s="74" t="str">
        <f t="shared" si="3"/>
        <v>Não</v>
      </c>
    </row>
    <row r="330">
      <c r="A330" s="67" t="s">
        <v>43</v>
      </c>
      <c r="B330" s="60"/>
      <c r="C330" s="60" t="s">
        <v>1656</v>
      </c>
      <c r="D330" s="62">
        <v>2024.0</v>
      </c>
      <c r="E330" s="60"/>
      <c r="F330" s="60"/>
      <c r="G330" s="60"/>
      <c r="H330" s="60" t="s">
        <v>103</v>
      </c>
      <c r="I330" s="60" t="s">
        <v>103</v>
      </c>
      <c r="J330" s="73" t="str">
        <f t="shared" si="1"/>
        <v>Igual</v>
      </c>
      <c r="K330" s="60"/>
      <c r="L330" s="60"/>
      <c r="M330" s="60"/>
      <c r="N330" s="74" t="str">
        <f t="shared" si="3"/>
        <v>Não</v>
      </c>
    </row>
    <row r="331">
      <c r="A331" s="67" t="s">
        <v>43</v>
      </c>
      <c r="B331" s="60" t="s">
        <v>1657</v>
      </c>
      <c r="C331" s="60" t="s">
        <v>1658</v>
      </c>
      <c r="D331" s="62">
        <v>2025.0</v>
      </c>
      <c r="E331" s="71" t="s">
        <v>1659</v>
      </c>
      <c r="F331" s="60" t="s">
        <v>1660</v>
      </c>
      <c r="G331" s="60" t="s">
        <v>1661</v>
      </c>
      <c r="H331" s="60"/>
      <c r="I331" s="60"/>
      <c r="J331" s="72" t="str">
        <f t="shared" si="1"/>
        <v/>
      </c>
      <c r="K331" s="60"/>
      <c r="L331" s="60"/>
      <c r="M331" s="60"/>
      <c r="N331" s="72" t="str">
        <f t="shared" si="3"/>
        <v/>
      </c>
    </row>
    <row r="332">
      <c r="A332" s="67" t="s">
        <v>43</v>
      </c>
      <c r="B332" s="60"/>
      <c r="C332" s="60" t="s">
        <v>1662</v>
      </c>
      <c r="D332" s="62">
        <v>2024.0</v>
      </c>
      <c r="E332" s="60"/>
      <c r="F332" s="60" t="s">
        <v>1663</v>
      </c>
      <c r="G332" s="60"/>
      <c r="H332" s="60"/>
      <c r="I332" s="60"/>
      <c r="J332" s="72" t="str">
        <f t="shared" si="1"/>
        <v/>
      </c>
      <c r="K332" s="60"/>
      <c r="L332" s="60"/>
      <c r="M332" s="60"/>
      <c r="N332" s="72" t="str">
        <f t="shared" si="3"/>
        <v/>
      </c>
    </row>
    <row r="333">
      <c r="A333" s="67" t="s">
        <v>43</v>
      </c>
      <c r="B333" s="60"/>
      <c r="C333" s="60" t="s">
        <v>1664</v>
      </c>
      <c r="D333" s="62">
        <v>2023.0</v>
      </c>
      <c r="E333" s="60"/>
      <c r="F333" s="60"/>
      <c r="G333" s="60"/>
      <c r="H333" s="60" t="s">
        <v>103</v>
      </c>
      <c r="I333" s="60" t="s">
        <v>103</v>
      </c>
      <c r="J333" s="73" t="str">
        <f t="shared" si="1"/>
        <v>Igual</v>
      </c>
      <c r="K333" s="60"/>
      <c r="L333" s="60"/>
      <c r="M333" s="60"/>
      <c r="N333" s="74" t="str">
        <f t="shared" si="3"/>
        <v>Não</v>
      </c>
    </row>
    <row r="334">
      <c r="A334" s="67" t="s">
        <v>43</v>
      </c>
      <c r="B334" s="60"/>
      <c r="C334" s="60" t="s">
        <v>1665</v>
      </c>
      <c r="D334" s="62">
        <v>2024.0</v>
      </c>
      <c r="E334" s="60"/>
      <c r="F334" s="60"/>
      <c r="G334" s="60"/>
      <c r="H334" s="60" t="s">
        <v>103</v>
      </c>
      <c r="I334" s="60" t="s">
        <v>103</v>
      </c>
      <c r="J334" s="73" t="str">
        <f t="shared" si="1"/>
        <v>Igual</v>
      </c>
      <c r="K334" s="60"/>
      <c r="L334" s="60"/>
      <c r="M334" s="60"/>
      <c r="N334" s="74" t="str">
        <f t="shared" si="3"/>
        <v>Não</v>
      </c>
    </row>
    <row r="335">
      <c r="A335" s="67" t="s">
        <v>43</v>
      </c>
      <c r="B335" s="60"/>
      <c r="C335" s="60" t="s">
        <v>1666</v>
      </c>
      <c r="D335" s="62">
        <v>2023.0</v>
      </c>
      <c r="E335" s="60"/>
      <c r="F335" s="60" t="s">
        <v>1667</v>
      </c>
      <c r="G335" s="60"/>
      <c r="H335" s="60"/>
      <c r="I335" s="60"/>
      <c r="J335" s="72" t="str">
        <f t="shared" si="1"/>
        <v/>
      </c>
      <c r="K335" s="60"/>
      <c r="L335" s="60"/>
      <c r="M335" s="60"/>
      <c r="N335" s="72" t="str">
        <f t="shared" si="3"/>
        <v/>
      </c>
    </row>
    <row r="336">
      <c r="A336" s="67" t="s">
        <v>43</v>
      </c>
      <c r="B336" s="60"/>
      <c r="C336" s="60" t="s">
        <v>1668</v>
      </c>
      <c r="D336" s="62">
        <v>2024.0</v>
      </c>
      <c r="E336" s="60"/>
      <c r="F336" s="60" t="s">
        <v>1669</v>
      </c>
      <c r="G336" s="60"/>
      <c r="H336" s="60"/>
      <c r="I336" s="60"/>
      <c r="J336" s="72" t="str">
        <f t="shared" si="1"/>
        <v/>
      </c>
      <c r="K336" s="60"/>
      <c r="L336" s="60"/>
      <c r="M336" s="60"/>
      <c r="N336" s="72" t="str">
        <f t="shared" si="3"/>
        <v/>
      </c>
    </row>
    <row r="337">
      <c r="A337" s="67" t="s">
        <v>43</v>
      </c>
      <c r="B337" s="60" t="s">
        <v>1670</v>
      </c>
      <c r="C337" s="60" t="s">
        <v>1671</v>
      </c>
      <c r="D337" s="62">
        <v>2022.0</v>
      </c>
      <c r="E337" s="71" t="s">
        <v>1672</v>
      </c>
      <c r="F337" s="60" t="s">
        <v>1673</v>
      </c>
      <c r="G337" s="60" t="s">
        <v>1674</v>
      </c>
      <c r="H337" s="60"/>
      <c r="I337" s="60"/>
      <c r="J337" s="72" t="str">
        <f t="shared" si="1"/>
        <v/>
      </c>
      <c r="K337" s="60"/>
      <c r="L337" s="60"/>
      <c r="M337" s="60"/>
      <c r="N337" s="72" t="str">
        <f t="shared" si="3"/>
        <v/>
      </c>
    </row>
    <row r="338">
      <c r="A338" s="67" t="s">
        <v>43</v>
      </c>
      <c r="B338" s="60" t="s">
        <v>1675</v>
      </c>
      <c r="C338" s="60" t="s">
        <v>1676</v>
      </c>
      <c r="D338" s="62">
        <v>2024.0</v>
      </c>
      <c r="E338" s="71" t="s">
        <v>1677</v>
      </c>
      <c r="F338" s="60" t="s">
        <v>1678</v>
      </c>
      <c r="G338" s="60" t="s">
        <v>1679</v>
      </c>
      <c r="H338" s="60"/>
      <c r="I338" s="60"/>
      <c r="J338" s="72" t="str">
        <f t="shared" si="1"/>
        <v/>
      </c>
      <c r="K338" s="60"/>
      <c r="L338" s="60"/>
      <c r="M338" s="60"/>
      <c r="N338" s="72" t="str">
        <f t="shared" si="3"/>
        <v/>
      </c>
    </row>
    <row r="339">
      <c r="A339" s="67" t="s">
        <v>43</v>
      </c>
      <c r="B339" s="60"/>
      <c r="C339" s="60" t="s">
        <v>1680</v>
      </c>
      <c r="D339" s="62">
        <v>2025.0</v>
      </c>
      <c r="E339" s="60"/>
      <c r="F339" s="60"/>
      <c r="G339" s="60"/>
      <c r="H339" s="60" t="s">
        <v>103</v>
      </c>
      <c r="I339" s="60" t="s">
        <v>103</v>
      </c>
      <c r="J339" s="73" t="str">
        <f t="shared" si="1"/>
        <v>Igual</v>
      </c>
      <c r="K339" s="60"/>
      <c r="L339" s="60"/>
      <c r="M339" s="60"/>
      <c r="N339" s="74" t="str">
        <f t="shared" si="3"/>
        <v>Não</v>
      </c>
    </row>
    <row r="340">
      <c r="A340" s="67" t="s">
        <v>43</v>
      </c>
      <c r="B340" s="60"/>
      <c r="C340" s="60" t="s">
        <v>1681</v>
      </c>
      <c r="D340" s="62">
        <v>2022.0</v>
      </c>
      <c r="E340" s="60"/>
      <c r="F340" s="60"/>
      <c r="G340" s="60"/>
      <c r="H340" s="60" t="s">
        <v>103</v>
      </c>
      <c r="I340" s="60" t="s">
        <v>103</v>
      </c>
      <c r="J340" s="73" t="str">
        <f t="shared" si="1"/>
        <v>Igual</v>
      </c>
      <c r="K340" s="60"/>
      <c r="L340" s="60"/>
      <c r="M340" s="60"/>
      <c r="N340" s="74" t="str">
        <f t="shared" si="3"/>
        <v>Não</v>
      </c>
    </row>
    <row r="341">
      <c r="A341" s="67" t="s">
        <v>43</v>
      </c>
      <c r="B341" s="60"/>
      <c r="C341" s="60" t="s">
        <v>1682</v>
      </c>
      <c r="D341" s="62">
        <v>2024.0</v>
      </c>
      <c r="E341" s="60"/>
      <c r="F341" s="60"/>
      <c r="G341" s="60"/>
      <c r="H341" s="60" t="s">
        <v>103</v>
      </c>
      <c r="I341" s="60" t="s">
        <v>103</v>
      </c>
      <c r="J341" s="73" t="str">
        <f t="shared" si="1"/>
        <v>Igual</v>
      </c>
      <c r="K341" s="60"/>
      <c r="L341" s="60"/>
      <c r="M341" s="60"/>
      <c r="N341" s="74" t="str">
        <f t="shared" si="3"/>
        <v>Não</v>
      </c>
    </row>
    <row r="342">
      <c r="A342" s="67" t="s">
        <v>43</v>
      </c>
      <c r="B342" s="60"/>
      <c r="C342" s="60" t="s">
        <v>1683</v>
      </c>
      <c r="D342" s="62">
        <v>2025.0</v>
      </c>
      <c r="E342" s="60"/>
      <c r="F342" s="60"/>
      <c r="G342" s="60"/>
      <c r="H342" s="60" t="s">
        <v>103</v>
      </c>
      <c r="I342" s="60" t="s">
        <v>103</v>
      </c>
      <c r="J342" s="73" t="str">
        <f t="shared" si="1"/>
        <v>Igual</v>
      </c>
      <c r="K342" s="60"/>
      <c r="L342" s="60"/>
      <c r="M342" s="60"/>
      <c r="N342" s="74" t="str">
        <f t="shared" si="3"/>
        <v>Não</v>
      </c>
    </row>
    <row r="343">
      <c r="A343" s="67" t="s">
        <v>43</v>
      </c>
      <c r="B343" s="60"/>
      <c r="C343" s="60" t="s">
        <v>1684</v>
      </c>
      <c r="D343" s="62">
        <v>2024.0</v>
      </c>
      <c r="E343" s="60"/>
      <c r="F343" s="60"/>
      <c r="G343" s="60"/>
      <c r="H343" s="60" t="s">
        <v>103</v>
      </c>
      <c r="I343" s="60" t="s">
        <v>103</v>
      </c>
      <c r="J343" s="73" t="str">
        <f t="shared" si="1"/>
        <v>Igual</v>
      </c>
      <c r="K343" s="60"/>
      <c r="L343" s="60"/>
      <c r="M343" s="60"/>
      <c r="N343" s="74" t="str">
        <f t="shared" si="3"/>
        <v>Não</v>
      </c>
    </row>
    <row r="344">
      <c r="A344" s="67" t="s">
        <v>43</v>
      </c>
      <c r="B344" s="60"/>
      <c r="C344" s="60" t="s">
        <v>1685</v>
      </c>
      <c r="D344" s="62">
        <v>2025.0</v>
      </c>
      <c r="E344" s="60"/>
      <c r="F344" s="60"/>
      <c r="G344" s="60"/>
      <c r="H344" s="60" t="s">
        <v>103</v>
      </c>
      <c r="I344" s="60" t="s">
        <v>103</v>
      </c>
      <c r="J344" s="73" t="str">
        <f t="shared" si="1"/>
        <v>Igual</v>
      </c>
      <c r="K344" s="60"/>
      <c r="L344" s="60"/>
      <c r="M344" s="60"/>
      <c r="N344" s="74" t="str">
        <f t="shared" si="3"/>
        <v>Não</v>
      </c>
    </row>
    <row r="345">
      <c r="A345" s="67" t="s">
        <v>43</v>
      </c>
      <c r="B345" s="60"/>
      <c r="C345" s="60" t="s">
        <v>1686</v>
      </c>
      <c r="D345" s="62">
        <v>2024.0</v>
      </c>
      <c r="E345" s="60"/>
      <c r="F345" s="60"/>
      <c r="G345" s="60"/>
      <c r="H345" s="60" t="s">
        <v>103</v>
      </c>
      <c r="I345" s="60" t="s">
        <v>103</v>
      </c>
      <c r="J345" s="73" t="str">
        <f t="shared" si="1"/>
        <v>Igual</v>
      </c>
      <c r="K345" s="60"/>
      <c r="L345" s="60"/>
      <c r="M345" s="60"/>
      <c r="N345" s="74" t="str">
        <f t="shared" si="3"/>
        <v>Não</v>
      </c>
    </row>
    <row r="346">
      <c r="A346" s="67" t="s">
        <v>43</v>
      </c>
      <c r="B346" s="60"/>
      <c r="C346" s="60" t="s">
        <v>1687</v>
      </c>
      <c r="D346" s="62">
        <v>2023.0</v>
      </c>
      <c r="E346" s="60"/>
      <c r="F346" s="60"/>
      <c r="G346" s="60"/>
      <c r="H346" s="60" t="s">
        <v>103</v>
      </c>
      <c r="I346" s="60" t="s">
        <v>103</v>
      </c>
      <c r="J346" s="73" t="str">
        <f t="shared" si="1"/>
        <v>Igual</v>
      </c>
      <c r="K346" s="60"/>
      <c r="L346" s="60"/>
      <c r="M346" s="60"/>
      <c r="N346" s="74" t="str">
        <f t="shared" si="3"/>
        <v>Não</v>
      </c>
    </row>
    <row r="347">
      <c r="A347" s="67" t="s">
        <v>43</v>
      </c>
      <c r="B347" s="60"/>
      <c r="C347" s="60" t="s">
        <v>1688</v>
      </c>
      <c r="D347" s="62">
        <v>2025.0</v>
      </c>
      <c r="E347" s="60"/>
      <c r="F347" s="60"/>
      <c r="G347" s="60"/>
      <c r="H347" s="60" t="s">
        <v>103</v>
      </c>
      <c r="I347" s="60" t="s">
        <v>103</v>
      </c>
      <c r="J347" s="73" t="str">
        <f t="shared" si="1"/>
        <v>Igual</v>
      </c>
      <c r="K347" s="60"/>
      <c r="L347" s="60"/>
      <c r="M347" s="60"/>
      <c r="N347" s="74" t="str">
        <f t="shared" si="3"/>
        <v>Não</v>
      </c>
    </row>
    <row r="348">
      <c r="A348" s="67" t="s">
        <v>43</v>
      </c>
      <c r="B348" s="60"/>
      <c r="C348" s="60" t="s">
        <v>1689</v>
      </c>
      <c r="D348" s="62">
        <v>2024.0</v>
      </c>
      <c r="E348" s="60"/>
      <c r="F348" s="60"/>
      <c r="G348" s="60"/>
      <c r="H348" s="60" t="s">
        <v>103</v>
      </c>
      <c r="I348" s="60" t="s">
        <v>103</v>
      </c>
      <c r="J348" s="73" t="str">
        <f t="shared" si="1"/>
        <v>Igual</v>
      </c>
      <c r="K348" s="60"/>
      <c r="L348" s="60"/>
      <c r="M348" s="60"/>
      <c r="N348" s="74" t="str">
        <f t="shared" si="3"/>
        <v>Não</v>
      </c>
    </row>
    <row r="349">
      <c r="A349" s="67" t="s">
        <v>43</v>
      </c>
      <c r="B349" s="60"/>
      <c r="C349" s="60" t="s">
        <v>1690</v>
      </c>
      <c r="D349" s="62">
        <v>2022.0</v>
      </c>
      <c r="E349" s="60"/>
      <c r="F349" s="60"/>
      <c r="G349" s="60"/>
      <c r="H349" s="60" t="s">
        <v>103</v>
      </c>
      <c r="I349" s="60" t="s">
        <v>103</v>
      </c>
      <c r="J349" s="73" t="str">
        <f t="shared" si="1"/>
        <v>Igual</v>
      </c>
      <c r="K349" s="60"/>
      <c r="L349" s="60"/>
      <c r="M349" s="60"/>
      <c r="N349" s="74" t="str">
        <f t="shared" si="3"/>
        <v>Não</v>
      </c>
    </row>
    <row r="350">
      <c r="A350" s="67" t="s">
        <v>43</v>
      </c>
      <c r="B350" s="60"/>
      <c r="C350" s="60" t="s">
        <v>1691</v>
      </c>
      <c r="D350" s="62">
        <v>2022.0</v>
      </c>
      <c r="E350" s="60"/>
      <c r="F350" s="60"/>
      <c r="G350" s="60"/>
      <c r="H350" s="60" t="s">
        <v>103</v>
      </c>
      <c r="I350" s="60" t="s">
        <v>103</v>
      </c>
      <c r="J350" s="73" t="str">
        <f t="shared" si="1"/>
        <v>Igual</v>
      </c>
      <c r="K350" s="60"/>
      <c r="L350" s="60"/>
      <c r="M350" s="60"/>
      <c r="N350" s="74" t="str">
        <f t="shared" si="3"/>
        <v>Não</v>
      </c>
    </row>
    <row r="351">
      <c r="A351" s="67" t="s">
        <v>43</v>
      </c>
      <c r="B351" s="60"/>
      <c r="C351" s="60" t="s">
        <v>1692</v>
      </c>
      <c r="D351" s="62">
        <v>2023.0</v>
      </c>
      <c r="E351" s="60"/>
      <c r="F351" s="60"/>
      <c r="G351" s="60"/>
      <c r="H351" s="60" t="s">
        <v>103</v>
      </c>
      <c r="I351" s="60" t="s">
        <v>103</v>
      </c>
      <c r="J351" s="73" t="str">
        <f t="shared" si="1"/>
        <v>Igual</v>
      </c>
      <c r="K351" s="60"/>
      <c r="L351" s="60"/>
      <c r="M351" s="60"/>
      <c r="N351" s="74" t="str">
        <f t="shared" si="3"/>
        <v>Não</v>
      </c>
    </row>
    <row r="352">
      <c r="A352" s="67" t="s">
        <v>43</v>
      </c>
      <c r="B352" s="60"/>
      <c r="C352" s="60" t="s">
        <v>1693</v>
      </c>
      <c r="D352" s="62">
        <v>2023.0</v>
      </c>
      <c r="E352" s="60"/>
      <c r="F352" s="60"/>
      <c r="G352" s="60"/>
      <c r="H352" s="60" t="s">
        <v>103</v>
      </c>
      <c r="I352" s="60" t="s">
        <v>103</v>
      </c>
      <c r="J352" s="73" t="str">
        <f t="shared" si="1"/>
        <v>Igual</v>
      </c>
      <c r="K352" s="60"/>
      <c r="L352" s="60"/>
      <c r="M352" s="60"/>
      <c r="N352" s="74" t="str">
        <f t="shared" si="3"/>
        <v>Não</v>
      </c>
    </row>
    <row r="353">
      <c r="A353" s="67" t="s">
        <v>43</v>
      </c>
      <c r="B353" s="60"/>
      <c r="C353" s="60" t="s">
        <v>1694</v>
      </c>
      <c r="D353" s="62">
        <v>2024.0</v>
      </c>
      <c r="E353" s="60"/>
      <c r="F353" s="60"/>
      <c r="G353" s="60"/>
      <c r="H353" s="60" t="s">
        <v>103</v>
      </c>
      <c r="I353" s="60" t="s">
        <v>103</v>
      </c>
      <c r="J353" s="73" t="str">
        <f t="shared" si="1"/>
        <v>Igual</v>
      </c>
      <c r="K353" s="60"/>
      <c r="L353" s="60"/>
      <c r="M353" s="60"/>
      <c r="N353" s="74" t="str">
        <f t="shared" si="3"/>
        <v>Não</v>
      </c>
    </row>
    <row r="354">
      <c r="A354" s="67" t="s">
        <v>43</v>
      </c>
      <c r="B354" s="60"/>
      <c r="C354" s="60" t="s">
        <v>1695</v>
      </c>
      <c r="D354" s="62">
        <v>2024.0</v>
      </c>
      <c r="E354" s="60"/>
      <c r="F354" s="60"/>
      <c r="G354" s="60"/>
      <c r="H354" s="60" t="s">
        <v>103</v>
      </c>
      <c r="I354" s="60" t="s">
        <v>103</v>
      </c>
      <c r="J354" s="73" t="str">
        <f t="shared" si="1"/>
        <v>Igual</v>
      </c>
      <c r="K354" s="60"/>
      <c r="L354" s="60"/>
      <c r="M354" s="60"/>
      <c r="N354" s="74" t="str">
        <f t="shared" si="3"/>
        <v>Não</v>
      </c>
    </row>
    <row r="355">
      <c r="A355" s="67" t="s">
        <v>43</v>
      </c>
      <c r="B355" s="60"/>
      <c r="C355" s="60" t="s">
        <v>1696</v>
      </c>
      <c r="D355" s="62">
        <v>2023.0</v>
      </c>
      <c r="E355" s="60"/>
      <c r="F355" s="60"/>
      <c r="G355" s="60"/>
      <c r="H355" s="60" t="s">
        <v>103</v>
      </c>
      <c r="I355" s="60" t="s">
        <v>103</v>
      </c>
      <c r="J355" s="73" t="str">
        <f t="shared" si="1"/>
        <v>Igual</v>
      </c>
      <c r="K355" s="60"/>
      <c r="L355" s="60"/>
      <c r="M355" s="60"/>
      <c r="N355" s="74" t="str">
        <f t="shared" si="3"/>
        <v>Não</v>
      </c>
    </row>
    <row r="356">
      <c r="A356" s="67" t="s">
        <v>43</v>
      </c>
      <c r="B356" s="60" t="s">
        <v>1697</v>
      </c>
      <c r="C356" s="60" t="s">
        <v>1698</v>
      </c>
      <c r="D356" s="62">
        <v>2024.0</v>
      </c>
      <c r="E356" s="71" t="s">
        <v>1699</v>
      </c>
      <c r="F356" s="60" t="s">
        <v>1700</v>
      </c>
      <c r="G356" s="60" t="s">
        <v>1701</v>
      </c>
      <c r="H356" s="60"/>
      <c r="I356" s="60"/>
      <c r="J356" s="72" t="str">
        <f t="shared" si="1"/>
        <v/>
      </c>
      <c r="K356" s="60"/>
      <c r="L356" s="60"/>
      <c r="M356" s="60"/>
      <c r="N356" s="72" t="str">
        <f t="shared" si="3"/>
        <v/>
      </c>
    </row>
    <row r="357">
      <c r="A357" s="67" t="s">
        <v>43</v>
      </c>
      <c r="B357" s="60" t="s">
        <v>1702</v>
      </c>
      <c r="C357" s="60" t="s">
        <v>1703</v>
      </c>
      <c r="D357" s="62">
        <v>2020.0</v>
      </c>
      <c r="E357" s="71" t="s">
        <v>1704</v>
      </c>
      <c r="F357" s="60" t="s">
        <v>1705</v>
      </c>
      <c r="G357" s="60" t="s">
        <v>1706</v>
      </c>
      <c r="H357" s="60"/>
      <c r="I357" s="60"/>
      <c r="J357" s="72" t="str">
        <f t="shared" si="1"/>
        <v/>
      </c>
      <c r="K357" s="60"/>
      <c r="L357" s="60"/>
      <c r="M357" s="60"/>
      <c r="N357" s="72" t="str">
        <f t="shared" si="3"/>
        <v/>
      </c>
    </row>
    <row r="358">
      <c r="A358" s="67" t="s">
        <v>43</v>
      </c>
      <c r="B358" s="60" t="s">
        <v>1707</v>
      </c>
      <c r="C358" s="60" t="s">
        <v>1708</v>
      </c>
      <c r="D358" s="62">
        <v>2024.0</v>
      </c>
      <c r="E358" s="71" t="s">
        <v>1709</v>
      </c>
      <c r="F358" s="60" t="s">
        <v>1710</v>
      </c>
      <c r="G358" s="60" t="s">
        <v>1711</v>
      </c>
      <c r="H358" s="60"/>
      <c r="I358" s="60"/>
      <c r="J358" s="72" t="str">
        <f t="shared" si="1"/>
        <v/>
      </c>
      <c r="K358" s="60"/>
      <c r="L358" s="60"/>
      <c r="M358" s="60"/>
      <c r="N358" s="72" t="str">
        <f t="shared" si="3"/>
        <v/>
      </c>
    </row>
    <row r="359">
      <c r="A359" s="67" t="s">
        <v>43</v>
      </c>
      <c r="B359" s="60"/>
      <c r="C359" s="60" t="s">
        <v>1712</v>
      </c>
      <c r="D359" s="62">
        <v>2024.0</v>
      </c>
      <c r="E359" s="60"/>
      <c r="F359" s="60"/>
      <c r="G359" s="60"/>
      <c r="H359" s="60" t="s">
        <v>103</v>
      </c>
      <c r="I359" s="60" t="s">
        <v>103</v>
      </c>
      <c r="J359" s="73" t="str">
        <f t="shared" si="1"/>
        <v>Igual</v>
      </c>
      <c r="K359" s="60"/>
      <c r="L359" s="60"/>
      <c r="M359" s="60"/>
      <c r="N359" s="74" t="str">
        <f t="shared" si="3"/>
        <v>Não</v>
      </c>
    </row>
    <row r="360">
      <c r="A360" s="67" t="s">
        <v>43</v>
      </c>
      <c r="B360" s="60"/>
      <c r="C360" s="60" t="s">
        <v>1713</v>
      </c>
      <c r="D360" s="62">
        <v>2024.0</v>
      </c>
      <c r="E360" s="60"/>
      <c r="F360" s="60" t="s">
        <v>1510</v>
      </c>
      <c r="G360" s="60"/>
      <c r="H360" s="60"/>
      <c r="I360" s="60"/>
      <c r="J360" s="72" t="str">
        <f t="shared" si="1"/>
        <v/>
      </c>
      <c r="K360" s="60"/>
      <c r="L360" s="60"/>
      <c r="M360" s="60"/>
      <c r="N360" s="72" t="str">
        <f t="shared" si="3"/>
        <v/>
      </c>
    </row>
    <row r="361">
      <c r="A361" s="67" t="s">
        <v>43</v>
      </c>
      <c r="B361" s="60" t="s">
        <v>1714</v>
      </c>
      <c r="C361" s="60" t="s">
        <v>1715</v>
      </c>
      <c r="D361" s="62">
        <v>2022.0</v>
      </c>
      <c r="E361" s="71" t="s">
        <v>1716</v>
      </c>
      <c r="F361" s="60" t="s">
        <v>1717</v>
      </c>
      <c r="G361" s="60" t="s">
        <v>1718</v>
      </c>
      <c r="H361" s="60"/>
      <c r="I361" s="60"/>
      <c r="J361" s="72" t="str">
        <f t="shared" si="1"/>
        <v/>
      </c>
      <c r="K361" s="60"/>
      <c r="L361" s="60"/>
      <c r="M361" s="60"/>
      <c r="N361" s="72" t="str">
        <f t="shared" si="3"/>
        <v/>
      </c>
    </row>
    <row r="362">
      <c r="A362" s="67" t="s">
        <v>43</v>
      </c>
      <c r="B362" s="60"/>
      <c r="C362" s="60" t="s">
        <v>1719</v>
      </c>
      <c r="D362" s="62">
        <v>2025.0</v>
      </c>
      <c r="E362" s="60"/>
      <c r="F362" s="60"/>
      <c r="G362" s="60"/>
      <c r="H362" s="60" t="s">
        <v>103</v>
      </c>
      <c r="I362" s="60" t="s">
        <v>103</v>
      </c>
      <c r="J362" s="73" t="str">
        <f t="shared" si="1"/>
        <v>Igual</v>
      </c>
      <c r="K362" s="60"/>
      <c r="L362" s="60"/>
      <c r="M362" s="60"/>
      <c r="N362" s="74" t="str">
        <f t="shared" si="3"/>
        <v>Não</v>
      </c>
    </row>
    <row r="363">
      <c r="A363" s="67" t="s">
        <v>43</v>
      </c>
      <c r="B363" s="60"/>
      <c r="C363" s="60" t="s">
        <v>1720</v>
      </c>
      <c r="D363" s="62">
        <v>2023.0</v>
      </c>
      <c r="E363" s="60"/>
      <c r="F363" s="60"/>
      <c r="G363" s="60"/>
      <c r="H363" s="60" t="s">
        <v>103</v>
      </c>
      <c r="I363" s="60" t="s">
        <v>103</v>
      </c>
      <c r="J363" s="73" t="str">
        <f t="shared" si="1"/>
        <v>Igual</v>
      </c>
      <c r="K363" s="60"/>
      <c r="L363" s="60"/>
      <c r="M363" s="60"/>
      <c r="N363" s="74" t="str">
        <f t="shared" si="3"/>
        <v>Não</v>
      </c>
    </row>
    <row r="364">
      <c r="A364" s="67" t="s">
        <v>43</v>
      </c>
      <c r="B364" s="60" t="s">
        <v>1721</v>
      </c>
      <c r="C364" s="60" t="s">
        <v>1722</v>
      </c>
      <c r="D364" s="62">
        <v>2022.0</v>
      </c>
      <c r="E364" s="71" t="s">
        <v>1723</v>
      </c>
      <c r="F364" s="60" t="s">
        <v>1724</v>
      </c>
      <c r="G364" s="60" t="s">
        <v>1725</v>
      </c>
      <c r="H364" s="60"/>
      <c r="I364" s="60"/>
      <c r="J364" s="72" t="str">
        <f t="shared" si="1"/>
        <v/>
      </c>
      <c r="K364" s="60"/>
      <c r="L364" s="60"/>
      <c r="M364" s="60"/>
      <c r="N364" s="72" t="str">
        <f t="shared" si="3"/>
        <v/>
      </c>
    </row>
    <row r="365">
      <c r="A365" s="67" t="s">
        <v>43</v>
      </c>
      <c r="B365" s="60" t="s">
        <v>1726</v>
      </c>
      <c r="C365" s="60" t="s">
        <v>1727</v>
      </c>
      <c r="D365" s="62">
        <v>2020.0</v>
      </c>
      <c r="E365" s="71" t="s">
        <v>1728</v>
      </c>
      <c r="F365" s="60" t="s">
        <v>1729</v>
      </c>
      <c r="G365" s="60" t="s">
        <v>1730</v>
      </c>
      <c r="H365" s="60"/>
      <c r="I365" s="60"/>
      <c r="J365" s="72" t="str">
        <f t="shared" si="1"/>
        <v/>
      </c>
      <c r="K365" s="60"/>
      <c r="L365" s="60"/>
      <c r="M365" s="60"/>
      <c r="N365" s="72" t="str">
        <f t="shared" si="3"/>
        <v/>
      </c>
    </row>
    <row r="366">
      <c r="A366" s="67" t="s">
        <v>43</v>
      </c>
      <c r="B366" s="60"/>
      <c r="C366" s="60" t="s">
        <v>1731</v>
      </c>
      <c r="D366" s="62">
        <v>2025.0</v>
      </c>
      <c r="E366" s="60"/>
      <c r="F366" s="60"/>
      <c r="G366" s="60"/>
      <c r="H366" s="60" t="s">
        <v>103</v>
      </c>
      <c r="I366" s="60" t="s">
        <v>103</v>
      </c>
      <c r="J366" s="73" t="str">
        <f t="shared" si="1"/>
        <v>Igual</v>
      </c>
      <c r="K366" s="60"/>
      <c r="L366" s="60"/>
      <c r="M366" s="60"/>
      <c r="N366" s="74" t="str">
        <f t="shared" si="3"/>
        <v>Não</v>
      </c>
    </row>
    <row r="367">
      <c r="A367" s="67" t="s">
        <v>43</v>
      </c>
      <c r="B367" s="60" t="s">
        <v>1732</v>
      </c>
      <c r="C367" s="60" t="s">
        <v>1733</v>
      </c>
      <c r="D367" s="62">
        <v>2024.0</v>
      </c>
      <c r="E367" s="71" t="s">
        <v>1734</v>
      </c>
      <c r="F367" s="60" t="s">
        <v>1735</v>
      </c>
      <c r="G367" s="60"/>
      <c r="H367" s="60"/>
      <c r="I367" s="60"/>
      <c r="J367" s="72" t="str">
        <f t="shared" si="1"/>
        <v/>
      </c>
      <c r="K367" s="60"/>
      <c r="L367" s="60"/>
      <c r="M367" s="60"/>
      <c r="N367" s="72" t="str">
        <f t="shared" si="3"/>
        <v/>
      </c>
    </row>
    <row r="368">
      <c r="A368" s="67" t="s">
        <v>43</v>
      </c>
      <c r="B368" s="60"/>
      <c r="C368" s="60" t="s">
        <v>1736</v>
      </c>
      <c r="D368" s="62">
        <v>2024.0</v>
      </c>
      <c r="E368" s="60"/>
      <c r="F368" s="60"/>
      <c r="G368" s="60"/>
      <c r="H368" s="60" t="s">
        <v>103</v>
      </c>
      <c r="I368" s="60" t="s">
        <v>103</v>
      </c>
      <c r="J368" s="73" t="str">
        <f t="shared" si="1"/>
        <v>Igual</v>
      </c>
      <c r="K368" s="60"/>
      <c r="L368" s="60"/>
      <c r="M368" s="60"/>
      <c r="N368" s="74" t="str">
        <f t="shared" si="3"/>
        <v>Não</v>
      </c>
    </row>
    <row r="369">
      <c r="A369" s="67" t="s">
        <v>43</v>
      </c>
      <c r="B369" s="60" t="s">
        <v>1737</v>
      </c>
      <c r="C369" s="60" t="s">
        <v>1738</v>
      </c>
      <c r="D369" s="62">
        <v>2020.0</v>
      </c>
      <c r="E369" s="71" t="s">
        <v>1739</v>
      </c>
      <c r="F369" s="60" t="s">
        <v>1740</v>
      </c>
      <c r="G369" s="60" t="s">
        <v>1741</v>
      </c>
      <c r="H369" s="60"/>
      <c r="I369" s="60"/>
      <c r="J369" s="72" t="str">
        <f t="shared" si="1"/>
        <v/>
      </c>
      <c r="K369" s="60"/>
      <c r="L369" s="60"/>
      <c r="M369" s="60"/>
      <c r="N369" s="72" t="str">
        <f t="shared" si="3"/>
        <v/>
      </c>
    </row>
    <row r="370">
      <c r="A370" s="67" t="s">
        <v>43</v>
      </c>
      <c r="B370" s="60"/>
      <c r="C370" s="60" t="s">
        <v>1742</v>
      </c>
      <c r="D370" s="62">
        <v>2023.0</v>
      </c>
      <c r="E370" s="60"/>
      <c r="F370" s="60"/>
      <c r="G370" s="60"/>
      <c r="H370" s="60" t="s">
        <v>103</v>
      </c>
      <c r="I370" s="60" t="s">
        <v>103</v>
      </c>
      <c r="J370" s="73" t="str">
        <f t="shared" si="1"/>
        <v>Igual</v>
      </c>
      <c r="K370" s="60"/>
      <c r="L370" s="60"/>
      <c r="M370" s="60"/>
      <c r="N370" s="74" t="str">
        <f t="shared" si="3"/>
        <v>Não</v>
      </c>
    </row>
    <row r="371">
      <c r="A371" s="67" t="s">
        <v>43</v>
      </c>
      <c r="B371" s="60"/>
      <c r="C371" s="60" t="s">
        <v>1743</v>
      </c>
      <c r="D371" s="62">
        <v>2024.0</v>
      </c>
      <c r="E371" s="60"/>
      <c r="F371" s="60"/>
      <c r="G371" s="60"/>
      <c r="H371" s="60" t="s">
        <v>103</v>
      </c>
      <c r="I371" s="60" t="s">
        <v>103</v>
      </c>
      <c r="J371" s="73" t="str">
        <f t="shared" si="1"/>
        <v>Igual</v>
      </c>
      <c r="K371" s="60"/>
      <c r="L371" s="60"/>
      <c r="M371" s="60"/>
      <c r="N371" s="74" t="str">
        <f t="shared" si="3"/>
        <v>Não</v>
      </c>
    </row>
    <row r="372">
      <c r="A372" s="67" t="s">
        <v>43</v>
      </c>
      <c r="B372" s="60"/>
      <c r="C372" s="60" t="s">
        <v>1744</v>
      </c>
      <c r="D372" s="62">
        <v>2023.0</v>
      </c>
      <c r="E372" s="60"/>
      <c r="F372" s="60"/>
      <c r="G372" s="60"/>
      <c r="H372" s="60" t="s">
        <v>103</v>
      </c>
      <c r="I372" s="60" t="s">
        <v>103</v>
      </c>
      <c r="J372" s="73" t="str">
        <f t="shared" si="1"/>
        <v>Igual</v>
      </c>
      <c r="K372" s="60"/>
      <c r="L372" s="60"/>
      <c r="M372" s="60"/>
      <c r="N372" s="74" t="str">
        <f t="shared" si="3"/>
        <v>Não</v>
      </c>
    </row>
    <row r="373">
      <c r="A373" s="67" t="s">
        <v>43</v>
      </c>
      <c r="B373" s="60" t="s">
        <v>1745</v>
      </c>
      <c r="C373" s="60" t="s">
        <v>1746</v>
      </c>
      <c r="D373" s="62">
        <v>2023.0</v>
      </c>
      <c r="E373" s="71" t="s">
        <v>1747</v>
      </c>
      <c r="F373" s="60" t="s">
        <v>1748</v>
      </c>
      <c r="G373" s="60" t="s">
        <v>1749</v>
      </c>
      <c r="H373" s="60"/>
      <c r="I373" s="60"/>
      <c r="J373" s="72" t="str">
        <f t="shared" si="1"/>
        <v/>
      </c>
      <c r="K373" s="60"/>
      <c r="L373" s="60"/>
      <c r="M373" s="60"/>
      <c r="N373" s="72" t="str">
        <f t="shared" si="3"/>
        <v/>
      </c>
    </row>
    <row r="374">
      <c r="A374" s="67" t="s">
        <v>43</v>
      </c>
      <c r="B374" s="60"/>
      <c r="C374" s="60" t="s">
        <v>1750</v>
      </c>
      <c r="D374" s="62">
        <v>2025.0</v>
      </c>
      <c r="E374" s="60"/>
      <c r="F374" s="60"/>
      <c r="G374" s="60"/>
      <c r="H374" s="60" t="s">
        <v>103</v>
      </c>
      <c r="I374" s="60" t="s">
        <v>103</v>
      </c>
      <c r="J374" s="73" t="str">
        <f t="shared" si="1"/>
        <v>Igual</v>
      </c>
      <c r="K374" s="60"/>
      <c r="L374" s="60"/>
      <c r="M374" s="60"/>
      <c r="N374" s="74" t="str">
        <f t="shared" si="3"/>
        <v>Não</v>
      </c>
    </row>
    <row r="375">
      <c r="A375" s="67" t="s">
        <v>43</v>
      </c>
      <c r="B375" s="60"/>
      <c r="C375" s="60" t="s">
        <v>1751</v>
      </c>
      <c r="D375" s="62">
        <v>2025.0</v>
      </c>
      <c r="E375" s="60"/>
      <c r="F375" s="60"/>
      <c r="G375" s="60"/>
      <c r="H375" s="60" t="s">
        <v>103</v>
      </c>
      <c r="I375" s="60" t="s">
        <v>103</v>
      </c>
      <c r="J375" s="73" t="str">
        <f t="shared" si="1"/>
        <v>Igual</v>
      </c>
      <c r="K375" s="60"/>
      <c r="L375" s="60"/>
      <c r="M375" s="60"/>
      <c r="N375" s="74" t="str">
        <f t="shared" si="3"/>
        <v>Não</v>
      </c>
    </row>
    <row r="376">
      <c r="A376" s="67" t="s">
        <v>43</v>
      </c>
      <c r="B376" s="60"/>
      <c r="C376" s="60" t="s">
        <v>1752</v>
      </c>
      <c r="D376" s="62">
        <v>2024.0</v>
      </c>
      <c r="E376" s="60"/>
      <c r="F376" s="60"/>
      <c r="G376" s="60"/>
      <c r="H376" s="60" t="s">
        <v>103</v>
      </c>
      <c r="I376" s="60" t="s">
        <v>103</v>
      </c>
      <c r="J376" s="73" t="str">
        <f t="shared" si="1"/>
        <v>Igual</v>
      </c>
      <c r="K376" s="60"/>
      <c r="L376" s="60"/>
      <c r="M376" s="60"/>
      <c r="N376" s="74" t="str">
        <f t="shared" si="3"/>
        <v>Não</v>
      </c>
    </row>
    <row r="377">
      <c r="A377" s="67" t="s">
        <v>43</v>
      </c>
      <c r="B377" s="60"/>
      <c r="C377" s="60" t="s">
        <v>1753</v>
      </c>
      <c r="D377" s="62">
        <v>2024.0</v>
      </c>
      <c r="E377" s="60"/>
      <c r="F377" s="60"/>
      <c r="G377" s="60"/>
      <c r="H377" s="60" t="s">
        <v>103</v>
      </c>
      <c r="I377" s="60" t="s">
        <v>103</v>
      </c>
      <c r="J377" s="73" t="str">
        <f t="shared" si="1"/>
        <v>Igual</v>
      </c>
      <c r="K377" s="60"/>
      <c r="L377" s="60"/>
      <c r="M377" s="60"/>
      <c r="N377" s="74" t="str">
        <f t="shared" si="3"/>
        <v>Não</v>
      </c>
    </row>
    <row r="378">
      <c r="A378" s="67" t="s">
        <v>43</v>
      </c>
      <c r="B378" s="60" t="s">
        <v>1754</v>
      </c>
      <c r="C378" s="60" t="s">
        <v>1755</v>
      </c>
      <c r="D378" s="62">
        <v>2025.0</v>
      </c>
      <c r="E378" s="71" t="s">
        <v>1756</v>
      </c>
      <c r="F378" s="60" t="s">
        <v>1757</v>
      </c>
      <c r="G378" s="60" t="s">
        <v>1758</v>
      </c>
      <c r="H378" s="60"/>
      <c r="I378" s="60"/>
      <c r="J378" s="72" t="str">
        <f t="shared" si="1"/>
        <v/>
      </c>
      <c r="K378" s="60"/>
      <c r="L378" s="60"/>
      <c r="M378" s="60"/>
      <c r="N378" s="72" t="str">
        <f t="shared" si="3"/>
        <v/>
      </c>
    </row>
    <row r="379">
      <c r="A379" s="67" t="s">
        <v>43</v>
      </c>
      <c r="B379" s="60"/>
      <c r="C379" s="60" t="s">
        <v>1759</v>
      </c>
      <c r="D379" s="62">
        <v>2024.0</v>
      </c>
      <c r="E379" s="60"/>
      <c r="F379" s="60"/>
      <c r="G379" s="60"/>
      <c r="H379" s="60" t="s">
        <v>103</v>
      </c>
      <c r="I379" s="60" t="s">
        <v>103</v>
      </c>
      <c r="J379" s="73" t="str">
        <f t="shared" si="1"/>
        <v>Igual</v>
      </c>
      <c r="K379" s="60"/>
      <c r="L379" s="60"/>
      <c r="M379" s="60"/>
      <c r="N379" s="74" t="str">
        <f t="shared" si="3"/>
        <v>Não</v>
      </c>
    </row>
    <row r="380">
      <c r="A380" s="67" t="s">
        <v>43</v>
      </c>
      <c r="B380" s="60" t="s">
        <v>1760</v>
      </c>
      <c r="C380" s="60" t="s">
        <v>1761</v>
      </c>
      <c r="D380" s="62">
        <v>2022.0</v>
      </c>
      <c r="E380" s="71" t="s">
        <v>1762</v>
      </c>
      <c r="F380" s="60"/>
      <c r="G380" s="60"/>
      <c r="H380" s="60" t="s">
        <v>103</v>
      </c>
      <c r="I380" s="60" t="s">
        <v>103</v>
      </c>
      <c r="J380" s="73" t="str">
        <f t="shared" si="1"/>
        <v>Igual</v>
      </c>
      <c r="K380" s="60"/>
      <c r="L380" s="60"/>
      <c r="M380" s="60"/>
      <c r="N380" s="74" t="str">
        <f t="shared" si="3"/>
        <v>Não</v>
      </c>
    </row>
    <row r="381">
      <c r="A381" s="67" t="s">
        <v>43</v>
      </c>
      <c r="B381" s="60" t="s">
        <v>1763</v>
      </c>
      <c r="C381" s="60" t="s">
        <v>1764</v>
      </c>
      <c r="D381" s="62">
        <v>2025.0</v>
      </c>
      <c r="E381" s="71" t="s">
        <v>1765</v>
      </c>
      <c r="F381" s="60" t="s">
        <v>1766</v>
      </c>
      <c r="G381" s="60" t="s">
        <v>1767</v>
      </c>
      <c r="H381" s="60"/>
      <c r="I381" s="60"/>
      <c r="J381" s="72" t="str">
        <f t="shared" si="1"/>
        <v/>
      </c>
      <c r="K381" s="60"/>
      <c r="L381" s="60"/>
      <c r="M381" s="60"/>
      <c r="N381" s="72" t="str">
        <f t="shared" si="3"/>
        <v/>
      </c>
    </row>
    <row r="382">
      <c r="A382" s="67" t="s">
        <v>43</v>
      </c>
      <c r="B382" s="60" t="s">
        <v>1768</v>
      </c>
      <c r="C382" s="60" t="s">
        <v>1769</v>
      </c>
      <c r="D382" s="62">
        <v>2021.0</v>
      </c>
      <c r="E382" s="71" t="s">
        <v>1770</v>
      </c>
      <c r="F382" s="60" t="s">
        <v>1771</v>
      </c>
      <c r="G382" s="60" t="s">
        <v>1772</v>
      </c>
      <c r="H382" s="60"/>
      <c r="I382" s="60"/>
      <c r="J382" s="72" t="str">
        <f t="shared" si="1"/>
        <v/>
      </c>
      <c r="K382" s="60"/>
      <c r="L382" s="60"/>
      <c r="M382" s="60"/>
      <c r="N382" s="72" t="str">
        <f t="shared" si="3"/>
        <v/>
      </c>
    </row>
    <row r="383">
      <c r="A383" s="67" t="s">
        <v>43</v>
      </c>
      <c r="B383" s="60"/>
      <c r="C383" s="60" t="s">
        <v>1773</v>
      </c>
      <c r="D383" s="62">
        <v>2024.0</v>
      </c>
      <c r="E383" s="60"/>
      <c r="F383" s="60"/>
      <c r="G383" s="60"/>
      <c r="H383" s="60" t="s">
        <v>103</v>
      </c>
      <c r="I383" s="60" t="s">
        <v>103</v>
      </c>
      <c r="J383" s="73" t="str">
        <f t="shared" si="1"/>
        <v>Igual</v>
      </c>
      <c r="K383" s="60"/>
      <c r="L383" s="60"/>
      <c r="M383" s="60"/>
      <c r="N383" s="74" t="str">
        <f t="shared" si="3"/>
        <v>Não</v>
      </c>
    </row>
    <row r="384">
      <c r="A384" s="67" t="s">
        <v>43</v>
      </c>
      <c r="B384" s="60" t="s">
        <v>1774</v>
      </c>
      <c r="C384" s="60" t="s">
        <v>1775</v>
      </c>
      <c r="D384" s="62">
        <v>2023.0</v>
      </c>
      <c r="E384" s="71" t="s">
        <v>1776</v>
      </c>
      <c r="F384" s="60" t="s">
        <v>1777</v>
      </c>
      <c r="G384" s="60"/>
      <c r="H384" s="60"/>
      <c r="I384" s="60"/>
      <c r="J384" s="72" t="str">
        <f t="shared" si="1"/>
        <v/>
      </c>
      <c r="K384" s="60"/>
      <c r="L384" s="60"/>
      <c r="M384" s="60"/>
      <c r="N384" s="72" t="str">
        <f t="shared" si="3"/>
        <v/>
      </c>
    </row>
    <row r="385">
      <c r="A385" s="67" t="s">
        <v>43</v>
      </c>
      <c r="B385" s="60"/>
      <c r="C385" s="60" t="s">
        <v>1778</v>
      </c>
      <c r="D385" s="62">
        <v>2023.0</v>
      </c>
      <c r="E385" s="60"/>
      <c r="F385" s="60"/>
      <c r="G385" s="60"/>
      <c r="H385" s="60"/>
      <c r="I385" s="60"/>
      <c r="J385" s="72" t="str">
        <f t="shared" si="1"/>
        <v/>
      </c>
      <c r="K385" s="60"/>
      <c r="L385" s="60"/>
      <c r="M385" s="60"/>
      <c r="N385" s="72" t="str">
        <f t="shared" si="3"/>
        <v/>
      </c>
    </row>
    <row r="386">
      <c r="A386" s="67" t="s">
        <v>43</v>
      </c>
      <c r="B386" s="60" t="s">
        <v>1779</v>
      </c>
      <c r="C386" s="60" t="s">
        <v>1780</v>
      </c>
      <c r="D386" s="62">
        <v>2025.0</v>
      </c>
      <c r="E386" s="71" t="s">
        <v>1781</v>
      </c>
      <c r="F386" s="60" t="s">
        <v>1782</v>
      </c>
      <c r="G386" s="60" t="s">
        <v>1783</v>
      </c>
      <c r="H386" s="60"/>
      <c r="I386" s="60"/>
      <c r="J386" s="72" t="str">
        <f t="shared" si="1"/>
        <v/>
      </c>
      <c r="K386" s="60"/>
      <c r="L386" s="60"/>
      <c r="M386" s="60"/>
      <c r="N386" s="72" t="str">
        <f t="shared" si="3"/>
        <v/>
      </c>
    </row>
    <row r="387">
      <c r="A387" s="67" t="s">
        <v>43</v>
      </c>
      <c r="B387" s="60"/>
      <c r="C387" s="60" t="s">
        <v>1784</v>
      </c>
      <c r="D387" s="62">
        <v>2022.0</v>
      </c>
      <c r="E387" s="60"/>
      <c r="F387" s="60"/>
      <c r="G387" s="60"/>
      <c r="H387" s="60" t="s">
        <v>103</v>
      </c>
      <c r="I387" s="60" t="s">
        <v>103</v>
      </c>
      <c r="J387" s="73" t="str">
        <f t="shared" si="1"/>
        <v>Igual</v>
      </c>
      <c r="K387" s="60"/>
      <c r="L387" s="60"/>
      <c r="M387" s="60"/>
      <c r="N387" s="74" t="str">
        <f t="shared" si="3"/>
        <v>Não</v>
      </c>
    </row>
    <row r="388">
      <c r="A388" s="67" t="s">
        <v>43</v>
      </c>
      <c r="B388" s="60"/>
      <c r="C388" s="60" t="s">
        <v>1785</v>
      </c>
      <c r="D388" s="62">
        <v>2024.0</v>
      </c>
      <c r="E388" s="60"/>
      <c r="F388" s="60"/>
      <c r="G388" s="60"/>
      <c r="H388" s="60" t="s">
        <v>103</v>
      </c>
      <c r="I388" s="60" t="s">
        <v>103</v>
      </c>
      <c r="J388" s="73" t="str">
        <f t="shared" si="1"/>
        <v>Igual</v>
      </c>
      <c r="K388" s="60"/>
      <c r="L388" s="60"/>
      <c r="M388" s="60"/>
      <c r="N388" s="74" t="str">
        <f t="shared" si="3"/>
        <v>Não</v>
      </c>
    </row>
    <row r="389">
      <c r="A389" s="67" t="s">
        <v>43</v>
      </c>
      <c r="B389" s="60"/>
      <c r="C389" s="60" t="s">
        <v>1786</v>
      </c>
      <c r="D389" s="62">
        <v>2023.0</v>
      </c>
      <c r="E389" s="60"/>
      <c r="F389" s="60"/>
      <c r="G389" s="60"/>
      <c r="H389" s="60" t="s">
        <v>103</v>
      </c>
      <c r="I389" s="60" t="s">
        <v>103</v>
      </c>
      <c r="J389" s="73" t="str">
        <f t="shared" si="1"/>
        <v>Igual</v>
      </c>
      <c r="K389" s="60"/>
      <c r="L389" s="60"/>
      <c r="M389" s="60"/>
      <c r="N389" s="74" t="str">
        <f t="shared" si="3"/>
        <v>Não</v>
      </c>
    </row>
    <row r="390">
      <c r="A390" s="67" t="s">
        <v>43</v>
      </c>
      <c r="B390" s="60" t="s">
        <v>1787</v>
      </c>
      <c r="C390" s="60" t="s">
        <v>1788</v>
      </c>
      <c r="D390" s="62">
        <v>2020.0</v>
      </c>
      <c r="E390" s="71" t="s">
        <v>1789</v>
      </c>
      <c r="F390" s="60" t="s">
        <v>1790</v>
      </c>
      <c r="G390" s="60" t="s">
        <v>1791</v>
      </c>
      <c r="H390" s="60"/>
      <c r="I390" s="60"/>
      <c r="J390" s="72" t="str">
        <f t="shared" si="1"/>
        <v/>
      </c>
      <c r="K390" s="60"/>
      <c r="L390" s="60"/>
      <c r="M390" s="60"/>
      <c r="N390" s="72" t="str">
        <f t="shared" si="3"/>
        <v/>
      </c>
    </row>
    <row r="391">
      <c r="A391" s="67" t="s">
        <v>43</v>
      </c>
      <c r="B391" s="60"/>
      <c r="C391" s="60" t="s">
        <v>1792</v>
      </c>
      <c r="D391" s="62">
        <v>2024.0</v>
      </c>
      <c r="E391" s="60"/>
      <c r="F391" s="60"/>
      <c r="G391" s="60"/>
      <c r="H391" s="60" t="s">
        <v>103</v>
      </c>
      <c r="I391" s="60" t="s">
        <v>103</v>
      </c>
      <c r="J391" s="73" t="str">
        <f t="shared" si="1"/>
        <v>Igual</v>
      </c>
      <c r="K391" s="60"/>
      <c r="L391" s="60"/>
      <c r="M391" s="60"/>
      <c r="N391" s="74" t="str">
        <f t="shared" si="3"/>
        <v>Não</v>
      </c>
    </row>
    <row r="392">
      <c r="A392" s="67" t="s">
        <v>43</v>
      </c>
      <c r="B392" s="60" t="s">
        <v>1793</v>
      </c>
      <c r="C392" s="60" t="s">
        <v>1794</v>
      </c>
      <c r="D392" s="62">
        <v>2020.0</v>
      </c>
      <c r="E392" s="71" t="s">
        <v>1795</v>
      </c>
      <c r="F392" s="60" t="s">
        <v>1796</v>
      </c>
      <c r="G392" s="60" t="s">
        <v>1797</v>
      </c>
      <c r="H392" s="60"/>
      <c r="I392" s="60"/>
      <c r="J392" s="72" t="str">
        <f t="shared" si="1"/>
        <v/>
      </c>
      <c r="K392" s="60"/>
      <c r="L392" s="60"/>
      <c r="M392" s="60"/>
      <c r="N392" s="72" t="str">
        <f t="shared" si="3"/>
        <v/>
      </c>
    </row>
    <row r="393">
      <c r="A393" s="67" t="s">
        <v>43</v>
      </c>
      <c r="B393" s="60" t="s">
        <v>1798</v>
      </c>
      <c r="C393" s="60" t="s">
        <v>1799</v>
      </c>
      <c r="D393" s="62">
        <v>2020.0</v>
      </c>
      <c r="E393" s="71" t="s">
        <v>1800</v>
      </c>
      <c r="F393" s="60" t="s">
        <v>1801</v>
      </c>
      <c r="G393" s="60" t="s">
        <v>1802</v>
      </c>
      <c r="H393" s="60"/>
      <c r="I393" s="60"/>
      <c r="J393" s="72" t="str">
        <f t="shared" si="1"/>
        <v/>
      </c>
      <c r="K393" s="60"/>
      <c r="L393" s="60"/>
      <c r="M393" s="60"/>
      <c r="N393" s="72" t="str">
        <f t="shared" si="3"/>
        <v/>
      </c>
    </row>
    <row r="394">
      <c r="A394" s="67" t="s">
        <v>43</v>
      </c>
      <c r="B394" s="60"/>
      <c r="C394" s="60" t="s">
        <v>1803</v>
      </c>
      <c r="D394" s="62">
        <v>2023.0</v>
      </c>
      <c r="E394" s="60"/>
      <c r="F394" s="60"/>
      <c r="G394" s="60"/>
      <c r="H394" s="60" t="s">
        <v>103</v>
      </c>
      <c r="I394" s="60" t="s">
        <v>103</v>
      </c>
      <c r="J394" s="73" t="str">
        <f t="shared" si="1"/>
        <v>Igual</v>
      </c>
      <c r="K394" s="60"/>
      <c r="L394" s="60"/>
      <c r="M394" s="60"/>
      <c r="N394" s="74" t="str">
        <f t="shared" si="3"/>
        <v>Não</v>
      </c>
    </row>
    <row r="395">
      <c r="A395" s="67" t="s">
        <v>43</v>
      </c>
      <c r="B395" s="60"/>
      <c r="C395" s="60" t="s">
        <v>1804</v>
      </c>
      <c r="D395" s="62">
        <v>2025.0</v>
      </c>
      <c r="E395" s="60"/>
      <c r="F395" s="60"/>
      <c r="G395" s="60"/>
      <c r="H395" s="60" t="s">
        <v>103</v>
      </c>
      <c r="I395" s="60" t="s">
        <v>103</v>
      </c>
      <c r="J395" s="73" t="str">
        <f t="shared" si="1"/>
        <v>Igual</v>
      </c>
      <c r="K395" s="60"/>
      <c r="L395" s="60"/>
      <c r="M395" s="60"/>
      <c r="N395" s="74" t="str">
        <f t="shared" si="3"/>
        <v>Não</v>
      </c>
    </row>
    <row r="396">
      <c r="A396" s="67" t="s">
        <v>43</v>
      </c>
      <c r="B396" s="60"/>
      <c r="C396" s="60" t="s">
        <v>1805</v>
      </c>
      <c r="D396" s="62">
        <v>2024.0</v>
      </c>
      <c r="E396" s="60"/>
      <c r="F396" s="60"/>
      <c r="G396" s="60"/>
      <c r="H396" s="60" t="s">
        <v>103</v>
      </c>
      <c r="I396" s="60" t="s">
        <v>103</v>
      </c>
      <c r="J396" s="73" t="str">
        <f t="shared" si="1"/>
        <v>Igual</v>
      </c>
      <c r="K396" s="60"/>
      <c r="L396" s="60"/>
      <c r="M396" s="60"/>
      <c r="N396" s="74" t="str">
        <f t="shared" si="3"/>
        <v>Não</v>
      </c>
    </row>
    <row r="397">
      <c r="A397" s="67" t="s">
        <v>43</v>
      </c>
      <c r="B397" s="60"/>
      <c r="C397" s="60" t="s">
        <v>1806</v>
      </c>
      <c r="D397" s="62">
        <v>2025.0</v>
      </c>
      <c r="E397" s="60"/>
      <c r="F397" s="60"/>
      <c r="G397" s="60"/>
      <c r="H397" s="60" t="s">
        <v>103</v>
      </c>
      <c r="I397" s="60" t="s">
        <v>103</v>
      </c>
      <c r="J397" s="73" t="str">
        <f t="shared" si="1"/>
        <v>Igual</v>
      </c>
      <c r="K397" s="60"/>
      <c r="L397" s="60"/>
      <c r="M397" s="60"/>
      <c r="N397" s="74" t="str">
        <f t="shared" si="3"/>
        <v>Não</v>
      </c>
    </row>
    <row r="398">
      <c r="A398" s="67" t="s">
        <v>43</v>
      </c>
      <c r="B398" s="60"/>
      <c r="C398" s="60" t="s">
        <v>1807</v>
      </c>
      <c r="D398" s="62">
        <v>2023.0</v>
      </c>
      <c r="E398" s="60"/>
      <c r="F398" s="60"/>
      <c r="G398" s="60"/>
      <c r="H398" s="60" t="s">
        <v>103</v>
      </c>
      <c r="I398" s="60" t="s">
        <v>103</v>
      </c>
      <c r="J398" s="73" t="str">
        <f t="shared" si="1"/>
        <v>Igual</v>
      </c>
      <c r="K398" s="60"/>
      <c r="L398" s="60"/>
      <c r="M398" s="60"/>
      <c r="N398" s="74" t="str">
        <f t="shared" si="3"/>
        <v>Não</v>
      </c>
    </row>
    <row r="399">
      <c r="A399" s="67" t="s">
        <v>43</v>
      </c>
      <c r="B399" s="60"/>
      <c r="C399" s="60" t="s">
        <v>1808</v>
      </c>
      <c r="D399" s="62">
        <v>2025.0</v>
      </c>
      <c r="E399" s="60"/>
      <c r="F399" s="60"/>
      <c r="G399" s="60"/>
      <c r="H399" s="60" t="s">
        <v>103</v>
      </c>
      <c r="I399" s="60" t="s">
        <v>103</v>
      </c>
      <c r="J399" s="73" t="str">
        <f t="shared" si="1"/>
        <v>Igual</v>
      </c>
      <c r="K399" s="60"/>
      <c r="L399" s="60"/>
      <c r="M399" s="60"/>
      <c r="N399" s="74" t="str">
        <f t="shared" si="3"/>
        <v>Não</v>
      </c>
    </row>
    <row r="400">
      <c r="A400" s="67" t="s">
        <v>43</v>
      </c>
      <c r="B400" s="60"/>
      <c r="C400" s="60" t="s">
        <v>1809</v>
      </c>
      <c r="D400" s="62">
        <v>2023.0</v>
      </c>
      <c r="E400" s="60"/>
      <c r="F400" s="60"/>
      <c r="G400" s="60"/>
      <c r="H400" s="60" t="s">
        <v>103</v>
      </c>
      <c r="I400" s="60" t="s">
        <v>103</v>
      </c>
      <c r="J400" s="73" t="str">
        <f t="shared" si="1"/>
        <v>Igual</v>
      </c>
      <c r="K400" s="60"/>
      <c r="L400" s="60"/>
      <c r="M400" s="60"/>
      <c r="N400" s="74" t="str">
        <f t="shared" si="3"/>
        <v>Não</v>
      </c>
    </row>
    <row r="401">
      <c r="A401" s="67" t="s">
        <v>43</v>
      </c>
      <c r="B401" s="60"/>
      <c r="C401" s="60" t="s">
        <v>1810</v>
      </c>
      <c r="D401" s="62">
        <v>2025.0</v>
      </c>
      <c r="E401" s="60"/>
      <c r="F401" s="60"/>
      <c r="G401" s="60"/>
      <c r="H401" s="60" t="s">
        <v>103</v>
      </c>
      <c r="I401" s="60" t="s">
        <v>103</v>
      </c>
      <c r="J401" s="73" t="str">
        <f t="shared" si="1"/>
        <v>Igual</v>
      </c>
      <c r="K401" s="60"/>
      <c r="L401" s="60"/>
      <c r="M401" s="60"/>
      <c r="N401" s="74" t="str">
        <f t="shared" si="3"/>
        <v>Não</v>
      </c>
    </row>
    <row r="402">
      <c r="A402" s="67" t="s">
        <v>43</v>
      </c>
      <c r="B402" s="60"/>
      <c r="C402" s="60" t="s">
        <v>1811</v>
      </c>
      <c r="D402" s="62">
        <v>2024.0</v>
      </c>
      <c r="E402" s="60"/>
      <c r="F402" s="60"/>
      <c r="G402" s="60"/>
      <c r="H402" s="60" t="s">
        <v>103</v>
      </c>
      <c r="I402" s="60" t="s">
        <v>103</v>
      </c>
      <c r="J402" s="73" t="str">
        <f t="shared" si="1"/>
        <v>Igual</v>
      </c>
      <c r="K402" s="60"/>
      <c r="L402" s="60"/>
      <c r="M402" s="60"/>
      <c r="N402" s="74" t="str">
        <f t="shared" si="3"/>
        <v>Não</v>
      </c>
    </row>
    <row r="403">
      <c r="A403" s="67" t="s">
        <v>43</v>
      </c>
      <c r="B403" s="60"/>
      <c r="C403" s="60" t="s">
        <v>1812</v>
      </c>
      <c r="D403" s="62">
        <v>2025.0</v>
      </c>
      <c r="E403" s="60"/>
      <c r="F403" s="60" t="s">
        <v>1813</v>
      </c>
      <c r="G403" s="60"/>
      <c r="H403" s="60"/>
      <c r="I403" s="60"/>
      <c r="J403" s="72" t="str">
        <f t="shared" si="1"/>
        <v/>
      </c>
      <c r="K403" s="60"/>
      <c r="L403" s="60"/>
      <c r="M403" s="60"/>
      <c r="N403" s="72" t="str">
        <f t="shared" si="3"/>
        <v/>
      </c>
    </row>
    <row r="404">
      <c r="A404" s="67" t="s">
        <v>43</v>
      </c>
      <c r="B404" s="60"/>
      <c r="C404" s="60" t="s">
        <v>1814</v>
      </c>
      <c r="D404" s="62">
        <v>2024.0</v>
      </c>
      <c r="E404" s="60"/>
      <c r="F404" s="60"/>
      <c r="G404" s="60"/>
      <c r="H404" s="60" t="s">
        <v>103</v>
      </c>
      <c r="I404" s="60" t="s">
        <v>103</v>
      </c>
      <c r="J404" s="73" t="str">
        <f t="shared" si="1"/>
        <v>Igual</v>
      </c>
      <c r="K404" s="60"/>
      <c r="L404" s="60"/>
      <c r="M404" s="60"/>
      <c r="N404" s="74" t="str">
        <f t="shared" si="3"/>
        <v>Não</v>
      </c>
    </row>
    <row r="405">
      <c r="A405" s="67" t="s">
        <v>43</v>
      </c>
      <c r="B405" s="60" t="s">
        <v>1815</v>
      </c>
      <c r="C405" s="60" t="s">
        <v>1816</v>
      </c>
      <c r="D405" s="62">
        <v>2021.0</v>
      </c>
      <c r="E405" s="71" t="s">
        <v>1817</v>
      </c>
      <c r="F405" s="60" t="s">
        <v>1818</v>
      </c>
      <c r="G405" s="60" t="s">
        <v>1819</v>
      </c>
      <c r="H405" s="60"/>
      <c r="I405" s="60"/>
      <c r="J405" s="72" t="str">
        <f t="shared" si="1"/>
        <v/>
      </c>
      <c r="K405" s="60"/>
      <c r="L405" s="60"/>
      <c r="M405" s="60"/>
      <c r="N405" s="72" t="str">
        <f t="shared" si="3"/>
        <v/>
      </c>
    </row>
    <row r="406">
      <c r="A406" s="67" t="s">
        <v>43</v>
      </c>
      <c r="B406" s="60"/>
      <c r="C406" s="60" t="s">
        <v>1820</v>
      </c>
      <c r="D406" s="62">
        <v>2024.0</v>
      </c>
      <c r="E406" s="60"/>
      <c r="F406" s="60"/>
      <c r="G406" s="60"/>
      <c r="H406" s="60" t="s">
        <v>103</v>
      </c>
      <c r="I406" s="60" t="s">
        <v>103</v>
      </c>
      <c r="J406" s="73" t="str">
        <f t="shared" si="1"/>
        <v>Igual</v>
      </c>
      <c r="K406" s="60"/>
      <c r="L406" s="60"/>
      <c r="M406" s="60"/>
      <c r="N406" s="74" t="str">
        <f t="shared" si="3"/>
        <v>Não</v>
      </c>
    </row>
    <row r="407">
      <c r="A407" s="67" t="s">
        <v>43</v>
      </c>
      <c r="B407" s="60"/>
      <c r="C407" s="60" t="s">
        <v>1821</v>
      </c>
      <c r="D407" s="62">
        <v>2025.0</v>
      </c>
      <c r="E407" s="60"/>
      <c r="F407" s="60"/>
      <c r="G407" s="60"/>
      <c r="H407" s="60" t="s">
        <v>103</v>
      </c>
      <c r="I407" s="60" t="s">
        <v>103</v>
      </c>
      <c r="J407" s="73" t="str">
        <f t="shared" si="1"/>
        <v>Igual</v>
      </c>
      <c r="K407" s="60"/>
      <c r="L407" s="60"/>
      <c r="M407" s="60"/>
      <c r="N407" s="74" t="str">
        <f t="shared" si="3"/>
        <v>Não</v>
      </c>
    </row>
    <row r="408">
      <c r="A408" s="67" t="s">
        <v>43</v>
      </c>
      <c r="B408" s="60"/>
      <c r="C408" s="60" t="s">
        <v>1822</v>
      </c>
      <c r="D408" s="62">
        <v>2024.0</v>
      </c>
      <c r="E408" s="60"/>
      <c r="F408" s="60" t="s">
        <v>1823</v>
      </c>
      <c r="G408" s="60"/>
      <c r="H408" s="60"/>
      <c r="I408" s="60"/>
      <c r="J408" s="72" t="str">
        <f t="shared" si="1"/>
        <v/>
      </c>
      <c r="K408" s="60"/>
      <c r="L408" s="60"/>
      <c r="M408" s="60"/>
      <c r="N408" s="72" t="str">
        <f t="shared" si="3"/>
        <v/>
      </c>
    </row>
    <row r="409">
      <c r="A409" s="67" t="s">
        <v>43</v>
      </c>
      <c r="B409" s="60"/>
      <c r="C409" s="60" t="s">
        <v>1824</v>
      </c>
      <c r="D409" s="62">
        <v>2024.0</v>
      </c>
      <c r="E409" s="60"/>
      <c r="F409" s="60"/>
      <c r="G409" s="60"/>
      <c r="H409" s="60" t="s">
        <v>103</v>
      </c>
      <c r="I409" s="60" t="s">
        <v>103</v>
      </c>
      <c r="J409" s="73" t="str">
        <f t="shared" si="1"/>
        <v>Igual</v>
      </c>
      <c r="K409" s="60"/>
      <c r="L409" s="60"/>
      <c r="M409" s="60"/>
      <c r="N409" s="74" t="str">
        <f t="shared" si="3"/>
        <v>Não</v>
      </c>
    </row>
    <row r="410">
      <c r="A410" s="67" t="s">
        <v>43</v>
      </c>
      <c r="B410" s="60"/>
      <c r="C410" s="60" t="s">
        <v>1825</v>
      </c>
      <c r="D410" s="62">
        <v>2024.0</v>
      </c>
      <c r="E410" s="60"/>
      <c r="F410" s="60"/>
      <c r="G410" s="60"/>
      <c r="H410" s="60" t="s">
        <v>103</v>
      </c>
      <c r="I410" s="60" t="s">
        <v>103</v>
      </c>
      <c r="J410" s="73" t="str">
        <f t="shared" si="1"/>
        <v>Igual</v>
      </c>
      <c r="K410" s="60"/>
      <c r="L410" s="60"/>
      <c r="M410" s="60"/>
      <c r="N410" s="74" t="str">
        <f t="shared" si="3"/>
        <v>Não</v>
      </c>
    </row>
    <row r="411">
      <c r="A411" s="67" t="s">
        <v>43</v>
      </c>
      <c r="B411" s="60"/>
      <c r="C411" s="60" t="s">
        <v>1826</v>
      </c>
      <c r="D411" s="62">
        <v>2022.0</v>
      </c>
      <c r="E411" s="60"/>
      <c r="F411" s="60"/>
      <c r="G411" s="60"/>
      <c r="H411" s="60" t="s">
        <v>103</v>
      </c>
      <c r="I411" s="60" t="s">
        <v>103</v>
      </c>
      <c r="J411" s="73" t="str">
        <f t="shared" si="1"/>
        <v>Igual</v>
      </c>
      <c r="K411" s="60"/>
      <c r="L411" s="60"/>
      <c r="M411" s="60"/>
      <c r="N411" s="74" t="str">
        <f t="shared" si="3"/>
        <v>Não</v>
      </c>
    </row>
    <row r="412">
      <c r="A412" s="67" t="s">
        <v>43</v>
      </c>
      <c r="B412" s="60" t="s">
        <v>1827</v>
      </c>
      <c r="C412" s="60" t="s">
        <v>1828</v>
      </c>
      <c r="D412" s="62">
        <v>2020.0</v>
      </c>
      <c r="E412" s="71" t="s">
        <v>1829</v>
      </c>
      <c r="F412" s="60" t="s">
        <v>1830</v>
      </c>
      <c r="G412" s="60" t="s">
        <v>1831</v>
      </c>
      <c r="H412" s="60"/>
      <c r="I412" s="60"/>
      <c r="J412" s="72" t="str">
        <f t="shared" si="1"/>
        <v/>
      </c>
      <c r="K412" s="60"/>
      <c r="L412" s="60"/>
      <c r="M412" s="60"/>
      <c r="N412" s="72" t="str">
        <f t="shared" si="3"/>
        <v/>
      </c>
    </row>
    <row r="413">
      <c r="A413" s="67" t="s">
        <v>43</v>
      </c>
      <c r="B413" s="60"/>
      <c r="C413" s="60" t="s">
        <v>1832</v>
      </c>
      <c r="D413" s="62">
        <v>2024.0</v>
      </c>
      <c r="E413" s="60"/>
      <c r="F413" s="60"/>
      <c r="G413" s="60"/>
      <c r="H413" s="60" t="s">
        <v>103</v>
      </c>
      <c r="I413" s="60" t="s">
        <v>103</v>
      </c>
      <c r="J413" s="73" t="str">
        <f t="shared" si="1"/>
        <v>Igual</v>
      </c>
      <c r="K413" s="60"/>
      <c r="L413" s="60"/>
      <c r="M413" s="60"/>
      <c r="N413" s="74" t="str">
        <f t="shared" si="3"/>
        <v>Não</v>
      </c>
    </row>
    <row r="414">
      <c r="A414" s="67" t="s">
        <v>43</v>
      </c>
      <c r="B414" s="60"/>
      <c r="C414" s="60" t="s">
        <v>1833</v>
      </c>
      <c r="D414" s="62">
        <v>2023.0</v>
      </c>
      <c r="E414" s="60"/>
      <c r="F414" s="60"/>
      <c r="G414" s="60"/>
      <c r="H414" s="60" t="s">
        <v>103</v>
      </c>
      <c r="I414" s="60" t="s">
        <v>103</v>
      </c>
      <c r="J414" s="73" t="str">
        <f t="shared" si="1"/>
        <v>Igual</v>
      </c>
      <c r="K414" s="60"/>
      <c r="L414" s="60"/>
      <c r="M414" s="60"/>
      <c r="N414" s="74" t="str">
        <f t="shared" si="3"/>
        <v>Não</v>
      </c>
    </row>
    <row r="415">
      <c r="A415" s="67" t="s">
        <v>43</v>
      </c>
      <c r="B415" s="60"/>
      <c r="C415" s="60" t="s">
        <v>1834</v>
      </c>
      <c r="D415" s="62">
        <v>2023.0</v>
      </c>
      <c r="E415" s="60"/>
      <c r="F415" s="60"/>
      <c r="G415" s="60"/>
      <c r="H415" s="60" t="s">
        <v>103</v>
      </c>
      <c r="I415" s="60" t="s">
        <v>103</v>
      </c>
      <c r="J415" s="73" t="str">
        <f t="shared" si="1"/>
        <v>Igual</v>
      </c>
      <c r="K415" s="60"/>
      <c r="L415" s="60"/>
      <c r="M415" s="60"/>
      <c r="N415" s="74" t="str">
        <f t="shared" si="3"/>
        <v>Não</v>
      </c>
    </row>
    <row r="416">
      <c r="A416" s="67" t="s">
        <v>43</v>
      </c>
      <c r="B416" s="60"/>
      <c r="C416" s="60" t="s">
        <v>1835</v>
      </c>
      <c r="D416" s="62">
        <v>2024.0</v>
      </c>
      <c r="E416" s="60"/>
      <c r="F416" s="60"/>
      <c r="G416" s="60"/>
      <c r="H416" s="60" t="s">
        <v>103</v>
      </c>
      <c r="I416" s="60" t="s">
        <v>103</v>
      </c>
      <c r="J416" s="73" t="str">
        <f t="shared" si="1"/>
        <v>Igual</v>
      </c>
      <c r="K416" s="60"/>
      <c r="L416" s="60"/>
      <c r="M416" s="60"/>
      <c r="N416" s="74" t="str">
        <f t="shared" si="3"/>
        <v>Não</v>
      </c>
    </row>
    <row r="417">
      <c r="A417" s="67" t="s">
        <v>43</v>
      </c>
      <c r="B417" s="60"/>
      <c r="C417" s="60" t="s">
        <v>1836</v>
      </c>
      <c r="D417" s="62">
        <v>2024.0</v>
      </c>
      <c r="E417" s="60"/>
      <c r="F417" s="60"/>
      <c r="G417" s="60"/>
      <c r="H417" s="60" t="s">
        <v>103</v>
      </c>
      <c r="I417" s="60" t="s">
        <v>103</v>
      </c>
      <c r="J417" s="73" t="str">
        <f t="shared" si="1"/>
        <v>Igual</v>
      </c>
      <c r="K417" s="60"/>
      <c r="L417" s="60"/>
      <c r="M417" s="60"/>
      <c r="N417" s="74" t="str">
        <f t="shared" si="3"/>
        <v>Não</v>
      </c>
    </row>
    <row r="418">
      <c r="A418" s="67" t="s">
        <v>43</v>
      </c>
      <c r="B418" s="60"/>
      <c r="C418" s="60" t="s">
        <v>1837</v>
      </c>
      <c r="D418" s="62">
        <v>2025.0</v>
      </c>
      <c r="E418" s="60"/>
      <c r="F418" s="60"/>
      <c r="G418" s="60"/>
      <c r="H418" s="60" t="s">
        <v>103</v>
      </c>
      <c r="I418" s="60" t="s">
        <v>103</v>
      </c>
      <c r="J418" s="73" t="str">
        <f t="shared" si="1"/>
        <v>Igual</v>
      </c>
      <c r="K418" s="60"/>
      <c r="L418" s="60"/>
      <c r="M418" s="60"/>
      <c r="N418" s="74" t="str">
        <f t="shared" si="3"/>
        <v>Não</v>
      </c>
    </row>
    <row r="419">
      <c r="A419" s="67" t="s">
        <v>43</v>
      </c>
      <c r="B419" s="60"/>
      <c r="C419" s="60" t="s">
        <v>1838</v>
      </c>
      <c r="D419" s="62">
        <v>2023.0</v>
      </c>
      <c r="E419" s="60"/>
      <c r="F419" s="60"/>
      <c r="G419" s="60"/>
      <c r="H419" s="60" t="s">
        <v>103</v>
      </c>
      <c r="I419" s="60" t="s">
        <v>103</v>
      </c>
      <c r="J419" s="73" t="str">
        <f t="shared" si="1"/>
        <v>Igual</v>
      </c>
      <c r="K419" s="60"/>
      <c r="L419" s="60"/>
      <c r="M419" s="60"/>
      <c r="N419" s="74" t="str">
        <f t="shared" si="3"/>
        <v>Não</v>
      </c>
    </row>
    <row r="420">
      <c r="A420" s="67" t="s">
        <v>43</v>
      </c>
      <c r="B420" s="60"/>
      <c r="C420" s="60" t="s">
        <v>1839</v>
      </c>
      <c r="D420" s="62">
        <v>2024.0</v>
      </c>
      <c r="E420" s="60"/>
      <c r="F420" s="60"/>
      <c r="G420" s="60"/>
      <c r="H420" s="60" t="s">
        <v>103</v>
      </c>
      <c r="I420" s="60" t="s">
        <v>103</v>
      </c>
      <c r="J420" s="73" t="str">
        <f t="shared" si="1"/>
        <v>Igual</v>
      </c>
      <c r="K420" s="60"/>
      <c r="L420" s="60"/>
      <c r="M420" s="60"/>
      <c r="N420" s="74" t="str">
        <f t="shared" si="3"/>
        <v>Não</v>
      </c>
    </row>
    <row r="421">
      <c r="A421" s="67" t="s">
        <v>43</v>
      </c>
      <c r="B421" s="60"/>
      <c r="C421" s="60" t="s">
        <v>1840</v>
      </c>
      <c r="D421" s="62">
        <v>2022.0</v>
      </c>
      <c r="E421" s="60"/>
      <c r="F421" s="60"/>
      <c r="G421" s="60"/>
      <c r="H421" s="60" t="s">
        <v>103</v>
      </c>
      <c r="I421" s="60" t="s">
        <v>103</v>
      </c>
      <c r="J421" s="73" t="str">
        <f t="shared" si="1"/>
        <v>Igual</v>
      </c>
      <c r="K421" s="60"/>
      <c r="L421" s="60"/>
      <c r="M421" s="60"/>
      <c r="N421" s="74" t="str">
        <f t="shared" si="3"/>
        <v>Não</v>
      </c>
    </row>
    <row r="422">
      <c r="A422" s="67" t="s">
        <v>43</v>
      </c>
      <c r="B422" s="60"/>
      <c r="C422" s="60" t="s">
        <v>1841</v>
      </c>
      <c r="D422" s="62">
        <v>2023.0</v>
      </c>
      <c r="E422" s="60"/>
      <c r="F422" s="60"/>
      <c r="G422" s="60"/>
      <c r="H422" s="60" t="s">
        <v>103</v>
      </c>
      <c r="I422" s="60" t="s">
        <v>103</v>
      </c>
      <c r="J422" s="73" t="str">
        <f t="shared" si="1"/>
        <v>Igual</v>
      </c>
      <c r="K422" s="60"/>
      <c r="L422" s="60"/>
      <c r="M422" s="60"/>
      <c r="N422" s="74" t="str">
        <f t="shared" si="3"/>
        <v>Não</v>
      </c>
    </row>
    <row r="423">
      <c r="A423" s="67" t="s">
        <v>43</v>
      </c>
      <c r="B423" s="60"/>
      <c r="C423" s="60" t="s">
        <v>1842</v>
      </c>
      <c r="D423" s="62">
        <v>2025.0</v>
      </c>
      <c r="E423" s="60"/>
      <c r="F423" s="60"/>
      <c r="G423" s="60"/>
      <c r="H423" s="60" t="s">
        <v>103</v>
      </c>
      <c r="I423" s="60" t="s">
        <v>103</v>
      </c>
      <c r="J423" s="73" t="str">
        <f t="shared" si="1"/>
        <v>Igual</v>
      </c>
      <c r="K423" s="60"/>
      <c r="L423" s="60"/>
      <c r="M423" s="60"/>
      <c r="N423" s="74" t="str">
        <f t="shared" si="3"/>
        <v>Não</v>
      </c>
    </row>
    <row r="424">
      <c r="A424" s="67" t="s">
        <v>43</v>
      </c>
      <c r="B424" s="60"/>
      <c r="C424" s="60" t="s">
        <v>1843</v>
      </c>
      <c r="D424" s="62">
        <v>2025.0</v>
      </c>
      <c r="E424" s="60"/>
      <c r="F424" s="60" t="s">
        <v>1844</v>
      </c>
      <c r="G424" s="60"/>
      <c r="H424" s="60"/>
      <c r="I424" s="60"/>
      <c r="J424" s="72" t="str">
        <f t="shared" si="1"/>
        <v/>
      </c>
      <c r="K424" s="60"/>
      <c r="L424" s="60"/>
      <c r="M424" s="60"/>
      <c r="N424" s="72" t="str">
        <f t="shared" si="3"/>
        <v/>
      </c>
    </row>
    <row r="425">
      <c r="A425" s="67" t="s">
        <v>43</v>
      </c>
      <c r="B425" s="60"/>
      <c r="C425" s="60" t="s">
        <v>1845</v>
      </c>
      <c r="D425" s="62">
        <v>2022.0</v>
      </c>
      <c r="E425" s="60"/>
      <c r="F425" s="60"/>
      <c r="G425" s="60"/>
      <c r="H425" s="60" t="s">
        <v>103</v>
      </c>
      <c r="I425" s="60" t="s">
        <v>103</v>
      </c>
      <c r="J425" s="73" t="str">
        <f t="shared" si="1"/>
        <v>Igual</v>
      </c>
      <c r="K425" s="60"/>
      <c r="L425" s="60"/>
      <c r="M425" s="60"/>
      <c r="N425" s="74" t="str">
        <f t="shared" si="3"/>
        <v>Não</v>
      </c>
    </row>
    <row r="426">
      <c r="A426" s="67" t="s">
        <v>43</v>
      </c>
      <c r="B426" s="60"/>
      <c r="C426" s="60" t="s">
        <v>1846</v>
      </c>
      <c r="D426" s="62">
        <v>2023.0</v>
      </c>
      <c r="E426" s="60"/>
      <c r="F426" s="60"/>
      <c r="G426" s="60"/>
      <c r="H426" s="60" t="s">
        <v>103</v>
      </c>
      <c r="I426" s="60" t="s">
        <v>103</v>
      </c>
      <c r="J426" s="73" t="str">
        <f t="shared" si="1"/>
        <v>Igual</v>
      </c>
      <c r="K426" s="60"/>
      <c r="L426" s="60"/>
      <c r="M426" s="60"/>
      <c r="N426" s="74" t="str">
        <f t="shared" si="3"/>
        <v>Não</v>
      </c>
    </row>
    <row r="427">
      <c r="A427" s="67" t="s">
        <v>43</v>
      </c>
      <c r="B427" s="60" t="s">
        <v>1847</v>
      </c>
      <c r="C427" s="60" t="s">
        <v>1848</v>
      </c>
      <c r="D427" s="62">
        <v>2022.0</v>
      </c>
      <c r="E427" s="60"/>
      <c r="F427" s="60" t="s">
        <v>1849</v>
      </c>
      <c r="G427" s="60"/>
      <c r="H427" s="60"/>
      <c r="I427" s="60"/>
      <c r="J427" s="72" t="str">
        <f t="shared" si="1"/>
        <v/>
      </c>
      <c r="K427" s="60"/>
      <c r="L427" s="60"/>
      <c r="M427" s="60"/>
      <c r="N427" s="72" t="str">
        <f t="shared" si="3"/>
        <v/>
      </c>
    </row>
    <row r="428">
      <c r="A428" s="67" t="s">
        <v>43</v>
      </c>
      <c r="B428" s="60"/>
      <c r="C428" s="60" t="s">
        <v>1850</v>
      </c>
      <c r="D428" s="62">
        <v>2024.0</v>
      </c>
      <c r="E428" s="60"/>
      <c r="F428" s="60" t="s">
        <v>1851</v>
      </c>
      <c r="G428" s="60"/>
      <c r="H428" s="60"/>
      <c r="I428" s="60"/>
      <c r="J428" s="72" t="str">
        <f t="shared" si="1"/>
        <v/>
      </c>
      <c r="K428" s="60"/>
      <c r="L428" s="60"/>
      <c r="M428" s="60"/>
      <c r="N428" s="72" t="str">
        <f t="shared" si="3"/>
        <v/>
      </c>
    </row>
    <row r="429">
      <c r="A429" s="67" t="s">
        <v>43</v>
      </c>
      <c r="B429" s="60"/>
      <c r="C429" s="60" t="s">
        <v>1852</v>
      </c>
      <c r="D429" s="62">
        <v>2023.0</v>
      </c>
      <c r="E429" s="60"/>
      <c r="F429" s="60"/>
      <c r="G429" s="60"/>
      <c r="H429" s="60" t="s">
        <v>103</v>
      </c>
      <c r="I429" s="60" t="s">
        <v>103</v>
      </c>
      <c r="J429" s="73" t="str">
        <f t="shared" si="1"/>
        <v>Igual</v>
      </c>
      <c r="K429" s="60"/>
      <c r="L429" s="60"/>
      <c r="M429" s="60"/>
      <c r="N429" s="74" t="str">
        <f t="shared" si="3"/>
        <v>Não</v>
      </c>
    </row>
    <row r="430">
      <c r="A430" s="67" t="s">
        <v>43</v>
      </c>
      <c r="B430" s="60"/>
      <c r="C430" s="60" t="s">
        <v>1853</v>
      </c>
      <c r="D430" s="62">
        <v>2023.0</v>
      </c>
      <c r="E430" s="60"/>
      <c r="F430" s="60"/>
      <c r="G430" s="60"/>
      <c r="H430" s="60" t="s">
        <v>103</v>
      </c>
      <c r="I430" s="60" t="s">
        <v>103</v>
      </c>
      <c r="J430" s="73" t="str">
        <f t="shared" si="1"/>
        <v>Igual</v>
      </c>
      <c r="K430" s="60"/>
      <c r="L430" s="60"/>
      <c r="M430" s="60"/>
      <c r="N430" s="74" t="str">
        <f t="shared" si="3"/>
        <v>Não</v>
      </c>
    </row>
    <row r="431">
      <c r="A431" s="67" t="s">
        <v>43</v>
      </c>
      <c r="B431" s="60"/>
      <c r="C431" s="60" t="s">
        <v>1854</v>
      </c>
      <c r="D431" s="62">
        <v>2022.0</v>
      </c>
      <c r="E431" s="60"/>
      <c r="F431" s="60"/>
      <c r="G431" s="60"/>
      <c r="H431" s="60" t="s">
        <v>103</v>
      </c>
      <c r="I431" s="60" t="s">
        <v>103</v>
      </c>
      <c r="J431" s="73" t="str">
        <f t="shared" si="1"/>
        <v>Igual</v>
      </c>
      <c r="K431" s="60"/>
      <c r="L431" s="60"/>
      <c r="M431" s="60"/>
      <c r="N431" s="74" t="str">
        <f t="shared" si="3"/>
        <v>Não</v>
      </c>
    </row>
    <row r="432">
      <c r="A432" s="67" t="s">
        <v>43</v>
      </c>
      <c r="B432" s="60"/>
      <c r="C432" s="60" t="s">
        <v>1855</v>
      </c>
      <c r="D432" s="62">
        <v>2022.0</v>
      </c>
      <c r="E432" s="60"/>
      <c r="F432" s="60"/>
      <c r="G432" s="60"/>
      <c r="H432" s="60" t="s">
        <v>103</v>
      </c>
      <c r="I432" s="60" t="s">
        <v>103</v>
      </c>
      <c r="J432" s="73" t="str">
        <f t="shared" si="1"/>
        <v>Igual</v>
      </c>
      <c r="K432" s="60"/>
      <c r="L432" s="60"/>
      <c r="M432" s="60"/>
      <c r="N432" s="74" t="str">
        <f t="shared" si="3"/>
        <v>Não</v>
      </c>
    </row>
    <row r="433">
      <c r="A433" s="67" t="s">
        <v>43</v>
      </c>
      <c r="B433" s="60"/>
      <c r="C433" s="60" t="s">
        <v>1856</v>
      </c>
      <c r="D433" s="62">
        <v>2024.0</v>
      </c>
      <c r="E433" s="60"/>
      <c r="F433" s="60" t="s">
        <v>1857</v>
      </c>
      <c r="G433" s="60"/>
      <c r="H433" s="60"/>
      <c r="I433" s="60"/>
      <c r="J433" s="72" t="str">
        <f t="shared" si="1"/>
        <v/>
      </c>
      <c r="K433" s="60"/>
      <c r="L433" s="60"/>
      <c r="M433" s="60"/>
      <c r="N433" s="72" t="str">
        <f t="shared" si="3"/>
        <v/>
      </c>
    </row>
    <row r="434">
      <c r="A434" s="67" t="s">
        <v>43</v>
      </c>
      <c r="B434" s="60"/>
      <c r="C434" s="60" t="s">
        <v>1858</v>
      </c>
      <c r="D434" s="62">
        <v>2024.0</v>
      </c>
      <c r="E434" s="60"/>
      <c r="F434" s="60" t="s">
        <v>1859</v>
      </c>
      <c r="G434" s="60"/>
      <c r="H434" s="60"/>
      <c r="I434" s="60"/>
      <c r="J434" s="72" t="str">
        <f t="shared" si="1"/>
        <v/>
      </c>
      <c r="K434" s="60"/>
      <c r="L434" s="60"/>
      <c r="M434" s="60"/>
      <c r="N434" s="72" t="str">
        <f t="shared" si="3"/>
        <v/>
      </c>
    </row>
    <row r="435">
      <c r="A435" s="67" t="s">
        <v>43</v>
      </c>
      <c r="B435" s="60" t="s">
        <v>1860</v>
      </c>
      <c r="C435" s="60" t="s">
        <v>1861</v>
      </c>
      <c r="D435" s="75" t="s">
        <v>330</v>
      </c>
      <c r="E435" s="71" t="s">
        <v>1862</v>
      </c>
      <c r="F435" s="60" t="s">
        <v>1863</v>
      </c>
      <c r="G435" s="60" t="s">
        <v>1864</v>
      </c>
      <c r="H435" s="60" t="s">
        <v>82</v>
      </c>
      <c r="I435" s="60" t="s">
        <v>82</v>
      </c>
      <c r="J435" s="73" t="str">
        <f t="shared" si="1"/>
        <v>Igual</v>
      </c>
      <c r="K435" s="60" t="s">
        <v>1865</v>
      </c>
      <c r="L435" s="60" t="s">
        <v>1866</v>
      </c>
      <c r="M435" s="60" t="s">
        <v>85</v>
      </c>
      <c r="N435" s="76" t="str">
        <f t="shared" si="3"/>
        <v>Sim</v>
      </c>
    </row>
    <row r="436">
      <c r="A436" s="67" t="s">
        <v>43</v>
      </c>
      <c r="B436" s="60" t="s">
        <v>1867</v>
      </c>
      <c r="C436" s="60" t="s">
        <v>1868</v>
      </c>
      <c r="D436" s="75" t="s">
        <v>330</v>
      </c>
      <c r="E436" s="71" t="s">
        <v>1869</v>
      </c>
      <c r="F436" s="60" t="s">
        <v>1870</v>
      </c>
      <c r="G436" s="60"/>
      <c r="H436" s="60" t="s">
        <v>82</v>
      </c>
      <c r="I436" s="60" t="s">
        <v>82</v>
      </c>
      <c r="J436" s="73" t="str">
        <f t="shared" si="1"/>
        <v>Igual</v>
      </c>
      <c r="K436" s="60" t="s">
        <v>1865</v>
      </c>
      <c r="L436" s="60" t="s">
        <v>1871</v>
      </c>
      <c r="M436" s="60" t="s">
        <v>85</v>
      </c>
      <c r="N436" s="77" t="str">
        <f t="shared" si="3"/>
        <v>Sim</v>
      </c>
    </row>
    <row r="437">
      <c r="A437" s="67" t="s">
        <v>43</v>
      </c>
      <c r="B437" s="60" t="s">
        <v>1872</v>
      </c>
      <c r="C437" s="60" t="s">
        <v>1873</v>
      </c>
      <c r="D437" s="75" t="s">
        <v>330</v>
      </c>
      <c r="E437" s="71" t="s">
        <v>1874</v>
      </c>
      <c r="F437" s="60" t="s">
        <v>1875</v>
      </c>
      <c r="G437" s="60" t="s">
        <v>1876</v>
      </c>
      <c r="H437" s="60" t="s">
        <v>82</v>
      </c>
      <c r="I437" s="60" t="s">
        <v>82</v>
      </c>
      <c r="J437" s="73" t="str">
        <f t="shared" si="1"/>
        <v>Igual</v>
      </c>
      <c r="K437" s="60" t="s">
        <v>1865</v>
      </c>
      <c r="L437" s="60" t="s">
        <v>1877</v>
      </c>
      <c r="M437" s="60" t="s">
        <v>85</v>
      </c>
      <c r="N437" s="77" t="str">
        <f t="shared" si="3"/>
        <v>Sim</v>
      </c>
    </row>
    <row r="438">
      <c r="A438" s="67" t="s">
        <v>43</v>
      </c>
      <c r="B438" s="60" t="s">
        <v>1878</v>
      </c>
      <c r="C438" s="60" t="s">
        <v>397</v>
      </c>
      <c r="D438" s="75" t="s">
        <v>330</v>
      </c>
      <c r="E438" s="71" t="s">
        <v>1879</v>
      </c>
      <c r="F438" s="60" t="s">
        <v>1880</v>
      </c>
      <c r="G438" s="60" t="s">
        <v>1881</v>
      </c>
      <c r="H438" s="60" t="s">
        <v>103</v>
      </c>
      <c r="I438" s="60" t="s">
        <v>103</v>
      </c>
      <c r="J438" s="73" t="str">
        <f t="shared" si="1"/>
        <v>Igual</v>
      </c>
      <c r="K438" s="60" t="s">
        <v>1882</v>
      </c>
      <c r="L438" s="60" t="s">
        <v>1883</v>
      </c>
      <c r="M438" s="60" t="s">
        <v>85</v>
      </c>
      <c r="N438" s="78" t="str">
        <f t="shared" si="3"/>
        <v>Não</v>
      </c>
    </row>
    <row r="439">
      <c r="A439" s="60" t="s">
        <v>47</v>
      </c>
      <c r="B439" s="60" t="s">
        <v>1884</v>
      </c>
      <c r="C439" s="60" t="s">
        <v>163</v>
      </c>
      <c r="D439" s="75" t="s">
        <v>330</v>
      </c>
      <c r="E439" s="71" t="s">
        <v>1885</v>
      </c>
      <c r="F439" s="60" t="s">
        <v>1886</v>
      </c>
      <c r="G439" s="60" t="s">
        <v>1887</v>
      </c>
      <c r="H439" s="60" t="s">
        <v>82</v>
      </c>
      <c r="I439" s="60" t="s">
        <v>82</v>
      </c>
      <c r="J439" s="73" t="str">
        <f t="shared" si="1"/>
        <v>Igual</v>
      </c>
      <c r="K439" s="60" t="s">
        <v>1865</v>
      </c>
      <c r="L439" s="60" t="s">
        <v>1888</v>
      </c>
      <c r="M439" s="60" t="s">
        <v>85</v>
      </c>
      <c r="N439" s="77" t="str">
        <f t="shared" si="3"/>
        <v>Sim</v>
      </c>
    </row>
    <row r="440">
      <c r="A440" s="60" t="s">
        <v>47</v>
      </c>
      <c r="B440" s="60" t="s">
        <v>1889</v>
      </c>
      <c r="C440" s="60" t="s">
        <v>1890</v>
      </c>
      <c r="D440" s="75" t="s">
        <v>330</v>
      </c>
      <c r="E440" s="71" t="s">
        <v>1891</v>
      </c>
      <c r="F440" s="60" t="s">
        <v>1892</v>
      </c>
      <c r="G440" s="60" t="s">
        <v>1893</v>
      </c>
      <c r="H440" s="60" t="s">
        <v>82</v>
      </c>
      <c r="I440" s="60" t="s">
        <v>82</v>
      </c>
      <c r="J440" s="73" t="str">
        <f t="shared" si="1"/>
        <v>Igual</v>
      </c>
      <c r="K440" s="60" t="s">
        <v>1865</v>
      </c>
      <c r="L440" s="60" t="s">
        <v>1894</v>
      </c>
      <c r="M440" s="60" t="s">
        <v>85</v>
      </c>
      <c r="N440" s="77" t="str">
        <f t="shared" si="3"/>
        <v>Sim</v>
      </c>
    </row>
    <row r="441">
      <c r="A441" s="60" t="s">
        <v>47</v>
      </c>
      <c r="B441" s="60" t="s">
        <v>1895</v>
      </c>
      <c r="C441" s="60" t="s">
        <v>1896</v>
      </c>
      <c r="D441" s="75" t="s">
        <v>330</v>
      </c>
      <c r="E441" s="71" t="s">
        <v>1897</v>
      </c>
      <c r="F441" s="60" t="s">
        <v>1898</v>
      </c>
      <c r="G441" s="60" t="s">
        <v>1899</v>
      </c>
      <c r="H441" s="60" t="s">
        <v>82</v>
      </c>
      <c r="I441" s="60" t="s">
        <v>82</v>
      </c>
      <c r="J441" s="73" t="str">
        <f t="shared" si="1"/>
        <v>Igual</v>
      </c>
      <c r="K441" s="60" t="s">
        <v>1865</v>
      </c>
      <c r="L441" s="60" t="s">
        <v>1900</v>
      </c>
      <c r="M441" s="60" t="s">
        <v>85</v>
      </c>
      <c r="N441" s="77" t="str">
        <f t="shared" si="3"/>
        <v>Sim</v>
      </c>
    </row>
    <row r="442">
      <c r="A442" s="60" t="s">
        <v>47</v>
      </c>
      <c r="B442" s="60" t="s">
        <v>1901</v>
      </c>
      <c r="C442" s="60" t="s">
        <v>1902</v>
      </c>
      <c r="D442" s="75" t="s">
        <v>330</v>
      </c>
      <c r="E442" s="71" t="s">
        <v>1903</v>
      </c>
      <c r="F442" s="60" t="s">
        <v>1904</v>
      </c>
      <c r="G442" s="60" t="s">
        <v>1905</v>
      </c>
      <c r="H442" s="60" t="s">
        <v>82</v>
      </c>
      <c r="I442" s="60" t="s">
        <v>82</v>
      </c>
      <c r="J442" s="73" t="str">
        <f t="shared" si="1"/>
        <v>Igual</v>
      </c>
      <c r="K442" s="60" t="s">
        <v>1865</v>
      </c>
      <c r="L442" s="60" t="s">
        <v>1906</v>
      </c>
      <c r="M442" s="60" t="s">
        <v>85</v>
      </c>
      <c r="N442" s="77" t="str">
        <f t="shared" si="3"/>
        <v>Sim</v>
      </c>
    </row>
    <row r="443">
      <c r="A443" s="60" t="s">
        <v>47</v>
      </c>
      <c r="B443" s="60" t="s">
        <v>1907</v>
      </c>
      <c r="C443" s="60" t="s">
        <v>1908</v>
      </c>
      <c r="D443" s="75" t="s">
        <v>330</v>
      </c>
      <c r="E443" s="71" t="s">
        <v>1909</v>
      </c>
      <c r="F443" s="60" t="s">
        <v>1910</v>
      </c>
      <c r="G443" s="60" t="s">
        <v>1911</v>
      </c>
      <c r="H443" s="60" t="s">
        <v>82</v>
      </c>
      <c r="I443" s="60" t="s">
        <v>82</v>
      </c>
      <c r="J443" s="73" t="str">
        <f t="shared" si="1"/>
        <v>Igual</v>
      </c>
      <c r="K443" s="60" t="s">
        <v>1865</v>
      </c>
      <c r="L443" s="60" t="s">
        <v>1912</v>
      </c>
      <c r="M443" s="60" t="s">
        <v>85</v>
      </c>
      <c r="N443" s="77" t="str">
        <f t="shared" si="3"/>
        <v>Sim</v>
      </c>
    </row>
    <row r="444">
      <c r="A444" s="60" t="s">
        <v>47</v>
      </c>
      <c r="B444" s="60" t="s">
        <v>1913</v>
      </c>
      <c r="C444" s="60" t="s">
        <v>1914</v>
      </c>
      <c r="D444" s="75" t="s">
        <v>330</v>
      </c>
      <c r="E444" s="71" t="s">
        <v>1915</v>
      </c>
      <c r="F444" s="60" t="s">
        <v>1916</v>
      </c>
      <c r="G444" s="60" t="s">
        <v>1917</v>
      </c>
      <c r="H444" s="60" t="s">
        <v>103</v>
      </c>
      <c r="I444" s="60" t="s">
        <v>103</v>
      </c>
      <c r="J444" s="73" t="str">
        <f t="shared" si="1"/>
        <v>Igual</v>
      </c>
      <c r="K444" s="60" t="s">
        <v>1882</v>
      </c>
      <c r="L444" s="60" t="s">
        <v>1918</v>
      </c>
      <c r="M444" s="60" t="s">
        <v>85</v>
      </c>
      <c r="N444" s="78" t="str">
        <f t="shared" si="3"/>
        <v>Não</v>
      </c>
    </row>
    <row r="445">
      <c r="A445" s="60" t="s">
        <v>47</v>
      </c>
      <c r="B445" s="60" t="s">
        <v>1919</v>
      </c>
      <c r="C445" s="60" t="s">
        <v>1920</v>
      </c>
      <c r="D445" s="75" t="s">
        <v>330</v>
      </c>
      <c r="E445" s="71" t="s">
        <v>1921</v>
      </c>
      <c r="F445" s="60" t="s">
        <v>1922</v>
      </c>
      <c r="G445" s="60" t="s">
        <v>1923</v>
      </c>
      <c r="H445" s="60" t="s">
        <v>82</v>
      </c>
      <c r="I445" s="60" t="s">
        <v>82</v>
      </c>
      <c r="J445" s="73" t="str">
        <f t="shared" si="1"/>
        <v>Igual</v>
      </c>
      <c r="K445" s="60" t="s">
        <v>1865</v>
      </c>
      <c r="L445" s="60" t="s">
        <v>1924</v>
      </c>
      <c r="M445" s="60" t="s">
        <v>85</v>
      </c>
      <c r="N445" s="77" t="str">
        <f t="shared" si="3"/>
        <v>Sim</v>
      </c>
    </row>
    <row r="446">
      <c r="A446" s="60" t="s">
        <v>47</v>
      </c>
      <c r="B446" s="60" t="s">
        <v>1925</v>
      </c>
      <c r="C446" s="60" t="s">
        <v>1926</v>
      </c>
      <c r="D446" s="75" t="s">
        <v>330</v>
      </c>
      <c r="E446" s="71" t="s">
        <v>1927</v>
      </c>
      <c r="F446" s="60" t="s">
        <v>1928</v>
      </c>
      <c r="G446" s="60" t="s">
        <v>1929</v>
      </c>
      <c r="H446" s="60" t="s">
        <v>103</v>
      </c>
      <c r="I446" s="60" t="s">
        <v>103</v>
      </c>
      <c r="J446" s="73" t="str">
        <f t="shared" si="1"/>
        <v>Igual</v>
      </c>
      <c r="K446" s="60" t="s">
        <v>1882</v>
      </c>
      <c r="L446" s="60" t="s">
        <v>1930</v>
      </c>
      <c r="M446" s="60" t="s">
        <v>85</v>
      </c>
      <c r="N446" s="78" t="str">
        <f t="shared" si="3"/>
        <v>Não</v>
      </c>
    </row>
    <row r="447">
      <c r="A447" s="60" t="s">
        <v>47</v>
      </c>
      <c r="B447" s="60" t="s">
        <v>1931</v>
      </c>
      <c r="C447" s="60" t="s">
        <v>1932</v>
      </c>
      <c r="D447" s="75" t="s">
        <v>330</v>
      </c>
      <c r="E447" s="71" t="s">
        <v>1933</v>
      </c>
      <c r="F447" s="60" t="s">
        <v>1934</v>
      </c>
      <c r="G447" s="60" t="s">
        <v>1935</v>
      </c>
      <c r="H447" s="60" t="s">
        <v>82</v>
      </c>
      <c r="I447" s="60" t="s">
        <v>82</v>
      </c>
      <c r="J447" s="73" t="str">
        <f t="shared" si="1"/>
        <v>Igual</v>
      </c>
      <c r="K447" s="60" t="s">
        <v>1865</v>
      </c>
      <c r="L447" s="60" t="s">
        <v>1936</v>
      </c>
      <c r="M447" s="60" t="s">
        <v>85</v>
      </c>
      <c r="N447" s="77" t="str">
        <f t="shared" si="3"/>
        <v>Sim</v>
      </c>
    </row>
    <row r="448">
      <c r="A448" s="60" t="s">
        <v>47</v>
      </c>
      <c r="B448" s="60" t="s">
        <v>1937</v>
      </c>
      <c r="C448" s="60" t="s">
        <v>1938</v>
      </c>
      <c r="D448" s="75" t="s">
        <v>330</v>
      </c>
      <c r="E448" s="71" t="s">
        <v>1939</v>
      </c>
      <c r="F448" s="60" t="s">
        <v>1940</v>
      </c>
      <c r="G448" s="60" t="s">
        <v>1941</v>
      </c>
      <c r="H448" s="60" t="s">
        <v>82</v>
      </c>
      <c r="I448" s="60" t="s">
        <v>82</v>
      </c>
      <c r="J448" s="73" t="str">
        <f t="shared" si="1"/>
        <v>Igual</v>
      </c>
      <c r="K448" s="60" t="s">
        <v>1882</v>
      </c>
      <c r="L448" s="60" t="s">
        <v>1942</v>
      </c>
      <c r="M448" s="60" t="s">
        <v>85</v>
      </c>
      <c r="N448" s="77" t="str">
        <f t="shared" si="3"/>
        <v>Sim</v>
      </c>
    </row>
    <row r="449">
      <c r="A449" s="60" t="s">
        <v>47</v>
      </c>
      <c r="B449" s="60" t="s">
        <v>1943</v>
      </c>
      <c r="C449" s="60" t="s">
        <v>220</v>
      </c>
      <c r="D449" s="75" t="s">
        <v>330</v>
      </c>
      <c r="E449" s="71" t="s">
        <v>1944</v>
      </c>
      <c r="F449" s="60" t="s">
        <v>1945</v>
      </c>
      <c r="G449" s="60" t="s">
        <v>1946</v>
      </c>
      <c r="H449" s="60" t="s">
        <v>103</v>
      </c>
      <c r="I449" s="60" t="s">
        <v>103</v>
      </c>
      <c r="J449" s="73" t="str">
        <f t="shared" si="1"/>
        <v>Igual</v>
      </c>
      <c r="K449" s="60" t="s">
        <v>1882</v>
      </c>
      <c r="L449" s="60" t="s">
        <v>1947</v>
      </c>
      <c r="M449" s="60" t="s">
        <v>85</v>
      </c>
      <c r="N449" s="78" t="str">
        <f t="shared" si="3"/>
        <v>Não</v>
      </c>
    </row>
    <row r="450">
      <c r="A450" s="60" t="s">
        <v>47</v>
      </c>
      <c r="B450" s="60" t="s">
        <v>1948</v>
      </c>
      <c r="C450" s="60" t="s">
        <v>1949</v>
      </c>
      <c r="D450" s="75" t="s">
        <v>330</v>
      </c>
      <c r="E450" s="71" t="s">
        <v>1950</v>
      </c>
      <c r="F450" s="60" t="s">
        <v>1951</v>
      </c>
      <c r="G450" s="60" t="s">
        <v>1952</v>
      </c>
      <c r="H450" s="60" t="s">
        <v>82</v>
      </c>
      <c r="I450" s="60" t="s">
        <v>82</v>
      </c>
      <c r="J450" s="73" t="str">
        <f t="shared" si="1"/>
        <v>Igual</v>
      </c>
      <c r="K450" s="60" t="s">
        <v>1865</v>
      </c>
      <c r="L450" s="60" t="s">
        <v>1953</v>
      </c>
      <c r="M450" s="60" t="s">
        <v>85</v>
      </c>
      <c r="N450" s="77" t="str">
        <f t="shared" si="3"/>
        <v>Sim</v>
      </c>
    </row>
    <row r="451">
      <c r="A451" s="60" t="s">
        <v>47</v>
      </c>
      <c r="B451" s="60" t="s">
        <v>1954</v>
      </c>
      <c r="C451" s="60" t="s">
        <v>1955</v>
      </c>
      <c r="D451" s="75" t="s">
        <v>330</v>
      </c>
      <c r="E451" s="71" t="s">
        <v>1956</v>
      </c>
      <c r="F451" s="60" t="s">
        <v>1957</v>
      </c>
      <c r="G451" s="60" t="s">
        <v>1958</v>
      </c>
      <c r="H451" s="60" t="s">
        <v>82</v>
      </c>
      <c r="I451" s="60" t="s">
        <v>103</v>
      </c>
      <c r="J451" s="70" t="str">
        <f t="shared" si="1"/>
        <v>Diferente</v>
      </c>
      <c r="K451" s="60" t="s">
        <v>1959</v>
      </c>
      <c r="L451" s="60" t="s">
        <v>1960</v>
      </c>
      <c r="M451" s="60" t="s">
        <v>343</v>
      </c>
      <c r="N451" s="77" t="str">
        <f t="shared" si="3"/>
        <v>Sim</v>
      </c>
    </row>
    <row r="452">
      <c r="A452" s="60" t="s">
        <v>47</v>
      </c>
      <c r="B452" s="60" t="s">
        <v>1961</v>
      </c>
      <c r="C452" s="60" t="s">
        <v>1962</v>
      </c>
      <c r="D452" s="75" t="s">
        <v>330</v>
      </c>
      <c r="E452" s="71" t="s">
        <v>1963</v>
      </c>
      <c r="F452" s="60" t="s">
        <v>1964</v>
      </c>
      <c r="G452" s="60" t="s">
        <v>1965</v>
      </c>
      <c r="H452" s="60" t="s">
        <v>103</v>
      </c>
      <c r="I452" s="60" t="s">
        <v>103</v>
      </c>
      <c r="J452" s="73" t="str">
        <f t="shared" si="1"/>
        <v>Igual</v>
      </c>
      <c r="K452" s="60" t="s">
        <v>1966</v>
      </c>
      <c r="L452" s="60" t="s">
        <v>1967</v>
      </c>
      <c r="M452" s="60" t="s">
        <v>343</v>
      </c>
      <c r="N452" s="78" t="str">
        <f t="shared" si="3"/>
        <v>Não</v>
      </c>
    </row>
    <row r="453">
      <c r="A453" s="60" t="s">
        <v>47</v>
      </c>
      <c r="B453" s="60" t="s">
        <v>1968</v>
      </c>
      <c r="C453" s="60" t="s">
        <v>1969</v>
      </c>
      <c r="D453" s="75" t="s">
        <v>330</v>
      </c>
      <c r="E453" s="71" t="s">
        <v>1970</v>
      </c>
      <c r="F453" s="60" t="s">
        <v>1971</v>
      </c>
      <c r="G453" s="60" t="s">
        <v>1972</v>
      </c>
      <c r="H453" s="60" t="s">
        <v>82</v>
      </c>
      <c r="I453" s="60" t="s">
        <v>82</v>
      </c>
      <c r="J453" s="73" t="str">
        <f t="shared" si="1"/>
        <v>Igual</v>
      </c>
      <c r="K453" s="60" t="s">
        <v>1865</v>
      </c>
      <c r="L453" s="60" t="s">
        <v>1973</v>
      </c>
      <c r="M453" s="60" t="s">
        <v>85</v>
      </c>
      <c r="N453" s="77" t="str">
        <f t="shared" si="3"/>
        <v>Sim</v>
      </c>
    </row>
    <row r="454">
      <c r="A454" s="60" t="s">
        <v>47</v>
      </c>
      <c r="B454" s="60" t="s">
        <v>1974</v>
      </c>
      <c r="C454" s="60" t="s">
        <v>1975</v>
      </c>
      <c r="D454" s="75" t="s">
        <v>330</v>
      </c>
      <c r="E454" s="71" t="s">
        <v>1976</v>
      </c>
      <c r="F454" s="60" t="s">
        <v>1977</v>
      </c>
      <c r="G454" s="60"/>
      <c r="H454" s="60" t="s">
        <v>82</v>
      </c>
      <c r="I454" s="60" t="s">
        <v>82</v>
      </c>
      <c r="J454" s="73" t="str">
        <f t="shared" si="1"/>
        <v>Igual</v>
      </c>
      <c r="K454" s="60" t="s">
        <v>1865</v>
      </c>
      <c r="L454" s="60" t="s">
        <v>1978</v>
      </c>
      <c r="M454" s="60" t="s">
        <v>85</v>
      </c>
      <c r="N454" s="77" t="str">
        <f t="shared" si="3"/>
        <v>Sim</v>
      </c>
    </row>
    <row r="455">
      <c r="A455" s="60" t="s">
        <v>47</v>
      </c>
      <c r="B455" s="60" t="s">
        <v>1979</v>
      </c>
      <c r="C455" s="60" t="s">
        <v>706</v>
      </c>
      <c r="D455" s="75" t="s">
        <v>330</v>
      </c>
      <c r="E455" s="71" t="s">
        <v>1980</v>
      </c>
      <c r="F455" s="60" t="s">
        <v>1981</v>
      </c>
      <c r="G455" s="60" t="s">
        <v>1982</v>
      </c>
      <c r="H455" s="60" t="s">
        <v>82</v>
      </c>
      <c r="I455" s="60" t="s">
        <v>82</v>
      </c>
      <c r="J455" s="73" t="str">
        <f t="shared" si="1"/>
        <v>Igual</v>
      </c>
      <c r="K455" s="60" t="s">
        <v>1865</v>
      </c>
      <c r="L455" s="60" t="s">
        <v>1983</v>
      </c>
      <c r="M455" s="60" t="s">
        <v>85</v>
      </c>
      <c r="N455" s="77" t="str">
        <f t="shared" si="3"/>
        <v>Sim</v>
      </c>
    </row>
    <row r="456">
      <c r="A456" s="60" t="s">
        <v>47</v>
      </c>
      <c r="B456" s="60" t="s">
        <v>1984</v>
      </c>
      <c r="C456" s="60" t="s">
        <v>1985</v>
      </c>
      <c r="D456" s="75" t="s">
        <v>330</v>
      </c>
      <c r="E456" s="71" t="s">
        <v>1986</v>
      </c>
      <c r="F456" s="60" t="s">
        <v>1987</v>
      </c>
      <c r="G456" s="60" t="s">
        <v>1988</v>
      </c>
      <c r="H456" s="60" t="s">
        <v>82</v>
      </c>
      <c r="I456" s="60" t="s">
        <v>82</v>
      </c>
      <c r="J456" s="73" t="str">
        <f t="shared" si="1"/>
        <v>Igual</v>
      </c>
      <c r="K456" s="60" t="s">
        <v>1865</v>
      </c>
      <c r="L456" s="60" t="s">
        <v>1989</v>
      </c>
      <c r="M456" s="60" t="s">
        <v>85</v>
      </c>
      <c r="N456" s="77" t="str">
        <f t="shared" si="3"/>
        <v>Sim</v>
      </c>
    </row>
    <row r="457">
      <c r="A457" s="60" t="s">
        <v>47</v>
      </c>
      <c r="B457" s="60" t="s">
        <v>1990</v>
      </c>
      <c r="C457" s="60" t="s">
        <v>1991</v>
      </c>
      <c r="D457" s="75" t="s">
        <v>330</v>
      </c>
      <c r="E457" s="71" t="s">
        <v>1992</v>
      </c>
      <c r="F457" s="60" t="s">
        <v>1993</v>
      </c>
      <c r="G457" s="60"/>
      <c r="H457" s="60" t="s">
        <v>103</v>
      </c>
      <c r="I457" s="60" t="s">
        <v>103</v>
      </c>
      <c r="J457" s="73" t="str">
        <f t="shared" si="1"/>
        <v>Igual</v>
      </c>
      <c r="K457" s="60" t="s">
        <v>1994</v>
      </c>
      <c r="L457" s="60" t="s">
        <v>1995</v>
      </c>
      <c r="M457" s="60" t="s">
        <v>85</v>
      </c>
      <c r="N457" s="78" t="str">
        <f t="shared" si="3"/>
        <v>Não</v>
      </c>
    </row>
    <row r="458">
      <c r="A458" s="60" t="s">
        <v>47</v>
      </c>
      <c r="B458" s="60" t="s">
        <v>1996</v>
      </c>
      <c r="C458" s="60" t="s">
        <v>1997</v>
      </c>
      <c r="D458" s="75" t="s">
        <v>368</v>
      </c>
      <c r="E458" s="71" t="s">
        <v>1998</v>
      </c>
      <c r="F458" s="60" t="s">
        <v>1999</v>
      </c>
      <c r="G458" s="60" t="s">
        <v>2000</v>
      </c>
      <c r="H458" s="60" t="s">
        <v>82</v>
      </c>
      <c r="I458" s="60" t="s">
        <v>82</v>
      </c>
      <c r="J458" s="73" t="str">
        <f t="shared" si="1"/>
        <v>Igual</v>
      </c>
      <c r="K458" s="60" t="s">
        <v>2001</v>
      </c>
      <c r="L458" s="60" t="s">
        <v>2002</v>
      </c>
      <c r="M458" s="60" t="s">
        <v>85</v>
      </c>
      <c r="N458" s="77" t="str">
        <f t="shared" si="3"/>
        <v>Sim</v>
      </c>
    </row>
    <row r="459">
      <c r="A459" s="60" t="s">
        <v>47</v>
      </c>
      <c r="B459" s="60" t="s">
        <v>2003</v>
      </c>
      <c r="C459" s="60" t="s">
        <v>529</v>
      </c>
      <c r="D459" s="75" t="s">
        <v>368</v>
      </c>
      <c r="E459" s="71" t="s">
        <v>2004</v>
      </c>
      <c r="F459" s="60" t="s">
        <v>2005</v>
      </c>
      <c r="G459" s="60" t="s">
        <v>2006</v>
      </c>
      <c r="H459" s="60" t="s">
        <v>82</v>
      </c>
      <c r="I459" s="60" t="s">
        <v>103</v>
      </c>
      <c r="J459" s="70" t="str">
        <f t="shared" si="1"/>
        <v>Diferente</v>
      </c>
      <c r="K459" s="60" t="s">
        <v>2007</v>
      </c>
      <c r="L459" s="60" t="s">
        <v>2008</v>
      </c>
      <c r="M459" s="60" t="s">
        <v>85</v>
      </c>
      <c r="N459" s="77" t="str">
        <f t="shared" si="3"/>
        <v>Sim</v>
      </c>
    </row>
    <row r="460">
      <c r="A460" s="60" t="s">
        <v>47</v>
      </c>
      <c r="B460" s="60" t="s">
        <v>2009</v>
      </c>
      <c r="C460" s="60" t="s">
        <v>2010</v>
      </c>
      <c r="D460" s="75" t="s">
        <v>368</v>
      </c>
      <c r="E460" s="71" t="s">
        <v>2011</v>
      </c>
      <c r="F460" s="60" t="s">
        <v>2012</v>
      </c>
      <c r="G460" s="60"/>
      <c r="H460" s="60" t="s">
        <v>103</v>
      </c>
      <c r="I460" s="60" t="s">
        <v>103</v>
      </c>
      <c r="J460" s="73" t="str">
        <f t="shared" si="1"/>
        <v>Igual</v>
      </c>
      <c r="K460" s="60" t="s">
        <v>2013</v>
      </c>
      <c r="L460" s="60" t="s">
        <v>2014</v>
      </c>
      <c r="M460" s="60" t="s">
        <v>85</v>
      </c>
      <c r="N460" s="78" t="str">
        <f t="shared" si="3"/>
        <v>Não</v>
      </c>
    </row>
    <row r="461">
      <c r="A461" s="60" t="s">
        <v>47</v>
      </c>
      <c r="B461" s="60" t="s">
        <v>2015</v>
      </c>
      <c r="C461" s="60" t="s">
        <v>2016</v>
      </c>
      <c r="D461" s="75" t="s">
        <v>368</v>
      </c>
      <c r="E461" s="71" t="s">
        <v>2017</v>
      </c>
      <c r="F461" s="60" t="s">
        <v>2018</v>
      </c>
      <c r="G461" s="60" t="s">
        <v>2019</v>
      </c>
      <c r="H461" s="60" t="s">
        <v>82</v>
      </c>
      <c r="I461" s="60" t="s">
        <v>82</v>
      </c>
      <c r="J461" s="73" t="str">
        <f t="shared" si="1"/>
        <v>Igual</v>
      </c>
      <c r="K461" s="60" t="s">
        <v>2001</v>
      </c>
      <c r="L461" s="60" t="s">
        <v>2020</v>
      </c>
      <c r="M461" s="60" t="s">
        <v>85</v>
      </c>
      <c r="N461" s="77" t="str">
        <f t="shared" si="3"/>
        <v>Sim</v>
      </c>
    </row>
    <row r="462">
      <c r="A462" s="60" t="s">
        <v>47</v>
      </c>
      <c r="B462" s="60" t="s">
        <v>2021</v>
      </c>
      <c r="C462" s="60" t="s">
        <v>2022</v>
      </c>
      <c r="D462" s="75" t="s">
        <v>368</v>
      </c>
      <c r="E462" s="71" t="s">
        <v>2023</v>
      </c>
      <c r="F462" s="60" t="s">
        <v>2024</v>
      </c>
      <c r="G462" s="60" t="s">
        <v>2025</v>
      </c>
      <c r="H462" s="60" t="s">
        <v>82</v>
      </c>
      <c r="I462" s="60" t="s">
        <v>82</v>
      </c>
      <c r="J462" s="73" t="str">
        <f t="shared" si="1"/>
        <v>Igual</v>
      </c>
      <c r="K462" s="60" t="s">
        <v>2001</v>
      </c>
      <c r="L462" s="60" t="s">
        <v>2026</v>
      </c>
      <c r="M462" s="60" t="s">
        <v>85</v>
      </c>
      <c r="N462" s="77" t="str">
        <f t="shared" si="3"/>
        <v>Sim</v>
      </c>
    </row>
    <row r="463">
      <c r="A463" s="60" t="s">
        <v>47</v>
      </c>
      <c r="B463" s="60" t="s">
        <v>2027</v>
      </c>
      <c r="C463" s="60" t="s">
        <v>2028</v>
      </c>
      <c r="D463" s="75" t="s">
        <v>368</v>
      </c>
      <c r="E463" s="71" t="s">
        <v>2029</v>
      </c>
      <c r="F463" s="60" t="s">
        <v>2030</v>
      </c>
      <c r="G463" s="60" t="s">
        <v>2031</v>
      </c>
      <c r="H463" s="60" t="s">
        <v>103</v>
      </c>
      <c r="I463" s="60" t="s">
        <v>103</v>
      </c>
      <c r="J463" s="73" t="str">
        <f t="shared" si="1"/>
        <v>Igual</v>
      </c>
      <c r="K463" s="60" t="s">
        <v>2013</v>
      </c>
      <c r="L463" s="60" t="s">
        <v>2032</v>
      </c>
      <c r="M463" s="60" t="s">
        <v>85</v>
      </c>
      <c r="N463" s="78" t="str">
        <f t="shared" si="3"/>
        <v>Não</v>
      </c>
    </row>
    <row r="464">
      <c r="A464" s="60" t="s">
        <v>47</v>
      </c>
      <c r="B464" s="60" t="s">
        <v>2033</v>
      </c>
      <c r="C464" s="60" t="s">
        <v>2034</v>
      </c>
      <c r="D464" s="75" t="s">
        <v>368</v>
      </c>
      <c r="E464" s="71" t="s">
        <v>2035</v>
      </c>
      <c r="F464" s="60" t="s">
        <v>2036</v>
      </c>
      <c r="G464" s="60" t="s">
        <v>2037</v>
      </c>
      <c r="H464" s="60" t="s">
        <v>82</v>
      </c>
      <c r="I464" s="60" t="s">
        <v>82</v>
      </c>
      <c r="J464" s="73" t="str">
        <f t="shared" si="1"/>
        <v>Igual</v>
      </c>
      <c r="K464" s="60" t="s">
        <v>2001</v>
      </c>
      <c r="L464" s="60" t="s">
        <v>2038</v>
      </c>
      <c r="M464" s="60" t="s">
        <v>85</v>
      </c>
      <c r="N464" s="77" t="str">
        <f t="shared" si="3"/>
        <v>Sim</v>
      </c>
    </row>
    <row r="465">
      <c r="A465" s="60" t="s">
        <v>47</v>
      </c>
      <c r="B465" s="60" t="s">
        <v>2039</v>
      </c>
      <c r="C465" s="60" t="s">
        <v>2040</v>
      </c>
      <c r="D465" s="75" t="s">
        <v>368</v>
      </c>
      <c r="E465" s="71" t="s">
        <v>2041</v>
      </c>
      <c r="F465" s="60" t="s">
        <v>2042</v>
      </c>
      <c r="G465" s="60" t="s">
        <v>2043</v>
      </c>
      <c r="H465" s="60" t="s">
        <v>103</v>
      </c>
      <c r="I465" s="60" t="s">
        <v>103</v>
      </c>
      <c r="J465" s="73" t="str">
        <f t="shared" si="1"/>
        <v>Igual</v>
      </c>
      <c r="K465" s="60" t="s">
        <v>2013</v>
      </c>
      <c r="L465" s="60" t="s">
        <v>2044</v>
      </c>
      <c r="M465" s="60" t="s">
        <v>85</v>
      </c>
      <c r="N465" s="78" t="str">
        <f t="shared" si="3"/>
        <v>Não</v>
      </c>
    </row>
    <row r="466">
      <c r="A466" s="60" t="s">
        <v>47</v>
      </c>
      <c r="B466" s="60" t="s">
        <v>2045</v>
      </c>
      <c r="C466" s="60" t="s">
        <v>2046</v>
      </c>
      <c r="D466" s="75" t="s">
        <v>368</v>
      </c>
      <c r="E466" s="71" t="s">
        <v>2047</v>
      </c>
      <c r="F466" s="60" t="s">
        <v>2048</v>
      </c>
      <c r="G466" s="60"/>
      <c r="H466" s="60" t="s">
        <v>82</v>
      </c>
      <c r="I466" s="60" t="s">
        <v>82</v>
      </c>
      <c r="J466" s="73" t="str">
        <f t="shared" si="1"/>
        <v>Igual</v>
      </c>
      <c r="K466" s="60" t="s">
        <v>2001</v>
      </c>
      <c r="L466" s="60" t="s">
        <v>2049</v>
      </c>
      <c r="M466" s="60" t="s">
        <v>85</v>
      </c>
      <c r="N466" s="77" t="str">
        <f t="shared" si="3"/>
        <v>Sim</v>
      </c>
    </row>
    <row r="467">
      <c r="A467" s="60" t="s">
        <v>47</v>
      </c>
      <c r="B467" s="60" t="s">
        <v>2050</v>
      </c>
      <c r="C467" s="60" t="s">
        <v>2051</v>
      </c>
      <c r="D467" s="75" t="s">
        <v>368</v>
      </c>
      <c r="E467" s="71" t="s">
        <v>2052</v>
      </c>
      <c r="F467" s="60" t="s">
        <v>2053</v>
      </c>
      <c r="G467" s="60" t="s">
        <v>2054</v>
      </c>
      <c r="H467" s="60" t="s">
        <v>82</v>
      </c>
      <c r="I467" s="60" t="s">
        <v>82</v>
      </c>
      <c r="J467" s="73" t="str">
        <f t="shared" si="1"/>
        <v>Igual</v>
      </c>
      <c r="K467" s="60" t="s">
        <v>2001</v>
      </c>
      <c r="L467" s="60" t="s">
        <v>2055</v>
      </c>
      <c r="M467" s="60" t="s">
        <v>85</v>
      </c>
      <c r="N467" s="77" t="str">
        <f t="shared" si="3"/>
        <v>Sim</v>
      </c>
    </row>
    <row r="468">
      <c r="A468" s="60" t="s">
        <v>47</v>
      </c>
      <c r="B468" s="60" t="s">
        <v>2056</v>
      </c>
      <c r="C468" s="60" t="s">
        <v>2057</v>
      </c>
      <c r="D468" s="75" t="s">
        <v>368</v>
      </c>
      <c r="E468" s="71" t="s">
        <v>2058</v>
      </c>
      <c r="F468" s="60" t="s">
        <v>2059</v>
      </c>
      <c r="G468" s="60"/>
      <c r="H468" s="60" t="s">
        <v>82</v>
      </c>
      <c r="I468" s="60" t="s">
        <v>82</v>
      </c>
      <c r="J468" s="73" t="str">
        <f t="shared" si="1"/>
        <v>Igual</v>
      </c>
      <c r="K468" s="60" t="s">
        <v>2001</v>
      </c>
      <c r="L468" s="60" t="s">
        <v>2060</v>
      </c>
      <c r="M468" s="60" t="s">
        <v>85</v>
      </c>
      <c r="N468" s="77" t="str">
        <f t="shared" si="3"/>
        <v>Sim</v>
      </c>
    </row>
    <row r="469">
      <c r="A469" s="60" t="s">
        <v>47</v>
      </c>
      <c r="B469" s="60" t="s">
        <v>2061</v>
      </c>
      <c r="C469" s="60" t="s">
        <v>2062</v>
      </c>
      <c r="D469" s="75" t="s">
        <v>368</v>
      </c>
      <c r="E469" s="71" t="s">
        <v>2063</v>
      </c>
      <c r="F469" s="60" t="s">
        <v>2064</v>
      </c>
      <c r="G469" s="60"/>
      <c r="H469" s="60" t="s">
        <v>82</v>
      </c>
      <c r="I469" s="60" t="s">
        <v>82</v>
      </c>
      <c r="J469" s="73" t="str">
        <f t="shared" si="1"/>
        <v>Igual</v>
      </c>
      <c r="K469" s="60" t="s">
        <v>2001</v>
      </c>
      <c r="L469" s="60" t="s">
        <v>2065</v>
      </c>
      <c r="M469" s="60" t="s">
        <v>85</v>
      </c>
      <c r="N469" s="77" t="str">
        <f t="shared" si="3"/>
        <v>Sim</v>
      </c>
    </row>
    <row r="470">
      <c r="A470" s="60" t="s">
        <v>47</v>
      </c>
      <c r="B470" s="60" t="s">
        <v>2066</v>
      </c>
      <c r="C470" s="60" t="s">
        <v>2067</v>
      </c>
      <c r="D470" s="75" t="s">
        <v>368</v>
      </c>
      <c r="E470" s="71" t="s">
        <v>2068</v>
      </c>
      <c r="F470" s="60" t="s">
        <v>2069</v>
      </c>
      <c r="G470" s="60"/>
      <c r="H470" s="60" t="s">
        <v>82</v>
      </c>
      <c r="I470" s="60" t="s">
        <v>82</v>
      </c>
      <c r="J470" s="73" t="str">
        <f t="shared" si="1"/>
        <v>Igual</v>
      </c>
      <c r="K470" s="60" t="s">
        <v>2001</v>
      </c>
      <c r="L470" s="60" t="s">
        <v>2070</v>
      </c>
      <c r="M470" s="60" t="s">
        <v>85</v>
      </c>
      <c r="N470" s="77" t="str">
        <f t="shared" si="3"/>
        <v>Sim</v>
      </c>
    </row>
    <row r="471">
      <c r="A471" s="60" t="s">
        <v>47</v>
      </c>
      <c r="B471" s="60" t="s">
        <v>2071</v>
      </c>
      <c r="C471" s="60" t="s">
        <v>2072</v>
      </c>
      <c r="D471" s="75" t="s">
        <v>368</v>
      </c>
      <c r="E471" s="71" t="s">
        <v>2073</v>
      </c>
      <c r="F471" s="60" t="s">
        <v>2074</v>
      </c>
      <c r="G471" s="60" t="s">
        <v>2075</v>
      </c>
      <c r="H471" s="60" t="s">
        <v>82</v>
      </c>
      <c r="I471" s="60" t="s">
        <v>103</v>
      </c>
      <c r="J471" s="70" t="str">
        <f t="shared" si="1"/>
        <v>Diferente</v>
      </c>
      <c r="K471" s="60" t="s">
        <v>2001</v>
      </c>
      <c r="L471" s="60" t="s">
        <v>2076</v>
      </c>
      <c r="M471" s="60" t="s">
        <v>343</v>
      </c>
      <c r="N471" s="77" t="str">
        <f t="shared" si="3"/>
        <v>Sim</v>
      </c>
    </row>
    <row r="472">
      <c r="A472" s="60" t="s">
        <v>47</v>
      </c>
      <c r="B472" s="60" t="s">
        <v>2077</v>
      </c>
      <c r="C472" s="60" t="s">
        <v>2078</v>
      </c>
      <c r="D472" s="75" t="s">
        <v>368</v>
      </c>
      <c r="E472" s="71" t="s">
        <v>2079</v>
      </c>
      <c r="F472" s="60" t="s">
        <v>2080</v>
      </c>
      <c r="G472" s="60" t="s">
        <v>2081</v>
      </c>
      <c r="H472" s="60" t="s">
        <v>103</v>
      </c>
      <c r="I472" s="60" t="s">
        <v>103</v>
      </c>
      <c r="J472" s="73" t="str">
        <f t="shared" si="1"/>
        <v>Igual</v>
      </c>
      <c r="K472" s="60" t="s">
        <v>2082</v>
      </c>
      <c r="L472" s="60" t="s">
        <v>2083</v>
      </c>
      <c r="M472" s="60" t="s">
        <v>85</v>
      </c>
      <c r="N472" s="78" t="str">
        <f t="shared" si="3"/>
        <v>Não</v>
      </c>
    </row>
    <row r="473">
      <c r="A473" s="60" t="s">
        <v>47</v>
      </c>
      <c r="B473" s="60" t="s">
        <v>2084</v>
      </c>
      <c r="C473" s="60" t="s">
        <v>191</v>
      </c>
      <c r="D473" s="75" t="s">
        <v>368</v>
      </c>
      <c r="E473" s="71" t="s">
        <v>2085</v>
      </c>
      <c r="F473" s="60" t="s">
        <v>2086</v>
      </c>
      <c r="G473" s="60"/>
      <c r="H473" s="60" t="s">
        <v>103</v>
      </c>
      <c r="I473" s="60" t="s">
        <v>103</v>
      </c>
      <c r="J473" s="73" t="str">
        <f t="shared" si="1"/>
        <v>Igual</v>
      </c>
      <c r="K473" s="60" t="s">
        <v>2013</v>
      </c>
      <c r="L473" s="60" t="s">
        <v>2087</v>
      </c>
      <c r="M473" s="60" t="s">
        <v>85</v>
      </c>
      <c r="N473" s="78" t="str">
        <f t="shared" si="3"/>
        <v>Não</v>
      </c>
    </row>
    <row r="474">
      <c r="A474" s="60" t="s">
        <v>47</v>
      </c>
      <c r="B474" s="60" t="s">
        <v>2088</v>
      </c>
      <c r="C474" s="60" t="s">
        <v>2089</v>
      </c>
      <c r="D474" s="75" t="s">
        <v>368</v>
      </c>
      <c r="E474" s="71" t="s">
        <v>2090</v>
      </c>
      <c r="F474" s="60" t="s">
        <v>2091</v>
      </c>
      <c r="G474" s="60"/>
      <c r="H474" s="60" t="s">
        <v>82</v>
      </c>
      <c r="I474" s="60" t="s">
        <v>82</v>
      </c>
      <c r="J474" s="73" t="str">
        <f t="shared" si="1"/>
        <v>Igual</v>
      </c>
      <c r="K474" s="60" t="s">
        <v>2001</v>
      </c>
      <c r="L474" s="60" t="s">
        <v>2092</v>
      </c>
      <c r="M474" s="60" t="s">
        <v>85</v>
      </c>
      <c r="N474" s="77" t="str">
        <f t="shared" si="3"/>
        <v>Sim</v>
      </c>
    </row>
    <row r="475">
      <c r="A475" s="60" t="s">
        <v>47</v>
      </c>
      <c r="B475" s="60" t="s">
        <v>2093</v>
      </c>
      <c r="C475" s="60" t="s">
        <v>2094</v>
      </c>
      <c r="D475" s="75" t="s">
        <v>368</v>
      </c>
      <c r="E475" s="71" t="s">
        <v>2095</v>
      </c>
      <c r="F475" s="60" t="s">
        <v>2096</v>
      </c>
      <c r="G475" s="60" t="s">
        <v>2097</v>
      </c>
      <c r="H475" s="60" t="s">
        <v>82</v>
      </c>
      <c r="I475" s="60" t="s">
        <v>82</v>
      </c>
      <c r="J475" s="73" t="str">
        <f t="shared" si="1"/>
        <v>Igual</v>
      </c>
      <c r="K475" s="60" t="s">
        <v>2001</v>
      </c>
      <c r="L475" s="60" t="s">
        <v>2098</v>
      </c>
      <c r="M475" s="60" t="s">
        <v>85</v>
      </c>
      <c r="N475" s="77" t="str">
        <f t="shared" si="3"/>
        <v>Sim</v>
      </c>
    </row>
    <row r="476">
      <c r="A476" s="60" t="s">
        <v>47</v>
      </c>
      <c r="B476" s="60" t="s">
        <v>2099</v>
      </c>
      <c r="C476" s="60" t="s">
        <v>2100</v>
      </c>
      <c r="D476" s="75" t="s">
        <v>368</v>
      </c>
      <c r="E476" s="71" t="s">
        <v>2101</v>
      </c>
      <c r="F476" s="60" t="s">
        <v>2102</v>
      </c>
      <c r="G476" s="60" t="s">
        <v>2103</v>
      </c>
      <c r="H476" s="60" t="s">
        <v>82</v>
      </c>
      <c r="I476" s="60" t="s">
        <v>82</v>
      </c>
      <c r="J476" s="77" t="str">
        <f t="shared" si="1"/>
        <v>Igual</v>
      </c>
      <c r="K476" s="60" t="s">
        <v>2001</v>
      </c>
      <c r="L476" s="60" t="s">
        <v>2104</v>
      </c>
      <c r="M476" s="60" t="s">
        <v>85</v>
      </c>
      <c r="N476" s="77" t="str">
        <f t="shared" si="3"/>
        <v>Sim</v>
      </c>
    </row>
    <row r="477">
      <c r="A477" s="60" t="s">
        <v>47</v>
      </c>
      <c r="B477" s="60" t="s">
        <v>2105</v>
      </c>
      <c r="C477" s="60" t="s">
        <v>2106</v>
      </c>
      <c r="D477" s="75" t="s">
        <v>368</v>
      </c>
      <c r="E477" s="71" t="s">
        <v>2107</v>
      </c>
      <c r="F477" s="60" t="s">
        <v>2108</v>
      </c>
      <c r="G477" s="60" t="s">
        <v>2109</v>
      </c>
      <c r="H477" s="60" t="s">
        <v>103</v>
      </c>
      <c r="I477" s="60" t="s">
        <v>103</v>
      </c>
      <c r="J477" s="77" t="str">
        <f t="shared" si="1"/>
        <v>Igual</v>
      </c>
      <c r="K477" s="60" t="s">
        <v>2110</v>
      </c>
      <c r="L477" s="60" t="s">
        <v>2111</v>
      </c>
      <c r="M477" s="60" t="s">
        <v>85</v>
      </c>
      <c r="N477" s="78" t="str">
        <f t="shared" si="3"/>
        <v>Não</v>
      </c>
    </row>
    <row r="478">
      <c r="A478" s="60" t="s">
        <v>47</v>
      </c>
      <c r="B478" s="60" t="s">
        <v>2112</v>
      </c>
      <c r="C478" s="60" t="s">
        <v>2113</v>
      </c>
      <c r="D478" s="75" t="s">
        <v>410</v>
      </c>
      <c r="E478" s="71" t="s">
        <v>2114</v>
      </c>
      <c r="F478" s="60" t="s">
        <v>2115</v>
      </c>
      <c r="G478" s="60" t="s">
        <v>2116</v>
      </c>
      <c r="H478" s="60" t="s">
        <v>82</v>
      </c>
      <c r="I478" s="60" t="s">
        <v>82</v>
      </c>
      <c r="J478" s="77" t="str">
        <f t="shared" si="1"/>
        <v>Igual</v>
      </c>
      <c r="K478" s="60" t="s">
        <v>2117</v>
      </c>
      <c r="L478" s="60" t="s">
        <v>2118</v>
      </c>
      <c r="M478" s="60" t="s">
        <v>85</v>
      </c>
      <c r="N478" s="77" t="str">
        <f t="shared" si="3"/>
        <v>Sim</v>
      </c>
    </row>
    <row r="479">
      <c r="A479" s="60" t="s">
        <v>47</v>
      </c>
      <c r="B479" s="60" t="s">
        <v>2119</v>
      </c>
      <c r="C479" s="60" t="s">
        <v>2120</v>
      </c>
      <c r="D479" s="75" t="s">
        <v>410</v>
      </c>
      <c r="E479" s="71" t="s">
        <v>2121</v>
      </c>
      <c r="F479" s="60" t="s">
        <v>2122</v>
      </c>
      <c r="G479" s="60" t="s">
        <v>2123</v>
      </c>
      <c r="H479" s="60" t="s">
        <v>82</v>
      </c>
      <c r="I479" s="60" t="s">
        <v>82</v>
      </c>
      <c r="J479" s="77" t="str">
        <f t="shared" si="1"/>
        <v>Igual</v>
      </c>
      <c r="K479" s="60" t="s">
        <v>2117</v>
      </c>
      <c r="L479" s="60" t="s">
        <v>2124</v>
      </c>
      <c r="M479" s="60" t="s">
        <v>85</v>
      </c>
      <c r="N479" s="77" t="str">
        <f t="shared" si="3"/>
        <v>Sim</v>
      </c>
    </row>
    <row r="480">
      <c r="A480" s="60" t="s">
        <v>47</v>
      </c>
      <c r="B480" s="60" t="s">
        <v>2125</v>
      </c>
      <c r="C480" s="60" t="s">
        <v>2126</v>
      </c>
      <c r="D480" s="75" t="s">
        <v>410</v>
      </c>
      <c r="E480" s="71" t="s">
        <v>2127</v>
      </c>
      <c r="F480" s="60" t="s">
        <v>2128</v>
      </c>
      <c r="G480" s="60" t="s">
        <v>2129</v>
      </c>
      <c r="H480" s="60" t="s">
        <v>82</v>
      </c>
      <c r="I480" s="60" t="s">
        <v>103</v>
      </c>
      <c r="J480" s="78" t="str">
        <f t="shared" si="1"/>
        <v>Diferente</v>
      </c>
      <c r="K480" s="60" t="s">
        <v>2130</v>
      </c>
      <c r="L480" s="60" t="s">
        <v>2131</v>
      </c>
      <c r="M480" s="60" t="s">
        <v>343</v>
      </c>
      <c r="N480" s="77" t="str">
        <f t="shared" si="3"/>
        <v>Sim</v>
      </c>
    </row>
    <row r="481">
      <c r="A481" s="60" t="s">
        <v>47</v>
      </c>
      <c r="B481" s="60" t="s">
        <v>2132</v>
      </c>
      <c r="C481" s="60" t="s">
        <v>2133</v>
      </c>
      <c r="D481" s="75" t="s">
        <v>410</v>
      </c>
      <c r="E481" s="71" t="s">
        <v>2134</v>
      </c>
      <c r="F481" s="60" t="s">
        <v>2135</v>
      </c>
      <c r="G481" s="60" t="s">
        <v>2136</v>
      </c>
      <c r="H481" s="60" t="s">
        <v>82</v>
      </c>
      <c r="I481" s="60" t="s">
        <v>82</v>
      </c>
      <c r="J481" s="77" t="str">
        <f t="shared" si="1"/>
        <v>Igual</v>
      </c>
      <c r="K481" s="60" t="s">
        <v>2117</v>
      </c>
      <c r="L481" s="60" t="s">
        <v>2137</v>
      </c>
      <c r="M481" s="60" t="s">
        <v>85</v>
      </c>
      <c r="N481" s="77" t="str">
        <f t="shared" si="3"/>
        <v>Sim</v>
      </c>
    </row>
    <row r="482">
      <c r="A482" s="60" t="s">
        <v>47</v>
      </c>
      <c r="B482" s="60" t="s">
        <v>2138</v>
      </c>
      <c r="C482" s="60" t="s">
        <v>2139</v>
      </c>
      <c r="D482" s="75" t="s">
        <v>410</v>
      </c>
      <c r="E482" s="71" t="s">
        <v>2140</v>
      </c>
      <c r="F482" s="60" t="s">
        <v>2141</v>
      </c>
      <c r="G482" s="60"/>
      <c r="H482" s="60" t="s">
        <v>82</v>
      </c>
      <c r="I482" s="60" t="s">
        <v>82</v>
      </c>
      <c r="J482" s="77" t="str">
        <f t="shared" si="1"/>
        <v>Igual</v>
      </c>
      <c r="K482" s="60" t="s">
        <v>2117</v>
      </c>
      <c r="L482" s="60" t="s">
        <v>2142</v>
      </c>
      <c r="M482" s="60" t="s">
        <v>85</v>
      </c>
      <c r="N482" s="77" t="str">
        <f t="shared" si="3"/>
        <v>Sim</v>
      </c>
    </row>
    <row r="483">
      <c r="A483" s="60" t="s">
        <v>47</v>
      </c>
      <c r="B483" s="60" t="s">
        <v>2143</v>
      </c>
      <c r="C483" s="60" t="s">
        <v>2144</v>
      </c>
      <c r="D483" s="75" t="s">
        <v>410</v>
      </c>
      <c r="E483" s="71" t="s">
        <v>2145</v>
      </c>
      <c r="F483" s="60" t="s">
        <v>2146</v>
      </c>
      <c r="G483" s="60" t="s">
        <v>2147</v>
      </c>
      <c r="H483" s="60" t="s">
        <v>82</v>
      </c>
      <c r="I483" s="60" t="s">
        <v>82</v>
      </c>
      <c r="J483" s="77" t="str">
        <f t="shared" si="1"/>
        <v>Igual</v>
      </c>
      <c r="K483" s="60" t="s">
        <v>2117</v>
      </c>
      <c r="L483" s="60" t="s">
        <v>2148</v>
      </c>
      <c r="M483" s="60" t="s">
        <v>85</v>
      </c>
      <c r="N483" s="77" t="str">
        <f t="shared" si="3"/>
        <v>Sim</v>
      </c>
    </row>
    <row r="484">
      <c r="A484" s="60" t="s">
        <v>47</v>
      </c>
      <c r="B484" s="60" t="s">
        <v>2149</v>
      </c>
      <c r="C484" s="60" t="s">
        <v>409</v>
      </c>
      <c r="D484" s="75" t="s">
        <v>410</v>
      </c>
      <c r="E484" s="71" t="s">
        <v>2150</v>
      </c>
      <c r="F484" s="60" t="s">
        <v>2151</v>
      </c>
      <c r="G484" s="60" t="s">
        <v>2152</v>
      </c>
      <c r="H484" s="60" t="s">
        <v>103</v>
      </c>
      <c r="I484" s="60" t="s">
        <v>103</v>
      </c>
      <c r="J484" s="77" t="str">
        <f t="shared" si="1"/>
        <v>Igual</v>
      </c>
      <c r="K484" s="60" t="s">
        <v>2153</v>
      </c>
      <c r="L484" s="60" t="s">
        <v>2154</v>
      </c>
      <c r="M484" s="60" t="s">
        <v>85</v>
      </c>
      <c r="N484" s="78" t="str">
        <f t="shared" si="3"/>
        <v>Não</v>
      </c>
    </row>
    <row r="485">
      <c r="A485" s="60" t="s">
        <v>47</v>
      </c>
      <c r="B485" s="60" t="s">
        <v>2155</v>
      </c>
      <c r="C485" s="60" t="s">
        <v>2156</v>
      </c>
      <c r="D485" s="75" t="s">
        <v>410</v>
      </c>
      <c r="E485" s="71" t="s">
        <v>2157</v>
      </c>
      <c r="F485" s="60" t="s">
        <v>2158</v>
      </c>
      <c r="G485" s="60" t="s">
        <v>2159</v>
      </c>
      <c r="H485" s="60" t="s">
        <v>82</v>
      </c>
      <c r="I485" s="60" t="s">
        <v>82</v>
      </c>
      <c r="J485" s="77" t="str">
        <f t="shared" si="1"/>
        <v>Igual</v>
      </c>
      <c r="K485" s="60" t="s">
        <v>2117</v>
      </c>
      <c r="L485" s="60" t="s">
        <v>2160</v>
      </c>
      <c r="M485" s="60" t="s">
        <v>85</v>
      </c>
      <c r="N485" s="77" t="str">
        <f t="shared" si="3"/>
        <v>Sim</v>
      </c>
    </row>
    <row r="486">
      <c r="A486" s="60" t="s">
        <v>47</v>
      </c>
      <c r="B486" s="60" t="s">
        <v>2161</v>
      </c>
      <c r="C486" s="60" t="s">
        <v>2162</v>
      </c>
      <c r="D486" s="75" t="s">
        <v>410</v>
      </c>
      <c r="E486" s="71" t="s">
        <v>2163</v>
      </c>
      <c r="F486" s="60" t="s">
        <v>2164</v>
      </c>
      <c r="G486" s="60"/>
      <c r="H486" s="60" t="s">
        <v>103</v>
      </c>
      <c r="I486" s="60" t="s">
        <v>103</v>
      </c>
      <c r="J486" s="77" t="str">
        <f t="shared" si="1"/>
        <v>Igual</v>
      </c>
      <c r="K486" s="60" t="s">
        <v>2165</v>
      </c>
      <c r="L486" s="60" t="s">
        <v>2166</v>
      </c>
      <c r="M486" s="60" t="s">
        <v>85</v>
      </c>
      <c r="N486" s="78" t="str">
        <f t="shared" si="3"/>
        <v>Não</v>
      </c>
    </row>
    <row r="487">
      <c r="A487" s="60" t="s">
        <v>47</v>
      </c>
      <c r="B487" s="60" t="s">
        <v>2167</v>
      </c>
      <c r="C487" s="60" t="s">
        <v>142</v>
      </c>
      <c r="D487" s="75" t="s">
        <v>410</v>
      </c>
      <c r="E487" s="71" t="s">
        <v>2168</v>
      </c>
      <c r="F487" s="60" t="s">
        <v>2169</v>
      </c>
      <c r="G487" s="60"/>
      <c r="H487" s="60" t="s">
        <v>103</v>
      </c>
      <c r="I487" s="60" t="s">
        <v>103</v>
      </c>
      <c r="J487" s="77" t="str">
        <f t="shared" si="1"/>
        <v>Igual</v>
      </c>
      <c r="K487" s="60" t="s">
        <v>2170</v>
      </c>
      <c r="L487" s="60" t="s">
        <v>2171</v>
      </c>
      <c r="M487" s="60" t="s">
        <v>85</v>
      </c>
      <c r="N487" s="78" t="str">
        <f t="shared" si="3"/>
        <v>Não</v>
      </c>
    </row>
    <row r="488">
      <c r="A488" s="60" t="s">
        <v>47</v>
      </c>
      <c r="B488" s="60" t="s">
        <v>2172</v>
      </c>
      <c r="C488" s="60" t="s">
        <v>2173</v>
      </c>
      <c r="D488" s="75" t="s">
        <v>410</v>
      </c>
      <c r="E488" s="71" t="s">
        <v>2174</v>
      </c>
      <c r="F488" s="60" t="s">
        <v>2175</v>
      </c>
      <c r="G488" s="60" t="s">
        <v>2176</v>
      </c>
      <c r="H488" s="60" t="s">
        <v>82</v>
      </c>
      <c r="I488" s="60" t="s">
        <v>82</v>
      </c>
      <c r="J488" s="77" t="str">
        <f t="shared" si="1"/>
        <v>Igual</v>
      </c>
      <c r="K488" s="60" t="s">
        <v>2117</v>
      </c>
      <c r="L488" s="60" t="s">
        <v>2177</v>
      </c>
      <c r="M488" s="60" t="s">
        <v>85</v>
      </c>
      <c r="N488" s="77" t="str">
        <f t="shared" si="3"/>
        <v>Sim</v>
      </c>
    </row>
    <row r="489">
      <c r="A489" s="60" t="s">
        <v>47</v>
      </c>
      <c r="B489" s="60" t="s">
        <v>2178</v>
      </c>
      <c r="C489" s="60" t="s">
        <v>2179</v>
      </c>
      <c r="D489" s="75" t="s">
        <v>410</v>
      </c>
      <c r="E489" s="71" t="s">
        <v>2180</v>
      </c>
      <c r="F489" s="60" t="s">
        <v>2181</v>
      </c>
      <c r="G489" s="60" t="s">
        <v>2182</v>
      </c>
      <c r="H489" s="60" t="s">
        <v>82</v>
      </c>
      <c r="I489" s="60" t="s">
        <v>82</v>
      </c>
      <c r="J489" s="77" t="str">
        <f t="shared" si="1"/>
        <v>Igual</v>
      </c>
      <c r="K489" s="60" t="s">
        <v>2117</v>
      </c>
      <c r="L489" s="60" t="s">
        <v>2183</v>
      </c>
      <c r="M489" s="60" t="s">
        <v>85</v>
      </c>
      <c r="N489" s="77" t="str">
        <f t="shared" si="3"/>
        <v>Sim</v>
      </c>
    </row>
    <row r="490">
      <c r="A490" s="60" t="s">
        <v>47</v>
      </c>
      <c r="B490" s="60" t="s">
        <v>2184</v>
      </c>
      <c r="C490" s="60" t="s">
        <v>485</v>
      </c>
      <c r="D490" s="75" t="s">
        <v>410</v>
      </c>
      <c r="E490" s="71" t="s">
        <v>2185</v>
      </c>
      <c r="F490" s="60" t="s">
        <v>2186</v>
      </c>
      <c r="G490" s="60"/>
      <c r="H490" s="60" t="s">
        <v>82</v>
      </c>
      <c r="I490" s="60" t="s">
        <v>82</v>
      </c>
      <c r="J490" s="77" t="str">
        <f t="shared" si="1"/>
        <v>Igual</v>
      </c>
      <c r="K490" s="60" t="s">
        <v>2117</v>
      </c>
      <c r="L490" s="60" t="s">
        <v>2187</v>
      </c>
      <c r="M490" s="60" t="s">
        <v>85</v>
      </c>
      <c r="N490" s="77" t="str">
        <f t="shared" si="3"/>
        <v>Sim</v>
      </c>
    </row>
    <row r="491">
      <c r="A491" s="60" t="s">
        <v>47</v>
      </c>
      <c r="B491" s="60" t="s">
        <v>2188</v>
      </c>
      <c r="C491" s="60" t="s">
        <v>135</v>
      </c>
      <c r="D491" s="75" t="s">
        <v>376</v>
      </c>
      <c r="E491" s="71" t="s">
        <v>2189</v>
      </c>
      <c r="F491" s="60" t="s">
        <v>2190</v>
      </c>
      <c r="G491" s="60" t="s">
        <v>2191</v>
      </c>
      <c r="H491" s="60" t="s">
        <v>82</v>
      </c>
      <c r="I491" s="60" t="s">
        <v>82</v>
      </c>
      <c r="J491" s="77" t="str">
        <f t="shared" si="1"/>
        <v>Igual</v>
      </c>
      <c r="K491" s="60" t="s">
        <v>2192</v>
      </c>
      <c r="L491" s="60" t="s">
        <v>2193</v>
      </c>
      <c r="M491" s="60" t="s">
        <v>85</v>
      </c>
      <c r="N491" s="77" t="str">
        <f t="shared" si="3"/>
        <v>Sim</v>
      </c>
    </row>
    <row r="492">
      <c r="A492" s="60" t="s">
        <v>47</v>
      </c>
      <c r="B492" s="60" t="s">
        <v>2194</v>
      </c>
      <c r="C492" s="60" t="s">
        <v>2195</v>
      </c>
      <c r="D492" s="75" t="s">
        <v>376</v>
      </c>
      <c r="E492" s="71" t="s">
        <v>2196</v>
      </c>
      <c r="F492" s="60" t="s">
        <v>2197</v>
      </c>
      <c r="G492" s="60" t="s">
        <v>2198</v>
      </c>
      <c r="H492" s="60" t="s">
        <v>82</v>
      </c>
      <c r="I492" s="60" t="s">
        <v>82</v>
      </c>
      <c r="J492" s="77" t="str">
        <f t="shared" si="1"/>
        <v>Igual</v>
      </c>
      <c r="K492" s="60" t="s">
        <v>2192</v>
      </c>
      <c r="L492" s="60" t="s">
        <v>2199</v>
      </c>
      <c r="M492" s="60" t="s">
        <v>85</v>
      </c>
      <c r="N492" s="77" t="str">
        <f t="shared" si="3"/>
        <v>Sim</v>
      </c>
    </row>
    <row r="493">
      <c r="A493" s="60" t="s">
        <v>47</v>
      </c>
      <c r="B493" s="60" t="s">
        <v>2200</v>
      </c>
      <c r="C493" s="60" t="s">
        <v>2201</v>
      </c>
      <c r="D493" s="75" t="s">
        <v>376</v>
      </c>
      <c r="E493" s="71" t="s">
        <v>2202</v>
      </c>
      <c r="F493" s="60" t="s">
        <v>2203</v>
      </c>
      <c r="G493" s="60" t="s">
        <v>2204</v>
      </c>
      <c r="H493" s="60" t="s">
        <v>82</v>
      </c>
      <c r="I493" s="60" t="s">
        <v>82</v>
      </c>
      <c r="J493" s="77" t="str">
        <f t="shared" si="1"/>
        <v>Igual</v>
      </c>
      <c r="K493" s="60" t="s">
        <v>2192</v>
      </c>
      <c r="L493" s="60" t="s">
        <v>2205</v>
      </c>
      <c r="M493" s="60" t="s">
        <v>85</v>
      </c>
      <c r="N493" s="77" t="str">
        <f t="shared" si="3"/>
        <v>Sim</v>
      </c>
    </row>
    <row r="494">
      <c r="A494" s="60" t="s">
        <v>47</v>
      </c>
      <c r="B494" s="60" t="s">
        <v>2206</v>
      </c>
      <c r="C494" s="60" t="s">
        <v>2207</v>
      </c>
      <c r="D494" s="75" t="s">
        <v>376</v>
      </c>
      <c r="E494" s="71" t="s">
        <v>2208</v>
      </c>
      <c r="F494" s="60" t="s">
        <v>2209</v>
      </c>
      <c r="G494" s="60"/>
      <c r="H494" s="60" t="s">
        <v>103</v>
      </c>
      <c r="I494" s="60" t="s">
        <v>103</v>
      </c>
      <c r="J494" s="77" t="str">
        <f t="shared" si="1"/>
        <v>Igual</v>
      </c>
      <c r="K494" s="60" t="s">
        <v>2210</v>
      </c>
      <c r="L494" s="60" t="s">
        <v>2211</v>
      </c>
      <c r="M494" s="60" t="s">
        <v>85</v>
      </c>
      <c r="N494" s="78" t="str">
        <f t="shared" si="3"/>
        <v>Não</v>
      </c>
    </row>
    <row r="495">
      <c r="A495" s="60" t="s">
        <v>47</v>
      </c>
      <c r="B495" s="60" t="s">
        <v>2212</v>
      </c>
      <c r="C495" s="60" t="s">
        <v>2213</v>
      </c>
      <c r="D495" s="75" t="s">
        <v>376</v>
      </c>
      <c r="E495" s="71" t="s">
        <v>2214</v>
      </c>
      <c r="F495" s="60" t="s">
        <v>2215</v>
      </c>
      <c r="G495" s="60" t="s">
        <v>2216</v>
      </c>
      <c r="H495" s="60" t="s">
        <v>82</v>
      </c>
      <c r="I495" s="60" t="s">
        <v>103</v>
      </c>
      <c r="J495" s="78" t="str">
        <f t="shared" si="1"/>
        <v>Diferente</v>
      </c>
      <c r="K495" s="60" t="s">
        <v>2217</v>
      </c>
      <c r="L495" s="60" t="s">
        <v>2218</v>
      </c>
      <c r="M495" s="60" t="s">
        <v>343</v>
      </c>
      <c r="N495" s="77" t="str">
        <f t="shared" si="3"/>
        <v>Sim</v>
      </c>
    </row>
    <row r="496">
      <c r="A496" s="60" t="s">
        <v>47</v>
      </c>
      <c r="B496" s="60" t="s">
        <v>2219</v>
      </c>
      <c r="C496" s="60" t="s">
        <v>2220</v>
      </c>
      <c r="D496" s="75" t="s">
        <v>376</v>
      </c>
      <c r="E496" s="71" t="s">
        <v>2221</v>
      </c>
      <c r="F496" s="60" t="s">
        <v>2222</v>
      </c>
      <c r="G496" s="60" t="s">
        <v>2223</v>
      </c>
      <c r="H496" s="60" t="s">
        <v>103</v>
      </c>
      <c r="I496" s="60" t="s">
        <v>103</v>
      </c>
      <c r="J496" s="77" t="str">
        <f t="shared" si="1"/>
        <v>Igual</v>
      </c>
      <c r="K496" s="60" t="s">
        <v>2224</v>
      </c>
      <c r="L496" s="60" t="s">
        <v>2225</v>
      </c>
      <c r="M496" s="60" t="s">
        <v>85</v>
      </c>
      <c r="N496" s="78" t="str">
        <f t="shared" si="3"/>
        <v>Não</v>
      </c>
    </row>
    <row r="497">
      <c r="A497" s="60" t="s">
        <v>47</v>
      </c>
      <c r="B497" s="60" t="s">
        <v>2226</v>
      </c>
      <c r="C497" s="60" t="s">
        <v>2227</v>
      </c>
      <c r="D497" s="75" t="s">
        <v>376</v>
      </c>
      <c r="E497" s="71" t="s">
        <v>2228</v>
      </c>
      <c r="F497" s="60" t="s">
        <v>2229</v>
      </c>
      <c r="G497" s="60" t="s">
        <v>2230</v>
      </c>
      <c r="H497" s="60" t="s">
        <v>82</v>
      </c>
      <c r="I497" s="60" t="s">
        <v>82</v>
      </c>
      <c r="J497" s="77" t="str">
        <f t="shared" si="1"/>
        <v>Igual</v>
      </c>
      <c r="K497" s="60" t="s">
        <v>2192</v>
      </c>
      <c r="L497" s="60" t="s">
        <v>2231</v>
      </c>
      <c r="M497" s="60" t="s">
        <v>85</v>
      </c>
      <c r="N497" s="77" t="str">
        <f t="shared" si="3"/>
        <v>Sim</v>
      </c>
    </row>
    <row r="498">
      <c r="A498" s="60" t="s">
        <v>47</v>
      </c>
      <c r="B498" s="60" t="s">
        <v>2232</v>
      </c>
      <c r="C498" s="60" t="s">
        <v>2233</v>
      </c>
      <c r="D498" s="75" t="s">
        <v>376</v>
      </c>
      <c r="E498" s="71" t="s">
        <v>2234</v>
      </c>
      <c r="F498" s="60" t="s">
        <v>2235</v>
      </c>
      <c r="G498" s="60" t="s">
        <v>2236</v>
      </c>
      <c r="H498" s="60" t="s">
        <v>103</v>
      </c>
      <c r="I498" s="60" t="s">
        <v>82</v>
      </c>
      <c r="J498" s="78" t="str">
        <f t="shared" si="1"/>
        <v>Diferente</v>
      </c>
      <c r="K498" s="60" t="s">
        <v>2210</v>
      </c>
      <c r="L498" s="60" t="s">
        <v>2237</v>
      </c>
      <c r="M498" s="60" t="s">
        <v>343</v>
      </c>
      <c r="N498" s="77" t="str">
        <f t="shared" si="3"/>
        <v>Sim</v>
      </c>
    </row>
    <row r="499">
      <c r="A499" s="60" t="s">
        <v>47</v>
      </c>
      <c r="B499" s="60" t="s">
        <v>2238</v>
      </c>
      <c r="C499" s="60" t="s">
        <v>457</v>
      </c>
      <c r="D499" s="75" t="s">
        <v>376</v>
      </c>
      <c r="E499" s="71" t="s">
        <v>2239</v>
      </c>
      <c r="F499" s="60" t="s">
        <v>2240</v>
      </c>
      <c r="G499" s="60" t="s">
        <v>2241</v>
      </c>
      <c r="H499" s="60" t="s">
        <v>103</v>
      </c>
      <c r="I499" s="60" t="s">
        <v>103</v>
      </c>
      <c r="J499" s="77" t="str">
        <f t="shared" si="1"/>
        <v>Igual</v>
      </c>
      <c r="K499" s="60" t="s">
        <v>2210</v>
      </c>
      <c r="L499" s="60" t="s">
        <v>2242</v>
      </c>
      <c r="M499" s="60" t="s">
        <v>85</v>
      </c>
      <c r="N499" s="78" t="str">
        <f t="shared" si="3"/>
        <v>Não</v>
      </c>
    </row>
    <row r="500">
      <c r="A500" s="60" t="s">
        <v>47</v>
      </c>
      <c r="B500" s="60" t="s">
        <v>2243</v>
      </c>
      <c r="C500" s="60" t="s">
        <v>506</v>
      </c>
      <c r="D500" s="75" t="s">
        <v>376</v>
      </c>
      <c r="E500" s="71" t="s">
        <v>2244</v>
      </c>
      <c r="F500" s="60" t="s">
        <v>2245</v>
      </c>
      <c r="G500" s="60" t="s">
        <v>2246</v>
      </c>
      <c r="H500" s="60" t="s">
        <v>103</v>
      </c>
      <c r="I500" s="60" t="s">
        <v>103</v>
      </c>
      <c r="J500" s="77" t="str">
        <f t="shared" si="1"/>
        <v>Igual</v>
      </c>
      <c r="K500" s="60" t="s">
        <v>2247</v>
      </c>
      <c r="L500" s="60" t="s">
        <v>2248</v>
      </c>
      <c r="M500" s="60" t="s">
        <v>85</v>
      </c>
      <c r="N500" s="78" t="str">
        <f t="shared" si="3"/>
        <v>Não</v>
      </c>
    </row>
    <row r="501">
      <c r="A501" s="60" t="s">
        <v>47</v>
      </c>
      <c r="B501" s="60" t="s">
        <v>2249</v>
      </c>
      <c r="C501" s="60" t="s">
        <v>2250</v>
      </c>
      <c r="D501" s="75" t="s">
        <v>376</v>
      </c>
      <c r="E501" s="71" t="s">
        <v>2251</v>
      </c>
      <c r="F501" s="60" t="s">
        <v>2252</v>
      </c>
      <c r="G501" s="60" t="s">
        <v>2253</v>
      </c>
      <c r="H501" s="60" t="s">
        <v>82</v>
      </c>
      <c r="I501" s="60" t="s">
        <v>82</v>
      </c>
      <c r="J501" s="77" t="str">
        <f t="shared" si="1"/>
        <v>Igual</v>
      </c>
      <c r="K501" s="60" t="s">
        <v>2192</v>
      </c>
      <c r="L501" s="60" t="s">
        <v>2254</v>
      </c>
      <c r="M501" s="60" t="s">
        <v>85</v>
      </c>
      <c r="N501" s="77" t="str">
        <f t="shared" si="3"/>
        <v>Sim</v>
      </c>
    </row>
    <row r="502">
      <c r="A502" s="60" t="s">
        <v>47</v>
      </c>
      <c r="B502" s="60" t="s">
        <v>2255</v>
      </c>
      <c r="C502" s="60" t="s">
        <v>2256</v>
      </c>
      <c r="D502" s="75" t="s">
        <v>376</v>
      </c>
      <c r="E502" s="71" t="s">
        <v>2257</v>
      </c>
      <c r="F502" s="60" t="s">
        <v>2258</v>
      </c>
      <c r="G502" s="60" t="s">
        <v>2259</v>
      </c>
      <c r="H502" s="60" t="s">
        <v>82</v>
      </c>
      <c r="I502" s="60" t="s">
        <v>82</v>
      </c>
      <c r="J502" s="77" t="str">
        <f t="shared" si="1"/>
        <v>Igual</v>
      </c>
      <c r="K502" s="60" t="s">
        <v>2192</v>
      </c>
      <c r="L502" s="60" t="s">
        <v>2260</v>
      </c>
      <c r="M502" s="60" t="s">
        <v>85</v>
      </c>
      <c r="N502" s="77" t="str">
        <f t="shared" si="3"/>
        <v>Sim</v>
      </c>
    </row>
    <row r="503">
      <c r="A503" s="60" t="s">
        <v>47</v>
      </c>
      <c r="B503" s="60" t="s">
        <v>2261</v>
      </c>
      <c r="C503" s="60" t="s">
        <v>2262</v>
      </c>
      <c r="D503" s="75" t="s">
        <v>376</v>
      </c>
      <c r="E503" s="71" t="s">
        <v>2263</v>
      </c>
      <c r="F503" s="60" t="s">
        <v>2264</v>
      </c>
      <c r="G503" s="60" t="s">
        <v>2265</v>
      </c>
      <c r="H503" s="60" t="s">
        <v>82</v>
      </c>
      <c r="I503" s="60" t="s">
        <v>103</v>
      </c>
      <c r="J503" s="78" t="str">
        <f t="shared" si="1"/>
        <v>Diferente</v>
      </c>
      <c r="K503" s="60" t="s">
        <v>2266</v>
      </c>
      <c r="L503" s="60" t="s">
        <v>2267</v>
      </c>
      <c r="M503" s="60" t="s">
        <v>343</v>
      </c>
      <c r="N503" s="77" t="str">
        <f t="shared" si="3"/>
        <v>Sim</v>
      </c>
    </row>
    <row r="504">
      <c r="A504" s="60" t="s">
        <v>47</v>
      </c>
      <c r="B504" s="60" t="s">
        <v>2268</v>
      </c>
      <c r="C504" s="60" t="s">
        <v>2269</v>
      </c>
      <c r="D504" s="75" t="s">
        <v>376</v>
      </c>
      <c r="E504" s="71" t="s">
        <v>2270</v>
      </c>
      <c r="F504" s="60" t="s">
        <v>2271</v>
      </c>
      <c r="G504" s="60" t="s">
        <v>2272</v>
      </c>
      <c r="H504" s="60" t="s">
        <v>82</v>
      </c>
      <c r="I504" s="60" t="s">
        <v>82</v>
      </c>
      <c r="J504" s="77" t="str">
        <f t="shared" si="1"/>
        <v>Igual</v>
      </c>
      <c r="K504" s="60" t="s">
        <v>2192</v>
      </c>
      <c r="L504" s="60" t="s">
        <v>2273</v>
      </c>
      <c r="M504" s="60" t="s">
        <v>85</v>
      </c>
      <c r="N504" s="77" t="str">
        <f t="shared" si="3"/>
        <v>Sim</v>
      </c>
    </row>
    <row r="505">
      <c r="A505" s="60" t="s">
        <v>47</v>
      </c>
      <c r="B505" s="60" t="s">
        <v>2274</v>
      </c>
      <c r="C505" s="60" t="s">
        <v>2275</v>
      </c>
      <c r="D505" s="75" t="s">
        <v>376</v>
      </c>
      <c r="E505" s="71" t="s">
        <v>2276</v>
      </c>
      <c r="F505" s="60" t="s">
        <v>2277</v>
      </c>
      <c r="G505" s="60"/>
      <c r="H505" s="60" t="s">
        <v>82</v>
      </c>
      <c r="I505" s="60" t="s">
        <v>82</v>
      </c>
      <c r="J505" s="77" t="str">
        <f t="shared" si="1"/>
        <v>Igual</v>
      </c>
      <c r="K505" s="60" t="s">
        <v>2192</v>
      </c>
      <c r="L505" s="60" t="s">
        <v>2278</v>
      </c>
      <c r="M505" s="60" t="s">
        <v>85</v>
      </c>
      <c r="N505" s="77" t="str">
        <f t="shared" si="3"/>
        <v>Sim</v>
      </c>
    </row>
    <row r="506">
      <c r="A506" s="60" t="s">
        <v>47</v>
      </c>
      <c r="B506" s="60" t="s">
        <v>2279</v>
      </c>
      <c r="C506" s="60" t="s">
        <v>2280</v>
      </c>
      <c r="D506" s="75" t="s">
        <v>376</v>
      </c>
      <c r="E506" s="71" t="s">
        <v>2281</v>
      </c>
      <c r="F506" s="60" t="s">
        <v>2282</v>
      </c>
      <c r="G506" s="60" t="s">
        <v>2283</v>
      </c>
      <c r="H506" s="60" t="s">
        <v>82</v>
      </c>
      <c r="I506" s="60" t="s">
        <v>82</v>
      </c>
      <c r="J506" s="77" t="str">
        <f t="shared" si="1"/>
        <v>Igual</v>
      </c>
      <c r="K506" s="60" t="s">
        <v>2192</v>
      </c>
      <c r="L506" s="60" t="s">
        <v>2284</v>
      </c>
      <c r="M506" s="60" t="s">
        <v>85</v>
      </c>
      <c r="N506" s="77" t="str">
        <f t="shared" si="3"/>
        <v>Sim</v>
      </c>
    </row>
    <row r="507">
      <c r="A507" s="60" t="s">
        <v>47</v>
      </c>
      <c r="B507" s="60" t="s">
        <v>2285</v>
      </c>
      <c r="C507" s="60" t="s">
        <v>2286</v>
      </c>
      <c r="D507" s="75" t="s">
        <v>376</v>
      </c>
      <c r="E507" s="71" t="s">
        <v>2287</v>
      </c>
      <c r="F507" s="60" t="s">
        <v>2288</v>
      </c>
      <c r="G507" s="60" t="s">
        <v>2289</v>
      </c>
      <c r="H507" s="60" t="s">
        <v>82</v>
      </c>
      <c r="I507" s="60" t="s">
        <v>103</v>
      </c>
      <c r="J507" s="78" t="str">
        <f t="shared" si="1"/>
        <v>Diferente</v>
      </c>
      <c r="K507" s="60" t="s">
        <v>2290</v>
      </c>
      <c r="L507" s="60" t="s">
        <v>2291</v>
      </c>
      <c r="M507" s="60" t="s">
        <v>343</v>
      </c>
      <c r="N507" s="77" t="str">
        <f t="shared" si="3"/>
        <v>Sim</v>
      </c>
    </row>
    <row r="508">
      <c r="A508" s="60" t="s">
        <v>47</v>
      </c>
      <c r="B508" s="60" t="s">
        <v>2292</v>
      </c>
      <c r="C508" s="60" t="s">
        <v>2293</v>
      </c>
      <c r="D508" s="75" t="s">
        <v>360</v>
      </c>
      <c r="E508" s="71" t="s">
        <v>2294</v>
      </c>
      <c r="F508" s="60" t="s">
        <v>2295</v>
      </c>
      <c r="G508" s="60" t="s">
        <v>2296</v>
      </c>
      <c r="H508" s="60" t="s">
        <v>82</v>
      </c>
      <c r="I508" s="60" t="s">
        <v>103</v>
      </c>
      <c r="J508" s="78" t="str">
        <f t="shared" si="1"/>
        <v>Diferente</v>
      </c>
      <c r="K508" s="60" t="s">
        <v>2297</v>
      </c>
      <c r="L508" s="60" t="s">
        <v>2298</v>
      </c>
      <c r="M508" s="60" t="s">
        <v>343</v>
      </c>
      <c r="N508" s="77" t="str">
        <f t="shared" si="3"/>
        <v>Sim</v>
      </c>
    </row>
    <row r="509">
      <c r="A509" s="60" t="s">
        <v>47</v>
      </c>
      <c r="B509" s="60" t="s">
        <v>2299</v>
      </c>
      <c r="C509" s="60" t="s">
        <v>2300</v>
      </c>
      <c r="D509" s="75" t="s">
        <v>360</v>
      </c>
      <c r="E509" s="71" t="s">
        <v>2301</v>
      </c>
      <c r="F509" s="60" t="s">
        <v>2302</v>
      </c>
      <c r="G509" s="60" t="s">
        <v>2303</v>
      </c>
      <c r="H509" s="60" t="s">
        <v>82</v>
      </c>
      <c r="I509" s="60" t="s">
        <v>82</v>
      </c>
      <c r="J509" s="77" t="str">
        <f t="shared" si="1"/>
        <v>Igual</v>
      </c>
      <c r="K509" s="60" t="s">
        <v>2304</v>
      </c>
      <c r="L509" s="60" t="s">
        <v>2305</v>
      </c>
      <c r="M509" s="60" t="s">
        <v>85</v>
      </c>
      <c r="N509" s="77" t="str">
        <f t="shared" si="3"/>
        <v>Sim</v>
      </c>
    </row>
    <row r="510">
      <c r="A510" s="60" t="s">
        <v>47</v>
      </c>
      <c r="B510" s="60" t="s">
        <v>2306</v>
      </c>
      <c r="C510" s="60" t="s">
        <v>2307</v>
      </c>
      <c r="D510" s="75" t="s">
        <v>360</v>
      </c>
      <c r="E510" s="71" t="s">
        <v>2308</v>
      </c>
      <c r="F510" s="60" t="s">
        <v>2309</v>
      </c>
      <c r="G510" s="60" t="s">
        <v>2310</v>
      </c>
      <c r="H510" s="60" t="s">
        <v>82</v>
      </c>
      <c r="I510" s="60" t="s">
        <v>82</v>
      </c>
      <c r="J510" s="77" t="str">
        <f t="shared" si="1"/>
        <v>Igual</v>
      </c>
      <c r="K510" s="60" t="s">
        <v>2304</v>
      </c>
      <c r="L510" s="60" t="s">
        <v>2311</v>
      </c>
      <c r="M510" s="60" t="s">
        <v>85</v>
      </c>
      <c r="N510" s="77" t="str">
        <f t="shared" si="3"/>
        <v>Sim</v>
      </c>
    </row>
    <row r="511">
      <c r="A511" s="60" t="s">
        <v>47</v>
      </c>
      <c r="B511" s="60" t="s">
        <v>2312</v>
      </c>
      <c r="C511" s="60" t="s">
        <v>2313</v>
      </c>
      <c r="D511" s="75" t="s">
        <v>360</v>
      </c>
      <c r="E511" s="71" t="s">
        <v>2314</v>
      </c>
      <c r="F511" s="60" t="s">
        <v>2315</v>
      </c>
      <c r="G511" s="60" t="s">
        <v>2316</v>
      </c>
      <c r="H511" s="60" t="s">
        <v>82</v>
      </c>
      <c r="I511" s="60" t="s">
        <v>82</v>
      </c>
      <c r="J511" s="77" t="str">
        <f t="shared" si="1"/>
        <v>Igual</v>
      </c>
      <c r="K511" s="60" t="s">
        <v>2304</v>
      </c>
      <c r="L511" s="60" t="s">
        <v>2317</v>
      </c>
      <c r="M511" s="60" t="s">
        <v>85</v>
      </c>
      <c r="N511" s="77" t="str">
        <f t="shared" si="3"/>
        <v>Sim</v>
      </c>
    </row>
    <row r="512">
      <c r="A512" s="60" t="s">
        <v>47</v>
      </c>
      <c r="B512" s="60" t="s">
        <v>2318</v>
      </c>
      <c r="C512" s="60" t="s">
        <v>2319</v>
      </c>
      <c r="D512" s="75" t="s">
        <v>360</v>
      </c>
      <c r="E512" s="71" t="s">
        <v>2320</v>
      </c>
      <c r="F512" s="60" t="s">
        <v>2321</v>
      </c>
      <c r="G512" s="60" t="s">
        <v>2322</v>
      </c>
      <c r="H512" s="60" t="s">
        <v>103</v>
      </c>
      <c r="I512" s="60" t="s">
        <v>103</v>
      </c>
      <c r="J512" s="77" t="str">
        <f t="shared" si="1"/>
        <v>Igual</v>
      </c>
      <c r="K512" s="60" t="s">
        <v>2323</v>
      </c>
      <c r="L512" s="60" t="s">
        <v>2324</v>
      </c>
      <c r="M512" s="60" t="s">
        <v>85</v>
      </c>
      <c r="N512" s="78" t="str">
        <f t="shared" si="3"/>
        <v>Não</v>
      </c>
    </row>
    <row r="513">
      <c r="A513" s="60" t="s">
        <v>47</v>
      </c>
      <c r="B513" s="60" t="s">
        <v>2325</v>
      </c>
      <c r="C513" s="60" t="s">
        <v>2326</v>
      </c>
      <c r="D513" s="75" t="s">
        <v>360</v>
      </c>
      <c r="E513" s="71" t="s">
        <v>2327</v>
      </c>
      <c r="F513" s="60" t="s">
        <v>2328</v>
      </c>
      <c r="G513" s="60"/>
      <c r="H513" s="60" t="s">
        <v>103</v>
      </c>
      <c r="I513" s="60" t="s">
        <v>103</v>
      </c>
      <c r="J513" s="77" t="str">
        <f t="shared" si="1"/>
        <v>Igual</v>
      </c>
      <c r="K513" s="60" t="s">
        <v>2329</v>
      </c>
      <c r="L513" s="60" t="s">
        <v>2330</v>
      </c>
      <c r="M513" s="60" t="s">
        <v>85</v>
      </c>
      <c r="N513" s="78" t="str">
        <f t="shared" si="3"/>
        <v>Não</v>
      </c>
    </row>
    <row r="514">
      <c r="A514" s="60" t="s">
        <v>47</v>
      </c>
      <c r="B514" s="60" t="s">
        <v>2331</v>
      </c>
      <c r="C514" s="60" t="s">
        <v>2332</v>
      </c>
      <c r="D514" s="75" t="s">
        <v>360</v>
      </c>
      <c r="E514" s="71" t="s">
        <v>2333</v>
      </c>
      <c r="F514" s="60" t="s">
        <v>2334</v>
      </c>
      <c r="G514" s="60"/>
      <c r="H514" s="60" t="s">
        <v>82</v>
      </c>
      <c r="I514" s="60" t="s">
        <v>82</v>
      </c>
      <c r="J514" s="77" t="str">
        <f t="shared" si="1"/>
        <v>Igual</v>
      </c>
      <c r="K514" s="60" t="s">
        <v>2304</v>
      </c>
      <c r="L514" s="60" t="s">
        <v>2335</v>
      </c>
      <c r="M514" s="60" t="s">
        <v>85</v>
      </c>
      <c r="N514" s="77" t="str">
        <f t="shared" si="3"/>
        <v>Sim</v>
      </c>
    </row>
    <row r="515">
      <c r="A515" s="60" t="s">
        <v>47</v>
      </c>
      <c r="B515" s="60" t="s">
        <v>2336</v>
      </c>
      <c r="C515" s="60" t="s">
        <v>2337</v>
      </c>
      <c r="D515" s="75" t="s">
        <v>360</v>
      </c>
      <c r="E515" s="71" t="s">
        <v>2338</v>
      </c>
      <c r="F515" s="60" t="s">
        <v>2339</v>
      </c>
      <c r="G515" s="60" t="s">
        <v>2340</v>
      </c>
      <c r="H515" s="60" t="s">
        <v>103</v>
      </c>
      <c r="I515" s="60" t="s">
        <v>103</v>
      </c>
      <c r="J515" s="77" t="str">
        <f t="shared" si="1"/>
        <v>Igual</v>
      </c>
      <c r="K515" s="60" t="s">
        <v>2341</v>
      </c>
      <c r="L515" s="60" t="s">
        <v>2342</v>
      </c>
      <c r="M515" s="60" t="s">
        <v>343</v>
      </c>
      <c r="N515" s="78" t="str">
        <f t="shared" si="3"/>
        <v>Não</v>
      </c>
    </row>
    <row r="516">
      <c r="A516" s="60" t="s">
        <v>47</v>
      </c>
      <c r="B516" s="60" t="s">
        <v>2343</v>
      </c>
      <c r="C516" s="60" t="s">
        <v>2344</v>
      </c>
      <c r="D516" s="75" t="s">
        <v>360</v>
      </c>
      <c r="E516" s="71" t="s">
        <v>2345</v>
      </c>
      <c r="F516" s="60" t="s">
        <v>2346</v>
      </c>
      <c r="G516" s="60"/>
      <c r="H516" s="60" t="s">
        <v>103</v>
      </c>
      <c r="I516" s="60" t="s">
        <v>103</v>
      </c>
      <c r="J516" s="77" t="str">
        <f t="shared" si="1"/>
        <v>Igual</v>
      </c>
      <c r="K516" s="60" t="s">
        <v>2347</v>
      </c>
      <c r="L516" s="60" t="s">
        <v>2348</v>
      </c>
      <c r="M516" s="60" t="s">
        <v>343</v>
      </c>
      <c r="N516" s="78" t="str">
        <f t="shared" si="3"/>
        <v>Não</v>
      </c>
    </row>
    <row r="517">
      <c r="A517" s="60" t="s">
        <v>47</v>
      </c>
      <c r="B517" s="60" t="s">
        <v>2349</v>
      </c>
      <c r="C517" s="60" t="s">
        <v>2350</v>
      </c>
      <c r="D517" s="75" t="s">
        <v>360</v>
      </c>
      <c r="E517" s="71" t="s">
        <v>2351</v>
      </c>
      <c r="F517" s="60" t="s">
        <v>2352</v>
      </c>
      <c r="G517" s="60" t="s">
        <v>2353</v>
      </c>
      <c r="H517" s="60" t="s">
        <v>82</v>
      </c>
      <c r="I517" s="60" t="s">
        <v>82</v>
      </c>
      <c r="J517" s="77" t="str">
        <f t="shared" si="1"/>
        <v>Igual</v>
      </c>
      <c r="K517" s="60" t="s">
        <v>2304</v>
      </c>
      <c r="L517" s="60" t="s">
        <v>2354</v>
      </c>
      <c r="M517" s="60" t="s">
        <v>85</v>
      </c>
      <c r="N517" s="77" t="str">
        <f t="shared" si="3"/>
        <v>Sim</v>
      </c>
    </row>
    <row r="518">
      <c r="A518" s="60" t="s">
        <v>47</v>
      </c>
      <c r="B518" s="60" t="s">
        <v>2355</v>
      </c>
      <c r="C518" s="60" t="s">
        <v>359</v>
      </c>
      <c r="D518" s="75" t="s">
        <v>360</v>
      </c>
      <c r="E518" s="71" t="s">
        <v>2356</v>
      </c>
      <c r="F518" s="60" t="s">
        <v>2357</v>
      </c>
      <c r="G518" s="60" t="s">
        <v>2358</v>
      </c>
      <c r="H518" s="60" t="s">
        <v>82</v>
      </c>
      <c r="I518" s="60" t="s">
        <v>82</v>
      </c>
      <c r="J518" s="77" t="str">
        <f t="shared" si="1"/>
        <v>Igual</v>
      </c>
      <c r="K518" s="60" t="s">
        <v>2304</v>
      </c>
      <c r="L518" s="60" t="s">
        <v>2359</v>
      </c>
      <c r="M518" s="60" t="s">
        <v>85</v>
      </c>
      <c r="N518" s="77" t="str">
        <f t="shared" si="3"/>
        <v>Sim</v>
      </c>
    </row>
    <row r="519">
      <c r="A519" s="60" t="s">
        <v>47</v>
      </c>
      <c r="B519" s="60" t="s">
        <v>2360</v>
      </c>
      <c r="C519" s="60" t="s">
        <v>203</v>
      </c>
      <c r="D519" s="75" t="s">
        <v>322</v>
      </c>
      <c r="E519" s="71" t="s">
        <v>2361</v>
      </c>
      <c r="F519" s="60" t="s">
        <v>2362</v>
      </c>
      <c r="G519" s="60" t="s">
        <v>2363</v>
      </c>
      <c r="H519" s="60" t="s">
        <v>103</v>
      </c>
      <c r="I519" s="60" t="s">
        <v>103</v>
      </c>
      <c r="J519" s="77" t="str">
        <f t="shared" si="1"/>
        <v>Igual</v>
      </c>
      <c r="K519" s="60" t="s">
        <v>2364</v>
      </c>
      <c r="L519" s="60" t="s">
        <v>2365</v>
      </c>
      <c r="M519" s="60" t="s">
        <v>85</v>
      </c>
      <c r="N519" s="78" t="str">
        <f t="shared" si="3"/>
        <v>Não</v>
      </c>
    </row>
    <row r="520">
      <c r="A520" s="60" t="s">
        <v>47</v>
      </c>
      <c r="B520" s="60" t="s">
        <v>2366</v>
      </c>
      <c r="C520" s="60" t="s">
        <v>2367</v>
      </c>
      <c r="D520" s="75" t="s">
        <v>322</v>
      </c>
      <c r="E520" s="71" t="s">
        <v>2368</v>
      </c>
      <c r="F520" s="60" t="s">
        <v>2369</v>
      </c>
      <c r="G520" s="60" t="s">
        <v>2370</v>
      </c>
      <c r="H520" s="60" t="s">
        <v>82</v>
      </c>
      <c r="I520" s="60" t="s">
        <v>103</v>
      </c>
      <c r="J520" s="78" t="str">
        <f t="shared" si="1"/>
        <v>Diferente</v>
      </c>
      <c r="K520" s="60" t="s">
        <v>2371</v>
      </c>
      <c r="L520" s="60" t="s">
        <v>2372</v>
      </c>
      <c r="M520" s="60" t="s">
        <v>343</v>
      </c>
      <c r="N520" s="77" t="str">
        <f t="shared" si="3"/>
        <v>Sim</v>
      </c>
    </row>
    <row r="521">
      <c r="A521" s="60" t="s">
        <v>47</v>
      </c>
      <c r="B521" s="60" t="s">
        <v>2373</v>
      </c>
      <c r="C521" s="60" t="s">
        <v>2374</v>
      </c>
      <c r="D521" s="75" t="s">
        <v>322</v>
      </c>
      <c r="E521" s="71" t="s">
        <v>2375</v>
      </c>
      <c r="F521" s="60" t="s">
        <v>2376</v>
      </c>
      <c r="G521" s="60" t="s">
        <v>2377</v>
      </c>
      <c r="H521" s="60" t="s">
        <v>82</v>
      </c>
      <c r="I521" s="60" t="s">
        <v>82</v>
      </c>
      <c r="J521" s="77" t="str">
        <f t="shared" si="1"/>
        <v>Igual</v>
      </c>
      <c r="K521" s="60" t="s">
        <v>2378</v>
      </c>
      <c r="L521" s="60" t="s">
        <v>2379</v>
      </c>
      <c r="M521" s="60" t="s">
        <v>85</v>
      </c>
      <c r="N521" s="77" t="str">
        <f t="shared" si="3"/>
        <v>Sim</v>
      </c>
    </row>
    <row r="522">
      <c r="A522" s="60" t="s">
        <v>47</v>
      </c>
      <c r="B522" s="60" t="s">
        <v>2380</v>
      </c>
      <c r="C522" s="60" t="s">
        <v>2381</v>
      </c>
      <c r="D522" s="75" t="s">
        <v>322</v>
      </c>
      <c r="E522" s="71" t="s">
        <v>2382</v>
      </c>
      <c r="F522" s="60" t="s">
        <v>2383</v>
      </c>
      <c r="G522" s="60" t="s">
        <v>2384</v>
      </c>
      <c r="H522" s="60" t="s">
        <v>103</v>
      </c>
      <c r="I522" s="60" t="s">
        <v>103</v>
      </c>
      <c r="J522" s="77" t="str">
        <f t="shared" si="1"/>
        <v>Igual</v>
      </c>
      <c r="K522" s="60" t="s">
        <v>2385</v>
      </c>
      <c r="L522" s="60" t="s">
        <v>2386</v>
      </c>
      <c r="M522" s="60" t="s">
        <v>85</v>
      </c>
      <c r="N522" s="78" t="str">
        <f t="shared" si="3"/>
        <v>Não</v>
      </c>
    </row>
    <row r="523">
      <c r="A523" s="60" t="s">
        <v>47</v>
      </c>
      <c r="B523" s="60" t="s">
        <v>2387</v>
      </c>
      <c r="C523" s="60" t="s">
        <v>2388</v>
      </c>
      <c r="D523" s="75" t="s">
        <v>322</v>
      </c>
      <c r="E523" s="71" t="s">
        <v>2389</v>
      </c>
      <c r="F523" s="60" t="s">
        <v>2390</v>
      </c>
      <c r="G523" s="60" t="s">
        <v>2391</v>
      </c>
      <c r="H523" s="60" t="s">
        <v>82</v>
      </c>
      <c r="I523" s="60" t="s">
        <v>82</v>
      </c>
      <c r="J523" s="77" t="str">
        <f t="shared" si="1"/>
        <v>Igual</v>
      </c>
      <c r="K523" s="60" t="s">
        <v>2378</v>
      </c>
      <c r="L523" s="60" t="s">
        <v>2392</v>
      </c>
      <c r="M523" s="60" t="s">
        <v>85</v>
      </c>
      <c r="N523" s="77" t="str">
        <f t="shared" si="3"/>
        <v>Sim</v>
      </c>
    </row>
    <row r="524">
      <c r="A524" s="60" t="s">
        <v>47</v>
      </c>
      <c r="B524" s="60" t="s">
        <v>2393</v>
      </c>
      <c r="C524" s="60" t="s">
        <v>2394</v>
      </c>
      <c r="D524" s="75" t="s">
        <v>322</v>
      </c>
      <c r="E524" s="71" t="s">
        <v>2395</v>
      </c>
      <c r="F524" s="60" t="s">
        <v>2396</v>
      </c>
      <c r="G524" s="60" t="s">
        <v>2397</v>
      </c>
      <c r="H524" s="60" t="s">
        <v>82</v>
      </c>
      <c r="I524" s="60" t="s">
        <v>82</v>
      </c>
      <c r="J524" s="77" t="str">
        <f t="shared" si="1"/>
        <v>Igual</v>
      </c>
      <c r="K524" s="60" t="s">
        <v>2378</v>
      </c>
      <c r="L524" s="60" t="s">
        <v>2398</v>
      </c>
      <c r="M524" s="60" t="s">
        <v>85</v>
      </c>
      <c r="N524" s="77" t="str">
        <f t="shared" si="3"/>
        <v>Sim</v>
      </c>
    </row>
    <row r="525">
      <c r="A525" s="60" t="s">
        <v>47</v>
      </c>
      <c r="B525" s="60" t="s">
        <v>2399</v>
      </c>
      <c r="C525" s="60" t="s">
        <v>2400</v>
      </c>
      <c r="D525" s="75" t="s">
        <v>322</v>
      </c>
      <c r="E525" s="71" t="s">
        <v>2401</v>
      </c>
      <c r="F525" s="60" t="s">
        <v>2402</v>
      </c>
      <c r="G525" s="60" t="s">
        <v>2403</v>
      </c>
      <c r="H525" s="60" t="s">
        <v>82</v>
      </c>
      <c r="I525" s="60" t="s">
        <v>82</v>
      </c>
      <c r="J525" s="77" t="str">
        <f t="shared" si="1"/>
        <v>Igual</v>
      </c>
      <c r="K525" s="60" t="s">
        <v>2378</v>
      </c>
      <c r="L525" s="60" t="s">
        <v>2404</v>
      </c>
      <c r="M525" s="60" t="s">
        <v>85</v>
      </c>
      <c r="N525" s="77" t="str">
        <f t="shared" si="3"/>
        <v>Sim</v>
      </c>
    </row>
    <row r="526">
      <c r="A526" s="36"/>
      <c r="B526" s="36"/>
      <c r="C526" s="36"/>
      <c r="D526" s="36"/>
      <c r="E526" s="36"/>
      <c r="F526" s="36"/>
      <c r="G526" s="36"/>
      <c r="H526" s="36"/>
      <c r="I526" s="36"/>
      <c r="J526" s="79"/>
      <c r="K526" s="39"/>
      <c r="L526" s="36"/>
      <c r="M526" s="36"/>
      <c r="N526" s="45"/>
    </row>
    <row r="527">
      <c r="A527" s="36"/>
      <c r="B527" s="36"/>
      <c r="C527" s="36"/>
      <c r="D527" s="36"/>
      <c r="E527" s="36"/>
      <c r="F527" s="36"/>
      <c r="G527" s="36"/>
      <c r="H527" s="36"/>
      <c r="I527" s="36"/>
      <c r="J527" s="79"/>
      <c r="K527" s="39"/>
      <c r="L527" s="36"/>
      <c r="M527" s="36"/>
      <c r="N527" s="45"/>
    </row>
    <row r="528">
      <c r="A528" s="36"/>
      <c r="B528" s="36"/>
      <c r="C528" s="36"/>
      <c r="D528" s="36"/>
      <c r="E528" s="36"/>
      <c r="F528" s="36"/>
      <c r="G528" s="36"/>
      <c r="H528" s="36"/>
      <c r="I528" s="36"/>
      <c r="J528" s="79"/>
      <c r="K528" s="39"/>
      <c r="L528" s="36"/>
      <c r="M528" s="36"/>
      <c r="N528" s="45"/>
    </row>
    <row r="529">
      <c r="A529" s="36"/>
      <c r="B529" s="36"/>
      <c r="C529" s="36"/>
      <c r="D529" s="36"/>
      <c r="E529" s="36"/>
      <c r="F529" s="36"/>
      <c r="G529" s="36"/>
      <c r="H529" s="36"/>
      <c r="I529" s="36"/>
      <c r="J529" s="79"/>
      <c r="K529" s="39"/>
      <c r="L529" s="36"/>
      <c r="M529" s="36"/>
      <c r="N529" s="45"/>
    </row>
    <row r="530">
      <c r="A530" s="36"/>
      <c r="B530" s="36"/>
      <c r="C530" s="36"/>
      <c r="D530" s="36"/>
      <c r="E530" s="36"/>
      <c r="F530" s="36"/>
      <c r="G530" s="36"/>
      <c r="H530" s="36"/>
      <c r="I530" s="36"/>
      <c r="J530" s="79"/>
      <c r="K530" s="39"/>
      <c r="L530" s="36"/>
      <c r="M530" s="36"/>
      <c r="N530" s="45"/>
    </row>
    <row r="531">
      <c r="A531" s="36"/>
      <c r="B531" s="36"/>
      <c r="C531" s="36"/>
      <c r="D531" s="36"/>
      <c r="E531" s="36"/>
      <c r="F531" s="36"/>
      <c r="G531" s="36"/>
      <c r="H531" s="36"/>
      <c r="I531" s="36"/>
      <c r="J531" s="79"/>
      <c r="K531" s="39"/>
      <c r="L531" s="36"/>
      <c r="M531" s="36"/>
      <c r="N531" s="45"/>
    </row>
    <row r="532">
      <c r="A532" s="36"/>
      <c r="B532" s="36"/>
      <c r="C532" s="36"/>
      <c r="D532" s="36"/>
      <c r="E532" s="36"/>
      <c r="F532" s="36"/>
      <c r="G532" s="36"/>
      <c r="H532" s="36"/>
      <c r="I532" s="36"/>
      <c r="J532" s="79"/>
      <c r="K532" s="39"/>
      <c r="L532" s="36"/>
      <c r="M532" s="36"/>
      <c r="N532" s="45"/>
    </row>
    <row r="533">
      <c r="A533" s="36"/>
      <c r="B533" s="36"/>
      <c r="C533" s="36"/>
      <c r="D533" s="36"/>
      <c r="E533" s="36"/>
      <c r="F533" s="36"/>
      <c r="G533" s="36"/>
      <c r="H533" s="36"/>
      <c r="I533" s="36"/>
      <c r="J533" s="79"/>
      <c r="K533" s="39"/>
      <c r="L533" s="36"/>
      <c r="M533" s="36"/>
      <c r="N533" s="45"/>
    </row>
    <row r="534">
      <c r="A534" s="36"/>
      <c r="B534" s="36"/>
      <c r="C534" s="36"/>
      <c r="D534" s="36"/>
      <c r="E534" s="36"/>
      <c r="F534" s="36"/>
      <c r="G534" s="36"/>
      <c r="H534" s="36"/>
      <c r="I534" s="36"/>
      <c r="J534" s="79"/>
      <c r="K534" s="39"/>
      <c r="L534" s="36"/>
      <c r="M534" s="36"/>
      <c r="N534" s="45"/>
    </row>
    <row r="535">
      <c r="A535" s="36"/>
      <c r="B535" s="36"/>
      <c r="C535" s="36"/>
      <c r="D535" s="36"/>
      <c r="E535" s="36"/>
      <c r="F535" s="36"/>
      <c r="G535" s="36"/>
      <c r="H535" s="36"/>
      <c r="I535" s="36"/>
      <c r="J535" s="79"/>
      <c r="K535" s="39"/>
      <c r="L535" s="36"/>
      <c r="M535" s="36"/>
      <c r="N535" s="45"/>
    </row>
    <row r="536">
      <c r="A536" s="36"/>
      <c r="B536" s="36"/>
      <c r="C536" s="36"/>
      <c r="D536" s="36"/>
      <c r="E536" s="36"/>
      <c r="F536" s="36"/>
      <c r="G536" s="36"/>
      <c r="H536" s="36"/>
      <c r="I536" s="36"/>
      <c r="J536" s="79"/>
      <c r="K536" s="39"/>
      <c r="L536" s="36"/>
      <c r="M536" s="36"/>
      <c r="N536" s="45"/>
    </row>
    <row r="537">
      <c r="A537" s="36"/>
      <c r="B537" s="36"/>
      <c r="C537" s="36"/>
      <c r="D537" s="36"/>
      <c r="E537" s="36"/>
      <c r="F537" s="36"/>
      <c r="G537" s="36"/>
      <c r="H537" s="36"/>
      <c r="I537" s="36"/>
      <c r="J537" s="79"/>
      <c r="K537" s="39"/>
      <c r="L537" s="36"/>
      <c r="M537" s="36"/>
      <c r="N537" s="79"/>
    </row>
    <row r="538">
      <c r="A538" s="36"/>
      <c r="B538" s="36"/>
      <c r="C538" s="36"/>
      <c r="D538" s="36"/>
      <c r="E538" s="36"/>
      <c r="F538" s="36"/>
      <c r="G538" s="36"/>
      <c r="H538" s="36"/>
      <c r="I538" s="36"/>
      <c r="J538" s="79"/>
      <c r="K538" s="39"/>
      <c r="L538" s="36"/>
      <c r="M538" s="36"/>
      <c r="N538" s="45"/>
    </row>
    <row r="539">
      <c r="A539" s="36"/>
      <c r="B539" s="36"/>
      <c r="C539" s="36"/>
      <c r="D539" s="36"/>
      <c r="E539" s="36"/>
      <c r="F539" s="36"/>
      <c r="G539" s="36"/>
      <c r="H539" s="36"/>
      <c r="I539" s="36"/>
      <c r="J539" s="79"/>
      <c r="K539" s="39"/>
      <c r="L539" s="36"/>
      <c r="M539" s="36"/>
      <c r="N539" s="45"/>
    </row>
    <row r="540">
      <c r="A540" s="36"/>
      <c r="B540" s="36"/>
      <c r="C540" s="36"/>
      <c r="D540" s="36"/>
      <c r="E540" s="36"/>
      <c r="F540" s="36"/>
      <c r="G540" s="36"/>
      <c r="H540" s="36"/>
      <c r="I540" s="36"/>
      <c r="J540" s="79"/>
      <c r="K540" s="39"/>
      <c r="L540" s="36"/>
      <c r="M540" s="36"/>
      <c r="N540" s="45"/>
    </row>
    <row r="541">
      <c r="A541" s="36"/>
      <c r="B541" s="36"/>
      <c r="C541" s="36"/>
      <c r="D541" s="36"/>
      <c r="E541" s="36"/>
      <c r="F541" s="36"/>
      <c r="G541" s="36"/>
      <c r="H541" s="36"/>
      <c r="I541" s="36"/>
      <c r="J541" s="79"/>
      <c r="K541" s="39"/>
      <c r="L541" s="36"/>
      <c r="M541" s="36"/>
      <c r="N541" s="79"/>
    </row>
    <row r="542">
      <c r="A542" s="36"/>
      <c r="B542" s="36"/>
      <c r="C542" s="36"/>
      <c r="D542" s="36"/>
      <c r="E542" s="36"/>
      <c r="F542" s="36"/>
      <c r="G542" s="36"/>
      <c r="H542" s="36"/>
      <c r="I542" s="36"/>
      <c r="J542" s="79"/>
      <c r="K542" s="39"/>
      <c r="L542" s="36"/>
      <c r="M542" s="36"/>
      <c r="N542" s="45"/>
    </row>
    <row r="543">
      <c r="A543" s="36"/>
      <c r="B543" s="36"/>
      <c r="C543" s="36"/>
      <c r="D543" s="36"/>
      <c r="E543" s="36"/>
      <c r="F543" s="36"/>
      <c r="G543" s="36"/>
      <c r="H543" s="36"/>
      <c r="I543" s="36"/>
      <c r="J543" s="79"/>
      <c r="K543" s="39"/>
      <c r="L543" s="36"/>
      <c r="M543" s="36"/>
      <c r="N543" s="79"/>
    </row>
    <row r="544">
      <c r="A544" s="36"/>
      <c r="B544" s="36"/>
      <c r="C544" s="36"/>
      <c r="D544" s="36"/>
      <c r="E544" s="36"/>
      <c r="F544" s="36"/>
      <c r="G544" s="36"/>
      <c r="H544" s="36"/>
      <c r="I544" s="36"/>
      <c r="J544" s="79"/>
      <c r="K544" s="39"/>
      <c r="L544" s="36"/>
      <c r="M544" s="36"/>
      <c r="N544" s="79"/>
    </row>
    <row r="545">
      <c r="A545" s="36"/>
      <c r="B545" s="36"/>
      <c r="C545" s="36"/>
      <c r="D545" s="36"/>
      <c r="E545" s="36"/>
      <c r="F545" s="36"/>
      <c r="G545" s="36"/>
      <c r="H545" s="36"/>
      <c r="I545" s="36"/>
      <c r="J545" s="79"/>
      <c r="K545" s="39"/>
      <c r="L545" s="36"/>
      <c r="M545" s="36"/>
      <c r="N545" s="79"/>
    </row>
    <row r="546">
      <c r="A546" s="36"/>
      <c r="B546" s="36"/>
      <c r="C546" s="36"/>
      <c r="D546" s="36"/>
      <c r="E546" s="36"/>
      <c r="F546" s="36"/>
      <c r="G546" s="36"/>
      <c r="H546" s="36"/>
      <c r="I546" s="36"/>
      <c r="J546" s="79"/>
      <c r="K546" s="39"/>
      <c r="L546" s="36"/>
      <c r="M546" s="36"/>
      <c r="N546" s="79"/>
    </row>
    <row r="547">
      <c r="A547" s="36"/>
      <c r="B547" s="36"/>
      <c r="C547" s="36"/>
      <c r="D547" s="36"/>
      <c r="E547" s="36"/>
      <c r="F547" s="36"/>
      <c r="G547" s="36"/>
      <c r="H547" s="36"/>
      <c r="I547" s="36"/>
      <c r="J547" s="79"/>
      <c r="K547" s="39"/>
      <c r="L547" s="36"/>
      <c r="M547" s="36"/>
      <c r="N547" s="45"/>
    </row>
    <row r="548">
      <c r="A548" s="36"/>
      <c r="B548" s="36"/>
      <c r="C548" s="36"/>
      <c r="D548" s="36"/>
      <c r="E548" s="36"/>
      <c r="F548" s="36"/>
      <c r="G548" s="36"/>
      <c r="H548" s="36"/>
      <c r="I548" s="36"/>
      <c r="J548" s="79"/>
      <c r="K548" s="39"/>
      <c r="L548" s="36"/>
      <c r="M548" s="36"/>
      <c r="N548" s="79"/>
    </row>
    <row r="549">
      <c r="A549" s="36"/>
      <c r="B549" s="36"/>
      <c r="C549" s="36"/>
      <c r="D549" s="36"/>
      <c r="E549" s="36"/>
      <c r="F549" s="36"/>
      <c r="G549" s="36"/>
      <c r="H549" s="36"/>
      <c r="I549" s="36"/>
      <c r="J549" s="79"/>
      <c r="K549" s="39"/>
      <c r="L549" s="36"/>
      <c r="M549" s="36"/>
      <c r="N549" s="79"/>
    </row>
    <row r="550">
      <c r="A550" s="36"/>
      <c r="B550" s="36"/>
      <c r="C550" s="36"/>
      <c r="D550" s="36"/>
      <c r="E550" s="36"/>
      <c r="F550" s="36"/>
      <c r="G550" s="36"/>
      <c r="H550" s="36"/>
      <c r="I550" s="36"/>
      <c r="J550" s="79"/>
      <c r="K550" s="39"/>
      <c r="L550" s="36"/>
      <c r="M550" s="36"/>
      <c r="N550" s="79"/>
    </row>
    <row r="551">
      <c r="A551" s="36"/>
      <c r="B551" s="36"/>
      <c r="C551" s="36"/>
      <c r="D551" s="36"/>
      <c r="E551" s="36"/>
      <c r="F551" s="36"/>
      <c r="G551" s="36"/>
      <c r="H551" s="36"/>
      <c r="I551" s="36"/>
      <c r="J551" s="79"/>
      <c r="K551" s="39"/>
      <c r="L551" s="36"/>
      <c r="M551" s="36"/>
      <c r="N551" s="45"/>
    </row>
    <row r="552">
      <c r="A552" s="36"/>
      <c r="B552" s="36"/>
      <c r="C552" s="36"/>
      <c r="D552" s="36"/>
      <c r="E552" s="36"/>
      <c r="F552" s="36"/>
      <c r="G552" s="36"/>
      <c r="H552" s="36"/>
      <c r="I552" s="36"/>
      <c r="J552" s="79"/>
      <c r="K552" s="39"/>
      <c r="L552" s="36"/>
      <c r="M552" s="36"/>
      <c r="N552" s="79"/>
    </row>
    <row r="553">
      <c r="A553" s="36"/>
      <c r="B553" s="36"/>
      <c r="C553" s="36"/>
      <c r="D553" s="36"/>
      <c r="E553" s="36"/>
      <c r="F553" s="36"/>
      <c r="G553" s="36"/>
      <c r="H553" s="36"/>
      <c r="I553" s="36"/>
      <c r="J553" s="79"/>
      <c r="K553" s="39"/>
      <c r="L553" s="36"/>
      <c r="M553" s="36"/>
      <c r="N553" s="79"/>
    </row>
    <row r="554">
      <c r="A554" s="36"/>
      <c r="B554" s="36"/>
      <c r="C554" s="36"/>
      <c r="D554" s="36"/>
      <c r="E554" s="36"/>
      <c r="F554" s="36"/>
      <c r="G554" s="36"/>
      <c r="H554" s="36"/>
      <c r="I554" s="36"/>
      <c r="J554" s="79"/>
      <c r="K554" s="39"/>
      <c r="L554" s="36"/>
      <c r="M554" s="36"/>
      <c r="N554" s="45"/>
    </row>
    <row r="555">
      <c r="A555" s="36"/>
      <c r="B555" s="36"/>
      <c r="C555" s="36"/>
      <c r="D555" s="36"/>
      <c r="E555" s="36"/>
      <c r="F555" s="36"/>
      <c r="G555" s="36"/>
      <c r="H555" s="36"/>
      <c r="I555" s="36"/>
      <c r="J555" s="79"/>
      <c r="K555" s="39"/>
      <c r="L555" s="36"/>
      <c r="M555" s="36"/>
      <c r="N555" s="79"/>
    </row>
    <row r="556">
      <c r="A556" s="36"/>
      <c r="B556" s="36"/>
      <c r="C556" s="36"/>
      <c r="D556" s="36"/>
      <c r="E556" s="36"/>
      <c r="F556" s="36"/>
      <c r="G556" s="36"/>
      <c r="H556" s="36"/>
      <c r="I556" s="36"/>
      <c r="J556" s="45"/>
      <c r="K556" s="39"/>
      <c r="L556" s="36"/>
      <c r="M556" s="36"/>
      <c r="N556" s="79"/>
    </row>
    <row r="557">
      <c r="A557" s="36"/>
      <c r="B557" s="36"/>
      <c r="C557" s="36"/>
      <c r="D557" s="36"/>
      <c r="E557" s="36"/>
      <c r="F557" s="36"/>
      <c r="G557" s="36"/>
      <c r="H557" s="36"/>
      <c r="I557" s="36"/>
      <c r="J557" s="79"/>
      <c r="K557" s="39"/>
      <c r="L557" s="36"/>
      <c r="M557" s="36"/>
      <c r="N557" s="45"/>
    </row>
    <row r="558">
      <c r="A558" s="36"/>
      <c r="B558" s="36"/>
      <c r="C558" s="36"/>
      <c r="D558" s="36"/>
      <c r="E558" s="36"/>
      <c r="F558" s="36"/>
      <c r="G558" s="36"/>
      <c r="H558" s="36"/>
      <c r="I558" s="36"/>
      <c r="J558" s="79"/>
      <c r="K558" s="39"/>
      <c r="L558" s="36"/>
      <c r="M558" s="36"/>
      <c r="N558" s="79"/>
    </row>
    <row r="559">
      <c r="A559" s="36"/>
      <c r="B559" s="36"/>
      <c r="C559" s="36"/>
      <c r="D559" s="36"/>
      <c r="E559" s="36"/>
      <c r="F559" s="36"/>
      <c r="G559" s="36"/>
      <c r="H559" s="36"/>
      <c r="I559" s="36"/>
      <c r="J559" s="79"/>
      <c r="K559" s="39"/>
      <c r="L559" s="36"/>
      <c r="M559" s="36"/>
      <c r="N559" s="45"/>
    </row>
    <row r="560">
      <c r="A560" s="36"/>
      <c r="B560" s="36"/>
      <c r="C560" s="36"/>
      <c r="D560" s="36"/>
      <c r="E560" s="36"/>
      <c r="F560" s="36"/>
      <c r="G560" s="36"/>
      <c r="H560" s="36"/>
      <c r="I560" s="36"/>
      <c r="J560" s="79"/>
      <c r="K560" s="39"/>
      <c r="L560" s="36"/>
      <c r="M560" s="36"/>
      <c r="N560" s="45"/>
    </row>
    <row r="561">
      <c r="A561" s="36"/>
      <c r="B561" s="36"/>
      <c r="C561" s="36"/>
      <c r="D561" s="36"/>
      <c r="E561" s="36"/>
      <c r="F561" s="36"/>
      <c r="G561" s="36"/>
      <c r="H561" s="36"/>
      <c r="I561" s="36"/>
      <c r="J561" s="79"/>
      <c r="K561" s="39"/>
      <c r="L561" s="36"/>
      <c r="M561" s="36"/>
      <c r="N561" s="79"/>
    </row>
    <row r="562">
      <c r="A562" s="36"/>
      <c r="B562" s="36"/>
      <c r="C562" s="36"/>
      <c r="D562" s="36"/>
      <c r="E562" s="36"/>
      <c r="F562" s="36"/>
      <c r="G562" s="36"/>
      <c r="H562" s="36"/>
      <c r="I562" s="36"/>
      <c r="J562" s="79"/>
      <c r="K562" s="39"/>
      <c r="L562" s="36"/>
      <c r="M562" s="36"/>
      <c r="N562" s="45"/>
    </row>
    <row r="563">
      <c r="A563" s="36"/>
      <c r="B563" s="36"/>
      <c r="C563" s="36"/>
      <c r="D563" s="36"/>
      <c r="E563" s="36"/>
      <c r="F563" s="36"/>
      <c r="G563" s="36"/>
      <c r="H563" s="36"/>
      <c r="I563" s="36"/>
      <c r="J563" s="79"/>
      <c r="K563" s="39"/>
      <c r="L563" s="36"/>
      <c r="M563" s="36"/>
      <c r="N563" s="79"/>
    </row>
    <row r="564">
      <c r="A564" s="36"/>
      <c r="B564" s="36"/>
      <c r="C564" s="36"/>
      <c r="D564" s="36"/>
      <c r="E564" s="36"/>
      <c r="F564" s="36"/>
      <c r="G564" s="36"/>
      <c r="H564" s="36"/>
      <c r="I564" s="36"/>
      <c r="J564" s="45"/>
      <c r="K564" s="39"/>
      <c r="L564" s="36"/>
      <c r="M564" s="36"/>
      <c r="N564" s="79"/>
    </row>
    <row r="565">
      <c r="A565" s="36"/>
      <c r="B565" s="36"/>
      <c r="C565" s="36"/>
      <c r="D565" s="36"/>
      <c r="E565" s="36"/>
      <c r="F565" s="36"/>
      <c r="G565" s="36"/>
      <c r="H565" s="36"/>
      <c r="I565" s="36"/>
      <c r="J565" s="79"/>
      <c r="K565" s="39"/>
      <c r="L565" s="36"/>
      <c r="M565" s="36"/>
      <c r="N565" s="45"/>
    </row>
    <row r="566">
      <c r="A566" s="36"/>
      <c r="B566" s="36"/>
      <c r="C566" s="36"/>
      <c r="D566" s="36"/>
      <c r="E566" s="36"/>
      <c r="F566" s="36"/>
      <c r="G566" s="36"/>
      <c r="H566" s="36"/>
      <c r="I566" s="36"/>
      <c r="J566" s="79"/>
      <c r="K566" s="39"/>
      <c r="L566" s="36"/>
      <c r="M566" s="36"/>
      <c r="N566" s="79"/>
    </row>
    <row r="567">
      <c r="A567" s="36"/>
      <c r="B567" s="36"/>
      <c r="C567" s="36"/>
      <c r="D567" s="36"/>
      <c r="E567" s="36"/>
      <c r="F567" s="36"/>
      <c r="G567" s="36"/>
      <c r="H567" s="36"/>
      <c r="I567" s="36"/>
      <c r="J567" s="79"/>
      <c r="K567" s="39"/>
      <c r="L567" s="36"/>
      <c r="M567" s="36"/>
      <c r="N567" s="45"/>
    </row>
    <row r="568">
      <c r="A568" s="36"/>
      <c r="B568" s="36"/>
      <c r="C568" s="36"/>
      <c r="D568" s="36"/>
      <c r="E568" s="36"/>
      <c r="F568" s="36"/>
      <c r="G568" s="36"/>
      <c r="H568" s="36"/>
      <c r="I568" s="36"/>
      <c r="J568" s="45"/>
      <c r="K568" s="39"/>
      <c r="L568" s="36"/>
      <c r="M568" s="36"/>
      <c r="N568" s="79"/>
    </row>
    <row r="569">
      <c r="A569" s="36"/>
      <c r="B569" s="36"/>
      <c r="C569" s="36"/>
      <c r="D569" s="36"/>
      <c r="E569" s="36"/>
      <c r="F569" s="36"/>
      <c r="G569" s="36"/>
      <c r="H569" s="36"/>
      <c r="I569" s="36"/>
      <c r="J569" s="79"/>
      <c r="K569" s="39"/>
      <c r="L569" s="36"/>
      <c r="M569" s="36"/>
      <c r="N569" s="79"/>
    </row>
    <row r="570">
      <c r="A570" s="36"/>
      <c r="B570" s="36"/>
      <c r="C570" s="36"/>
      <c r="D570" s="36"/>
      <c r="E570" s="36"/>
      <c r="F570" s="36"/>
      <c r="G570" s="36"/>
      <c r="H570" s="36"/>
      <c r="I570" s="36"/>
      <c r="J570" s="79"/>
      <c r="K570" s="39"/>
      <c r="L570" s="36"/>
      <c r="M570" s="36"/>
      <c r="N570" s="45"/>
    </row>
    <row r="571">
      <c r="A571" s="36"/>
      <c r="B571" s="36"/>
      <c r="C571" s="36"/>
      <c r="D571" s="36"/>
      <c r="E571" s="36"/>
      <c r="F571" s="36"/>
      <c r="G571" s="36"/>
      <c r="H571" s="36"/>
      <c r="I571" s="36"/>
      <c r="J571" s="79"/>
      <c r="K571" s="39"/>
      <c r="L571" s="36"/>
      <c r="M571" s="36"/>
      <c r="N571" s="79"/>
    </row>
    <row r="572">
      <c r="A572" s="36"/>
      <c r="B572" s="36"/>
      <c r="C572" s="36"/>
      <c r="D572" s="36"/>
      <c r="E572" s="36"/>
      <c r="F572" s="36"/>
      <c r="G572" s="36"/>
      <c r="H572" s="36"/>
      <c r="I572" s="36"/>
      <c r="J572" s="79"/>
      <c r="K572" s="39"/>
      <c r="L572" s="36"/>
      <c r="M572" s="36"/>
      <c r="N572" s="79"/>
    </row>
    <row r="573">
      <c r="A573" s="36"/>
      <c r="B573" s="36"/>
      <c r="C573" s="36"/>
      <c r="D573" s="36"/>
      <c r="E573" s="36"/>
      <c r="F573" s="36"/>
      <c r="G573" s="36"/>
      <c r="H573" s="36"/>
      <c r="I573" s="36"/>
      <c r="J573" s="79"/>
      <c r="K573" s="39"/>
      <c r="L573" s="36"/>
      <c r="M573" s="36"/>
      <c r="N573" s="79"/>
    </row>
    <row r="574">
      <c r="A574" s="36"/>
      <c r="B574" s="36"/>
      <c r="C574" s="36"/>
      <c r="D574" s="36"/>
      <c r="E574" s="36"/>
      <c r="F574" s="36"/>
      <c r="G574" s="36"/>
      <c r="H574" s="36"/>
      <c r="I574" s="36"/>
      <c r="J574" s="79"/>
      <c r="K574" s="39"/>
      <c r="L574" s="36"/>
      <c r="M574" s="36"/>
      <c r="N574" s="45"/>
    </row>
    <row r="575">
      <c r="A575" s="36"/>
      <c r="B575" s="36"/>
      <c r="C575" s="36"/>
      <c r="D575" s="36"/>
      <c r="E575" s="36"/>
      <c r="F575" s="36"/>
      <c r="G575" s="36"/>
      <c r="H575" s="36"/>
      <c r="I575" s="36"/>
      <c r="J575" s="79"/>
      <c r="K575" s="39"/>
      <c r="L575" s="36"/>
      <c r="M575" s="36"/>
      <c r="N575" s="45"/>
    </row>
    <row r="576">
      <c r="A576" s="36"/>
      <c r="B576" s="36"/>
      <c r="C576" s="36"/>
      <c r="D576" s="36"/>
      <c r="E576" s="36"/>
      <c r="F576" s="36"/>
      <c r="G576" s="36"/>
      <c r="H576" s="36"/>
      <c r="I576" s="36"/>
      <c r="J576" s="79"/>
      <c r="K576" s="39"/>
      <c r="L576" s="36"/>
      <c r="M576" s="36"/>
      <c r="N576" s="45"/>
    </row>
    <row r="577">
      <c r="A577" s="36"/>
      <c r="B577" s="36"/>
      <c r="C577" s="36"/>
      <c r="D577" s="36"/>
      <c r="E577" s="36"/>
      <c r="F577" s="36"/>
      <c r="G577" s="36"/>
      <c r="H577" s="36"/>
      <c r="I577" s="36"/>
      <c r="J577" s="79"/>
      <c r="K577" s="39"/>
      <c r="L577" s="36"/>
      <c r="M577" s="36"/>
      <c r="N577" s="79"/>
    </row>
    <row r="578">
      <c r="A578" s="36"/>
      <c r="B578" s="36"/>
      <c r="C578" s="36"/>
      <c r="D578" s="36"/>
      <c r="E578" s="36"/>
      <c r="F578" s="36"/>
      <c r="G578" s="36"/>
      <c r="H578" s="36"/>
      <c r="I578" s="36"/>
      <c r="J578" s="79"/>
      <c r="K578" s="39"/>
      <c r="L578" s="36"/>
      <c r="M578" s="36"/>
      <c r="N578" s="45"/>
    </row>
    <row r="579">
      <c r="A579" s="36"/>
      <c r="B579" s="36"/>
      <c r="C579" s="36"/>
      <c r="D579" s="36"/>
      <c r="E579" s="36"/>
      <c r="F579" s="36"/>
      <c r="G579" s="36"/>
      <c r="H579" s="36"/>
      <c r="I579" s="36"/>
      <c r="J579" s="79"/>
      <c r="K579" s="39"/>
      <c r="L579" s="36"/>
      <c r="M579" s="36"/>
      <c r="N579" s="45"/>
    </row>
    <row r="580">
      <c r="A580" s="36"/>
      <c r="B580" s="36"/>
      <c r="C580" s="36"/>
      <c r="D580" s="36"/>
      <c r="E580" s="36"/>
      <c r="F580" s="36"/>
      <c r="G580" s="36"/>
      <c r="H580" s="36"/>
      <c r="I580" s="36"/>
      <c r="J580" s="79"/>
      <c r="K580" s="39"/>
      <c r="L580" s="36"/>
      <c r="M580" s="36"/>
      <c r="N580" s="79"/>
    </row>
    <row r="581">
      <c r="A581" s="36"/>
      <c r="B581" s="36"/>
      <c r="C581" s="36"/>
      <c r="D581" s="36"/>
      <c r="E581" s="36"/>
      <c r="F581" s="36"/>
      <c r="G581" s="36"/>
      <c r="H581" s="36"/>
      <c r="I581" s="36"/>
      <c r="J581" s="79"/>
      <c r="K581" s="39"/>
      <c r="L581" s="36"/>
      <c r="M581" s="36"/>
      <c r="N581" s="79"/>
    </row>
    <row r="582">
      <c r="A582" s="36"/>
      <c r="B582" s="36"/>
      <c r="C582" s="36"/>
      <c r="D582" s="36"/>
      <c r="E582" s="36"/>
      <c r="F582" s="36"/>
      <c r="G582" s="36"/>
      <c r="H582" s="36"/>
      <c r="I582" s="36"/>
      <c r="J582" s="79"/>
      <c r="K582" s="39"/>
      <c r="L582" s="36"/>
      <c r="M582" s="36"/>
      <c r="N582" s="79"/>
    </row>
    <row r="583">
      <c r="A583" s="36"/>
      <c r="B583" s="36"/>
      <c r="C583" s="36"/>
      <c r="D583" s="36"/>
      <c r="E583" s="36"/>
      <c r="F583" s="36"/>
      <c r="G583" s="36"/>
      <c r="H583" s="36"/>
      <c r="I583" s="36"/>
      <c r="J583" s="45"/>
      <c r="K583" s="39"/>
      <c r="L583" s="36"/>
      <c r="M583" s="36"/>
      <c r="N583" s="79"/>
    </row>
    <row r="584">
      <c r="A584" s="36"/>
      <c r="B584" s="36"/>
      <c r="C584" s="36"/>
      <c r="D584" s="36"/>
      <c r="E584" s="36"/>
      <c r="F584" s="36"/>
      <c r="G584" s="36"/>
      <c r="H584" s="36"/>
      <c r="I584" s="36"/>
      <c r="J584" s="79"/>
      <c r="K584" s="39"/>
      <c r="L584" s="36"/>
      <c r="M584" s="36"/>
      <c r="N584" s="79"/>
    </row>
    <row r="585">
      <c r="A585" s="36"/>
      <c r="B585" s="36"/>
      <c r="C585" s="36"/>
      <c r="D585" s="36"/>
      <c r="E585" s="36"/>
      <c r="F585" s="36"/>
      <c r="G585" s="36"/>
      <c r="H585" s="36"/>
      <c r="I585" s="36"/>
      <c r="J585" s="79"/>
      <c r="K585" s="39"/>
      <c r="L585" s="36"/>
      <c r="M585" s="36"/>
      <c r="N585" s="79"/>
    </row>
    <row r="586">
      <c r="A586" s="36"/>
      <c r="B586" s="36"/>
      <c r="C586" s="36"/>
      <c r="D586" s="36"/>
      <c r="E586" s="36"/>
      <c r="F586" s="36"/>
      <c r="G586" s="36"/>
      <c r="H586" s="36"/>
      <c r="I586" s="36"/>
      <c r="J586" s="79"/>
      <c r="K586" s="39"/>
      <c r="L586" s="36"/>
      <c r="M586" s="36"/>
      <c r="N586" s="45"/>
    </row>
    <row r="587">
      <c r="A587" s="36"/>
      <c r="B587" s="36"/>
      <c r="C587" s="36"/>
      <c r="D587" s="36"/>
      <c r="E587" s="36"/>
      <c r="F587" s="36"/>
      <c r="G587" s="36"/>
      <c r="H587" s="36"/>
      <c r="I587" s="36"/>
      <c r="J587" s="79"/>
      <c r="K587" s="39"/>
      <c r="L587" s="36"/>
      <c r="M587" s="36"/>
      <c r="N587" s="45"/>
    </row>
    <row r="588">
      <c r="A588" s="36"/>
      <c r="B588" s="36"/>
      <c r="C588" s="36"/>
      <c r="D588" s="36"/>
      <c r="E588" s="36"/>
      <c r="F588" s="36"/>
      <c r="G588" s="36"/>
      <c r="H588" s="36"/>
      <c r="I588" s="36"/>
      <c r="J588" s="79"/>
      <c r="K588" s="39"/>
      <c r="L588" s="36"/>
      <c r="M588" s="36"/>
      <c r="N588" s="45"/>
    </row>
    <row r="589">
      <c r="A589" s="36"/>
      <c r="B589" s="36"/>
      <c r="C589" s="36"/>
      <c r="D589" s="36"/>
      <c r="E589" s="36"/>
      <c r="F589" s="36"/>
      <c r="G589" s="36"/>
      <c r="H589" s="36"/>
      <c r="I589" s="36"/>
      <c r="J589" s="79"/>
      <c r="K589" s="39"/>
      <c r="L589" s="36"/>
      <c r="M589" s="36"/>
      <c r="N589" s="45"/>
    </row>
    <row r="590">
      <c r="A590" s="36"/>
      <c r="B590" s="36"/>
      <c r="C590" s="36"/>
      <c r="D590" s="36"/>
      <c r="E590" s="36"/>
      <c r="F590" s="36"/>
      <c r="G590" s="36"/>
      <c r="H590" s="36"/>
      <c r="I590" s="36"/>
      <c r="J590" s="79"/>
      <c r="K590" s="39"/>
      <c r="L590" s="36"/>
      <c r="M590" s="36"/>
      <c r="N590" s="45"/>
    </row>
    <row r="591">
      <c r="A591" s="36"/>
      <c r="B591" s="36"/>
      <c r="C591" s="36"/>
      <c r="D591" s="36"/>
      <c r="E591" s="36"/>
      <c r="F591" s="36"/>
      <c r="G591" s="36"/>
      <c r="H591" s="36"/>
      <c r="I591" s="36"/>
      <c r="J591" s="79"/>
      <c r="K591" s="39"/>
      <c r="L591" s="36"/>
      <c r="M591" s="36"/>
      <c r="N591" s="79"/>
    </row>
    <row r="592">
      <c r="A592" s="36"/>
      <c r="B592" s="36"/>
      <c r="C592" s="36"/>
      <c r="D592" s="36"/>
      <c r="E592" s="36"/>
      <c r="F592" s="36"/>
      <c r="G592" s="36"/>
      <c r="H592" s="36"/>
      <c r="I592" s="36"/>
      <c r="J592" s="45"/>
      <c r="K592" s="39"/>
      <c r="L592" s="36"/>
      <c r="M592" s="36"/>
      <c r="N592" s="79"/>
    </row>
    <row r="593">
      <c r="A593" s="36"/>
      <c r="B593" s="36"/>
      <c r="C593" s="36"/>
      <c r="D593" s="36"/>
      <c r="E593" s="36"/>
      <c r="F593" s="36"/>
      <c r="G593" s="36"/>
      <c r="H593" s="36"/>
      <c r="I593" s="36"/>
      <c r="J593" s="79"/>
      <c r="K593" s="39"/>
      <c r="L593" s="36"/>
      <c r="M593" s="36"/>
      <c r="N593" s="45"/>
    </row>
    <row r="594">
      <c r="A594" s="36"/>
      <c r="B594" s="36"/>
      <c r="C594" s="36"/>
      <c r="D594" s="36"/>
      <c r="E594" s="36"/>
      <c r="F594" s="36"/>
      <c r="G594" s="36"/>
      <c r="H594" s="36"/>
      <c r="I594" s="36"/>
      <c r="J594" s="79"/>
      <c r="K594" s="39"/>
      <c r="L594" s="36"/>
      <c r="M594" s="36"/>
      <c r="N594" s="79"/>
    </row>
    <row r="595">
      <c r="A595" s="36"/>
      <c r="B595" s="36"/>
      <c r="C595" s="36"/>
      <c r="D595" s="36"/>
      <c r="E595" s="36"/>
      <c r="F595" s="36"/>
      <c r="G595" s="36"/>
      <c r="H595" s="36"/>
      <c r="I595" s="36"/>
      <c r="J595" s="79"/>
      <c r="K595" s="39"/>
      <c r="L595" s="36"/>
      <c r="M595" s="36"/>
      <c r="N595" s="79"/>
    </row>
    <row r="596">
      <c r="A596" s="36"/>
      <c r="B596" s="36"/>
      <c r="C596" s="36"/>
      <c r="D596" s="36"/>
      <c r="E596" s="36"/>
      <c r="F596" s="36"/>
      <c r="G596" s="36"/>
      <c r="H596" s="36"/>
      <c r="I596" s="36"/>
      <c r="J596" s="79"/>
      <c r="K596" s="39"/>
      <c r="L596" s="36"/>
      <c r="M596" s="36"/>
      <c r="N596" s="79"/>
    </row>
    <row r="597">
      <c r="A597" s="36"/>
      <c r="B597" s="36"/>
      <c r="C597" s="36"/>
      <c r="D597" s="36"/>
      <c r="E597" s="36"/>
      <c r="F597" s="36"/>
      <c r="G597" s="36"/>
      <c r="H597" s="36"/>
      <c r="I597" s="36"/>
      <c r="J597" s="79"/>
      <c r="K597" s="39"/>
      <c r="L597" s="36"/>
      <c r="M597" s="36"/>
      <c r="N597" s="45"/>
    </row>
    <row r="598">
      <c r="A598" s="36"/>
      <c r="B598" s="36"/>
      <c r="C598" s="36"/>
      <c r="D598" s="36"/>
      <c r="E598" s="36"/>
      <c r="F598" s="36"/>
      <c r="G598" s="36"/>
      <c r="H598" s="36"/>
      <c r="I598" s="36"/>
      <c r="J598" s="79"/>
      <c r="K598" s="39"/>
      <c r="L598" s="36"/>
      <c r="M598" s="36"/>
      <c r="N598" s="45"/>
    </row>
    <row r="599">
      <c r="A599" s="36"/>
      <c r="B599" s="36"/>
      <c r="C599" s="36"/>
      <c r="D599" s="36"/>
      <c r="E599" s="36"/>
      <c r="F599" s="36"/>
      <c r="G599" s="36"/>
      <c r="H599" s="36"/>
      <c r="I599" s="36"/>
      <c r="J599" s="79"/>
      <c r="K599" s="39"/>
      <c r="L599" s="36"/>
      <c r="M599" s="36"/>
      <c r="N599" s="79"/>
    </row>
    <row r="600">
      <c r="A600" s="36"/>
      <c r="B600" s="36"/>
      <c r="C600" s="36"/>
      <c r="D600" s="36"/>
      <c r="E600" s="36"/>
      <c r="F600" s="36"/>
      <c r="G600" s="36"/>
      <c r="H600" s="36"/>
      <c r="I600" s="36"/>
      <c r="J600" s="79"/>
      <c r="K600" s="39"/>
      <c r="L600" s="36"/>
      <c r="M600" s="36"/>
      <c r="N600" s="79"/>
    </row>
    <row r="601">
      <c r="A601" s="36"/>
      <c r="B601" s="36"/>
      <c r="C601" s="36"/>
      <c r="D601" s="36"/>
      <c r="E601" s="36"/>
      <c r="F601" s="36"/>
      <c r="G601" s="36"/>
      <c r="H601" s="36"/>
      <c r="I601" s="36"/>
      <c r="J601" s="79"/>
      <c r="K601" s="39"/>
      <c r="L601" s="36"/>
      <c r="M601" s="36"/>
      <c r="N601" s="45"/>
    </row>
    <row r="602">
      <c r="A602" s="36"/>
      <c r="B602" s="36"/>
      <c r="C602" s="36"/>
      <c r="D602" s="36"/>
      <c r="E602" s="36"/>
      <c r="F602" s="36"/>
      <c r="G602" s="36"/>
      <c r="H602" s="36"/>
      <c r="I602" s="36"/>
      <c r="J602" s="79"/>
      <c r="K602" s="39"/>
      <c r="L602" s="36"/>
      <c r="M602" s="36"/>
      <c r="N602" s="79"/>
    </row>
    <row r="603">
      <c r="A603" s="36"/>
      <c r="B603" s="36"/>
      <c r="C603" s="36"/>
      <c r="D603" s="36"/>
      <c r="E603" s="36"/>
      <c r="F603" s="36"/>
      <c r="G603" s="36"/>
      <c r="H603" s="36"/>
      <c r="I603" s="36"/>
      <c r="J603" s="79"/>
      <c r="K603" s="39"/>
      <c r="L603" s="36"/>
      <c r="M603" s="36"/>
      <c r="N603" s="79"/>
    </row>
    <row r="604">
      <c r="A604" s="36"/>
      <c r="B604" s="36"/>
      <c r="C604" s="36"/>
      <c r="D604" s="36"/>
      <c r="E604" s="36"/>
      <c r="F604" s="36"/>
      <c r="G604" s="36"/>
      <c r="H604" s="36"/>
      <c r="I604" s="36"/>
      <c r="J604" s="79"/>
      <c r="K604" s="39"/>
      <c r="L604" s="36"/>
      <c r="M604" s="36"/>
      <c r="N604" s="45"/>
    </row>
    <row r="605">
      <c r="A605" s="36"/>
      <c r="B605" s="36"/>
      <c r="C605" s="36"/>
      <c r="D605" s="36"/>
      <c r="E605" s="36"/>
      <c r="F605" s="36"/>
      <c r="G605" s="36"/>
      <c r="H605" s="36"/>
      <c r="I605" s="36"/>
      <c r="J605" s="79"/>
      <c r="K605" s="39"/>
      <c r="L605" s="36"/>
      <c r="M605" s="36"/>
      <c r="N605" s="79"/>
    </row>
    <row r="606">
      <c r="A606" s="36"/>
      <c r="B606" s="36"/>
      <c r="C606" s="36"/>
      <c r="D606" s="36"/>
      <c r="E606" s="36"/>
      <c r="F606" s="36"/>
      <c r="G606" s="36"/>
      <c r="H606" s="36"/>
      <c r="I606" s="36"/>
      <c r="J606" s="79"/>
      <c r="K606" s="39"/>
      <c r="L606" s="36"/>
      <c r="M606" s="36"/>
      <c r="N606" s="79"/>
    </row>
    <row r="607">
      <c r="A607" s="36"/>
      <c r="B607" s="36"/>
      <c r="C607" s="36"/>
      <c r="D607" s="36"/>
      <c r="E607" s="36"/>
      <c r="F607" s="36"/>
      <c r="G607" s="36"/>
      <c r="H607" s="36"/>
      <c r="I607" s="36"/>
      <c r="J607" s="45"/>
      <c r="K607" s="39"/>
      <c r="L607" s="36"/>
      <c r="M607" s="36"/>
      <c r="N607" s="79"/>
    </row>
    <row r="608">
      <c r="A608" s="36"/>
      <c r="B608" s="36"/>
      <c r="C608" s="36"/>
      <c r="D608" s="36"/>
      <c r="E608" s="36"/>
      <c r="F608" s="36"/>
      <c r="G608" s="36"/>
      <c r="H608" s="36"/>
      <c r="I608" s="36"/>
      <c r="J608" s="45"/>
      <c r="K608" s="39"/>
      <c r="L608" s="36"/>
      <c r="M608" s="36"/>
      <c r="N608" s="79"/>
    </row>
    <row r="609">
      <c r="A609" s="36"/>
      <c r="B609" s="36"/>
      <c r="C609" s="36"/>
      <c r="D609" s="36"/>
      <c r="E609" s="36"/>
      <c r="F609" s="36"/>
      <c r="G609" s="36"/>
      <c r="H609" s="36"/>
      <c r="I609" s="36"/>
      <c r="J609" s="79"/>
      <c r="K609" s="39"/>
      <c r="L609" s="36"/>
      <c r="M609" s="36"/>
      <c r="N609" s="45"/>
    </row>
    <row r="610">
      <c r="A610" s="36"/>
      <c r="B610" s="36"/>
      <c r="C610" s="36"/>
      <c r="D610" s="36"/>
      <c r="E610" s="36"/>
      <c r="F610" s="36"/>
      <c r="G610" s="36"/>
      <c r="H610" s="36"/>
      <c r="I610" s="36"/>
      <c r="J610" s="79"/>
      <c r="K610" s="39"/>
      <c r="L610" s="36"/>
      <c r="M610" s="36"/>
      <c r="N610" s="79"/>
    </row>
    <row r="611">
      <c r="A611" s="36"/>
      <c r="B611" s="36"/>
      <c r="C611" s="36"/>
      <c r="D611" s="36"/>
      <c r="E611" s="36"/>
      <c r="F611" s="36"/>
      <c r="G611" s="36"/>
      <c r="H611" s="36"/>
      <c r="I611" s="36"/>
      <c r="J611" s="79"/>
      <c r="K611" s="39"/>
      <c r="L611" s="36"/>
      <c r="M611" s="36"/>
      <c r="N611" s="79"/>
    </row>
    <row r="612">
      <c r="A612" s="36"/>
      <c r="B612" s="36"/>
      <c r="C612" s="36"/>
      <c r="D612" s="36"/>
      <c r="E612" s="36"/>
      <c r="F612" s="36"/>
      <c r="G612" s="36"/>
      <c r="H612" s="36"/>
      <c r="I612" s="36"/>
      <c r="J612" s="79"/>
      <c r="K612" s="39"/>
      <c r="L612" s="36"/>
      <c r="M612" s="36"/>
      <c r="N612" s="45"/>
    </row>
    <row r="613">
      <c r="A613" s="36"/>
      <c r="B613" s="36"/>
      <c r="C613" s="36"/>
      <c r="D613" s="36"/>
      <c r="E613" s="36"/>
      <c r="F613" s="36"/>
      <c r="G613" s="36"/>
      <c r="H613" s="36"/>
      <c r="I613" s="36"/>
      <c r="J613" s="79"/>
      <c r="K613" s="39"/>
      <c r="L613" s="36"/>
      <c r="M613" s="36"/>
      <c r="N613" s="45"/>
    </row>
    <row r="614">
      <c r="A614" s="36"/>
      <c r="B614" s="36"/>
      <c r="C614" s="36"/>
      <c r="D614" s="36"/>
      <c r="E614" s="36"/>
      <c r="F614" s="36"/>
      <c r="G614" s="36"/>
      <c r="H614" s="36"/>
      <c r="I614" s="36"/>
      <c r="J614" s="79"/>
      <c r="K614" s="39"/>
      <c r="L614" s="36"/>
      <c r="M614" s="36"/>
      <c r="N614" s="45"/>
    </row>
    <row r="615">
      <c r="A615" s="36"/>
      <c r="B615" s="36"/>
      <c r="C615" s="36"/>
      <c r="D615" s="36"/>
      <c r="E615" s="36"/>
      <c r="F615" s="36"/>
      <c r="G615" s="36"/>
      <c r="H615" s="36"/>
      <c r="I615" s="36"/>
      <c r="J615" s="79"/>
      <c r="K615" s="39"/>
      <c r="L615" s="36"/>
      <c r="M615" s="36"/>
      <c r="N615" s="45"/>
    </row>
    <row r="616">
      <c r="A616" s="36"/>
      <c r="B616" s="36"/>
      <c r="C616" s="36"/>
      <c r="D616" s="36"/>
      <c r="E616" s="36"/>
      <c r="F616" s="36"/>
      <c r="G616" s="36"/>
      <c r="H616" s="36"/>
      <c r="I616" s="36"/>
      <c r="J616" s="79"/>
      <c r="K616" s="39"/>
      <c r="L616" s="36"/>
      <c r="M616" s="36"/>
      <c r="N616" s="79"/>
    </row>
    <row r="617">
      <c r="A617" s="36"/>
      <c r="B617" s="36"/>
      <c r="C617" s="36"/>
      <c r="D617" s="36"/>
      <c r="E617" s="36"/>
      <c r="F617" s="36"/>
      <c r="G617" s="36"/>
      <c r="H617" s="36"/>
      <c r="I617" s="36"/>
      <c r="J617" s="79"/>
      <c r="K617" s="39"/>
      <c r="L617" s="36"/>
      <c r="M617" s="36"/>
      <c r="N617" s="79"/>
    </row>
    <row r="618">
      <c r="A618" s="36"/>
      <c r="B618" s="36"/>
      <c r="C618" s="36"/>
      <c r="D618" s="36"/>
      <c r="E618" s="36"/>
      <c r="F618" s="36"/>
      <c r="G618" s="36"/>
      <c r="H618" s="36"/>
      <c r="I618" s="36"/>
      <c r="J618" s="79"/>
      <c r="K618" s="39"/>
      <c r="L618" s="36"/>
      <c r="M618" s="36"/>
      <c r="N618" s="45"/>
    </row>
    <row r="619">
      <c r="A619" s="36"/>
      <c r="B619" s="36"/>
      <c r="C619" s="36"/>
      <c r="D619" s="36"/>
      <c r="E619" s="36"/>
      <c r="F619" s="36"/>
      <c r="G619" s="36"/>
      <c r="H619" s="36"/>
      <c r="I619" s="36"/>
      <c r="J619" s="79"/>
      <c r="K619" s="39"/>
      <c r="L619" s="36"/>
      <c r="M619" s="36"/>
      <c r="N619" s="79"/>
    </row>
    <row r="620">
      <c r="A620" s="36"/>
      <c r="B620" s="36"/>
      <c r="C620" s="36"/>
      <c r="D620" s="36"/>
      <c r="E620" s="36"/>
      <c r="F620" s="36"/>
      <c r="G620" s="36"/>
      <c r="H620" s="36"/>
      <c r="I620" s="36"/>
      <c r="J620" s="79"/>
      <c r="K620" s="39"/>
      <c r="L620" s="36"/>
      <c r="M620" s="36"/>
      <c r="N620" s="45"/>
    </row>
    <row r="621">
      <c r="A621" s="36"/>
      <c r="B621" s="36"/>
      <c r="C621" s="36"/>
      <c r="D621" s="36"/>
      <c r="E621" s="36"/>
      <c r="F621" s="36"/>
      <c r="G621" s="36"/>
      <c r="H621" s="36"/>
      <c r="I621" s="36"/>
      <c r="J621" s="79"/>
      <c r="K621" s="39"/>
      <c r="L621" s="36"/>
      <c r="M621" s="36"/>
      <c r="N621" s="45"/>
    </row>
    <row r="622">
      <c r="A622" s="36"/>
      <c r="B622" s="36"/>
      <c r="C622" s="36"/>
      <c r="D622" s="36"/>
      <c r="E622" s="36"/>
      <c r="F622" s="36"/>
      <c r="G622" s="36"/>
      <c r="H622" s="36"/>
      <c r="I622" s="36"/>
      <c r="J622" s="79"/>
      <c r="K622" s="39"/>
      <c r="L622" s="36"/>
      <c r="M622" s="36"/>
      <c r="N622" s="79"/>
    </row>
    <row r="623">
      <c r="A623" s="36"/>
      <c r="B623" s="36"/>
      <c r="C623" s="36"/>
      <c r="D623" s="36"/>
      <c r="E623" s="36"/>
      <c r="F623" s="36"/>
      <c r="G623" s="36"/>
      <c r="H623" s="36"/>
      <c r="I623" s="36"/>
      <c r="J623" s="79"/>
      <c r="K623" s="39"/>
      <c r="L623" s="36"/>
      <c r="M623" s="36"/>
      <c r="N623" s="45"/>
    </row>
    <row r="624">
      <c r="A624" s="36"/>
      <c r="B624" s="36"/>
      <c r="C624" s="36"/>
      <c r="D624" s="36"/>
      <c r="E624" s="36"/>
      <c r="F624" s="36"/>
      <c r="G624" s="36"/>
      <c r="H624" s="36"/>
      <c r="I624" s="36"/>
      <c r="J624" s="45"/>
      <c r="K624" s="39"/>
      <c r="L624" s="36"/>
      <c r="M624" s="36"/>
      <c r="N624" s="79"/>
    </row>
    <row r="625">
      <c r="A625" s="36"/>
      <c r="B625" s="36"/>
      <c r="C625" s="36"/>
      <c r="D625" s="36"/>
      <c r="E625" s="36"/>
      <c r="F625" s="36"/>
      <c r="G625" s="36"/>
      <c r="H625" s="36"/>
      <c r="I625" s="36"/>
      <c r="J625" s="79"/>
      <c r="K625" s="39"/>
      <c r="L625" s="36"/>
      <c r="M625" s="36"/>
      <c r="N625" s="45"/>
    </row>
    <row r="626">
      <c r="A626" s="36"/>
      <c r="B626" s="36"/>
      <c r="C626" s="36"/>
      <c r="D626" s="36"/>
      <c r="E626" s="36"/>
      <c r="F626" s="36"/>
      <c r="G626" s="36"/>
      <c r="H626" s="36"/>
      <c r="I626" s="36"/>
      <c r="J626" s="79"/>
      <c r="K626" s="39"/>
      <c r="L626" s="36"/>
      <c r="M626" s="36"/>
      <c r="N626" s="45"/>
    </row>
    <row r="627">
      <c r="A627" s="36"/>
      <c r="B627" s="36"/>
      <c r="C627" s="36"/>
      <c r="D627" s="36"/>
      <c r="E627" s="36"/>
      <c r="F627" s="36"/>
      <c r="G627" s="36"/>
      <c r="H627" s="36"/>
      <c r="I627" s="36"/>
      <c r="J627" s="79"/>
      <c r="K627" s="39"/>
      <c r="L627" s="36"/>
      <c r="M627" s="36"/>
      <c r="N627" s="79"/>
    </row>
    <row r="628">
      <c r="A628" s="36"/>
      <c r="B628" s="36"/>
      <c r="C628" s="36"/>
      <c r="D628" s="36"/>
      <c r="E628" s="36"/>
      <c r="F628" s="36"/>
      <c r="G628" s="36"/>
      <c r="H628" s="36"/>
      <c r="I628" s="36"/>
      <c r="J628" s="45"/>
      <c r="K628" s="39"/>
      <c r="L628" s="36"/>
      <c r="M628" s="36"/>
      <c r="N628" s="79"/>
    </row>
    <row r="629">
      <c r="A629" s="36"/>
      <c r="B629" s="36"/>
      <c r="C629" s="36"/>
      <c r="D629" s="36"/>
      <c r="E629" s="36"/>
      <c r="F629" s="36"/>
      <c r="G629" s="36"/>
      <c r="H629" s="36"/>
      <c r="I629" s="36"/>
      <c r="J629" s="79"/>
      <c r="K629" s="39"/>
      <c r="L629" s="36"/>
      <c r="M629" s="36"/>
      <c r="N629" s="79"/>
    </row>
    <row r="630">
      <c r="A630" s="36"/>
      <c r="B630" s="36"/>
      <c r="C630" s="36"/>
      <c r="D630" s="36"/>
      <c r="E630" s="36"/>
      <c r="F630" s="36"/>
      <c r="G630" s="36"/>
      <c r="H630" s="36"/>
      <c r="I630" s="36"/>
      <c r="J630" s="79"/>
      <c r="K630" s="39"/>
      <c r="L630" s="36"/>
      <c r="M630" s="36"/>
      <c r="N630" s="79"/>
    </row>
    <row r="631">
      <c r="A631" s="36"/>
      <c r="B631" s="36"/>
      <c r="C631" s="36"/>
      <c r="D631" s="36"/>
      <c r="E631" s="36"/>
      <c r="F631" s="36"/>
      <c r="G631" s="36"/>
      <c r="H631" s="36"/>
      <c r="I631" s="36"/>
      <c r="J631" s="79"/>
      <c r="K631" s="39"/>
      <c r="L631" s="36"/>
      <c r="M631" s="36"/>
      <c r="N631" s="79"/>
    </row>
    <row r="632">
      <c r="A632" s="36"/>
      <c r="B632" s="36"/>
      <c r="C632" s="36"/>
      <c r="D632" s="36"/>
      <c r="E632" s="36"/>
      <c r="F632" s="36"/>
      <c r="G632" s="36"/>
      <c r="H632" s="36"/>
      <c r="I632" s="36"/>
      <c r="J632" s="79"/>
      <c r="K632" s="39"/>
      <c r="L632" s="36"/>
      <c r="M632" s="36"/>
      <c r="N632" s="79"/>
    </row>
    <row r="633">
      <c r="A633" s="36"/>
      <c r="B633" s="36"/>
      <c r="C633" s="36"/>
      <c r="D633" s="36"/>
      <c r="E633" s="36"/>
      <c r="F633" s="36"/>
      <c r="G633" s="36"/>
      <c r="H633" s="36"/>
      <c r="I633" s="36"/>
      <c r="J633" s="79"/>
      <c r="K633" s="39"/>
      <c r="L633" s="36"/>
      <c r="M633" s="36"/>
      <c r="N633" s="45"/>
    </row>
    <row r="634">
      <c r="A634" s="36"/>
      <c r="B634" s="36"/>
      <c r="C634" s="36"/>
      <c r="D634" s="36"/>
      <c r="E634" s="36"/>
      <c r="F634" s="36"/>
      <c r="G634" s="36"/>
      <c r="H634" s="36"/>
      <c r="I634" s="36"/>
      <c r="J634" s="45"/>
      <c r="K634" s="39"/>
      <c r="L634" s="36"/>
      <c r="M634" s="36"/>
      <c r="N634" s="79"/>
    </row>
    <row r="635">
      <c r="A635" s="36"/>
      <c r="B635" s="36"/>
      <c r="C635" s="36"/>
      <c r="D635" s="36"/>
      <c r="E635" s="36"/>
      <c r="F635" s="36"/>
      <c r="G635" s="36"/>
      <c r="H635" s="36"/>
      <c r="I635" s="36"/>
      <c r="J635" s="79"/>
      <c r="K635" s="39"/>
      <c r="L635" s="36"/>
      <c r="M635" s="36"/>
      <c r="N635" s="79"/>
    </row>
    <row r="636">
      <c r="A636" s="36"/>
      <c r="B636" s="36"/>
      <c r="C636" s="36"/>
      <c r="D636" s="36"/>
      <c r="E636" s="36"/>
      <c r="F636" s="36"/>
      <c r="G636" s="36"/>
      <c r="H636" s="36"/>
      <c r="I636" s="36"/>
      <c r="J636" s="45"/>
      <c r="K636" s="39"/>
      <c r="L636" s="36"/>
      <c r="M636" s="36"/>
      <c r="N636" s="79"/>
    </row>
    <row r="637">
      <c r="A637" s="36"/>
      <c r="B637" s="36"/>
      <c r="C637" s="36"/>
      <c r="D637" s="36"/>
      <c r="E637" s="36"/>
      <c r="F637" s="36"/>
      <c r="G637" s="36"/>
      <c r="H637" s="36"/>
      <c r="I637" s="36"/>
      <c r="J637" s="45"/>
      <c r="K637" s="39"/>
      <c r="L637" s="36"/>
      <c r="M637" s="36"/>
      <c r="N637" s="79"/>
    </row>
    <row r="638">
      <c r="A638" s="36"/>
      <c r="B638" s="36"/>
      <c r="C638" s="36"/>
      <c r="D638" s="36"/>
      <c r="E638" s="36"/>
      <c r="F638" s="36"/>
      <c r="G638" s="36"/>
      <c r="H638" s="36"/>
      <c r="I638" s="36"/>
      <c r="J638" s="79"/>
      <c r="K638" s="39"/>
      <c r="L638" s="36"/>
      <c r="M638" s="36"/>
      <c r="N638" s="45"/>
    </row>
    <row r="639">
      <c r="A639" s="36"/>
      <c r="B639" s="36"/>
      <c r="C639" s="36"/>
      <c r="D639" s="36"/>
      <c r="E639" s="36"/>
      <c r="F639" s="36"/>
      <c r="G639" s="36"/>
      <c r="H639" s="36"/>
      <c r="I639" s="36"/>
      <c r="J639" s="79"/>
      <c r="K639" s="39"/>
      <c r="L639" s="36"/>
      <c r="M639" s="36"/>
      <c r="N639" s="45"/>
    </row>
    <row r="640">
      <c r="A640" s="36"/>
      <c r="B640" s="36"/>
      <c r="C640" s="36"/>
      <c r="D640" s="36"/>
      <c r="E640" s="36"/>
      <c r="F640" s="36"/>
      <c r="G640" s="36"/>
      <c r="H640" s="36"/>
      <c r="I640" s="36"/>
      <c r="J640" s="79"/>
      <c r="K640" s="39"/>
      <c r="L640" s="36"/>
      <c r="M640" s="36"/>
      <c r="N640" s="45"/>
    </row>
    <row r="641">
      <c r="A641" s="36"/>
      <c r="B641" s="36"/>
      <c r="C641" s="36"/>
      <c r="D641" s="36"/>
      <c r="E641" s="36"/>
      <c r="F641" s="36"/>
      <c r="G641" s="36"/>
      <c r="H641" s="36"/>
      <c r="I641" s="36"/>
      <c r="J641" s="79"/>
      <c r="K641" s="39"/>
      <c r="L641" s="36"/>
      <c r="M641" s="36"/>
      <c r="N641" s="45"/>
    </row>
    <row r="642">
      <c r="A642" s="36"/>
      <c r="B642" s="36"/>
      <c r="C642" s="36"/>
      <c r="D642" s="36"/>
      <c r="E642" s="36"/>
      <c r="F642" s="36"/>
      <c r="G642" s="36"/>
      <c r="H642" s="36"/>
      <c r="I642" s="36"/>
      <c r="J642" s="79"/>
      <c r="K642" s="39"/>
      <c r="L642" s="36"/>
      <c r="M642" s="36"/>
      <c r="N642" s="45"/>
    </row>
    <row r="643">
      <c r="A643" s="36"/>
      <c r="B643" s="36"/>
      <c r="C643" s="36"/>
      <c r="D643" s="36"/>
      <c r="E643" s="36"/>
      <c r="F643" s="36"/>
      <c r="G643" s="36"/>
      <c r="H643" s="36"/>
      <c r="I643" s="36"/>
      <c r="J643" s="79"/>
      <c r="K643" s="39"/>
      <c r="L643" s="36"/>
      <c r="M643" s="36"/>
      <c r="N643" s="45"/>
    </row>
    <row r="644">
      <c r="A644" s="36"/>
      <c r="B644" s="36"/>
      <c r="C644" s="36"/>
      <c r="D644" s="36"/>
      <c r="E644" s="36"/>
      <c r="F644" s="36"/>
      <c r="G644" s="36"/>
      <c r="H644" s="36"/>
      <c r="I644" s="36"/>
      <c r="J644" s="79"/>
      <c r="K644" s="39"/>
      <c r="L644" s="36"/>
      <c r="M644" s="36"/>
      <c r="N644" s="79"/>
    </row>
    <row r="645">
      <c r="A645" s="36"/>
      <c r="B645" s="36"/>
      <c r="C645" s="36"/>
      <c r="D645" s="36"/>
      <c r="E645" s="36"/>
      <c r="F645" s="36"/>
      <c r="G645" s="36"/>
      <c r="H645" s="36"/>
      <c r="I645" s="36"/>
      <c r="J645" s="79"/>
      <c r="K645" s="39"/>
      <c r="L645" s="36"/>
      <c r="M645" s="36"/>
      <c r="N645" s="45"/>
    </row>
    <row r="646">
      <c r="A646" s="36"/>
      <c r="B646" s="36"/>
      <c r="C646" s="36"/>
      <c r="D646" s="36"/>
      <c r="E646" s="36"/>
      <c r="F646" s="36"/>
      <c r="G646" s="36"/>
      <c r="H646" s="36"/>
      <c r="I646" s="36"/>
      <c r="J646" s="79"/>
      <c r="K646" s="39"/>
      <c r="L646" s="36"/>
      <c r="M646" s="36"/>
      <c r="N646" s="45"/>
    </row>
    <row r="647">
      <c r="A647" s="36"/>
      <c r="B647" s="36"/>
      <c r="C647" s="36"/>
      <c r="D647" s="36"/>
      <c r="E647" s="36"/>
      <c r="F647" s="36"/>
      <c r="G647" s="36"/>
      <c r="H647" s="36"/>
      <c r="I647" s="36"/>
      <c r="J647" s="79"/>
      <c r="K647" s="39"/>
      <c r="L647" s="36"/>
      <c r="M647" s="36"/>
      <c r="N647" s="45"/>
    </row>
    <row r="648">
      <c r="A648" s="36"/>
      <c r="B648" s="36"/>
      <c r="C648" s="36"/>
      <c r="D648" s="36"/>
      <c r="E648" s="36"/>
      <c r="F648" s="36"/>
      <c r="G648" s="36"/>
      <c r="H648" s="36"/>
      <c r="I648" s="36"/>
      <c r="J648" s="79"/>
      <c r="K648" s="39"/>
      <c r="L648" s="36"/>
      <c r="M648" s="36"/>
      <c r="N648" s="45"/>
    </row>
    <row r="649">
      <c r="A649" s="36"/>
      <c r="B649" s="36"/>
      <c r="C649" s="36"/>
      <c r="D649" s="36"/>
      <c r="E649" s="36"/>
      <c r="F649" s="36"/>
      <c r="G649" s="36"/>
      <c r="H649" s="36"/>
      <c r="I649" s="36"/>
      <c r="J649" s="79"/>
      <c r="K649" s="39"/>
      <c r="L649" s="36"/>
      <c r="M649" s="36"/>
      <c r="N649" s="79"/>
    </row>
    <row r="650">
      <c r="A650" s="36"/>
      <c r="B650" s="36"/>
      <c r="C650" s="36"/>
      <c r="D650" s="36"/>
      <c r="E650" s="36"/>
      <c r="F650" s="36"/>
      <c r="G650" s="36"/>
      <c r="H650" s="36"/>
      <c r="I650" s="36"/>
      <c r="J650" s="79"/>
      <c r="K650" s="39"/>
      <c r="L650" s="36"/>
      <c r="M650" s="36"/>
      <c r="N650" s="79"/>
    </row>
    <row r="651">
      <c r="A651" s="36"/>
      <c r="B651" s="36"/>
      <c r="C651" s="36"/>
      <c r="D651" s="36"/>
      <c r="E651" s="36"/>
      <c r="F651" s="36"/>
      <c r="G651" s="36"/>
      <c r="H651" s="36"/>
      <c r="I651" s="36"/>
      <c r="J651" s="79"/>
      <c r="K651" s="39"/>
      <c r="L651" s="36"/>
      <c r="M651" s="36"/>
      <c r="N651" s="45"/>
    </row>
    <row r="652">
      <c r="A652" s="36"/>
      <c r="B652" s="36"/>
      <c r="C652" s="36"/>
      <c r="D652" s="36"/>
      <c r="E652" s="36"/>
      <c r="F652" s="36"/>
      <c r="G652" s="36"/>
      <c r="H652" s="36"/>
      <c r="I652" s="36"/>
      <c r="J652" s="45"/>
      <c r="K652" s="39"/>
      <c r="L652" s="36"/>
      <c r="M652" s="36"/>
      <c r="N652" s="79"/>
    </row>
    <row r="653">
      <c r="A653" s="36"/>
      <c r="B653" s="36"/>
      <c r="C653" s="36"/>
      <c r="D653" s="36"/>
      <c r="E653" s="36"/>
      <c r="F653" s="36"/>
      <c r="G653" s="36"/>
      <c r="H653" s="36"/>
      <c r="I653" s="36"/>
      <c r="J653" s="79"/>
      <c r="K653" s="39"/>
      <c r="L653" s="36"/>
      <c r="M653" s="36"/>
      <c r="N653" s="45"/>
    </row>
    <row r="654">
      <c r="A654" s="36"/>
      <c r="B654" s="36"/>
      <c r="C654" s="36"/>
      <c r="D654" s="36"/>
      <c r="E654" s="36"/>
      <c r="F654" s="36"/>
      <c r="G654" s="36"/>
      <c r="H654" s="36"/>
      <c r="I654" s="36"/>
      <c r="J654" s="79"/>
      <c r="K654" s="39"/>
      <c r="L654" s="36"/>
      <c r="M654" s="36"/>
      <c r="N654" s="45"/>
    </row>
    <row r="655">
      <c r="A655" s="36"/>
      <c r="B655" s="36"/>
      <c r="C655" s="36"/>
      <c r="D655" s="36"/>
      <c r="E655" s="36"/>
      <c r="F655" s="36"/>
      <c r="G655" s="36"/>
      <c r="H655" s="36"/>
      <c r="I655" s="36"/>
      <c r="J655" s="45"/>
      <c r="K655" s="39"/>
      <c r="L655" s="36"/>
      <c r="M655" s="36"/>
      <c r="N655" s="79"/>
    </row>
    <row r="656">
      <c r="A656" s="36"/>
      <c r="B656" s="36"/>
      <c r="C656" s="36"/>
      <c r="D656" s="36"/>
      <c r="E656" s="36"/>
      <c r="F656" s="36"/>
      <c r="G656" s="36"/>
      <c r="H656" s="36"/>
      <c r="I656" s="36"/>
      <c r="J656" s="79"/>
      <c r="K656" s="39"/>
      <c r="L656" s="36"/>
      <c r="M656" s="36"/>
      <c r="N656" s="45"/>
    </row>
    <row r="657">
      <c r="A657" s="36"/>
      <c r="B657" s="36"/>
      <c r="C657" s="36"/>
      <c r="D657" s="36"/>
      <c r="E657" s="36"/>
      <c r="F657" s="36"/>
      <c r="G657" s="36"/>
      <c r="H657" s="36"/>
      <c r="I657" s="36"/>
      <c r="J657" s="45"/>
      <c r="K657" s="39"/>
      <c r="L657" s="36"/>
      <c r="M657" s="36"/>
      <c r="N657" s="79"/>
    </row>
    <row r="658">
      <c r="A658" s="36"/>
      <c r="B658" s="36"/>
      <c r="C658" s="36"/>
      <c r="D658" s="36"/>
      <c r="E658" s="36"/>
      <c r="F658" s="36"/>
      <c r="G658" s="36"/>
      <c r="H658" s="36"/>
      <c r="I658" s="36"/>
      <c r="J658" s="45"/>
      <c r="K658" s="39"/>
      <c r="L658" s="36"/>
      <c r="M658" s="36"/>
      <c r="N658" s="79"/>
    </row>
    <row r="659">
      <c r="A659" s="36"/>
      <c r="B659" s="36"/>
      <c r="C659" s="36"/>
      <c r="D659" s="36"/>
      <c r="E659" s="36"/>
      <c r="F659" s="36"/>
      <c r="G659" s="36"/>
      <c r="H659" s="36"/>
      <c r="I659" s="36"/>
      <c r="J659" s="45"/>
      <c r="K659" s="39"/>
      <c r="L659" s="36"/>
      <c r="M659" s="36"/>
      <c r="N659" s="79"/>
    </row>
    <row r="660">
      <c r="A660" s="36"/>
      <c r="B660" s="36"/>
      <c r="C660" s="36"/>
      <c r="D660" s="36"/>
      <c r="E660" s="36"/>
      <c r="F660" s="36"/>
      <c r="G660" s="36"/>
      <c r="H660" s="36"/>
      <c r="I660" s="36"/>
      <c r="J660" s="79"/>
      <c r="K660" s="39"/>
      <c r="L660" s="36"/>
      <c r="M660" s="36"/>
      <c r="N660" s="45"/>
    </row>
    <row r="661">
      <c r="A661" s="36"/>
      <c r="B661" s="36"/>
      <c r="C661" s="36"/>
      <c r="D661" s="36"/>
      <c r="E661" s="36"/>
      <c r="F661" s="36"/>
      <c r="G661" s="36"/>
      <c r="H661" s="36"/>
      <c r="I661" s="36"/>
      <c r="J661" s="79"/>
      <c r="K661" s="39"/>
      <c r="L661" s="36"/>
      <c r="M661" s="36"/>
      <c r="N661" s="45"/>
    </row>
    <row r="662">
      <c r="A662" s="36"/>
      <c r="B662" s="36"/>
      <c r="C662" s="36"/>
      <c r="D662" s="36"/>
      <c r="E662" s="36"/>
      <c r="F662" s="36"/>
      <c r="G662" s="36"/>
      <c r="H662" s="36"/>
      <c r="I662" s="36"/>
      <c r="J662" s="45"/>
      <c r="K662" s="39"/>
      <c r="L662" s="36"/>
      <c r="M662" s="36"/>
      <c r="N662" s="79"/>
    </row>
    <row r="663">
      <c r="A663" s="36"/>
      <c r="B663" s="36"/>
      <c r="C663" s="36"/>
      <c r="D663" s="36"/>
      <c r="E663" s="36"/>
      <c r="F663" s="36"/>
      <c r="G663" s="36"/>
      <c r="H663" s="36"/>
      <c r="I663" s="36"/>
      <c r="J663" s="79"/>
      <c r="K663" s="39"/>
      <c r="L663" s="36"/>
      <c r="M663" s="36"/>
      <c r="N663" s="45"/>
    </row>
    <row r="664">
      <c r="A664" s="36"/>
      <c r="B664" s="36"/>
      <c r="C664" s="36"/>
      <c r="D664" s="36"/>
      <c r="E664" s="36"/>
      <c r="F664" s="36"/>
      <c r="G664" s="36"/>
      <c r="H664" s="36"/>
      <c r="I664" s="36"/>
      <c r="J664" s="79"/>
      <c r="K664" s="39"/>
      <c r="L664" s="36"/>
      <c r="M664" s="36"/>
      <c r="N664" s="45"/>
    </row>
    <row r="665">
      <c r="A665" s="36"/>
      <c r="B665" s="36"/>
      <c r="C665" s="36"/>
      <c r="D665" s="36"/>
      <c r="E665" s="36"/>
      <c r="F665" s="36"/>
      <c r="G665" s="36"/>
      <c r="H665" s="36"/>
      <c r="I665" s="36"/>
      <c r="J665" s="45"/>
      <c r="K665" s="39"/>
      <c r="L665" s="36"/>
      <c r="M665" s="36"/>
      <c r="N665" s="79"/>
    </row>
    <row r="666">
      <c r="A666" s="36"/>
      <c r="B666" s="36"/>
      <c r="C666" s="36"/>
      <c r="D666" s="36"/>
      <c r="E666" s="36"/>
      <c r="F666" s="36"/>
      <c r="G666" s="36"/>
      <c r="H666" s="36"/>
      <c r="I666" s="36"/>
      <c r="J666" s="45"/>
      <c r="K666" s="39"/>
      <c r="L666" s="36"/>
      <c r="M666" s="36"/>
      <c r="N666" s="79"/>
    </row>
    <row r="667">
      <c r="A667" s="36"/>
      <c r="B667" s="36"/>
      <c r="C667" s="36"/>
      <c r="D667" s="36"/>
      <c r="E667" s="36"/>
      <c r="F667" s="36"/>
      <c r="G667" s="36"/>
      <c r="H667" s="36"/>
      <c r="I667" s="36"/>
      <c r="J667" s="79"/>
      <c r="K667" s="39"/>
      <c r="L667" s="36"/>
      <c r="M667" s="36"/>
      <c r="N667" s="45"/>
    </row>
    <row r="668">
      <c r="A668" s="36"/>
      <c r="B668" s="36"/>
      <c r="C668" s="36"/>
      <c r="D668" s="36"/>
      <c r="E668" s="36"/>
      <c r="F668" s="36"/>
      <c r="G668" s="36"/>
      <c r="H668" s="36"/>
      <c r="I668" s="36"/>
      <c r="J668" s="79"/>
      <c r="K668" s="39"/>
      <c r="L668" s="36"/>
      <c r="M668" s="36"/>
      <c r="N668" s="45"/>
    </row>
    <row r="669">
      <c r="A669" s="36"/>
      <c r="B669" s="36"/>
      <c r="C669" s="36"/>
      <c r="D669" s="36"/>
      <c r="E669" s="36"/>
      <c r="F669" s="36"/>
      <c r="G669" s="36"/>
      <c r="H669" s="36"/>
      <c r="I669" s="36"/>
      <c r="J669" s="79"/>
      <c r="K669" s="39"/>
      <c r="L669" s="36"/>
      <c r="M669" s="36"/>
      <c r="N669" s="45"/>
    </row>
    <row r="670">
      <c r="A670" s="36"/>
      <c r="B670" s="36"/>
      <c r="C670" s="36"/>
      <c r="D670" s="36"/>
      <c r="E670" s="36"/>
      <c r="F670" s="36"/>
      <c r="G670" s="36"/>
      <c r="H670" s="36"/>
      <c r="I670" s="36"/>
      <c r="J670" s="79"/>
      <c r="K670" s="39"/>
      <c r="L670" s="36"/>
      <c r="M670" s="36"/>
      <c r="N670" s="45"/>
    </row>
    <row r="671">
      <c r="A671" s="36"/>
      <c r="B671" s="36"/>
      <c r="C671" s="36"/>
      <c r="D671" s="36"/>
      <c r="E671" s="36"/>
      <c r="F671" s="36"/>
      <c r="G671" s="36"/>
      <c r="H671" s="36"/>
      <c r="I671" s="36"/>
      <c r="J671" s="79"/>
      <c r="K671" s="39"/>
      <c r="L671" s="36"/>
      <c r="M671" s="36"/>
      <c r="N671" s="79"/>
    </row>
    <row r="672">
      <c r="A672" s="36"/>
      <c r="B672" s="36"/>
      <c r="C672" s="36"/>
      <c r="D672" s="36"/>
      <c r="E672" s="36"/>
      <c r="F672" s="36"/>
      <c r="G672" s="36"/>
      <c r="H672" s="36"/>
      <c r="I672" s="36"/>
      <c r="J672" s="79"/>
      <c r="K672" s="39"/>
      <c r="L672" s="36"/>
      <c r="M672" s="36"/>
      <c r="N672" s="45"/>
    </row>
    <row r="673">
      <c r="A673" s="36"/>
      <c r="B673" s="36"/>
      <c r="C673" s="36"/>
      <c r="D673" s="36"/>
      <c r="E673" s="36"/>
      <c r="F673" s="36"/>
      <c r="G673" s="36"/>
      <c r="H673" s="36"/>
      <c r="I673" s="36"/>
      <c r="J673" s="79"/>
      <c r="K673" s="39"/>
      <c r="L673" s="36"/>
      <c r="M673" s="36"/>
      <c r="N673" s="45"/>
    </row>
    <row r="674">
      <c r="A674" s="36"/>
      <c r="B674" s="36"/>
      <c r="C674" s="36"/>
      <c r="D674" s="36"/>
      <c r="E674" s="36"/>
      <c r="F674" s="36"/>
      <c r="G674" s="36"/>
      <c r="H674" s="36"/>
      <c r="I674" s="36"/>
      <c r="J674" s="79"/>
      <c r="K674" s="39"/>
      <c r="L674" s="36"/>
      <c r="M674" s="36"/>
      <c r="N674" s="45"/>
    </row>
    <row r="675">
      <c r="A675" s="36"/>
      <c r="B675" s="36"/>
      <c r="C675" s="36"/>
      <c r="D675" s="36"/>
      <c r="E675" s="36"/>
      <c r="F675" s="36"/>
      <c r="G675" s="36"/>
      <c r="H675" s="36"/>
      <c r="I675" s="36"/>
      <c r="J675" s="79"/>
      <c r="K675" s="39"/>
      <c r="L675" s="36"/>
      <c r="M675" s="36"/>
      <c r="N675" s="45"/>
    </row>
    <row r="676">
      <c r="A676" s="36"/>
      <c r="B676" s="36"/>
      <c r="C676" s="36"/>
      <c r="D676" s="36"/>
      <c r="E676" s="36"/>
      <c r="F676" s="36"/>
      <c r="G676" s="36"/>
      <c r="H676" s="36"/>
      <c r="I676" s="36"/>
      <c r="J676" s="79"/>
      <c r="K676" s="39"/>
      <c r="L676" s="36"/>
      <c r="M676" s="36"/>
      <c r="N676" s="45"/>
    </row>
    <row r="677">
      <c r="A677" s="36"/>
      <c r="B677" s="36"/>
      <c r="C677" s="36"/>
      <c r="D677" s="36"/>
      <c r="E677" s="36"/>
      <c r="F677" s="36"/>
      <c r="G677" s="36"/>
      <c r="H677" s="36"/>
      <c r="I677" s="36"/>
      <c r="J677" s="79"/>
      <c r="K677" s="39"/>
      <c r="L677" s="36"/>
      <c r="M677" s="36"/>
      <c r="N677" s="45"/>
    </row>
    <row r="678">
      <c r="A678" s="36"/>
      <c r="B678" s="36"/>
      <c r="C678" s="36"/>
      <c r="D678" s="36"/>
      <c r="E678" s="36"/>
      <c r="F678" s="36"/>
      <c r="G678" s="36"/>
      <c r="H678" s="36"/>
      <c r="I678" s="36"/>
      <c r="J678" s="79"/>
      <c r="K678" s="39"/>
      <c r="L678" s="36"/>
      <c r="M678" s="36"/>
      <c r="N678" s="45"/>
    </row>
    <row r="679">
      <c r="A679" s="36"/>
      <c r="B679" s="36"/>
      <c r="C679" s="36"/>
      <c r="D679" s="36"/>
      <c r="E679" s="36"/>
      <c r="F679" s="36"/>
      <c r="G679" s="36"/>
      <c r="H679" s="36"/>
      <c r="I679" s="36"/>
      <c r="J679" s="79"/>
      <c r="K679" s="39"/>
      <c r="L679" s="36"/>
      <c r="M679" s="36"/>
      <c r="N679" s="45"/>
    </row>
    <row r="680">
      <c r="A680" s="36"/>
      <c r="B680" s="36"/>
      <c r="C680" s="36"/>
      <c r="D680" s="36"/>
      <c r="E680" s="36"/>
      <c r="F680" s="36"/>
      <c r="G680" s="36"/>
      <c r="H680" s="36"/>
      <c r="I680" s="36"/>
      <c r="J680" s="79"/>
      <c r="K680" s="39"/>
      <c r="L680" s="36"/>
      <c r="M680" s="36"/>
      <c r="N680" s="45"/>
    </row>
    <row r="681">
      <c r="A681" s="36"/>
      <c r="B681" s="36"/>
      <c r="C681" s="36"/>
      <c r="D681" s="36"/>
      <c r="E681" s="36"/>
      <c r="F681" s="36"/>
      <c r="G681" s="36"/>
      <c r="H681" s="36"/>
      <c r="I681" s="36"/>
      <c r="J681" s="79"/>
      <c r="K681" s="39"/>
      <c r="L681" s="36"/>
      <c r="M681" s="36"/>
      <c r="N681" s="45"/>
    </row>
    <row r="682">
      <c r="A682" s="36"/>
      <c r="B682" s="36"/>
      <c r="C682" s="36"/>
      <c r="D682" s="36"/>
      <c r="E682" s="36"/>
      <c r="F682" s="36"/>
      <c r="G682" s="36"/>
      <c r="H682" s="36"/>
      <c r="I682" s="36"/>
      <c r="J682" s="79"/>
      <c r="K682" s="39"/>
      <c r="L682" s="36"/>
      <c r="M682" s="36"/>
      <c r="N682" s="45"/>
    </row>
    <row r="683">
      <c r="A683" s="36"/>
      <c r="B683" s="36"/>
      <c r="C683" s="36"/>
      <c r="D683" s="36"/>
      <c r="E683" s="36"/>
      <c r="F683" s="36"/>
      <c r="G683" s="36"/>
      <c r="H683" s="36"/>
      <c r="I683" s="36"/>
      <c r="J683" s="79"/>
      <c r="K683" s="39"/>
      <c r="L683" s="36"/>
      <c r="M683" s="36"/>
      <c r="N683" s="45"/>
    </row>
    <row r="684">
      <c r="A684" s="36"/>
      <c r="B684" s="36"/>
      <c r="C684" s="36"/>
      <c r="D684" s="36"/>
      <c r="E684" s="36"/>
      <c r="F684" s="36"/>
      <c r="G684" s="36"/>
      <c r="H684" s="36"/>
      <c r="I684" s="36"/>
      <c r="J684" s="45"/>
      <c r="K684" s="39"/>
      <c r="L684" s="36"/>
      <c r="M684" s="36"/>
      <c r="N684" s="79"/>
    </row>
    <row r="685">
      <c r="A685" s="36"/>
      <c r="B685" s="36"/>
      <c r="C685" s="36"/>
      <c r="D685" s="36"/>
      <c r="E685" s="36"/>
      <c r="F685" s="36"/>
      <c r="G685" s="36"/>
      <c r="H685" s="36"/>
      <c r="I685" s="36"/>
      <c r="J685" s="79"/>
      <c r="K685" s="39"/>
      <c r="L685" s="36"/>
      <c r="M685" s="36"/>
      <c r="N685" s="45"/>
    </row>
    <row r="686">
      <c r="A686" s="36"/>
      <c r="B686" s="36"/>
      <c r="C686" s="36"/>
      <c r="D686" s="36"/>
      <c r="E686" s="36"/>
      <c r="F686" s="36"/>
      <c r="G686" s="36"/>
      <c r="H686" s="36"/>
      <c r="I686" s="36"/>
      <c r="J686" s="79"/>
      <c r="K686" s="39"/>
      <c r="L686" s="36"/>
      <c r="M686" s="36"/>
      <c r="N686" s="45"/>
    </row>
    <row r="687">
      <c r="A687" s="36"/>
      <c r="B687" s="36"/>
      <c r="C687" s="36"/>
      <c r="D687" s="36"/>
      <c r="E687" s="36"/>
      <c r="F687" s="36"/>
      <c r="G687" s="36"/>
      <c r="H687" s="36"/>
      <c r="I687" s="36"/>
      <c r="J687" s="79"/>
      <c r="K687" s="39"/>
      <c r="L687" s="36"/>
      <c r="M687" s="36"/>
      <c r="N687" s="45"/>
    </row>
    <row r="688">
      <c r="A688" s="36"/>
      <c r="B688" s="36"/>
      <c r="C688" s="36"/>
      <c r="D688" s="36"/>
      <c r="E688" s="36"/>
      <c r="F688" s="36"/>
      <c r="G688" s="36"/>
      <c r="H688" s="36"/>
      <c r="I688" s="36"/>
      <c r="J688" s="79"/>
      <c r="K688" s="39"/>
      <c r="L688" s="36"/>
      <c r="M688" s="36"/>
      <c r="N688" s="45"/>
    </row>
    <row r="689">
      <c r="A689" s="36"/>
      <c r="B689" s="36"/>
      <c r="C689" s="36"/>
      <c r="D689" s="36"/>
      <c r="E689" s="36"/>
      <c r="F689" s="36"/>
      <c r="G689" s="36"/>
      <c r="H689" s="36"/>
      <c r="I689" s="36"/>
      <c r="J689" s="45"/>
      <c r="K689" s="39"/>
      <c r="L689" s="36"/>
      <c r="M689" s="36"/>
      <c r="N689" s="79"/>
    </row>
    <row r="690">
      <c r="A690" s="36"/>
      <c r="B690" s="36"/>
      <c r="C690" s="36"/>
      <c r="D690" s="36"/>
      <c r="E690" s="36"/>
      <c r="F690" s="36"/>
      <c r="G690" s="36"/>
      <c r="H690" s="36"/>
      <c r="I690" s="36"/>
      <c r="J690" s="79"/>
      <c r="K690" s="39"/>
      <c r="L690" s="36"/>
      <c r="M690" s="36"/>
      <c r="N690" s="45"/>
    </row>
    <row r="691">
      <c r="A691" s="36"/>
      <c r="B691" s="36"/>
      <c r="C691" s="36"/>
      <c r="D691" s="36"/>
      <c r="E691" s="36"/>
      <c r="F691" s="36"/>
      <c r="G691" s="36"/>
      <c r="H691" s="36"/>
      <c r="I691" s="36"/>
      <c r="J691" s="79"/>
      <c r="K691" s="39"/>
      <c r="L691" s="36"/>
      <c r="M691" s="36"/>
      <c r="N691" s="45"/>
    </row>
    <row r="692">
      <c r="A692" s="36"/>
      <c r="B692" s="36"/>
      <c r="C692" s="36"/>
      <c r="D692" s="36"/>
      <c r="E692" s="36"/>
      <c r="F692" s="36"/>
      <c r="G692" s="36"/>
      <c r="H692" s="36"/>
      <c r="I692" s="36"/>
      <c r="J692" s="45"/>
      <c r="K692" s="39"/>
      <c r="L692" s="36"/>
      <c r="M692" s="36"/>
      <c r="N692" s="79"/>
    </row>
    <row r="693">
      <c r="A693" s="36"/>
      <c r="B693" s="36"/>
      <c r="C693" s="36"/>
      <c r="D693" s="36"/>
      <c r="E693" s="36"/>
      <c r="F693" s="36"/>
      <c r="G693" s="36"/>
      <c r="H693" s="36"/>
      <c r="I693" s="36"/>
      <c r="J693" s="79"/>
      <c r="K693" s="39"/>
      <c r="L693" s="36"/>
      <c r="M693" s="36"/>
      <c r="N693" s="45"/>
    </row>
    <row r="694">
      <c r="A694" s="36"/>
      <c r="B694" s="36"/>
      <c r="C694" s="36"/>
      <c r="D694" s="36"/>
      <c r="E694" s="36"/>
      <c r="F694" s="36"/>
      <c r="G694" s="36"/>
      <c r="H694" s="36"/>
      <c r="I694" s="36"/>
      <c r="J694" s="45"/>
      <c r="K694" s="39"/>
      <c r="L694" s="36"/>
      <c r="M694" s="36"/>
      <c r="N694" s="79"/>
    </row>
    <row r="695">
      <c r="A695" s="36"/>
      <c r="B695" s="36"/>
      <c r="C695" s="36"/>
      <c r="D695" s="36"/>
      <c r="E695" s="36"/>
      <c r="F695" s="36"/>
      <c r="G695" s="36"/>
      <c r="H695" s="36"/>
      <c r="I695" s="36"/>
      <c r="J695" s="79"/>
      <c r="K695" s="39"/>
      <c r="L695" s="36"/>
      <c r="M695" s="36"/>
      <c r="N695" s="45"/>
    </row>
    <row r="696">
      <c r="A696" s="36"/>
      <c r="B696" s="36"/>
      <c r="C696" s="36"/>
      <c r="D696" s="36"/>
      <c r="E696" s="36"/>
      <c r="F696" s="36"/>
      <c r="G696" s="36"/>
      <c r="H696" s="36"/>
      <c r="I696" s="36"/>
      <c r="J696" s="79"/>
      <c r="K696" s="39"/>
      <c r="L696" s="36"/>
      <c r="M696" s="36"/>
      <c r="N696" s="45"/>
    </row>
    <row r="697">
      <c r="A697" s="36"/>
      <c r="B697" s="36"/>
      <c r="C697" s="36"/>
      <c r="D697" s="36"/>
      <c r="E697" s="36"/>
      <c r="F697" s="36"/>
      <c r="G697" s="36"/>
      <c r="H697" s="36"/>
      <c r="I697" s="36"/>
      <c r="J697" s="79"/>
      <c r="K697" s="39"/>
      <c r="L697" s="36"/>
      <c r="M697" s="36"/>
      <c r="N697" s="45"/>
    </row>
    <row r="698">
      <c r="A698" s="36"/>
      <c r="B698" s="36"/>
      <c r="C698" s="36"/>
      <c r="D698" s="36"/>
      <c r="E698" s="36"/>
      <c r="F698" s="36"/>
      <c r="G698" s="36"/>
      <c r="H698" s="36"/>
      <c r="I698" s="36"/>
      <c r="J698" s="79"/>
      <c r="K698" s="39"/>
      <c r="L698" s="36"/>
      <c r="M698" s="36"/>
      <c r="N698" s="45"/>
    </row>
    <row r="699">
      <c r="A699" s="36"/>
      <c r="B699" s="36"/>
      <c r="C699" s="36"/>
      <c r="D699" s="36"/>
      <c r="E699" s="36"/>
      <c r="F699" s="36"/>
      <c r="G699" s="36"/>
      <c r="H699" s="36"/>
      <c r="I699" s="36"/>
      <c r="J699" s="79"/>
      <c r="K699" s="39"/>
      <c r="L699" s="36"/>
      <c r="M699" s="36"/>
      <c r="N699" s="45"/>
    </row>
    <row r="700">
      <c r="A700" s="36"/>
      <c r="B700" s="36"/>
      <c r="C700" s="36"/>
      <c r="D700" s="36"/>
      <c r="E700" s="36"/>
      <c r="F700" s="36"/>
      <c r="G700" s="36"/>
      <c r="H700" s="36"/>
      <c r="I700" s="36"/>
      <c r="J700" s="79"/>
      <c r="K700" s="39"/>
      <c r="L700" s="36"/>
      <c r="M700" s="36"/>
      <c r="N700" s="45"/>
    </row>
    <row r="701">
      <c r="A701" s="36"/>
      <c r="B701" s="36"/>
      <c r="C701" s="36"/>
      <c r="D701" s="36"/>
      <c r="E701" s="36"/>
      <c r="F701" s="36"/>
      <c r="G701" s="36"/>
      <c r="H701" s="36"/>
      <c r="I701" s="36"/>
      <c r="J701" s="79"/>
      <c r="K701" s="39"/>
      <c r="L701" s="36"/>
      <c r="M701" s="36"/>
      <c r="N701" s="45"/>
    </row>
    <row r="702">
      <c r="A702" s="36"/>
      <c r="B702" s="36"/>
      <c r="C702" s="36"/>
      <c r="D702" s="36"/>
      <c r="E702" s="36"/>
      <c r="F702" s="36"/>
      <c r="G702" s="36"/>
      <c r="H702" s="36"/>
      <c r="I702" s="36"/>
      <c r="J702" s="79"/>
      <c r="K702" s="39"/>
      <c r="L702" s="36"/>
      <c r="M702" s="36"/>
      <c r="N702" s="45"/>
    </row>
    <row r="703">
      <c r="A703" s="36"/>
      <c r="B703" s="36"/>
      <c r="C703" s="36"/>
      <c r="D703" s="36"/>
      <c r="E703" s="36"/>
      <c r="F703" s="36"/>
      <c r="G703" s="36"/>
      <c r="H703" s="36"/>
      <c r="I703" s="36"/>
      <c r="J703" s="79"/>
      <c r="K703" s="39"/>
      <c r="L703" s="36"/>
      <c r="M703" s="36"/>
      <c r="N703" s="45"/>
    </row>
    <row r="704">
      <c r="A704" s="36"/>
      <c r="B704" s="36"/>
      <c r="C704" s="36"/>
      <c r="D704" s="36"/>
      <c r="E704" s="36"/>
      <c r="F704" s="36"/>
      <c r="G704" s="36"/>
      <c r="H704" s="36"/>
      <c r="I704" s="36"/>
      <c r="J704" s="79"/>
      <c r="K704" s="39"/>
      <c r="L704" s="36"/>
      <c r="M704" s="36"/>
      <c r="N704" s="45"/>
    </row>
    <row r="705">
      <c r="A705" s="36"/>
      <c r="B705" s="36"/>
      <c r="C705" s="36"/>
      <c r="D705" s="36"/>
      <c r="E705" s="36"/>
      <c r="F705" s="36"/>
      <c r="G705" s="36"/>
      <c r="H705" s="36"/>
      <c r="I705" s="36"/>
      <c r="J705" s="79"/>
      <c r="K705" s="39"/>
      <c r="L705" s="36"/>
      <c r="M705" s="36"/>
      <c r="N705" s="79"/>
    </row>
    <row r="706">
      <c r="A706" s="36"/>
      <c r="B706" s="36"/>
      <c r="C706" s="36"/>
      <c r="D706" s="36"/>
      <c r="E706" s="36"/>
      <c r="F706" s="36"/>
      <c r="G706" s="36"/>
      <c r="H706" s="36"/>
      <c r="I706" s="36"/>
      <c r="J706" s="79"/>
      <c r="K706" s="39"/>
      <c r="L706" s="36"/>
      <c r="M706" s="36"/>
      <c r="N706" s="45"/>
    </row>
    <row r="707">
      <c r="A707" s="36"/>
      <c r="B707" s="36"/>
      <c r="C707" s="36"/>
      <c r="D707" s="36"/>
      <c r="E707" s="36"/>
      <c r="F707" s="36"/>
      <c r="G707" s="36"/>
      <c r="H707" s="36"/>
      <c r="I707" s="36"/>
      <c r="J707" s="79"/>
      <c r="K707" s="39"/>
      <c r="L707" s="36"/>
      <c r="M707" s="36"/>
      <c r="N707" s="45"/>
    </row>
    <row r="708">
      <c r="A708" s="36"/>
      <c r="B708" s="36"/>
      <c r="C708" s="36"/>
      <c r="D708" s="36"/>
      <c r="E708" s="36"/>
      <c r="F708" s="36"/>
      <c r="G708" s="36"/>
      <c r="H708" s="36"/>
      <c r="I708" s="36"/>
      <c r="J708" s="79"/>
      <c r="K708" s="39"/>
      <c r="L708" s="36"/>
      <c r="M708" s="36"/>
      <c r="N708" s="79"/>
    </row>
    <row r="709">
      <c r="A709" s="36"/>
      <c r="B709" s="36"/>
      <c r="C709" s="36"/>
      <c r="D709" s="36"/>
      <c r="E709" s="36"/>
      <c r="F709" s="36"/>
      <c r="G709" s="36"/>
      <c r="H709" s="36"/>
      <c r="I709" s="36"/>
      <c r="J709" s="79"/>
      <c r="K709" s="39"/>
      <c r="L709" s="36"/>
      <c r="M709" s="36"/>
      <c r="N709" s="45"/>
    </row>
    <row r="710">
      <c r="A710" s="36"/>
      <c r="B710" s="36"/>
      <c r="C710" s="36"/>
      <c r="D710" s="36"/>
      <c r="E710" s="36"/>
      <c r="F710" s="36"/>
      <c r="G710" s="36"/>
      <c r="H710" s="36"/>
      <c r="I710" s="36"/>
      <c r="J710" s="79"/>
      <c r="K710" s="39"/>
      <c r="L710" s="36"/>
      <c r="M710" s="36"/>
      <c r="N710" s="45"/>
    </row>
    <row r="711">
      <c r="A711" s="36"/>
      <c r="B711" s="36"/>
      <c r="C711" s="36"/>
      <c r="D711" s="36"/>
      <c r="E711" s="36"/>
      <c r="F711" s="36"/>
      <c r="G711" s="36"/>
      <c r="H711" s="36"/>
      <c r="I711" s="36"/>
      <c r="J711" s="79"/>
      <c r="K711" s="39"/>
      <c r="L711" s="36"/>
      <c r="M711" s="36"/>
      <c r="N711" s="79"/>
    </row>
    <row r="712">
      <c r="A712" s="36"/>
      <c r="B712" s="36"/>
      <c r="C712" s="36"/>
      <c r="D712" s="36"/>
      <c r="E712" s="36"/>
      <c r="F712" s="36"/>
      <c r="G712" s="36"/>
      <c r="H712" s="36"/>
      <c r="I712" s="36"/>
      <c r="J712" s="79"/>
      <c r="K712" s="39"/>
      <c r="L712" s="36"/>
      <c r="M712" s="36"/>
      <c r="N712" s="45"/>
    </row>
    <row r="713">
      <c r="A713" s="36"/>
      <c r="B713" s="36"/>
      <c r="C713" s="36"/>
      <c r="D713" s="36"/>
      <c r="E713" s="36"/>
      <c r="F713" s="36"/>
      <c r="G713" s="36"/>
      <c r="H713" s="36"/>
      <c r="I713" s="36"/>
      <c r="J713" s="79"/>
      <c r="K713" s="39"/>
      <c r="L713" s="36"/>
      <c r="M713" s="36"/>
      <c r="N713" s="45"/>
    </row>
    <row r="714">
      <c r="A714" s="36"/>
      <c r="B714" s="36"/>
      <c r="C714" s="36"/>
      <c r="D714" s="36"/>
      <c r="E714" s="36"/>
      <c r="F714" s="36"/>
      <c r="G714" s="36"/>
      <c r="H714" s="36"/>
      <c r="I714" s="36"/>
      <c r="J714" s="79"/>
      <c r="K714" s="39"/>
      <c r="L714" s="36"/>
      <c r="M714" s="36"/>
      <c r="N714" s="45"/>
    </row>
    <row r="715">
      <c r="A715" s="36"/>
      <c r="B715" s="36"/>
      <c r="C715" s="36"/>
      <c r="D715" s="36"/>
      <c r="E715" s="36"/>
      <c r="F715" s="36"/>
      <c r="G715" s="36"/>
      <c r="H715" s="36"/>
      <c r="I715" s="36"/>
      <c r="J715" s="79"/>
      <c r="K715" s="39"/>
      <c r="L715" s="36"/>
      <c r="M715" s="36"/>
      <c r="N715" s="45"/>
    </row>
    <row r="716">
      <c r="A716" s="36"/>
      <c r="B716" s="36"/>
      <c r="C716" s="36"/>
      <c r="D716" s="36"/>
      <c r="E716" s="36"/>
      <c r="F716" s="36"/>
      <c r="G716" s="36"/>
      <c r="H716" s="36"/>
      <c r="I716" s="36"/>
      <c r="J716" s="79"/>
      <c r="K716" s="39"/>
      <c r="L716" s="36"/>
      <c r="M716" s="36"/>
      <c r="N716" s="45"/>
    </row>
    <row r="717">
      <c r="A717" s="36"/>
      <c r="B717" s="36"/>
      <c r="C717" s="36"/>
      <c r="D717" s="36"/>
      <c r="E717" s="36"/>
      <c r="F717" s="36"/>
      <c r="G717" s="36"/>
      <c r="H717" s="36"/>
      <c r="I717" s="36"/>
      <c r="J717" s="79"/>
      <c r="K717" s="39"/>
      <c r="L717" s="36"/>
      <c r="M717" s="36"/>
      <c r="N717" s="45"/>
    </row>
    <row r="718">
      <c r="A718" s="36"/>
      <c r="B718" s="36"/>
      <c r="C718" s="36"/>
      <c r="D718" s="36"/>
      <c r="E718" s="36"/>
      <c r="F718" s="36"/>
      <c r="G718" s="36"/>
      <c r="H718" s="36"/>
      <c r="I718" s="36"/>
      <c r="J718" s="79"/>
      <c r="K718" s="39"/>
      <c r="L718" s="36"/>
      <c r="M718" s="36"/>
      <c r="N718" s="45"/>
    </row>
    <row r="719">
      <c r="A719" s="36"/>
      <c r="B719" s="36"/>
      <c r="C719" s="36"/>
      <c r="D719" s="36"/>
      <c r="E719" s="36"/>
      <c r="F719" s="36"/>
      <c r="G719" s="36"/>
      <c r="H719" s="36"/>
      <c r="I719" s="36"/>
      <c r="J719" s="79"/>
      <c r="K719" s="39"/>
      <c r="L719" s="36"/>
      <c r="M719" s="36"/>
      <c r="N719" s="45"/>
    </row>
    <row r="720">
      <c r="A720" s="36"/>
      <c r="B720" s="36"/>
      <c r="C720" s="36"/>
      <c r="D720" s="36"/>
      <c r="E720" s="36"/>
      <c r="F720" s="36"/>
      <c r="G720" s="36"/>
      <c r="H720" s="36"/>
      <c r="I720" s="36"/>
      <c r="J720" s="79"/>
      <c r="K720" s="39"/>
      <c r="L720" s="36"/>
      <c r="M720" s="36"/>
      <c r="N720" s="45"/>
    </row>
    <row r="721">
      <c r="A721" s="36"/>
      <c r="B721" s="36"/>
      <c r="C721" s="36"/>
      <c r="D721" s="36"/>
      <c r="E721" s="36"/>
      <c r="F721" s="36"/>
      <c r="G721" s="36"/>
      <c r="H721" s="36"/>
      <c r="I721" s="36"/>
      <c r="J721" s="79"/>
      <c r="K721" s="39"/>
      <c r="L721" s="36"/>
      <c r="M721" s="36"/>
      <c r="N721" s="45"/>
    </row>
    <row r="722">
      <c r="A722" s="36"/>
      <c r="B722" s="36"/>
      <c r="C722" s="36"/>
      <c r="D722" s="36"/>
      <c r="E722" s="36"/>
      <c r="F722" s="36"/>
      <c r="G722" s="36"/>
      <c r="H722" s="36"/>
      <c r="I722" s="36"/>
      <c r="J722" s="79"/>
      <c r="K722" s="39"/>
      <c r="L722" s="36"/>
      <c r="M722" s="36"/>
      <c r="N722" s="45"/>
    </row>
    <row r="723">
      <c r="A723" s="36"/>
      <c r="B723" s="36"/>
      <c r="C723" s="36"/>
      <c r="D723" s="36"/>
      <c r="E723" s="36"/>
      <c r="F723" s="36"/>
      <c r="G723" s="36"/>
      <c r="H723" s="36"/>
      <c r="I723" s="36"/>
      <c r="J723" s="79"/>
      <c r="K723" s="39"/>
      <c r="L723" s="36"/>
      <c r="M723" s="36"/>
      <c r="N723" s="45"/>
    </row>
    <row r="724">
      <c r="A724" s="36"/>
      <c r="B724" s="36"/>
      <c r="C724" s="36"/>
      <c r="D724" s="36"/>
      <c r="E724" s="36"/>
      <c r="F724" s="36"/>
      <c r="G724" s="36"/>
      <c r="H724" s="36"/>
      <c r="I724" s="36"/>
      <c r="J724" s="79"/>
      <c r="K724" s="39"/>
      <c r="L724" s="36"/>
      <c r="M724" s="36"/>
      <c r="N724" s="45"/>
    </row>
    <row r="725">
      <c r="A725" s="36"/>
      <c r="B725" s="36"/>
      <c r="C725" s="36"/>
      <c r="D725" s="36"/>
      <c r="E725" s="36"/>
      <c r="F725" s="36"/>
      <c r="G725" s="36"/>
      <c r="H725" s="36"/>
      <c r="I725" s="36"/>
      <c r="J725" s="79"/>
      <c r="K725" s="39"/>
      <c r="L725" s="36"/>
      <c r="M725" s="36"/>
      <c r="N725" s="45"/>
    </row>
    <row r="726">
      <c r="A726" s="36"/>
      <c r="B726" s="36"/>
      <c r="C726" s="36"/>
      <c r="D726" s="36"/>
      <c r="E726" s="36"/>
      <c r="F726" s="36"/>
      <c r="G726" s="36"/>
      <c r="H726" s="36"/>
      <c r="I726" s="36"/>
      <c r="J726" s="79"/>
      <c r="K726" s="39"/>
      <c r="L726" s="36"/>
      <c r="M726" s="36"/>
      <c r="N726" s="45"/>
    </row>
    <row r="727">
      <c r="A727" s="36"/>
      <c r="B727" s="36"/>
      <c r="C727" s="36"/>
      <c r="D727" s="36"/>
      <c r="E727" s="36"/>
      <c r="F727" s="36"/>
      <c r="G727" s="36"/>
      <c r="H727" s="36"/>
      <c r="I727" s="36"/>
      <c r="J727" s="79"/>
      <c r="K727" s="39"/>
      <c r="L727" s="36"/>
      <c r="M727" s="36"/>
      <c r="N727" s="45"/>
    </row>
    <row r="728">
      <c r="A728" s="36"/>
      <c r="B728" s="36"/>
      <c r="C728" s="36"/>
      <c r="D728" s="36"/>
      <c r="E728" s="36"/>
      <c r="F728" s="36"/>
      <c r="G728" s="36"/>
      <c r="H728" s="36"/>
      <c r="I728" s="36"/>
      <c r="J728" s="79"/>
      <c r="K728" s="39"/>
      <c r="L728" s="36"/>
      <c r="M728" s="36"/>
      <c r="N728" s="45"/>
    </row>
    <row r="729">
      <c r="A729" s="36"/>
      <c r="B729" s="36"/>
      <c r="C729" s="36"/>
      <c r="D729" s="36"/>
      <c r="E729" s="36"/>
      <c r="F729" s="36"/>
      <c r="G729" s="36"/>
      <c r="H729" s="36"/>
      <c r="I729" s="36"/>
      <c r="J729" s="79"/>
      <c r="K729" s="39"/>
      <c r="L729" s="36"/>
      <c r="M729" s="36"/>
      <c r="N729" s="45"/>
    </row>
    <row r="730">
      <c r="A730" s="36"/>
      <c r="B730" s="36"/>
      <c r="C730" s="36"/>
      <c r="D730" s="36"/>
      <c r="E730" s="36"/>
      <c r="F730" s="36"/>
      <c r="G730" s="36"/>
      <c r="H730" s="36"/>
      <c r="I730" s="36"/>
      <c r="J730" s="79"/>
      <c r="K730" s="39"/>
      <c r="L730" s="36"/>
      <c r="M730" s="36"/>
      <c r="N730" s="45"/>
    </row>
    <row r="731">
      <c r="A731" s="36"/>
      <c r="B731" s="36"/>
      <c r="C731" s="36"/>
      <c r="D731" s="36"/>
      <c r="E731" s="36"/>
      <c r="F731" s="36"/>
      <c r="G731" s="36"/>
      <c r="H731" s="36"/>
      <c r="I731" s="36"/>
      <c r="J731" s="79"/>
      <c r="K731" s="39"/>
      <c r="L731" s="36"/>
      <c r="M731" s="36"/>
      <c r="N731" s="45"/>
    </row>
    <row r="732">
      <c r="A732" s="36"/>
      <c r="B732" s="36"/>
      <c r="C732" s="36"/>
      <c r="D732" s="36"/>
      <c r="E732" s="36"/>
      <c r="F732" s="36"/>
      <c r="G732" s="36"/>
      <c r="H732" s="36"/>
      <c r="I732" s="36"/>
      <c r="J732" s="45"/>
      <c r="K732" s="39"/>
      <c r="L732" s="36"/>
      <c r="M732" s="36"/>
      <c r="N732" s="79"/>
    </row>
    <row r="733">
      <c r="A733" s="36"/>
      <c r="B733" s="36"/>
      <c r="C733" s="36"/>
      <c r="D733" s="36"/>
      <c r="E733" s="36"/>
      <c r="F733" s="36"/>
      <c r="G733" s="36"/>
      <c r="H733" s="36"/>
      <c r="I733" s="36"/>
      <c r="J733" s="79"/>
      <c r="K733" s="39"/>
      <c r="L733" s="36"/>
      <c r="M733" s="36"/>
      <c r="N733" s="45"/>
    </row>
    <row r="734">
      <c r="A734" s="36"/>
      <c r="B734" s="36"/>
      <c r="C734" s="36"/>
      <c r="D734" s="36"/>
      <c r="E734" s="36"/>
      <c r="F734" s="36"/>
      <c r="G734" s="36"/>
      <c r="H734" s="36"/>
      <c r="I734" s="36"/>
      <c r="J734" s="79"/>
      <c r="K734" s="39"/>
      <c r="L734" s="36"/>
      <c r="M734" s="36"/>
      <c r="N734" s="45"/>
    </row>
    <row r="735">
      <c r="A735" s="36"/>
      <c r="B735" s="36"/>
      <c r="C735" s="36"/>
      <c r="D735" s="36"/>
      <c r="E735" s="36"/>
      <c r="F735" s="36"/>
      <c r="G735" s="36"/>
      <c r="H735" s="36"/>
      <c r="I735" s="36"/>
      <c r="J735" s="79"/>
      <c r="K735" s="39"/>
      <c r="L735" s="36"/>
      <c r="M735" s="36"/>
      <c r="N735" s="45"/>
    </row>
    <row r="736">
      <c r="A736" s="36"/>
      <c r="B736" s="36"/>
      <c r="C736" s="36"/>
      <c r="D736" s="36"/>
      <c r="E736" s="36"/>
      <c r="F736" s="36"/>
      <c r="G736" s="36"/>
      <c r="H736" s="36"/>
      <c r="I736" s="36"/>
      <c r="J736" s="79"/>
      <c r="K736" s="39"/>
      <c r="L736" s="36"/>
      <c r="M736" s="36"/>
      <c r="N736" s="45"/>
    </row>
    <row r="737">
      <c r="A737" s="36"/>
      <c r="B737" s="36"/>
      <c r="C737" s="36"/>
      <c r="D737" s="36"/>
      <c r="E737" s="36"/>
      <c r="F737" s="36"/>
      <c r="G737" s="36"/>
      <c r="H737" s="36"/>
      <c r="I737" s="36"/>
      <c r="J737" s="79"/>
      <c r="K737" s="39"/>
      <c r="L737" s="36"/>
      <c r="M737" s="36"/>
      <c r="N737" s="45"/>
    </row>
    <row r="738">
      <c r="A738" s="36"/>
      <c r="B738" s="36"/>
      <c r="C738" s="36"/>
      <c r="D738" s="36"/>
      <c r="E738" s="36"/>
      <c r="F738" s="36"/>
      <c r="G738" s="36"/>
      <c r="H738" s="36"/>
      <c r="I738" s="36"/>
      <c r="J738" s="79"/>
      <c r="K738" s="39"/>
      <c r="L738" s="36"/>
      <c r="M738" s="36"/>
      <c r="N738" s="79"/>
    </row>
    <row r="739">
      <c r="A739" s="36"/>
      <c r="B739" s="36"/>
      <c r="C739" s="36"/>
      <c r="D739" s="36"/>
      <c r="E739" s="36"/>
      <c r="F739" s="36"/>
      <c r="G739" s="36"/>
      <c r="H739" s="36"/>
      <c r="I739" s="36"/>
      <c r="J739" s="45"/>
      <c r="K739" s="39"/>
      <c r="L739" s="36"/>
      <c r="M739" s="36"/>
      <c r="N739" s="79"/>
    </row>
    <row r="740">
      <c r="A740" s="36"/>
      <c r="B740" s="36"/>
      <c r="C740" s="36"/>
      <c r="D740" s="36"/>
      <c r="E740" s="36"/>
      <c r="F740" s="36"/>
      <c r="G740" s="36"/>
      <c r="H740" s="36"/>
      <c r="I740" s="36"/>
      <c r="J740" s="79"/>
      <c r="K740" s="39"/>
      <c r="L740" s="36"/>
      <c r="M740" s="36"/>
      <c r="N740" s="45"/>
    </row>
    <row r="741">
      <c r="A741" s="36"/>
      <c r="B741" s="36"/>
      <c r="C741" s="36"/>
      <c r="D741" s="36"/>
      <c r="E741" s="36"/>
      <c r="F741" s="36"/>
      <c r="G741" s="36"/>
      <c r="H741" s="36"/>
      <c r="I741" s="36"/>
      <c r="J741" s="45"/>
      <c r="K741" s="39"/>
      <c r="L741" s="36"/>
      <c r="M741" s="36"/>
      <c r="N741" s="79"/>
    </row>
    <row r="742">
      <c r="A742" s="36"/>
      <c r="B742" s="36"/>
      <c r="C742" s="36"/>
      <c r="D742" s="36"/>
      <c r="E742" s="36"/>
      <c r="F742" s="36"/>
      <c r="G742" s="36"/>
      <c r="H742" s="36"/>
      <c r="I742" s="36"/>
      <c r="J742" s="79"/>
      <c r="K742" s="39"/>
      <c r="L742" s="36"/>
      <c r="M742" s="36"/>
      <c r="N742" s="45"/>
    </row>
    <row r="743">
      <c r="A743" s="36"/>
      <c r="B743" s="36"/>
      <c r="C743" s="36"/>
      <c r="D743" s="36"/>
      <c r="E743" s="36"/>
      <c r="F743" s="36"/>
      <c r="G743" s="36"/>
      <c r="H743" s="36"/>
      <c r="I743" s="36"/>
      <c r="J743" s="79"/>
      <c r="K743" s="39"/>
      <c r="L743" s="36"/>
      <c r="M743" s="36"/>
      <c r="N743" s="45"/>
    </row>
    <row r="744">
      <c r="A744" s="36"/>
      <c r="B744" s="36"/>
      <c r="C744" s="36"/>
      <c r="D744" s="36"/>
      <c r="E744" s="36"/>
      <c r="F744" s="36"/>
      <c r="G744" s="36"/>
      <c r="H744" s="36"/>
      <c r="I744" s="36"/>
      <c r="J744" s="45"/>
      <c r="K744" s="39"/>
      <c r="L744" s="36"/>
      <c r="M744" s="36"/>
      <c r="N744" s="79"/>
    </row>
    <row r="745">
      <c r="A745" s="36"/>
      <c r="B745" s="36"/>
      <c r="C745" s="36"/>
      <c r="D745" s="36"/>
      <c r="E745" s="36"/>
      <c r="F745" s="36"/>
      <c r="G745" s="36"/>
      <c r="H745" s="36"/>
      <c r="I745" s="36"/>
      <c r="J745" s="79"/>
      <c r="K745" s="39"/>
      <c r="L745" s="36"/>
      <c r="M745" s="36"/>
      <c r="N745" s="45"/>
    </row>
    <row r="746">
      <c r="A746" s="36"/>
      <c r="B746" s="36"/>
      <c r="C746" s="36"/>
      <c r="D746" s="36"/>
      <c r="E746" s="36"/>
      <c r="F746" s="36"/>
      <c r="G746" s="36"/>
      <c r="H746" s="36"/>
      <c r="I746" s="36"/>
      <c r="J746" s="79"/>
      <c r="K746" s="39"/>
      <c r="L746" s="36"/>
      <c r="M746" s="36"/>
      <c r="N746" s="45"/>
    </row>
    <row r="747">
      <c r="A747" s="36"/>
      <c r="B747" s="36"/>
      <c r="C747" s="36"/>
      <c r="D747" s="36"/>
      <c r="E747" s="36"/>
      <c r="F747" s="36"/>
      <c r="G747" s="36"/>
      <c r="H747" s="36"/>
      <c r="I747" s="36"/>
      <c r="J747" s="79"/>
      <c r="K747" s="39"/>
      <c r="L747" s="36"/>
      <c r="M747" s="36"/>
      <c r="N747" s="45"/>
    </row>
    <row r="748">
      <c r="A748" s="36"/>
      <c r="B748" s="36"/>
      <c r="C748" s="36"/>
      <c r="D748" s="36"/>
      <c r="E748" s="36"/>
      <c r="F748" s="36"/>
      <c r="G748" s="36"/>
      <c r="H748" s="36"/>
      <c r="I748" s="36"/>
      <c r="J748" s="79"/>
      <c r="K748" s="39"/>
      <c r="L748" s="36"/>
      <c r="M748" s="36"/>
      <c r="N748" s="79"/>
    </row>
    <row r="749">
      <c r="A749" s="36"/>
      <c r="B749" s="36"/>
      <c r="C749" s="36"/>
      <c r="D749" s="36"/>
      <c r="E749" s="36"/>
      <c r="F749" s="36"/>
      <c r="G749" s="36"/>
      <c r="H749" s="36"/>
      <c r="I749" s="36"/>
      <c r="J749" s="79"/>
      <c r="K749" s="39"/>
      <c r="L749" s="36"/>
      <c r="M749" s="36"/>
      <c r="N749" s="45"/>
    </row>
    <row r="750">
      <c r="A750" s="36"/>
      <c r="B750" s="36"/>
      <c r="C750" s="36"/>
      <c r="D750" s="36"/>
      <c r="E750" s="36"/>
      <c r="F750" s="36"/>
      <c r="G750" s="36"/>
      <c r="H750" s="36"/>
      <c r="I750" s="36"/>
      <c r="J750" s="79"/>
      <c r="K750" s="39"/>
      <c r="L750" s="36"/>
      <c r="M750" s="36"/>
      <c r="N750" s="45"/>
    </row>
    <row r="751">
      <c r="A751" s="36"/>
      <c r="B751" s="36"/>
      <c r="C751" s="36"/>
      <c r="D751" s="36"/>
      <c r="E751" s="36"/>
      <c r="F751" s="36"/>
      <c r="G751" s="36"/>
      <c r="H751" s="36"/>
      <c r="I751" s="36"/>
      <c r="J751" s="79"/>
      <c r="K751" s="39"/>
      <c r="L751" s="36"/>
      <c r="M751" s="36"/>
      <c r="N751" s="45"/>
    </row>
    <row r="752">
      <c r="A752" s="36"/>
      <c r="B752" s="36"/>
      <c r="C752" s="36"/>
      <c r="D752" s="36"/>
      <c r="E752" s="36"/>
      <c r="F752" s="36"/>
      <c r="G752" s="36"/>
      <c r="H752" s="36"/>
      <c r="I752" s="36"/>
      <c r="J752" s="79"/>
      <c r="K752" s="39"/>
      <c r="L752" s="36"/>
      <c r="M752" s="36"/>
      <c r="N752" s="45"/>
    </row>
    <row r="753">
      <c r="A753" s="36"/>
      <c r="B753" s="36"/>
      <c r="C753" s="36"/>
      <c r="D753" s="36"/>
      <c r="E753" s="36"/>
      <c r="F753" s="36"/>
      <c r="G753" s="36"/>
      <c r="H753" s="36"/>
      <c r="I753" s="36"/>
      <c r="J753" s="79"/>
      <c r="K753" s="39"/>
      <c r="L753" s="36"/>
      <c r="M753" s="36"/>
      <c r="N753" s="79"/>
    </row>
    <row r="754">
      <c r="A754" s="36"/>
      <c r="B754" s="36"/>
      <c r="C754" s="36"/>
      <c r="D754" s="36"/>
      <c r="E754" s="36"/>
      <c r="F754" s="36"/>
      <c r="G754" s="36"/>
      <c r="H754" s="36"/>
      <c r="I754" s="36"/>
      <c r="J754" s="79"/>
      <c r="K754" s="39"/>
      <c r="L754" s="36"/>
      <c r="M754" s="36"/>
      <c r="N754" s="79"/>
    </row>
    <row r="755">
      <c r="A755" s="36"/>
      <c r="B755" s="36"/>
      <c r="C755" s="36"/>
      <c r="D755" s="36"/>
      <c r="E755" s="36"/>
      <c r="F755" s="36"/>
      <c r="G755" s="36"/>
      <c r="H755" s="36"/>
      <c r="I755" s="36"/>
      <c r="J755" s="79"/>
      <c r="K755" s="39"/>
      <c r="L755" s="36"/>
      <c r="M755" s="36"/>
      <c r="N755" s="45"/>
    </row>
    <row r="756">
      <c r="A756" s="36"/>
      <c r="B756" s="36"/>
      <c r="C756" s="36"/>
      <c r="D756" s="36"/>
      <c r="E756" s="36"/>
      <c r="F756" s="36"/>
      <c r="G756" s="36"/>
      <c r="H756" s="36"/>
      <c r="I756" s="36"/>
      <c r="J756" s="79"/>
      <c r="K756" s="39"/>
      <c r="L756" s="36"/>
      <c r="M756" s="36"/>
      <c r="N756" s="45"/>
    </row>
    <row r="757">
      <c r="A757" s="36"/>
      <c r="B757" s="36"/>
      <c r="C757" s="36"/>
      <c r="D757" s="36"/>
      <c r="E757" s="36"/>
      <c r="F757" s="36"/>
      <c r="G757" s="36"/>
      <c r="H757" s="36"/>
      <c r="I757" s="36"/>
      <c r="J757" s="79"/>
      <c r="K757" s="39"/>
      <c r="L757" s="36"/>
      <c r="M757" s="36"/>
      <c r="N757" s="45"/>
    </row>
    <row r="758">
      <c r="A758" s="36"/>
      <c r="B758" s="36"/>
      <c r="C758" s="36"/>
      <c r="D758" s="36"/>
      <c r="E758" s="36"/>
      <c r="F758" s="36"/>
      <c r="G758" s="36"/>
      <c r="H758" s="36"/>
      <c r="I758" s="36"/>
      <c r="J758" s="79"/>
      <c r="K758" s="39"/>
      <c r="L758" s="36"/>
      <c r="M758" s="36"/>
      <c r="N758" s="45"/>
    </row>
    <row r="759">
      <c r="A759" s="36"/>
      <c r="B759" s="36"/>
      <c r="C759" s="36"/>
      <c r="D759" s="36"/>
      <c r="E759" s="36"/>
      <c r="F759" s="36"/>
      <c r="G759" s="36"/>
      <c r="H759" s="36"/>
      <c r="I759" s="36"/>
      <c r="J759" s="79"/>
      <c r="K759" s="39"/>
      <c r="L759" s="36"/>
      <c r="M759" s="36"/>
      <c r="N759" s="45"/>
    </row>
    <row r="760">
      <c r="A760" s="36"/>
      <c r="B760" s="36"/>
      <c r="C760" s="36"/>
      <c r="D760" s="36"/>
      <c r="E760" s="36"/>
      <c r="F760" s="36"/>
      <c r="G760" s="36"/>
      <c r="H760" s="36"/>
      <c r="I760" s="36"/>
      <c r="J760" s="79"/>
      <c r="K760" s="39"/>
      <c r="L760" s="36"/>
      <c r="M760" s="36"/>
      <c r="N760" s="45"/>
    </row>
    <row r="761">
      <c r="A761" s="36"/>
      <c r="B761" s="36"/>
      <c r="C761" s="36"/>
      <c r="D761" s="36"/>
      <c r="E761" s="36"/>
      <c r="F761" s="36"/>
      <c r="G761" s="36"/>
      <c r="H761" s="36"/>
      <c r="I761" s="36"/>
      <c r="J761" s="79"/>
      <c r="K761" s="39"/>
      <c r="L761" s="36"/>
      <c r="M761" s="36"/>
      <c r="N761" s="45"/>
    </row>
    <row r="762">
      <c r="A762" s="36"/>
      <c r="B762" s="36"/>
      <c r="C762" s="36"/>
      <c r="D762" s="36"/>
      <c r="E762" s="36"/>
      <c r="F762" s="36"/>
      <c r="G762" s="36"/>
      <c r="H762" s="36"/>
      <c r="I762" s="36"/>
      <c r="J762" s="79"/>
      <c r="K762" s="39"/>
      <c r="L762" s="36"/>
      <c r="M762" s="36"/>
      <c r="N762" s="45"/>
    </row>
    <row r="763">
      <c r="A763" s="36"/>
      <c r="B763" s="36"/>
      <c r="C763" s="36"/>
      <c r="D763" s="36"/>
      <c r="E763" s="36"/>
      <c r="F763" s="36"/>
      <c r="G763" s="36"/>
      <c r="H763" s="36"/>
      <c r="I763" s="36"/>
      <c r="J763" s="79"/>
      <c r="K763" s="39"/>
      <c r="L763" s="36"/>
      <c r="M763" s="36"/>
      <c r="N763" s="45"/>
    </row>
    <row r="764">
      <c r="A764" s="36"/>
      <c r="B764" s="36"/>
      <c r="C764" s="36"/>
      <c r="D764" s="36"/>
      <c r="E764" s="36"/>
      <c r="F764" s="36"/>
      <c r="G764" s="36"/>
      <c r="H764" s="36"/>
      <c r="I764" s="36"/>
      <c r="J764" s="79"/>
      <c r="K764" s="39"/>
      <c r="L764" s="36"/>
      <c r="M764" s="36"/>
      <c r="N764" s="45"/>
    </row>
    <row r="765">
      <c r="A765" s="36"/>
      <c r="B765" s="36"/>
      <c r="C765" s="36"/>
      <c r="D765" s="36"/>
      <c r="E765" s="36"/>
      <c r="F765" s="36"/>
      <c r="G765" s="36"/>
      <c r="H765" s="36"/>
      <c r="I765" s="36"/>
      <c r="J765" s="79"/>
      <c r="K765" s="39"/>
      <c r="L765" s="36"/>
      <c r="M765" s="36"/>
      <c r="N765" s="45"/>
    </row>
    <row r="766">
      <c r="A766" s="36"/>
      <c r="B766" s="36"/>
      <c r="C766" s="36"/>
      <c r="D766" s="36"/>
      <c r="E766" s="36"/>
      <c r="F766" s="36"/>
      <c r="G766" s="36"/>
      <c r="H766" s="36"/>
      <c r="I766" s="36"/>
      <c r="J766" s="79"/>
      <c r="K766" s="39"/>
      <c r="L766" s="36"/>
      <c r="M766" s="36"/>
      <c r="N766" s="45"/>
    </row>
    <row r="767">
      <c r="A767" s="36"/>
      <c r="B767" s="36"/>
      <c r="C767" s="36"/>
      <c r="D767" s="36"/>
      <c r="E767" s="36"/>
      <c r="F767" s="36"/>
      <c r="G767" s="36"/>
      <c r="H767" s="36"/>
      <c r="I767" s="36"/>
      <c r="J767" s="79"/>
      <c r="K767" s="39"/>
      <c r="L767" s="36"/>
      <c r="M767" s="36"/>
      <c r="N767" s="45"/>
    </row>
    <row r="768">
      <c r="A768" s="36"/>
      <c r="B768" s="36"/>
      <c r="C768" s="36"/>
      <c r="D768" s="36"/>
      <c r="E768" s="36"/>
      <c r="F768" s="36"/>
      <c r="G768" s="36"/>
      <c r="H768" s="36"/>
      <c r="I768" s="36"/>
      <c r="J768" s="79"/>
      <c r="K768" s="39"/>
      <c r="L768" s="36"/>
      <c r="M768" s="36"/>
      <c r="N768" s="45"/>
    </row>
    <row r="769">
      <c r="A769" s="36"/>
      <c r="B769" s="36"/>
      <c r="C769" s="36"/>
      <c r="D769" s="36"/>
      <c r="E769" s="36"/>
      <c r="F769" s="36"/>
      <c r="G769" s="36"/>
      <c r="H769" s="36"/>
      <c r="I769" s="36"/>
      <c r="J769" s="79"/>
      <c r="K769" s="39"/>
      <c r="L769" s="36"/>
      <c r="M769" s="36"/>
      <c r="N769" s="45"/>
    </row>
    <row r="770">
      <c r="A770" s="36"/>
      <c r="B770" s="36"/>
      <c r="C770" s="36"/>
      <c r="D770" s="36"/>
      <c r="E770" s="36"/>
      <c r="F770" s="36"/>
      <c r="G770" s="36"/>
      <c r="H770" s="36"/>
      <c r="I770" s="36"/>
      <c r="J770" s="79"/>
      <c r="K770" s="39"/>
      <c r="L770" s="36"/>
      <c r="M770" s="36"/>
      <c r="N770" s="45"/>
    </row>
    <row r="771">
      <c r="A771" s="36"/>
      <c r="B771" s="36"/>
      <c r="C771" s="36"/>
      <c r="D771" s="36"/>
      <c r="E771" s="36"/>
      <c r="F771" s="36"/>
      <c r="G771" s="36"/>
      <c r="H771" s="36"/>
      <c r="I771" s="36"/>
      <c r="J771" s="79"/>
      <c r="K771" s="39"/>
      <c r="L771" s="36"/>
      <c r="M771" s="36"/>
      <c r="N771" s="45"/>
    </row>
    <row r="772">
      <c r="A772" s="36"/>
      <c r="B772" s="36"/>
      <c r="C772" s="36"/>
      <c r="D772" s="36"/>
      <c r="E772" s="36"/>
      <c r="F772" s="36"/>
      <c r="G772" s="36"/>
      <c r="H772" s="36"/>
      <c r="I772" s="36"/>
      <c r="J772" s="45"/>
      <c r="K772" s="39"/>
      <c r="L772" s="36"/>
      <c r="M772" s="36"/>
      <c r="N772" s="79"/>
    </row>
    <row r="773">
      <c r="A773" s="36"/>
      <c r="B773" s="36"/>
      <c r="C773" s="36"/>
      <c r="D773" s="36"/>
      <c r="E773" s="36"/>
      <c r="F773" s="36"/>
      <c r="G773" s="36"/>
      <c r="H773" s="36"/>
      <c r="I773" s="36"/>
      <c r="J773" s="79"/>
      <c r="K773" s="39"/>
      <c r="L773" s="36"/>
      <c r="M773" s="36"/>
      <c r="N773" s="79"/>
    </row>
    <row r="774">
      <c r="A774" s="36"/>
      <c r="B774" s="36"/>
      <c r="C774" s="36"/>
      <c r="D774" s="36"/>
      <c r="E774" s="36"/>
      <c r="F774" s="36"/>
      <c r="G774" s="36"/>
      <c r="H774" s="36"/>
      <c r="I774" s="36"/>
      <c r="J774" s="79"/>
      <c r="K774" s="39"/>
      <c r="L774" s="36"/>
      <c r="M774" s="36"/>
      <c r="N774" s="45"/>
    </row>
    <row r="775">
      <c r="A775" s="36"/>
      <c r="B775" s="36"/>
      <c r="C775" s="36"/>
      <c r="D775" s="36"/>
      <c r="E775" s="36"/>
      <c r="F775" s="36"/>
      <c r="G775" s="36"/>
      <c r="H775" s="36"/>
      <c r="I775" s="36"/>
      <c r="J775" s="79"/>
      <c r="K775" s="39"/>
      <c r="L775" s="36"/>
      <c r="M775" s="36"/>
      <c r="N775" s="45"/>
    </row>
    <row r="776">
      <c r="A776" s="36"/>
      <c r="B776" s="36"/>
      <c r="C776" s="36"/>
      <c r="D776" s="36"/>
      <c r="E776" s="36"/>
      <c r="F776" s="36"/>
      <c r="G776" s="36"/>
      <c r="H776" s="36"/>
      <c r="I776" s="36"/>
      <c r="J776" s="79"/>
      <c r="K776" s="39"/>
      <c r="L776" s="36"/>
      <c r="M776" s="36"/>
      <c r="N776" s="45"/>
    </row>
    <row r="777">
      <c r="A777" s="36"/>
      <c r="B777" s="36"/>
      <c r="C777" s="36"/>
      <c r="D777" s="36"/>
      <c r="E777" s="36"/>
      <c r="F777" s="36"/>
      <c r="G777" s="36"/>
      <c r="H777" s="36"/>
      <c r="I777" s="36"/>
      <c r="J777" s="79"/>
      <c r="K777" s="39"/>
      <c r="L777" s="36"/>
      <c r="M777" s="36"/>
      <c r="N777" s="45"/>
    </row>
    <row r="778">
      <c r="A778" s="36"/>
      <c r="B778" s="36"/>
      <c r="C778" s="36"/>
      <c r="D778" s="36"/>
      <c r="E778" s="36"/>
      <c r="F778" s="36"/>
      <c r="G778" s="36"/>
      <c r="H778" s="36"/>
      <c r="I778" s="36"/>
      <c r="J778" s="45"/>
      <c r="K778" s="39"/>
      <c r="L778" s="36"/>
      <c r="M778" s="36"/>
      <c r="N778" s="79"/>
    </row>
    <row r="779">
      <c r="A779" s="36"/>
      <c r="B779" s="36"/>
      <c r="C779" s="36"/>
      <c r="D779" s="36"/>
      <c r="E779" s="36"/>
      <c r="F779" s="36"/>
      <c r="G779" s="36"/>
      <c r="H779" s="36"/>
      <c r="I779" s="36"/>
      <c r="J779" s="79"/>
      <c r="K779" s="39"/>
      <c r="L779" s="36"/>
      <c r="M779" s="36"/>
      <c r="N779" s="45"/>
    </row>
    <row r="780">
      <c r="A780" s="36"/>
      <c r="B780" s="36"/>
      <c r="C780" s="36"/>
      <c r="D780" s="36"/>
      <c r="E780" s="36"/>
      <c r="F780" s="36"/>
      <c r="G780" s="36"/>
      <c r="H780" s="36"/>
      <c r="I780" s="36"/>
      <c r="J780" s="79"/>
      <c r="K780" s="39"/>
      <c r="L780" s="36"/>
      <c r="M780" s="36"/>
      <c r="N780" s="79"/>
    </row>
    <row r="781">
      <c r="A781" s="36"/>
      <c r="B781" s="36"/>
      <c r="C781" s="36"/>
      <c r="D781" s="36"/>
      <c r="E781" s="36"/>
      <c r="F781" s="36"/>
      <c r="G781" s="36"/>
      <c r="H781" s="36"/>
      <c r="I781" s="36"/>
      <c r="J781" s="79"/>
      <c r="K781" s="39"/>
      <c r="L781" s="36"/>
      <c r="M781" s="36"/>
      <c r="N781" s="45"/>
    </row>
    <row r="782">
      <c r="A782" s="36"/>
      <c r="B782" s="36"/>
      <c r="C782" s="36"/>
      <c r="D782" s="36"/>
      <c r="E782" s="36"/>
      <c r="F782" s="36"/>
      <c r="G782" s="36"/>
      <c r="H782" s="36"/>
      <c r="I782" s="36"/>
      <c r="J782" s="79"/>
      <c r="K782" s="39"/>
      <c r="L782" s="36"/>
      <c r="M782" s="36"/>
      <c r="N782" s="45"/>
    </row>
    <row r="783">
      <c r="A783" s="36"/>
      <c r="B783" s="36"/>
      <c r="C783" s="36"/>
      <c r="D783" s="36"/>
      <c r="E783" s="36"/>
      <c r="F783" s="36"/>
      <c r="G783" s="36"/>
      <c r="H783" s="36"/>
      <c r="I783" s="36"/>
      <c r="J783" s="79"/>
      <c r="K783" s="39"/>
      <c r="L783" s="36"/>
      <c r="M783" s="36"/>
      <c r="N783" s="79"/>
    </row>
    <row r="784">
      <c r="A784" s="36"/>
      <c r="B784" s="36"/>
      <c r="C784" s="36"/>
      <c r="D784" s="36"/>
      <c r="E784" s="36"/>
      <c r="F784" s="36"/>
      <c r="G784" s="36"/>
      <c r="H784" s="36"/>
      <c r="I784" s="36"/>
      <c r="J784" s="79"/>
      <c r="K784" s="39"/>
      <c r="L784" s="36"/>
      <c r="M784" s="36"/>
      <c r="N784" s="79"/>
    </row>
    <row r="785">
      <c r="A785" s="36"/>
      <c r="B785" s="36"/>
      <c r="C785" s="36"/>
      <c r="D785" s="36"/>
      <c r="E785" s="36"/>
      <c r="F785" s="36"/>
      <c r="G785" s="36"/>
      <c r="H785" s="36"/>
      <c r="I785" s="36"/>
      <c r="J785" s="79"/>
      <c r="K785" s="39"/>
      <c r="L785" s="36"/>
      <c r="M785" s="36"/>
      <c r="N785" s="45"/>
    </row>
    <row r="786">
      <c r="A786" s="36"/>
      <c r="B786" s="36"/>
      <c r="C786" s="36"/>
      <c r="D786" s="36"/>
      <c r="E786" s="36"/>
      <c r="F786" s="36"/>
      <c r="G786" s="36"/>
      <c r="H786" s="36"/>
      <c r="I786" s="36"/>
      <c r="J786" s="79"/>
      <c r="K786" s="39"/>
      <c r="L786" s="36"/>
      <c r="M786" s="36"/>
      <c r="N786" s="45"/>
    </row>
    <row r="787">
      <c r="A787" s="36"/>
      <c r="B787" s="36"/>
      <c r="C787" s="36"/>
      <c r="D787" s="36"/>
      <c r="E787" s="36"/>
      <c r="F787" s="36"/>
      <c r="G787" s="36"/>
      <c r="H787" s="36"/>
      <c r="I787" s="36"/>
      <c r="J787" s="79"/>
      <c r="K787" s="39"/>
      <c r="L787" s="36"/>
      <c r="M787" s="36"/>
      <c r="N787" s="45"/>
    </row>
    <row r="788">
      <c r="A788" s="36"/>
      <c r="B788" s="36"/>
      <c r="C788" s="36"/>
      <c r="D788" s="36"/>
      <c r="E788" s="36"/>
      <c r="F788" s="36"/>
      <c r="G788" s="36"/>
      <c r="H788" s="36"/>
      <c r="I788" s="36"/>
      <c r="J788" s="79"/>
      <c r="K788" s="39"/>
      <c r="L788" s="36"/>
      <c r="M788" s="36"/>
      <c r="N788" s="45"/>
    </row>
    <row r="789">
      <c r="A789" s="36"/>
      <c r="B789" s="36"/>
      <c r="C789" s="36"/>
      <c r="D789" s="36"/>
      <c r="E789" s="36"/>
      <c r="F789" s="36"/>
      <c r="G789" s="36"/>
      <c r="H789" s="36"/>
      <c r="I789" s="36"/>
      <c r="J789" s="79"/>
      <c r="K789" s="39"/>
      <c r="L789" s="36"/>
      <c r="M789" s="36"/>
      <c r="N789" s="45"/>
    </row>
    <row r="790">
      <c r="A790" s="36"/>
      <c r="B790" s="36"/>
      <c r="C790" s="36"/>
      <c r="D790" s="36"/>
      <c r="E790" s="36"/>
      <c r="F790" s="36"/>
      <c r="G790" s="36"/>
      <c r="H790" s="36"/>
      <c r="I790" s="36"/>
      <c r="J790" s="79"/>
      <c r="K790" s="39"/>
      <c r="L790" s="36"/>
      <c r="M790" s="36"/>
      <c r="N790" s="79"/>
    </row>
    <row r="791">
      <c r="A791" s="36"/>
      <c r="B791" s="36"/>
      <c r="C791" s="36"/>
      <c r="D791" s="36"/>
      <c r="E791" s="36"/>
      <c r="F791" s="36"/>
      <c r="G791" s="36"/>
      <c r="H791" s="36"/>
      <c r="I791" s="36"/>
      <c r="J791" s="79"/>
      <c r="K791" s="39"/>
      <c r="L791" s="36"/>
      <c r="M791" s="36"/>
      <c r="N791" s="45"/>
    </row>
    <row r="792">
      <c r="A792" s="36"/>
      <c r="B792" s="36"/>
      <c r="C792" s="36"/>
      <c r="D792" s="36"/>
      <c r="E792" s="36"/>
      <c r="F792" s="36"/>
      <c r="G792" s="36"/>
      <c r="H792" s="36"/>
      <c r="I792" s="36"/>
      <c r="J792" s="79"/>
      <c r="K792" s="39"/>
      <c r="L792" s="36"/>
      <c r="M792" s="36"/>
      <c r="N792" s="45"/>
    </row>
    <row r="793">
      <c r="A793" s="36"/>
      <c r="B793" s="36"/>
      <c r="C793" s="36"/>
      <c r="D793" s="36"/>
      <c r="E793" s="36"/>
      <c r="F793" s="36"/>
      <c r="G793" s="36"/>
      <c r="H793" s="36"/>
      <c r="I793" s="36"/>
      <c r="J793" s="79"/>
      <c r="K793" s="39"/>
      <c r="L793" s="36"/>
      <c r="M793" s="36"/>
      <c r="N793" s="45"/>
    </row>
    <row r="794">
      <c r="A794" s="36"/>
      <c r="B794" s="36"/>
      <c r="C794" s="36"/>
      <c r="D794" s="36"/>
      <c r="E794" s="36"/>
      <c r="F794" s="36"/>
      <c r="G794" s="36"/>
      <c r="H794" s="36"/>
      <c r="I794" s="36"/>
      <c r="J794" s="79"/>
      <c r="K794" s="39"/>
      <c r="L794" s="36"/>
      <c r="M794" s="36"/>
      <c r="N794" s="79"/>
    </row>
    <row r="795">
      <c r="A795" s="36"/>
      <c r="B795" s="36"/>
      <c r="C795" s="36"/>
      <c r="D795" s="36"/>
      <c r="E795" s="36"/>
      <c r="F795" s="36"/>
      <c r="G795" s="36"/>
      <c r="H795" s="36"/>
      <c r="I795" s="36"/>
      <c r="J795" s="79"/>
      <c r="K795" s="39"/>
      <c r="L795" s="36"/>
      <c r="M795" s="36"/>
      <c r="N795" s="45"/>
    </row>
    <row r="796">
      <c r="A796" s="36"/>
      <c r="B796" s="36"/>
      <c r="C796" s="36"/>
      <c r="D796" s="36"/>
      <c r="E796" s="36"/>
      <c r="F796" s="36"/>
      <c r="G796" s="36"/>
      <c r="H796" s="36"/>
      <c r="I796" s="36"/>
      <c r="J796" s="79"/>
      <c r="K796" s="39"/>
      <c r="L796" s="36"/>
      <c r="M796" s="36"/>
      <c r="N796" s="45"/>
    </row>
    <row r="797">
      <c r="A797" s="36"/>
      <c r="B797" s="36"/>
      <c r="C797" s="36"/>
      <c r="D797" s="36"/>
      <c r="E797" s="36"/>
      <c r="F797" s="36"/>
      <c r="G797" s="36"/>
      <c r="H797" s="36"/>
      <c r="I797" s="36"/>
      <c r="J797" s="79"/>
      <c r="K797" s="39"/>
      <c r="L797" s="36"/>
      <c r="M797" s="36"/>
      <c r="N797" s="45"/>
    </row>
    <row r="798">
      <c r="A798" s="36"/>
      <c r="B798" s="36"/>
      <c r="C798" s="36"/>
      <c r="D798" s="36"/>
      <c r="E798" s="36"/>
      <c r="F798" s="36"/>
      <c r="G798" s="36"/>
      <c r="H798" s="36"/>
      <c r="I798" s="36"/>
      <c r="J798" s="79"/>
      <c r="K798" s="39"/>
      <c r="L798" s="36"/>
      <c r="M798" s="36"/>
      <c r="N798" s="45"/>
    </row>
    <row r="799">
      <c r="A799" s="36"/>
      <c r="B799" s="36"/>
      <c r="C799" s="36"/>
      <c r="D799" s="36"/>
      <c r="E799" s="36"/>
      <c r="F799" s="36"/>
      <c r="G799" s="36"/>
      <c r="H799" s="36"/>
      <c r="I799" s="36"/>
      <c r="J799" s="79"/>
      <c r="K799" s="39"/>
      <c r="L799" s="36"/>
      <c r="M799" s="36"/>
      <c r="N799" s="45"/>
    </row>
    <row r="800">
      <c r="A800" s="36"/>
      <c r="B800" s="36"/>
      <c r="C800" s="36"/>
      <c r="D800" s="36"/>
      <c r="E800" s="36"/>
      <c r="F800" s="36"/>
      <c r="G800" s="36"/>
      <c r="H800" s="36"/>
      <c r="I800" s="36"/>
      <c r="J800" s="79"/>
      <c r="K800" s="39"/>
      <c r="L800" s="36"/>
      <c r="M800" s="36"/>
      <c r="N800" s="45"/>
    </row>
    <row r="801">
      <c r="A801" s="36"/>
      <c r="B801" s="36"/>
      <c r="C801" s="36"/>
      <c r="D801" s="36"/>
      <c r="E801" s="36"/>
      <c r="F801" s="36"/>
      <c r="G801" s="36"/>
      <c r="H801" s="36"/>
      <c r="I801" s="36"/>
      <c r="J801" s="45"/>
      <c r="K801" s="39"/>
      <c r="L801" s="36"/>
      <c r="M801" s="36"/>
      <c r="N801" s="79"/>
    </row>
    <row r="802">
      <c r="A802" s="36"/>
      <c r="B802" s="36"/>
      <c r="C802" s="36"/>
      <c r="D802" s="36"/>
      <c r="E802" s="36"/>
      <c r="F802" s="36"/>
      <c r="G802" s="36"/>
      <c r="H802" s="36"/>
      <c r="I802" s="36"/>
      <c r="J802" s="79"/>
      <c r="K802" s="39"/>
      <c r="L802" s="36"/>
      <c r="M802" s="36"/>
      <c r="N802" s="45"/>
    </row>
    <row r="803">
      <c r="A803" s="36"/>
      <c r="B803" s="36"/>
      <c r="C803" s="36"/>
      <c r="D803" s="36"/>
      <c r="E803" s="36"/>
      <c r="F803" s="36"/>
      <c r="G803" s="36"/>
      <c r="H803" s="36"/>
      <c r="I803" s="36"/>
      <c r="J803" s="79"/>
      <c r="K803" s="39"/>
      <c r="L803" s="36"/>
      <c r="M803" s="36"/>
      <c r="N803" s="45"/>
    </row>
    <row r="804">
      <c r="A804" s="36"/>
      <c r="B804" s="36"/>
      <c r="C804" s="36"/>
      <c r="D804" s="36"/>
      <c r="E804" s="36"/>
      <c r="F804" s="36"/>
      <c r="G804" s="36"/>
      <c r="H804" s="36"/>
      <c r="I804" s="36"/>
      <c r="J804" s="79"/>
      <c r="K804" s="39"/>
      <c r="L804" s="36"/>
      <c r="M804" s="36"/>
      <c r="N804" s="45"/>
    </row>
    <row r="805">
      <c r="A805" s="36"/>
      <c r="B805" s="36"/>
      <c r="C805" s="36"/>
      <c r="D805" s="36"/>
      <c r="E805" s="36"/>
      <c r="F805" s="36"/>
      <c r="G805" s="36"/>
      <c r="H805" s="36"/>
      <c r="I805" s="36"/>
      <c r="J805" s="79"/>
      <c r="K805" s="39"/>
      <c r="L805" s="36"/>
      <c r="M805" s="36"/>
      <c r="N805" s="45"/>
    </row>
    <row r="806">
      <c r="A806" s="36"/>
      <c r="B806" s="36"/>
      <c r="C806" s="36"/>
      <c r="D806" s="36"/>
      <c r="E806" s="36"/>
      <c r="F806" s="36"/>
      <c r="G806" s="36"/>
      <c r="H806" s="36"/>
      <c r="I806" s="36"/>
      <c r="J806" s="79"/>
      <c r="K806" s="39"/>
      <c r="L806" s="36"/>
      <c r="M806" s="36"/>
      <c r="N806" s="45"/>
    </row>
    <row r="807">
      <c r="A807" s="36"/>
      <c r="B807" s="36"/>
      <c r="C807" s="36"/>
      <c r="D807" s="36"/>
      <c r="E807" s="36"/>
      <c r="F807" s="36"/>
      <c r="G807" s="36"/>
      <c r="H807" s="36"/>
      <c r="I807" s="36"/>
      <c r="J807" s="79"/>
      <c r="K807" s="39"/>
      <c r="L807" s="36"/>
      <c r="M807" s="36"/>
      <c r="N807" s="45"/>
    </row>
    <row r="808">
      <c r="A808" s="36"/>
      <c r="B808" s="36"/>
      <c r="C808" s="36"/>
      <c r="D808" s="36"/>
      <c r="E808" s="36"/>
      <c r="F808" s="36"/>
      <c r="G808" s="36"/>
      <c r="H808" s="36"/>
      <c r="I808" s="36"/>
      <c r="J808" s="79"/>
      <c r="K808" s="39"/>
      <c r="L808" s="36"/>
      <c r="M808" s="36"/>
      <c r="N808" s="45"/>
    </row>
    <row r="809">
      <c r="A809" s="36"/>
      <c r="B809" s="36"/>
      <c r="C809" s="36"/>
      <c r="D809" s="36"/>
      <c r="E809" s="36"/>
      <c r="F809" s="36"/>
      <c r="G809" s="36"/>
      <c r="H809" s="36"/>
      <c r="I809" s="36"/>
      <c r="J809" s="79"/>
      <c r="K809" s="39"/>
      <c r="L809" s="36"/>
      <c r="M809" s="36"/>
      <c r="N809" s="45"/>
    </row>
    <row r="810">
      <c r="A810" s="36"/>
      <c r="B810" s="36"/>
      <c r="C810" s="36"/>
      <c r="D810" s="36"/>
      <c r="E810" s="36"/>
      <c r="F810" s="36"/>
      <c r="G810" s="36"/>
      <c r="H810" s="36"/>
      <c r="I810" s="36"/>
      <c r="J810" s="79"/>
      <c r="K810" s="39"/>
      <c r="L810" s="36"/>
      <c r="M810" s="36"/>
      <c r="N810" s="45"/>
    </row>
    <row r="811">
      <c r="A811" s="36"/>
      <c r="B811" s="36"/>
      <c r="C811" s="36"/>
      <c r="D811" s="36"/>
      <c r="E811" s="36"/>
      <c r="F811" s="36"/>
      <c r="G811" s="36"/>
      <c r="H811" s="36"/>
      <c r="I811" s="36"/>
      <c r="J811" s="79"/>
      <c r="K811" s="39"/>
      <c r="L811" s="36"/>
      <c r="M811" s="36"/>
      <c r="N811" s="45"/>
    </row>
    <row r="812">
      <c r="A812" s="36"/>
      <c r="B812" s="36"/>
      <c r="C812" s="36"/>
      <c r="D812" s="36"/>
      <c r="E812" s="36"/>
      <c r="F812" s="36"/>
      <c r="G812" s="36"/>
      <c r="H812" s="36"/>
      <c r="I812" s="36"/>
      <c r="J812" s="79"/>
      <c r="K812" s="39"/>
      <c r="L812" s="36"/>
      <c r="M812" s="36"/>
      <c r="N812" s="45"/>
    </row>
    <row r="813">
      <c r="A813" s="36"/>
      <c r="B813" s="36"/>
      <c r="C813" s="36"/>
      <c r="D813" s="36"/>
      <c r="E813" s="36"/>
      <c r="F813" s="36"/>
      <c r="G813" s="36"/>
      <c r="H813" s="36"/>
      <c r="I813" s="36"/>
      <c r="J813" s="79"/>
      <c r="K813" s="39"/>
      <c r="L813" s="36"/>
      <c r="M813" s="36"/>
      <c r="N813" s="45"/>
    </row>
    <row r="814">
      <c r="A814" s="36"/>
      <c r="B814" s="36"/>
      <c r="C814" s="36"/>
      <c r="D814" s="36"/>
      <c r="E814" s="36"/>
      <c r="F814" s="36"/>
      <c r="G814" s="36"/>
      <c r="H814" s="36"/>
      <c r="I814" s="36"/>
      <c r="J814" s="79"/>
      <c r="K814" s="39"/>
      <c r="L814" s="36"/>
      <c r="M814" s="36"/>
      <c r="N814" s="45"/>
    </row>
    <row r="815">
      <c r="A815" s="36"/>
      <c r="B815" s="36"/>
      <c r="C815" s="36"/>
      <c r="D815" s="36"/>
      <c r="E815" s="36"/>
      <c r="F815" s="36"/>
      <c r="G815" s="36"/>
      <c r="H815" s="36"/>
      <c r="I815" s="36"/>
      <c r="J815" s="79"/>
      <c r="K815" s="39"/>
      <c r="L815" s="36"/>
      <c r="M815" s="36"/>
      <c r="N815" s="45"/>
    </row>
    <row r="816">
      <c r="A816" s="36"/>
      <c r="B816" s="36"/>
      <c r="C816" s="36"/>
      <c r="D816" s="36"/>
      <c r="E816" s="36"/>
      <c r="F816" s="36"/>
      <c r="G816" s="36"/>
      <c r="H816" s="36"/>
      <c r="I816" s="36"/>
      <c r="J816" s="79"/>
      <c r="K816" s="39"/>
      <c r="L816" s="36"/>
      <c r="M816" s="36"/>
      <c r="N816" s="45"/>
    </row>
    <row r="817">
      <c r="A817" s="36"/>
      <c r="B817" s="36"/>
      <c r="C817" s="36"/>
      <c r="D817" s="36"/>
      <c r="E817" s="36"/>
      <c r="F817" s="36"/>
      <c r="G817" s="36"/>
      <c r="H817" s="36"/>
      <c r="I817" s="36"/>
      <c r="J817" s="79"/>
      <c r="K817" s="39"/>
      <c r="L817" s="36"/>
      <c r="M817" s="36"/>
      <c r="N817" s="45"/>
    </row>
    <row r="818">
      <c r="A818" s="36"/>
      <c r="B818" s="36"/>
      <c r="C818" s="36"/>
      <c r="D818" s="36"/>
      <c r="E818" s="36"/>
      <c r="F818" s="36"/>
      <c r="G818" s="36"/>
      <c r="H818" s="36"/>
      <c r="I818" s="36"/>
      <c r="J818" s="79"/>
      <c r="K818" s="39"/>
      <c r="L818" s="36"/>
      <c r="M818" s="36"/>
      <c r="N818" s="45"/>
    </row>
    <row r="819">
      <c r="A819" s="36"/>
      <c r="B819" s="36"/>
      <c r="C819" s="36"/>
      <c r="D819" s="36"/>
      <c r="E819" s="36"/>
      <c r="F819" s="36"/>
      <c r="G819" s="36"/>
      <c r="H819" s="36"/>
      <c r="I819" s="36"/>
      <c r="J819" s="79"/>
      <c r="K819" s="39"/>
      <c r="L819" s="36"/>
      <c r="M819" s="36"/>
      <c r="N819" s="45"/>
    </row>
    <row r="820">
      <c r="A820" s="36"/>
      <c r="B820" s="36"/>
      <c r="C820" s="36"/>
      <c r="D820" s="36"/>
      <c r="E820" s="36"/>
      <c r="F820" s="36"/>
      <c r="G820" s="36"/>
      <c r="H820" s="36"/>
      <c r="I820" s="36"/>
      <c r="J820" s="79"/>
      <c r="K820" s="39"/>
      <c r="L820" s="36"/>
      <c r="M820" s="36"/>
      <c r="N820" s="45"/>
    </row>
    <row r="821">
      <c r="A821" s="36"/>
      <c r="B821" s="36"/>
      <c r="C821" s="36"/>
      <c r="D821" s="36"/>
      <c r="E821" s="36"/>
      <c r="F821" s="36"/>
      <c r="G821" s="36"/>
      <c r="H821" s="36"/>
      <c r="I821" s="36"/>
      <c r="J821" s="79"/>
      <c r="K821" s="39"/>
      <c r="L821" s="36"/>
      <c r="M821" s="36"/>
      <c r="N821" s="45"/>
    </row>
    <row r="822">
      <c r="A822" s="36"/>
      <c r="B822" s="36"/>
      <c r="C822" s="36"/>
      <c r="D822" s="36"/>
      <c r="E822" s="36"/>
      <c r="F822" s="36"/>
      <c r="G822" s="36"/>
      <c r="H822" s="36"/>
      <c r="I822" s="36"/>
      <c r="J822" s="79"/>
      <c r="K822" s="39"/>
      <c r="L822" s="36"/>
      <c r="M822" s="36"/>
      <c r="N822" s="45"/>
    </row>
    <row r="823">
      <c r="A823" s="36"/>
      <c r="B823" s="36"/>
      <c r="C823" s="36"/>
      <c r="D823" s="36"/>
      <c r="E823" s="36"/>
      <c r="F823" s="36"/>
      <c r="G823" s="36"/>
      <c r="H823" s="36"/>
      <c r="I823" s="36"/>
      <c r="J823" s="79"/>
      <c r="K823" s="39"/>
      <c r="L823" s="36"/>
      <c r="M823" s="36"/>
      <c r="N823" s="45"/>
    </row>
    <row r="824">
      <c r="A824" s="36"/>
      <c r="B824" s="36"/>
      <c r="C824" s="36"/>
      <c r="D824" s="36"/>
      <c r="E824" s="36"/>
      <c r="F824" s="36"/>
      <c r="G824" s="36"/>
      <c r="H824" s="36"/>
      <c r="I824" s="36"/>
      <c r="J824" s="79"/>
      <c r="K824" s="39"/>
      <c r="L824" s="36"/>
      <c r="M824" s="36"/>
      <c r="N824" s="45"/>
    </row>
    <row r="825">
      <c r="A825" s="36"/>
      <c r="B825" s="36"/>
      <c r="C825" s="36"/>
      <c r="D825" s="36"/>
      <c r="E825" s="36"/>
      <c r="F825" s="36"/>
      <c r="G825" s="36"/>
      <c r="H825" s="36"/>
      <c r="I825" s="36"/>
      <c r="J825" s="79"/>
      <c r="K825" s="39"/>
      <c r="L825" s="36"/>
      <c r="M825" s="36"/>
      <c r="N825" s="45"/>
    </row>
    <row r="826">
      <c r="A826" s="36"/>
      <c r="B826" s="36"/>
      <c r="C826" s="36"/>
      <c r="D826" s="36"/>
      <c r="E826" s="36"/>
      <c r="F826" s="36"/>
      <c r="G826" s="36"/>
      <c r="H826" s="36"/>
      <c r="I826" s="36"/>
      <c r="J826" s="79"/>
      <c r="K826" s="39"/>
      <c r="L826" s="36"/>
      <c r="M826" s="36"/>
      <c r="N826" s="45"/>
    </row>
    <row r="827">
      <c r="A827" s="36"/>
      <c r="B827" s="36"/>
      <c r="C827" s="36"/>
      <c r="D827" s="36"/>
      <c r="E827" s="36"/>
      <c r="F827" s="36"/>
      <c r="G827" s="36"/>
      <c r="H827" s="36"/>
      <c r="I827" s="36"/>
      <c r="J827" s="45"/>
      <c r="K827" s="39"/>
      <c r="L827" s="36"/>
      <c r="M827" s="36"/>
      <c r="N827" s="79"/>
    </row>
    <row r="828">
      <c r="A828" s="36"/>
      <c r="B828" s="36"/>
      <c r="C828" s="36"/>
      <c r="D828" s="36"/>
      <c r="E828" s="36"/>
      <c r="F828" s="36"/>
      <c r="G828" s="36"/>
      <c r="H828" s="36"/>
      <c r="I828" s="36"/>
      <c r="J828" s="79"/>
      <c r="K828" s="39"/>
      <c r="L828" s="36"/>
      <c r="M828" s="36"/>
      <c r="N828" s="45"/>
    </row>
    <row r="829">
      <c r="A829" s="36"/>
      <c r="B829" s="36"/>
      <c r="C829" s="36"/>
      <c r="D829" s="36"/>
      <c r="E829" s="36"/>
      <c r="F829" s="36"/>
      <c r="G829" s="36"/>
      <c r="H829" s="36"/>
      <c r="I829" s="36"/>
      <c r="J829" s="79"/>
      <c r="K829" s="39"/>
      <c r="L829" s="36"/>
      <c r="M829" s="36"/>
      <c r="N829" s="45"/>
    </row>
    <row r="830">
      <c r="A830" s="36"/>
      <c r="B830" s="36"/>
      <c r="C830" s="36"/>
      <c r="D830" s="36"/>
      <c r="E830" s="36"/>
      <c r="F830" s="36"/>
      <c r="G830" s="36"/>
      <c r="H830" s="36"/>
      <c r="I830" s="36"/>
      <c r="J830" s="79"/>
      <c r="K830" s="39"/>
      <c r="L830" s="36"/>
      <c r="M830" s="36"/>
      <c r="N830" s="45"/>
    </row>
    <row r="831">
      <c r="A831" s="36"/>
      <c r="B831" s="36"/>
      <c r="C831" s="36"/>
      <c r="D831" s="36"/>
      <c r="E831" s="36"/>
      <c r="F831" s="36"/>
      <c r="G831" s="36"/>
      <c r="H831" s="36"/>
      <c r="I831" s="36"/>
      <c r="J831" s="79"/>
      <c r="K831" s="39"/>
      <c r="L831" s="36"/>
      <c r="M831" s="36"/>
      <c r="N831" s="45"/>
    </row>
    <row r="832">
      <c r="A832" s="36"/>
      <c r="B832" s="36"/>
      <c r="C832" s="36"/>
      <c r="D832" s="36"/>
      <c r="E832" s="36"/>
      <c r="F832" s="36"/>
      <c r="G832" s="36"/>
      <c r="H832" s="36"/>
      <c r="I832" s="36"/>
      <c r="J832" s="79"/>
      <c r="K832" s="39"/>
      <c r="L832" s="36"/>
      <c r="M832" s="36"/>
      <c r="N832" s="45"/>
    </row>
    <row r="833">
      <c r="A833" s="36"/>
      <c r="B833" s="36"/>
      <c r="C833" s="36"/>
      <c r="D833" s="36"/>
      <c r="E833" s="36"/>
      <c r="F833" s="36"/>
      <c r="G833" s="36"/>
      <c r="H833" s="36"/>
      <c r="I833" s="36"/>
      <c r="J833" s="79"/>
      <c r="K833" s="39"/>
      <c r="L833" s="36"/>
      <c r="M833" s="36"/>
      <c r="N833" s="45"/>
    </row>
    <row r="834">
      <c r="A834" s="36"/>
      <c r="B834" s="36"/>
      <c r="C834" s="36"/>
      <c r="D834" s="36"/>
      <c r="E834" s="36"/>
      <c r="F834" s="36"/>
      <c r="G834" s="36"/>
      <c r="H834" s="36"/>
      <c r="I834" s="36"/>
      <c r="J834" s="79"/>
      <c r="K834" s="39"/>
      <c r="L834" s="36"/>
      <c r="M834" s="36"/>
      <c r="N834" s="45"/>
    </row>
    <row r="835">
      <c r="A835" s="36"/>
      <c r="B835" s="36"/>
      <c r="C835" s="36"/>
      <c r="D835" s="36"/>
      <c r="E835" s="36"/>
      <c r="F835" s="36"/>
      <c r="G835" s="36"/>
      <c r="H835" s="36"/>
      <c r="I835" s="36"/>
      <c r="J835" s="79"/>
      <c r="K835" s="39"/>
      <c r="L835" s="36"/>
      <c r="M835" s="36"/>
      <c r="N835" s="45"/>
    </row>
    <row r="836">
      <c r="A836" s="36"/>
      <c r="B836" s="36"/>
      <c r="C836" s="36"/>
      <c r="D836" s="36"/>
      <c r="E836" s="36"/>
      <c r="F836" s="36"/>
      <c r="G836" s="36"/>
      <c r="H836" s="36"/>
      <c r="I836" s="36"/>
      <c r="J836" s="79"/>
      <c r="K836" s="39"/>
      <c r="L836" s="36"/>
      <c r="M836" s="36"/>
      <c r="N836" s="45"/>
    </row>
    <row r="837">
      <c r="A837" s="36"/>
      <c r="B837" s="36"/>
      <c r="C837" s="36"/>
      <c r="D837" s="36"/>
      <c r="E837" s="36"/>
      <c r="F837" s="36"/>
      <c r="G837" s="36"/>
      <c r="H837" s="36"/>
      <c r="I837" s="36"/>
      <c r="J837" s="79"/>
      <c r="K837" s="39"/>
      <c r="L837" s="36"/>
      <c r="M837" s="36"/>
      <c r="N837" s="79"/>
    </row>
    <row r="838">
      <c r="A838" s="36"/>
      <c r="B838" s="36"/>
      <c r="C838" s="36"/>
      <c r="D838" s="36"/>
      <c r="E838" s="36"/>
      <c r="F838" s="36"/>
      <c r="G838" s="36"/>
      <c r="H838" s="36"/>
      <c r="I838" s="36"/>
      <c r="J838" s="79"/>
      <c r="K838" s="39"/>
      <c r="L838" s="36"/>
      <c r="M838" s="36"/>
      <c r="N838" s="45"/>
    </row>
    <row r="839">
      <c r="A839" s="36"/>
      <c r="B839" s="36"/>
      <c r="C839" s="36"/>
      <c r="D839" s="36"/>
      <c r="E839" s="36"/>
      <c r="F839" s="36"/>
      <c r="G839" s="36"/>
      <c r="H839" s="36"/>
      <c r="I839" s="36"/>
      <c r="J839" s="79"/>
      <c r="K839" s="39"/>
      <c r="L839" s="36"/>
      <c r="M839" s="36"/>
      <c r="N839" s="45"/>
    </row>
    <row r="840">
      <c r="A840" s="36"/>
      <c r="B840" s="36"/>
      <c r="C840" s="36"/>
      <c r="D840" s="36"/>
      <c r="E840" s="36"/>
      <c r="F840" s="36"/>
      <c r="G840" s="36"/>
      <c r="H840" s="36"/>
      <c r="I840" s="36"/>
      <c r="J840" s="79"/>
      <c r="K840" s="39"/>
      <c r="L840" s="36"/>
      <c r="M840" s="36"/>
      <c r="N840" s="45"/>
    </row>
    <row r="841">
      <c r="A841" s="36"/>
      <c r="B841" s="36"/>
      <c r="C841" s="36"/>
      <c r="D841" s="36"/>
      <c r="E841" s="36"/>
      <c r="F841" s="36"/>
      <c r="G841" s="36"/>
      <c r="H841" s="36"/>
      <c r="I841" s="36"/>
      <c r="J841" s="79"/>
      <c r="K841" s="39"/>
      <c r="L841" s="36"/>
      <c r="M841" s="36"/>
      <c r="N841" s="45"/>
    </row>
    <row r="842">
      <c r="A842" s="36"/>
      <c r="B842" s="36"/>
      <c r="C842" s="36"/>
      <c r="D842" s="36"/>
      <c r="E842" s="36"/>
      <c r="F842" s="36"/>
      <c r="G842" s="36"/>
      <c r="H842" s="36"/>
      <c r="I842" s="36"/>
      <c r="J842" s="79"/>
      <c r="K842" s="39"/>
      <c r="L842" s="36"/>
      <c r="M842" s="36"/>
      <c r="N842" s="45"/>
    </row>
    <row r="843">
      <c r="A843" s="36"/>
      <c r="B843" s="36"/>
      <c r="C843" s="36"/>
      <c r="D843" s="36"/>
      <c r="E843" s="36"/>
      <c r="F843" s="36"/>
      <c r="G843" s="36"/>
      <c r="H843" s="36"/>
      <c r="I843" s="36"/>
      <c r="J843" s="79"/>
      <c r="K843" s="39"/>
      <c r="L843" s="36"/>
      <c r="M843" s="36"/>
      <c r="N843" s="45"/>
    </row>
    <row r="844">
      <c r="A844" s="36"/>
      <c r="B844" s="36"/>
      <c r="C844" s="36"/>
      <c r="D844" s="36"/>
      <c r="E844" s="36"/>
      <c r="F844" s="36"/>
      <c r="G844" s="36"/>
      <c r="H844" s="36"/>
      <c r="I844" s="36"/>
      <c r="J844" s="79"/>
      <c r="K844" s="39"/>
      <c r="L844" s="36"/>
      <c r="M844" s="36"/>
      <c r="N844" s="45"/>
    </row>
    <row r="845">
      <c r="A845" s="36"/>
      <c r="B845" s="36"/>
      <c r="C845" s="36"/>
      <c r="D845" s="36"/>
      <c r="E845" s="36"/>
      <c r="F845" s="36"/>
      <c r="G845" s="36"/>
      <c r="H845" s="36"/>
      <c r="I845" s="36"/>
      <c r="J845" s="79"/>
      <c r="K845" s="39"/>
      <c r="L845" s="36"/>
      <c r="M845" s="36"/>
      <c r="N845" s="45"/>
    </row>
    <row r="846">
      <c r="A846" s="36"/>
      <c r="B846" s="36"/>
      <c r="C846" s="36"/>
      <c r="D846" s="36"/>
      <c r="E846" s="36"/>
      <c r="F846" s="36"/>
      <c r="G846" s="36"/>
      <c r="H846" s="36"/>
      <c r="I846" s="36"/>
      <c r="J846" s="79"/>
      <c r="K846" s="39"/>
      <c r="L846" s="36"/>
      <c r="M846" s="36"/>
      <c r="N846" s="79"/>
    </row>
    <row r="847">
      <c r="A847" s="36"/>
      <c r="B847" s="36"/>
      <c r="C847" s="36"/>
      <c r="D847" s="36"/>
      <c r="E847" s="36"/>
      <c r="F847" s="36"/>
      <c r="G847" s="36"/>
      <c r="H847" s="36"/>
      <c r="I847" s="36"/>
      <c r="J847" s="79"/>
      <c r="K847" s="39"/>
      <c r="L847" s="36"/>
      <c r="M847" s="36"/>
      <c r="N847" s="45"/>
    </row>
    <row r="848">
      <c r="A848" s="36"/>
      <c r="B848" s="36"/>
      <c r="C848" s="36"/>
      <c r="D848" s="36"/>
      <c r="E848" s="36"/>
      <c r="F848" s="36"/>
      <c r="G848" s="36"/>
      <c r="H848" s="36"/>
      <c r="I848" s="36"/>
      <c r="J848" s="79"/>
      <c r="K848" s="39"/>
      <c r="L848" s="36"/>
      <c r="M848" s="36"/>
      <c r="N848" s="45"/>
    </row>
    <row r="849">
      <c r="A849" s="36"/>
      <c r="B849" s="36"/>
      <c r="C849" s="36"/>
      <c r="D849" s="36"/>
      <c r="E849" s="36"/>
      <c r="F849" s="36"/>
      <c r="G849" s="36"/>
      <c r="H849" s="36"/>
      <c r="I849" s="36"/>
      <c r="J849" s="79"/>
      <c r="K849" s="39"/>
      <c r="L849" s="36"/>
      <c r="M849" s="36"/>
      <c r="N849" s="45"/>
    </row>
    <row r="850">
      <c r="A850" s="36"/>
      <c r="B850" s="36"/>
      <c r="C850" s="36"/>
      <c r="D850" s="36"/>
      <c r="E850" s="36"/>
      <c r="F850" s="36"/>
      <c r="G850" s="36"/>
      <c r="H850" s="36"/>
      <c r="I850" s="36"/>
      <c r="J850" s="79"/>
      <c r="K850" s="39"/>
      <c r="L850" s="36"/>
      <c r="M850" s="36"/>
      <c r="N850" s="45"/>
    </row>
    <row r="851">
      <c r="A851" s="36"/>
      <c r="B851" s="36"/>
      <c r="C851" s="36"/>
      <c r="D851" s="36"/>
      <c r="E851" s="36"/>
      <c r="F851" s="36"/>
      <c r="G851" s="36"/>
      <c r="H851" s="36"/>
      <c r="I851" s="36"/>
      <c r="J851" s="79"/>
      <c r="K851" s="39"/>
      <c r="L851" s="36"/>
      <c r="M851" s="36"/>
      <c r="N851" s="45"/>
    </row>
    <row r="852">
      <c r="A852" s="36"/>
      <c r="B852" s="36"/>
      <c r="C852" s="36"/>
      <c r="D852" s="36"/>
      <c r="E852" s="36"/>
      <c r="F852" s="36"/>
      <c r="G852" s="36"/>
      <c r="H852" s="36"/>
      <c r="I852" s="36"/>
      <c r="J852" s="79"/>
      <c r="K852" s="39"/>
      <c r="L852" s="36"/>
      <c r="M852" s="36"/>
      <c r="N852" s="45"/>
    </row>
    <row r="853">
      <c r="A853" s="36"/>
      <c r="B853" s="36"/>
      <c r="C853" s="36"/>
      <c r="D853" s="36"/>
      <c r="E853" s="36"/>
      <c r="F853" s="36"/>
      <c r="G853" s="36"/>
      <c r="H853" s="36"/>
      <c r="I853" s="36"/>
      <c r="J853" s="79"/>
      <c r="K853" s="39"/>
      <c r="L853" s="36"/>
      <c r="M853" s="36"/>
      <c r="N853" s="45"/>
    </row>
    <row r="854">
      <c r="A854" s="36"/>
      <c r="B854" s="36"/>
      <c r="C854" s="36"/>
      <c r="D854" s="36"/>
      <c r="E854" s="36"/>
      <c r="F854" s="36"/>
      <c r="G854" s="36"/>
      <c r="H854" s="36"/>
      <c r="I854" s="36"/>
      <c r="J854" s="79"/>
      <c r="K854" s="39"/>
      <c r="L854" s="36"/>
      <c r="M854" s="36"/>
      <c r="N854" s="45"/>
    </row>
    <row r="855">
      <c r="A855" s="36"/>
      <c r="B855" s="36"/>
      <c r="C855" s="36"/>
      <c r="D855" s="36"/>
      <c r="E855" s="36"/>
      <c r="F855" s="36"/>
      <c r="G855" s="36"/>
      <c r="H855" s="36"/>
      <c r="I855" s="36"/>
      <c r="J855" s="79"/>
      <c r="K855" s="39"/>
      <c r="L855" s="36"/>
      <c r="M855" s="36"/>
      <c r="N855" s="45"/>
    </row>
    <row r="856">
      <c r="A856" s="36"/>
      <c r="B856" s="36"/>
      <c r="C856" s="36"/>
      <c r="D856" s="36"/>
      <c r="E856" s="36"/>
      <c r="F856" s="36"/>
      <c r="G856" s="36"/>
      <c r="H856" s="36"/>
      <c r="I856" s="36"/>
      <c r="J856" s="79"/>
      <c r="K856" s="39"/>
      <c r="L856" s="36"/>
      <c r="M856" s="36"/>
      <c r="N856" s="45"/>
    </row>
    <row r="857">
      <c r="A857" s="36"/>
      <c r="B857" s="36"/>
      <c r="C857" s="36"/>
      <c r="D857" s="36"/>
      <c r="E857" s="36"/>
      <c r="F857" s="36"/>
      <c r="G857" s="36"/>
      <c r="H857" s="36"/>
      <c r="I857" s="36"/>
      <c r="J857" s="79"/>
      <c r="K857" s="39"/>
      <c r="L857" s="36"/>
      <c r="M857" s="36"/>
      <c r="N857" s="45"/>
    </row>
    <row r="858">
      <c r="A858" s="36"/>
      <c r="B858" s="36"/>
      <c r="C858" s="36"/>
      <c r="D858" s="36"/>
      <c r="E858" s="36"/>
      <c r="F858" s="36"/>
      <c r="G858" s="36"/>
      <c r="H858" s="36"/>
      <c r="I858" s="36"/>
      <c r="J858" s="79"/>
      <c r="K858" s="39"/>
      <c r="L858" s="36"/>
      <c r="M858" s="36"/>
      <c r="N858" s="45"/>
    </row>
    <row r="859">
      <c r="A859" s="36"/>
      <c r="B859" s="36"/>
      <c r="C859" s="36"/>
      <c r="D859" s="36"/>
      <c r="E859" s="36"/>
      <c r="F859" s="36"/>
      <c r="G859" s="36"/>
      <c r="H859" s="36"/>
      <c r="I859" s="36"/>
      <c r="J859" s="79"/>
      <c r="K859" s="39"/>
      <c r="L859" s="36"/>
      <c r="M859" s="36"/>
      <c r="N859" s="45"/>
    </row>
    <row r="860">
      <c r="A860" s="36"/>
      <c r="B860" s="36"/>
      <c r="C860" s="36"/>
      <c r="D860" s="36"/>
      <c r="E860" s="36"/>
      <c r="F860" s="36"/>
      <c r="G860" s="36"/>
      <c r="H860" s="36"/>
      <c r="I860" s="36"/>
      <c r="J860" s="79"/>
      <c r="K860" s="39"/>
      <c r="L860" s="36"/>
      <c r="M860" s="36"/>
      <c r="N860" s="45"/>
    </row>
    <row r="861">
      <c r="A861" s="36"/>
      <c r="B861" s="36"/>
      <c r="C861" s="36"/>
      <c r="D861" s="36"/>
      <c r="E861" s="36"/>
      <c r="F861" s="36"/>
      <c r="G861" s="36"/>
      <c r="H861" s="36"/>
      <c r="I861" s="36"/>
      <c r="J861" s="79"/>
      <c r="K861" s="39"/>
      <c r="L861" s="36"/>
      <c r="M861" s="36"/>
      <c r="N861" s="45"/>
    </row>
    <row r="862">
      <c r="A862" s="36"/>
      <c r="B862" s="36"/>
      <c r="C862" s="36"/>
      <c r="D862" s="36"/>
      <c r="E862" s="36"/>
      <c r="F862" s="36"/>
      <c r="G862" s="36"/>
      <c r="H862" s="36"/>
      <c r="I862" s="36"/>
      <c r="J862" s="79"/>
      <c r="K862" s="39"/>
      <c r="L862" s="36"/>
      <c r="M862" s="36"/>
      <c r="N862" s="45"/>
    </row>
    <row r="863">
      <c r="A863" s="36"/>
      <c r="B863" s="36"/>
      <c r="C863" s="36"/>
      <c r="D863" s="36"/>
      <c r="E863" s="36"/>
      <c r="F863" s="36"/>
      <c r="G863" s="36"/>
      <c r="H863" s="36"/>
      <c r="I863" s="36"/>
      <c r="J863" s="79"/>
      <c r="K863" s="39"/>
      <c r="L863" s="36"/>
      <c r="M863" s="36"/>
      <c r="N863" s="45"/>
    </row>
    <row r="864">
      <c r="A864" s="36"/>
      <c r="B864" s="36"/>
      <c r="C864" s="36"/>
      <c r="D864" s="36"/>
      <c r="E864" s="36"/>
      <c r="F864" s="36"/>
      <c r="G864" s="36"/>
      <c r="H864" s="36"/>
      <c r="I864" s="36"/>
      <c r="J864" s="79"/>
      <c r="K864" s="39"/>
      <c r="L864" s="36"/>
      <c r="M864" s="36"/>
      <c r="N864" s="45"/>
    </row>
    <row r="865">
      <c r="A865" s="36"/>
      <c r="B865" s="36"/>
      <c r="C865" s="36"/>
      <c r="D865" s="36"/>
      <c r="E865" s="36"/>
      <c r="F865" s="36"/>
      <c r="G865" s="36"/>
      <c r="H865" s="36"/>
      <c r="I865" s="36"/>
      <c r="J865" s="79"/>
      <c r="K865" s="39"/>
      <c r="L865" s="36"/>
      <c r="M865" s="36"/>
      <c r="N865" s="45"/>
    </row>
    <row r="866">
      <c r="A866" s="36"/>
      <c r="B866" s="36"/>
      <c r="C866" s="36"/>
      <c r="D866" s="36"/>
      <c r="E866" s="36"/>
      <c r="F866" s="36"/>
      <c r="G866" s="36"/>
      <c r="H866" s="36"/>
      <c r="I866" s="36"/>
      <c r="J866" s="79"/>
      <c r="K866" s="39"/>
      <c r="L866" s="36"/>
      <c r="M866" s="36"/>
      <c r="N866" s="45"/>
    </row>
    <row r="867">
      <c r="A867" s="36"/>
      <c r="B867" s="36"/>
      <c r="C867" s="36"/>
      <c r="D867" s="36"/>
      <c r="E867" s="36"/>
      <c r="F867" s="36"/>
      <c r="G867" s="36"/>
      <c r="H867" s="36"/>
      <c r="I867" s="36"/>
      <c r="J867" s="79"/>
      <c r="K867" s="39"/>
      <c r="L867" s="36"/>
      <c r="M867" s="36"/>
      <c r="N867" s="45"/>
    </row>
    <row r="868">
      <c r="A868" s="36"/>
      <c r="B868" s="36"/>
      <c r="C868" s="36"/>
      <c r="D868" s="36"/>
      <c r="E868" s="36"/>
      <c r="F868" s="36"/>
      <c r="G868" s="36"/>
      <c r="H868" s="36"/>
      <c r="I868" s="36"/>
      <c r="J868" s="79"/>
      <c r="K868" s="39"/>
      <c r="L868" s="36"/>
      <c r="M868" s="36"/>
      <c r="N868" s="45"/>
    </row>
    <row r="869">
      <c r="A869" s="36"/>
      <c r="B869" s="36"/>
      <c r="C869" s="36"/>
      <c r="D869" s="36"/>
      <c r="E869" s="36"/>
      <c r="F869" s="36"/>
      <c r="G869" s="36"/>
      <c r="H869" s="36"/>
      <c r="I869" s="36"/>
      <c r="J869" s="79"/>
      <c r="K869" s="39"/>
      <c r="L869" s="36"/>
      <c r="M869" s="36"/>
      <c r="N869" s="45"/>
    </row>
    <row r="870">
      <c r="A870" s="36"/>
      <c r="B870" s="36"/>
      <c r="C870" s="36"/>
      <c r="D870" s="36"/>
      <c r="E870" s="36"/>
      <c r="F870" s="36"/>
      <c r="G870" s="36"/>
      <c r="H870" s="36"/>
      <c r="I870" s="36"/>
      <c r="J870" s="79"/>
      <c r="K870" s="39"/>
      <c r="L870" s="36"/>
      <c r="M870" s="36"/>
      <c r="N870" s="45"/>
    </row>
    <row r="871">
      <c r="A871" s="36"/>
      <c r="B871" s="36"/>
      <c r="C871" s="36"/>
      <c r="D871" s="36"/>
      <c r="E871" s="36"/>
      <c r="F871" s="36"/>
      <c r="G871" s="36"/>
      <c r="H871" s="36"/>
      <c r="I871" s="36"/>
      <c r="J871" s="45"/>
      <c r="K871" s="39"/>
      <c r="L871" s="36"/>
      <c r="M871" s="36"/>
      <c r="N871" s="79"/>
    </row>
    <row r="872">
      <c r="A872" s="36"/>
      <c r="B872" s="36"/>
      <c r="C872" s="36"/>
      <c r="D872" s="36"/>
      <c r="E872" s="36"/>
      <c r="F872" s="36"/>
      <c r="G872" s="36"/>
      <c r="H872" s="36"/>
      <c r="I872" s="36"/>
      <c r="J872" s="79"/>
      <c r="K872" s="39"/>
      <c r="L872" s="36"/>
      <c r="M872" s="36"/>
      <c r="N872" s="45"/>
    </row>
    <row r="873">
      <c r="A873" s="36"/>
      <c r="B873" s="36"/>
      <c r="C873" s="36"/>
      <c r="D873" s="36"/>
      <c r="E873" s="36"/>
      <c r="F873" s="36"/>
      <c r="G873" s="36"/>
      <c r="H873" s="36"/>
      <c r="I873" s="36"/>
      <c r="J873" s="79"/>
      <c r="K873" s="39"/>
      <c r="L873" s="36"/>
      <c r="M873" s="36"/>
      <c r="N873" s="45"/>
    </row>
    <row r="874">
      <c r="A874" s="36"/>
      <c r="B874" s="36"/>
      <c r="C874" s="36"/>
      <c r="D874" s="36"/>
      <c r="E874" s="36"/>
      <c r="F874" s="36"/>
      <c r="G874" s="36"/>
      <c r="H874" s="36"/>
      <c r="I874" s="36"/>
      <c r="J874" s="79"/>
      <c r="K874" s="39"/>
      <c r="L874" s="36"/>
      <c r="M874" s="36"/>
      <c r="N874" s="45"/>
    </row>
    <row r="875">
      <c r="A875" s="36"/>
      <c r="B875" s="36"/>
      <c r="C875" s="36"/>
      <c r="D875" s="36"/>
      <c r="E875" s="36"/>
      <c r="F875" s="36"/>
      <c r="G875" s="36"/>
      <c r="H875" s="36"/>
      <c r="I875" s="36"/>
      <c r="J875" s="45"/>
      <c r="K875" s="39"/>
      <c r="L875" s="36"/>
      <c r="M875" s="36"/>
      <c r="N875" s="79"/>
    </row>
    <row r="876">
      <c r="A876" s="36"/>
      <c r="B876" s="36"/>
      <c r="C876" s="36"/>
      <c r="D876" s="36"/>
      <c r="E876" s="36"/>
      <c r="F876" s="36"/>
      <c r="G876" s="36"/>
      <c r="H876" s="36"/>
      <c r="I876" s="36"/>
      <c r="J876" s="79"/>
      <c r="K876" s="39"/>
      <c r="L876" s="36"/>
      <c r="M876" s="36"/>
      <c r="N876" s="79"/>
    </row>
    <row r="877">
      <c r="A877" s="36"/>
      <c r="B877" s="36"/>
      <c r="C877" s="36"/>
      <c r="D877" s="36"/>
      <c r="E877" s="36"/>
      <c r="F877" s="36"/>
      <c r="G877" s="36"/>
      <c r="H877" s="36"/>
      <c r="I877" s="36"/>
      <c r="J877" s="79"/>
      <c r="K877" s="39"/>
      <c r="L877" s="36"/>
      <c r="M877" s="36"/>
      <c r="N877" s="45"/>
    </row>
    <row r="878">
      <c r="A878" s="36"/>
      <c r="B878" s="36"/>
      <c r="C878" s="36"/>
      <c r="D878" s="36"/>
      <c r="E878" s="36"/>
      <c r="F878" s="36"/>
      <c r="G878" s="36"/>
      <c r="H878" s="36"/>
      <c r="I878" s="36"/>
      <c r="J878" s="79"/>
      <c r="K878" s="39"/>
      <c r="L878" s="36"/>
      <c r="M878" s="36"/>
      <c r="N878" s="45"/>
    </row>
    <row r="879">
      <c r="A879" s="36"/>
      <c r="B879" s="36"/>
      <c r="C879" s="36"/>
      <c r="D879" s="36"/>
      <c r="E879" s="36"/>
      <c r="F879" s="36"/>
      <c r="G879" s="36"/>
      <c r="H879" s="36"/>
      <c r="I879" s="36"/>
      <c r="J879" s="79"/>
      <c r="K879" s="39"/>
      <c r="L879" s="36"/>
      <c r="M879" s="36"/>
      <c r="N879" s="79"/>
    </row>
    <row r="880">
      <c r="A880" s="36"/>
      <c r="B880" s="36"/>
      <c r="C880" s="36"/>
      <c r="D880" s="36"/>
      <c r="E880" s="36"/>
      <c r="F880" s="36"/>
      <c r="G880" s="36"/>
      <c r="H880" s="36"/>
      <c r="I880" s="36"/>
      <c r="J880" s="79"/>
      <c r="K880" s="39"/>
      <c r="L880" s="36"/>
      <c r="M880" s="36"/>
      <c r="N880" s="45"/>
    </row>
    <row r="881">
      <c r="A881" s="36"/>
      <c r="B881" s="36"/>
      <c r="C881" s="36"/>
      <c r="D881" s="36"/>
      <c r="E881" s="36"/>
      <c r="F881" s="36"/>
      <c r="G881" s="36"/>
      <c r="H881" s="36"/>
      <c r="I881" s="36"/>
      <c r="J881" s="79"/>
      <c r="K881" s="39"/>
      <c r="L881" s="36"/>
      <c r="M881" s="36"/>
      <c r="N881" s="45"/>
    </row>
    <row r="882">
      <c r="A882" s="36"/>
      <c r="B882" s="36"/>
      <c r="C882" s="36"/>
      <c r="D882" s="36"/>
      <c r="E882" s="36"/>
      <c r="F882" s="36"/>
      <c r="G882" s="36"/>
      <c r="H882" s="36"/>
      <c r="I882" s="36"/>
      <c r="J882" s="79"/>
      <c r="K882" s="39"/>
      <c r="L882" s="36"/>
      <c r="M882" s="36"/>
      <c r="N882" s="45"/>
    </row>
    <row r="883">
      <c r="A883" s="36"/>
      <c r="B883" s="36"/>
      <c r="C883" s="36"/>
      <c r="D883" s="36"/>
      <c r="E883" s="36"/>
      <c r="F883" s="36"/>
      <c r="G883" s="36"/>
      <c r="H883" s="36"/>
      <c r="I883" s="36"/>
      <c r="J883" s="79"/>
      <c r="K883" s="39"/>
      <c r="L883" s="36"/>
      <c r="M883" s="36"/>
      <c r="N883" s="45"/>
    </row>
    <row r="884">
      <c r="A884" s="36"/>
      <c r="B884" s="36"/>
      <c r="C884" s="36"/>
      <c r="D884" s="36"/>
      <c r="E884" s="36"/>
      <c r="F884" s="36"/>
      <c r="G884" s="36"/>
      <c r="H884" s="36"/>
      <c r="I884" s="36"/>
      <c r="J884" s="79"/>
      <c r="K884" s="39"/>
      <c r="L884" s="36"/>
      <c r="M884" s="36"/>
      <c r="N884" s="45"/>
    </row>
    <row r="885">
      <c r="A885" s="36"/>
      <c r="B885" s="36"/>
      <c r="C885" s="36"/>
      <c r="D885" s="36"/>
      <c r="E885" s="36"/>
      <c r="F885" s="36"/>
      <c r="G885" s="36"/>
      <c r="H885" s="36"/>
      <c r="I885" s="36"/>
      <c r="J885" s="79"/>
      <c r="K885" s="39"/>
      <c r="L885" s="36"/>
      <c r="M885" s="36"/>
      <c r="N885" s="45"/>
    </row>
    <row r="886">
      <c r="A886" s="36"/>
      <c r="B886" s="36"/>
      <c r="C886" s="36"/>
      <c r="D886" s="36"/>
      <c r="E886" s="36"/>
      <c r="F886" s="36"/>
      <c r="G886" s="36"/>
      <c r="H886" s="36"/>
      <c r="I886" s="36"/>
      <c r="J886" s="79"/>
      <c r="K886" s="39"/>
      <c r="L886" s="36"/>
      <c r="M886" s="36"/>
      <c r="N886" s="45"/>
    </row>
    <row r="887">
      <c r="A887" s="36"/>
      <c r="B887" s="36"/>
      <c r="C887" s="36"/>
      <c r="D887" s="36"/>
      <c r="E887" s="36"/>
      <c r="F887" s="36"/>
      <c r="G887" s="36"/>
      <c r="H887" s="36"/>
      <c r="I887" s="36"/>
      <c r="J887" s="79"/>
      <c r="K887" s="39"/>
      <c r="L887" s="36"/>
      <c r="M887" s="36"/>
      <c r="N887" s="45"/>
    </row>
    <row r="888">
      <c r="A888" s="36"/>
      <c r="B888" s="36"/>
      <c r="C888" s="36"/>
      <c r="D888" s="36"/>
      <c r="E888" s="36"/>
      <c r="F888" s="36"/>
      <c r="G888" s="36"/>
      <c r="H888" s="36"/>
      <c r="I888" s="36"/>
      <c r="J888" s="79"/>
      <c r="K888" s="39"/>
      <c r="L888" s="36"/>
      <c r="M888" s="36"/>
      <c r="N888" s="45"/>
    </row>
    <row r="889">
      <c r="A889" s="36"/>
      <c r="B889" s="36"/>
      <c r="C889" s="36"/>
      <c r="D889" s="36"/>
      <c r="E889" s="36"/>
      <c r="F889" s="36"/>
      <c r="G889" s="36"/>
      <c r="H889" s="36"/>
      <c r="I889" s="36"/>
      <c r="J889" s="79"/>
      <c r="K889" s="39"/>
      <c r="L889" s="36"/>
      <c r="M889" s="36"/>
      <c r="N889" s="45"/>
    </row>
    <row r="890">
      <c r="A890" s="36"/>
      <c r="B890" s="36"/>
      <c r="C890" s="36"/>
      <c r="D890" s="36"/>
      <c r="E890" s="36"/>
      <c r="F890" s="36"/>
      <c r="G890" s="36"/>
      <c r="H890" s="36"/>
      <c r="I890" s="36"/>
      <c r="J890" s="79"/>
      <c r="K890" s="39"/>
      <c r="L890" s="36"/>
      <c r="M890" s="36"/>
      <c r="N890" s="45"/>
    </row>
    <row r="891">
      <c r="A891" s="36"/>
      <c r="B891" s="36"/>
      <c r="C891" s="36"/>
      <c r="D891" s="36"/>
      <c r="E891" s="36"/>
      <c r="F891" s="36"/>
      <c r="G891" s="36"/>
      <c r="H891" s="36"/>
      <c r="I891" s="36"/>
      <c r="J891" s="79"/>
      <c r="K891" s="39"/>
      <c r="L891" s="36"/>
      <c r="M891" s="36"/>
      <c r="N891" s="45"/>
    </row>
    <row r="892">
      <c r="A892" s="36"/>
      <c r="B892" s="36"/>
      <c r="C892" s="36"/>
      <c r="D892" s="36"/>
      <c r="E892" s="36"/>
      <c r="F892" s="36"/>
      <c r="G892" s="36"/>
      <c r="H892" s="36"/>
      <c r="I892" s="36"/>
      <c r="J892" s="79"/>
      <c r="K892" s="39"/>
      <c r="L892" s="36"/>
      <c r="M892" s="36"/>
      <c r="N892" s="79"/>
    </row>
    <row r="893">
      <c r="A893" s="36"/>
      <c r="B893" s="36"/>
      <c r="C893" s="36"/>
      <c r="D893" s="36"/>
      <c r="E893" s="36"/>
      <c r="F893" s="36"/>
      <c r="G893" s="36"/>
      <c r="H893" s="36"/>
      <c r="I893" s="36"/>
      <c r="J893" s="79"/>
      <c r="K893" s="39"/>
      <c r="L893" s="36"/>
      <c r="M893" s="36"/>
      <c r="N893" s="45"/>
    </row>
    <row r="894">
      <c r="A894" s="36"/>
      <c r="B894" s="36"/>
      <c r="C894" s="36"/>
      <c r="D894" s="36"/>
      <c r="E894" s="36"/>
      <c r="F894" s="36"/>
      <c r="G894" s="36"/>
      <c r="H894" s="36"/>
      <c r="I894" s="36"/>
      <c r="J894" s="79"/>
      <c r="K894" s="39"/>
      <c r="L894" s="36"/>
      <c r="M894" s="36"/>
      <c r="N894" s="45"/>
    </row>
    <row r="895">
      <c r="A895" s="36"/>
      <c r="B895" s="36"/>
      <c r="C895" s="36"/>
      <c r="D895" s="36"/>
      <c r="E895" s="36"/>
      <c r="F895" s="36"/>
      <c r="G895" s="36"/>
      <c r="H895" s="36"/>
      <c r="I895" s="36"/>
      <c r="J895" s="79"/>
      <c r="K895" s="39"/>
      <c r="L895" s="36"/>
      <c r="M895" s="36"/>
      <c r="N895" s="45"/>
    </row>
    <row r="896">
      <c r="A896" s="36"/>
      <c r="B896" s="36"/>
      <c r="C896" s="36"/>
      <c r="D896" s="36"/>
      <c r="E896" s="36"/>
      <c r="F896" s="36"/>
      <c r="G896" s="36"/>
      <c r="H896" s="36"/>
      <c r="I896" s="36"/>
      <c r="J896" s="79"/>
      <c r="K896" s="39"/>
      <c r="L896" s="36"/>
      <c r="M896" s="36"/>
      <c r="N896" s="45"/>
    </row>
    <row r="897">
      <c r="A897" s="36"/>
      <c r="B897" s="36"/>
      <c r="C897" s="36"/>
      <c r="D897" s="36"/>
      <c r="E897" s="36"/>
      <c r="F897" s="36"/>
      <c r="G897" s="36"/>
      <c r="H897" s="36"/>
      <c r="I897" s="36"/>
      <c r="J897" s="79"/>
      <c r="K897" s="39"/>
      <c r="L897" s="36"/>
      <c r="M897" s="36"/>
      <c r="N897" s="45"/>
    </row>
    <row r="898">
      <c r="A898" s="36"/>
      <c r="B898" s="36"/>
      <c r="C898" s="36"/>
      <c r="D898" s="36"/>
      <c r="E898" s="36"/>
      <c r="F898" s="36"/>
      <c r="G898" s="36"/>
      <c r="H898" s="36"/>
      <c r="I898" s="36"/>
      <c r="J898" s="79"/>
      <c r="K898" s="39"/>
      <c r="L898" s="36"/>
      <c r="M898" s="36"/>
      <c r="N898" s="45"/>
    </row>
    <row r="899">
      <c r="A899" s="36"/>
      <c r="B899" s="36"/>
      <c r="C899" s="36"/>
      <c r="D899" s="36"/>
      <c r="E899" s="36"/>
      <c r="F899" s="36"/>
      <c r="G899" s="36"/>
      <c r="H899" s="36"/>
      <c r="I899" s="36"/>
      <c r="J899" s="79"/>
      <c r="K899" s="39"/>
      <c r="L899" s="36"/>
      <c r="M899" s="36"/>
      <c r="N899" s="45"/>
    </row>
    <row r="900">
      <c r="A900" s="36"/>
      <c r="B900" s="36"/>
      <c r="C900" s="36"/>
      <c r="D900" s="36"/>
      <c r="E900" s="36"/>
      <c r="F900" s="36"/>
      <c r="G900" s="36"/>
      <c r="H900" s="36"/>
      <c r="I900" s="36"/>
      <c r="J900" s="79"/>
      <c r="K900" s="39"/>
      <c r="L900" s="36"/>
      <c r="M900" s="36"/>
      <c r="N900" s="45"/>
    </row>
    <row r="901">
      <c r="A901" s="36"/>
      <c r="B901" s="36"/>
      <c r="C901" s="36"/>
      <c r="D901" s="36"/>
      <c r="E901" s="36"/>
      <c r="F901" s="36"/>
      <c r="G901" s="36"/>
      <c r="H901" s="36"/>
      <c r="I901" s="36"/>
      <c r="J901" s="79"/>
      <c r="K901" s="39"/>
      <c r="L901" s="36"/>
      <c r="M901" s="36"/>
      <c r="N901" s="45"/>
    </row>
    <row r="902">
      <c r="A902" s="36"/>
      <c r="B902" s="36"/>
      <c r="C902" s="36"/>
      <c r="D902" s="36"/>
      <c r="E902" s="36"/>
      <c r="F902" s="36"/>
      <c r="G902" s="36"/>
      <c r="H902" s="36"/>
      <c r="I902" s="36"/>
      <c r="J902" s="79"/>
      <c r="K902" s="39"/>
      <c r="L902" s="36"/>
      <c r="M902" s="36"/>
      <c r="N902" s="45"/>
    </row>
    <row r="903">
      <c r="A903" s="36"/>
      <c r="B903" s="36"/>
      <c r="C903" s="36"/>
      <c r="D903" s="36"/>
      <c r="E903" s="36"/>
      <c r="F903" s="36"/>
      <c r="G903" s="36"/>
      <c r="H903" s="36"/>
      <c r="I903" s="36"/>
      <c r="J903" s="79"/>
      <c r="K903" s="39"/>
      <c r="L903" s="36"/>
      <c r="M903" s="36"/>
      <c r="N903" s="45"/>
    </row>
    <row r="904">
      <c r="A904" s="36"/>
      <c r="B904" s="36"/>
      <c r="C904" s="36"/>
      <c r="D904" s="36"/>
      <c r="E904" s="36"/>
      <c r="F904" s="36"/>
      <c r="G904" s="36"/>
      <c r="H904" s="36"/>
      <c r="I904" s="36"/>
      <c r="J904" s="79"/>
      <c r="K904" s="39"/>
      <c r="L904" s="36"/>
      <c r="M904" s="36"/>
      <c r="N904" s="45"/>
    </row>
    <row r="905">
      <c r="A905" s="36"/>
      <c r="B905" s="36"/>
      <c r="C905" s="36"/>
      <c r="D905" s="36"/>
      <c r="E905" s="36"/>
      <c r="F905" s="36"/>
      <c r="G905" s="36"/>
      <c r="H905" s="36"/>
      <c r="I905" s="36"/>
      <c r="J905" s="79"/>
      <c r="K905" s="39"/>
      <c r="L905" s="36"/>
      <c r="M905" s="36"/>
      <c r="N905" s="45"/>
    </row>
    <row r="906">
      <c r="A906" s="36"/>
      <c r="B906" s="36"/>
      <c r="C906" s="36"/>
      <c r="D906" s="36"/>
      <c r="E906" s="36"/>
      <c r="F906" s="36"/>
      <c r="G906" s="36"/>
      <c r="H906" s="36"/>
      <c r="I906" s="36"/>
      <c r="J906" s="79"/>
      <c r="K906" s="39"/>
      <c r="L906" s="36"/>
      <c r="M906" s="36"/>
      <c r="N906" s="45"/>
    </row>
    <row r="907">
      <c r="A907" s="36"/>
      <c r="B907" s="36"/>
      <c r="C907" s="36"/>
      <c r="D907" s="36"/>
      <c r="E907" s="36"/>
      <c r="F907" s="36"/>
      <c r="G907" s="36"/>
      <c r="H907" s="36"/>
      <c r="I907" s="36"/>
      <c r="J907" s="79"/>
      <c r="K907" s="39"/>
      <c r="L907" s="36"/>
      <c r="M907" s="36"/>
      <c r="N907" s="45"/>
    </row>
    <row r="908">
      <c r="A908" s="36"/>
      <c r="B908" s="36"/>
      <c r="C908" s="36"/>
      <c r="D908" s="36"/>
      <c r="E908" s="36"/>
      <c r="F908" s="36"/>
      <c r="G908" s="36"/>
      <c r="H908" s="36"/>
      <c r="I908" s="36"/>
      <c r="J908" s="79"/>
      <c r="K908" s="39"/>
      <c r="L908" s="36"/>
      <c r="M908" s="36"/>
      <c r="N908" s="45"/>
    </row>
    <row r="909">
      <c r="A909" s="36"/>
      <c r="B909" s="36"/>
      <c r="C909" s="36"/>
      <c r="D909" s="36"/>
      <c r="E909" s="36"/>
      <c r="F909" s="36"/>
      <c r="G909" s="36"/>
      <c r="H909" s="36"/>
      <c r="I909" s="36"/>
      <c r="J909" s="79"/>
      <c r="K909" s="39"/>
      <c r="L909" s="36"/>
      <c r="M909" s="36"/>
      <c r="N909" s="45"/>
    </row>
    <row r="910">
      <c r="A910" s="36"/>
      <c r="B910" s="36"/>
      <c r="C910" s="36"/>
      <c r="D910" s="36"/>
      <c r="E910" s="36"/>
      <c r="F910" s="36"/>
      <c r="G910" s="36"/>
      <c r="H910" s="36"/>
      <c r="I910" s="36"/>
      <c r="J910" s="79"/>
      <c r="K910" s="39"/>
      <c r="L910" s="36"/>
      <c r="M910" s="36"/>
      <c r="N910" s="79"/>
    </row>
    <row r="911">
      <c r="A911" s="36"/>
      <c r="B911" s="36"/>
      <c r="C911" s="36"/>
      <c r="D911" s="36"/>
      <c r="E911" s="36"/>
      <c r="F911" s="36"/>
      <c r="G911" s="36"/>
      <c r="H911" s="36"/>
      <c r="I911" s="36"/>
      <c r="J911" s="79"/>
      <c r="K911" s="39"/>
      <c r="L911" s="36"/>
      <c r="M911" s="36"/>
      <c r="N911" s="45"/>
    </row>
    <row r="912">
      <c r="A912" s="36"/>
      <c r="B912" s="36"/>
      <c r="C912" s="36"/>
      <c r="D912" s="36"/>
      <c r="E912" s="36"/>
      <c r="F912" s="36"/>
      <c r="G912" s="36"/>
      <c r="H912" s="36"/>
      <c r="I912" s="36"/>
      <c r="J912" s="79"/>
      <c r="K912" s="39"/>
      <c r="L912" s="36"/>
      <c r="M912" s="36"/>
      <c r="N912" s="45"/>
    </row>
    <row r="913">
      <c r="A913" s="36"/>
      <c r="B913" s="36"/>
      <c r="C913" s="36"/>
      <c r="D913" s="36"/>
      <c r="E913" s="36"/>
      <c r="F913" s="36"/>
      <c r="G913" s="36"/>
      <c r="H913" s="36"/>
      <c r="I913" s="36"/>
      <c r="J913" s="79"/>
      <c r="K913" s="39"/>
      <c r="L913" s="36"/>
      <c r="M913" s="36"/>
      <c r="N913" s="79"/>
    </row>
    <row r="914">
      <c r="A914" s="36"/>
      <c r="B914" s="36"/>
      <c r="C914" s="36"/>
      <c r="D914" s="36"/>
      <c r="E914" s="36"/>
      <c r="F914" s="36"/>
      <c r="G914" s="36"/>
      <c r="H914" s="36"/>
      <c r="I914" s="36"/>
      <c r="J914" s="79"/>
      <c r="K914" s="39"/>
      <c r="L914" s="36"/>
      <c r="M914" s="36"/>
      <c r="N914" s="45"/>
    </row>
    <row r="915">
      <c r="A915" s="36"/>
      <c r="B915" s="36"/>
      <c r="C915" s="36"/>
      <c r="D915" s="36"/>
      <c r="E915" s="36"/>
      <c r="F915" s="36"/>
      <c r="G915" s="36"/>
      <c r="H915" s="36"/>
      <c r="I915" s="36"/>
      <c r="J915" s="79"/>
      <c r="K915" s="39"/>
      <c r="L915" s="36"/>
      <c r="M915" s="36"/>
      <c r="N915" s="45"/>
    </row>
    <row r="916">
      <c r="A916" s="36"/>
      <c r="B916" s="36"/>
      <c r="C916" s="36"/>
      <c r="D916" s="36"/>
      <c r="E916" s="36"/>
      <c r="F916" s="36"/>
      <c r="G916" s="36"/>
      <c r="H916" s="36"/>
      <c r="I916" s="36"/>
      <c r="J916" s="79"/>
      <c r="K916" s="39"/>
      <c r="L916" s="36"/>
      <c r="M916" s="36"/>
      <c r="N916" s="79"/>
    </row>
    <row r="917">
      <c r="A917" s="36"/>
      <c r="B917" s="36"/>
      <c r="C917" s="36"/>
      <c r="D917" s="36"/>
      <c r="E917" s="36"/>
      <c r="F917" s="36"/>
      <c r="G917" s="36"/>
      <c r="H917" s="36"/>
      <c r="I917" s="36"/>
      <c r="J917" s="79"/>
      <c r="K917" s="39"/>
      <c r="L917" s="36"/>
      <c r="M917" s="36"/>
      <c r="N917" s="45"/>
    </row>
    <row r="918">
      <c r="A918" s="36"/>
      <c r="B918" s="36"/>
      <c r="C918" s="36"/>
      <c r="D918" s="36"/>
      <c r="E918" s="36"/>
      <c r="F918" s="36"/>
      <c r="G918" s="36"/>
      <c r="H918" s="36"/>
      <c r="I918" s="36"/>
      <c r="J918" s="79"/>
      <c r="K918" s="39"/>
      <c r="L918" s="36"/>
      <c r="M918" s="36"/>
      <c r="N918" s="45"/>
    </row>
    <row r="919">
      <c r="A919" s="36"/>
      <c r="B919" s="36"/>
      <c r="C919" s="36"/>
      <c r="D919" s="36"/>
      <c r="E919" s="36"/>
      <c r="F919" s="36"/>
      <c r="G919" s="36"/>
      <c r="H919" s="36"/>
      <c r="I919" s="36"/>
      <c r="J919" s="79"/>
      <c r="K919" s="39"/>
      <c r="L919" s="36"/>
      <c r="M919" s="36"/>
      <c r="N919" s="79"/>
    </row>
    <row r="920">
      <c r="A920" s="36"/>
      <c r="B920" s="36"/>
      <c r="C920" s="36"/>
      <c r="D920" s="36"/>
      <c r="E920" s="36"/>
      <c r="F920" s="36"/>
      <c r="G920" s="36"/>
      <c r="H920" s="36"/>
      <c r="I920" s="36"/>
      <c r="J920" s="79"/>
      <c r="K920" s="39"/>
      <c r="L920" s="36"/>
      <c r="M920" s="36"/>
      <c r="N920" s="45"/>
    </row>
    <row r="921">
      <c r="A921" s="36"/>
      <c r="B921" s="36"/>
      <c r="C921" s="36"/>
      <c r="D921" s="36"/>
      <c r="E921" s="36"/>
      <c r="F921" s="36"/>
      <c r="G921" s="36"/>
      <c r="H921" s="36"/>
      <c r="I921" s="36"/>
      <c r="J921" s="79"/>
      <c r="K921" s="39"/>
      <c r="L921" s="36"/>
      <c r="M921" s="36"/>
      <c r="N921" s="79"/>
    </row>
    <row r="922">
      <c r="A922" s="36"/>
      <c r="B922" s="36"/>
      <c r="C922" s="36"/>
      <c r="D922" s="36"/>
      <c r="E922" s="36"/>
      <c r="F922" s="36"/>
      <c r="G922" s="36"/>
      <c r="H922" s="36"/>
      <c r="I922" s="36"/>
      <c r="J922" s="79"/>
      <c r="K922" s="39"/>
      <c r="L922" s="36"/>
      <c r="M922" s="36"/>
      <c r="N922" s="45"/>
    </row>
    <row r="923">
      <c r="A923" s="36"/>
      <c r="B923" s="36"/>
      <c r="C923" s="36"/>
      <c r="D923" s="36"/>
      <c r="E923" s="36"/>
      <c r="F923" s="36"/>
      <c r="G923" s="36"/>
      <c r="H923" s="36"/>
      <c r="I923" s="36"/>
      <c r="J923" s="79"/>
      <c r="K923" s="39"/>
      <c r="L923" s="36"/>
      <c r="M923" s="36"/>
      <c r="N923" s="45"/>
    </row>
    <row r="924">
      <c r="A924" s="36"/>
      <c r="B924" s="36"/>
      <c r="C924" s="36"/>
      <c r="D924" s="36"/>
      <c r="E924" s="36"/>
      <c r="F924" s="36"/>
      <c r="G924" s="36"/>
      <c r="H924" s="36"/>
      <c r="I924" s="36"/>
      <c r="J924" s="79"/>
      <c r="K924" s="39"/>
      <c r="L924" s="36"/>
      <c r="M924" s="36"/>
      <c r="N924" s="45"/>
    </row>
    <row r="925">
      <c r="A925" s="36"/>
      <c r="B925" s="36"/>
      <c r="C925" s="36"/>
      <c r="D925" s="36"/>
      <c r="E925" s="36"/>
      <c r="F925" s="36"/>
      <c r="G925" s="36"/>
      <c r="H925" s="36"/>
      <c r="I925" s="36"/>
      <c r="J925" s="79"/>
      <c r="K925" s="39"/>
      <c r="L925" s="36"/>
      <c r="M925" s="36"/>
      <c r="N925" s="45"/>
    </row>
    <row r="926">
      <c r="A926" s="36"/>
      <c r="B926" s="36"/>
      <c r="C926" s="36"/>
      <c r="D926" s="36"/>
      <c r="E926" s="36"/>
      <c r="F926" s="36"/>
      <c r="G926" s="36"/>
      <c r="H926" s="36"/>
      <c r="I926" s="36"/>
      <c r="J926" s="79"/>
      <c r="K926" s="39"/>
      <c r="L926" s="36"/>
      <c r="M926" s="36"/>
      <c r="N926" s="45"/>
    </row>
    <row r="927">
      <c r="A927" s="36"/>
      <c r="B927" s="36"/>
      <c r="C927" s="36"/>
      <c r="D927" s="36"/>
      <c r="E927" s="36"/>
      <c r="F927" s="36"/>
      <c r="G927" s="36"/>
      <c r="H927" s="36"/>
      <c r="I927" s="36"/>
      <c r="J927" s="79"/>
      <c r="K927" s="39"/>
      <c r="L927" s="36"/>
      <c r="M927" s="36"/>
      <c r="N927" s="79"/>
    </row>
    <row r="928">
      <c r="A928" s="36"/>
      <c r="B928" s="36"/>
      <c r="C928" s="36"/>
      <c r="D928" s="36"/>
      <c r="E928" s="36"/>
      <c r="F928" s="36"/>
      <c r="G928" s="36"/>
      <c r="H928" s="36"/>
      <c r="I928" s="36"/>
      <c r="J928" s="79"/>
      <c r="K928" s="39"/>
      <c r="L928" s="36"/>
      <c r="M928" s="36"/>
      <c r="N928" s="79"/>
    </row>
    <row r="929">
      <c r="A929" s="36"/>
      <c r="B929" s="36"/>
      <c r="C929" s="36"/>
      <c r="D929" s="36"/>
      <c r="E929" s="36"/>
      <c r="F929" s="36"/>
      <c r="G929" s="36"/>
      <c r="H929" s="36"/>
      <c r="I929" s="36"/>
      <c r="J929" s="79"/>
      <c r="K929" s="39"/>
      <c r="L929" s="36"/>
      <c r="M929" s="36"/>
      <c r="N929" s="45"/>
    </row>
    <row r="930">
      <c r="A930" s="36"/>
      <c r="B930" s="36"/>
      <c r="C930" s="36"/>
      <c r="D930" s="36"/>
      <c r="E930" s="36"/>
      <c r="F930" s="36"/>
      <c r="G930" s="36"/>
      <c r="H930" s="36"/>
      <c r="I930" s="36"/>
      <c r="J930" s="79"/>
      <c r="K930" s="39"/>
      <c r="L930" s="36"/>
      <c r="M930" s="36"/>
      <c r="N930" s="45"/>
    </row>
    <row r="931">
      <c r="A931" s="36"/>
      <c r="B931" s="36"/>
      <c r="C931" s="36"/>
      <c r="D931" s="36"/>
      <c r="E931" s="36"/>
      <c r="F931" s="36"/>
      <c r="G931" s="36"/>
      <c r="H931" s="36"/>
      <c r="I931" s="36"/>
      <c r="J931" s="79"/>
      <c r="K931" s="39"/>
      <c r="L931" s="36"/>
      <c r="M931" s="36"/>
      <c r="N931" s="45"/>
    </row>
    <row r="932">
      <c r="A932" s="36"/>
      <c r="B932" s="36"/>
      <c r="C932" s="36"/>
      <c r="D932" s="36"/>
      <c r="E932" s="36"/>
      <c r="F932" s="36"/>
      <c r="G932" s="36"/>
      <c r="H932" s="36"/>
      <c r="I932" s="36"/>
      <c r="J932" s="79"/>
      <c r="K932" s="39"/>
      <c r="L932" s="36"/>
      <c r="M932" s="36"/>
      <c r="N932" s="45"/>
    </row>
    <row r="933">
      <c r="A933" s="36"/>
      <c r="B933" s="36"/>
      <c r="C933" s="36"/>
      <c r="D933" s="36"/>
      <c r="E933" s="36"/>
      <c r="F933" s="36"/>
      <c r="G933" s="36"/>
      <c r="H933" s="36"/>
      <c r="I933" s="36"/>
      <c r="J933" s="79"/>
      <c r="K933" s="39"/>
      <c r="L933" s="36"/>
      <c r="M933" s="36"/>
      <c r="N933" s="79"/>
    </row>
    <row r="934">
      <c r="A934" s="36"/>
      <c r="B934" s="36"/>
      <c r="C934" s="36"/>
      <c r="D934" s="36"/>
      <c r="E934" s="36"/>
      <c r="F934" s="36"/>
      <c r="G934" s="36"/>
      <c r="H934" s="36"/>
      <c r="I934" s="36"/>
      <c r="J934" s="79"/>
      <c r="K934" s="39"/>
      <c r="L934" s="36"/>
      <c r="M934" s="36"/>
      <c r="N934" s="45"/>
    </row>
    <row r="935">
      <c r="A935" s="36"/>
      <c r="B935" s="36"/>
      <c r="C935" s="36"/>
      <c r="D935" s="36"/>
      <c r="E935" s="36"/>
      <c r="F935" s="36"/>
      <c r="G935" s="36"/>
      <c r="H935" s="36"/>
      <c r="I935" s="36"/>
      <c r="J935" s="79"/>
      <c r="K935" s="39"/>
      <c r="L935" s="36"/>
      <c r="M935" s="36"/>
      <c r="N935" s="45"/>
    </row>
    <row r="936">
      <c r="A936" s="36"/>
      <c r="B936" s="36"/>
      <c r="C936" s="36"/>
      <c r="D936" s="36"/>
      <c r="E936" s="36"/>
      <c r="F936" s="36"/>
      <c r="G936" s="36"/>
      <c r="H936" s="36"/>
      <c r="I936" s="36"/>
      <c r="J936" s="79"/>
      <c r="K936" s="39"/>
      <c r="L936" s="36"/>
      <c r="M936" s="36"/>
      <c r="N936" s="45"/>
    </row>
    <row r="937">
      <c r="A937" s="36"/>
      <c r="B937" s="36"/>
      <c r="C937" s="36"/>
      <c r="D937" s="36"/>
      <c r="E937" s="36"/>
      <c r="F937" s="36"/>
      <c r="G937" s="36"/>
      <c r="H937" s="36"/>
      <c r="I937" s="36"/>
      <c r="J937" s="79"/>
      <c r="K937" s="39"/>
      <c r="L937" s="36"/>
      <c r="M937" s="36"/>
      <c r="N937" s="79"/>
    </row>
    <row r="938">
      <c r="A938" s="36"/>
      <c r="B938" s="36"/>
      <c r="C938" s="36"/>
      <c r="D938" s="36"/>
      <c r="E938" s="36"/>
      <c r="F938" s="36"/>
      <c r="G938" s="36"/>
      <c r="H938" s="36"/>
      <c r="I938" s="36"/>
      <c r="J938" s="79"/>
      <c r="K938" s="39"/>
      <c r="L938" s="36"/>
      <c r="M938" s="36"/>
      <c r="N938" s="45"/>
    </row>
    <row r="939">
      <c r="A939" s="36"/>
      <c r="B939" s="36"/>
      <c r="C939" s="36"/>
      <c r="D939" s="36"/>
      <c r="E939" s="36"/>
      <c r="F939" s="36"/>
      <c r="G939" s="36"/>
      <c r="H939" s="36"/>
      <c r="I939" s="36"/>
      <c r="J939" s="79"/>
      <c r="K939" s="39"/>
      <c r="L939" s="36"/>
      <c r="M939" s="36"/>
      <c r="N939" s="45"/>
    </row>
    <row r="940">
      <c r="A940" s="36"/>
      <c r="B940" s="36"/>
      <c r="C940" s="36"/>
      <c r="D940" s="36"/>
      <c r="E940" s="36"/>
      <c r="F940" s="36"/>
      <c r="G940" s="36"/>
      <c r="H940" s="36"/>
      <c r="I940" s="36"/>
      <c r="J940" s="79"/>
      <c r="K940" s="39"/>
      <c r="L940" s="36"/>
      <c r="M940" s="36"/>
      <c r="N940" s="45"/>
    </row>
    <row r="941">
      <c r="A941" s="36"/>
      <c r="B941" s="36"/>
      <c r="C941" s="36"/>
      <c r="D941" s="36"/>
      <c r="E941" s="36"/>
      <c r="F941" s="36"/>
      <c r="G941" s="36"/>
      <c r="H941" s="36"/>
      <c r="I941" s="36"/>
      <c r="J941" s="79"/>
      <c r="K941" s="39"/>
      <c r="L941" s="36"/>
      <c r="M941" s="36"/>
      <c r="N941" s="45"/>
    </row>
    <row r="942">
      <c r="A942" s="36"/>
      <c r="B942" s="36"/>
      <c r="C942" s="36"/>
      <c r="D942" s="36"/>
      <c r="E942" s="36"/>
      <c r="F942" s="36"/>
      <c r="G942" s="36"/>
      <c r="H942" s="36"/>
      <c r="I942" s="36"/>
      <c r="J942" s="79"/>
      <c r="K942" s="39"/>
      <c r="L942" s="36"/>
      <c r="M942" s="36"/>
      <c r="N942" s="79"/>
    </row>
    <row r="943">
      <c r="A943" s="36"/>
      <c r="B943" s="36"/>
      <c r="C943" s="36"/>
      <c r="D943" s="36"/>
      <c r="E943" s="36"/>
      <c r="F943" s="36"/>
      <c r="G943" s="36"/>
      <c r="H943" s="36"/>
      <c r="I943" s="36"/>
      <c r="J943" s="79"/>
      <c r="K943" s="39"/>
      <c r="L943" s="36"/>
      <c r="M943" s="36"/>
      <c r="N943" s="45"/>
    </row>
    <row r="944">
      <c r="A944" s="36"/>
      <c r="B944" s="36"/>
      <c r="C944" s="36"/>
      <c r="D944" s="36"/>
      <c r="E944" s="36"/>
      <c r="F944" s="36"/>
      <c r="G944" s="36"/>
      <c r="H944" s="36"/>
      <c r="I944" s="36"/>
      <c r="J944" s="79"/>
      <c r="K944" s="39"/>
      <c r="L944" s="36"/>
      <c r="M944" s="36"/>
      <c r="N944" s="45"/>
    </row>
    <row r="945">
      <c r="A945" s="36"/>
      <c r="B945" s="36"/>
      <c r="C945" s="36"/>
      <c r="D945" s="36"/>
      <c r="E945" s="36"/>
      <c r="F945" s="36"/>
      <c r="G945" s="36"/>
      <c r="H945" s="36"/>
      <c r="I945" s="36"/>
      <c r="J945" s="79"/>
      <c r="K945" s="39"/>
      <c r="L945" s="36"/>
      <c r="M945" s="36"/>
      <c r="N945" s="45"/>
    </row>
    <row r="946">
      <c r="A946" s="36"/>
      <c r="B946" s="36"/>
      <c r="C946" s="36"/>
      <c r="D946" s="36"/>
      <c r="E946" s="36"/>
      <c r="F946" s="36"/>
      <c r="G946" s="36"/>
      <c r="H946" s="36"/>
      <c r="I946" s="36"/>
      <c r="J946" s="79"/>
      <c r="K946" s="39"/>
      <c r="L946" s="36"/>
      <c r="M946" s="36"/>
      <c r="N946" s="79"/>
    </row>
    <row r="947">
      <c r="A947" s="36"/>
      <c r="B947" s="36"/>
      <c r="C947" s="36"/>
      <c r="D947" s="36"/>
      <c r="E947" s="36"/>
      <c r="F947" s="36"/>
      <c r="G947" s="36"/>
      <c r="H947" s="36"/>
      <c r="I947" s="36"/>
      <c r="J947" s="79"/>
      <c r="K947" s="39"/>
      <c r="L947" s="36"/>
      <c r="M947" s="36"/>
      <c r="N947" s="79"/>
    </row>
    <row r="948">
      <c r="A948" s="36"/>
      <c r="B948" s="36"/>
      <c r="C948" s="36"/>
      <c r="D948" s="36"/>
      <c r="E948" s="36"/>
      <c r="F948" s="36"/>
      <c r="G948" s="36"/>
      <c r="H948" s="36"/>
      <c r="I948" s="36"/>
      <c r="J948" s="79"/>
      <c r="K948" s="39"/>
      <c r="L948" s="36"/>
      <c r="M948" s="36"/>
      <c r="N948" s="45"/>
    </row>
    <row r="949">
      <c r="A949" s="36"/>
      <c r="B949" s="36"/>
      <c r="C949" s="36"/>
      <c r="D949" s="36"/>
      <c r="E949" s="36"/>
      <c r="F949" s="36"/>
      <c r="G949" s="36"/>
      <c r="H949" s="36"/>
      <c r="I949" s="36"/>
      <c r="J949" s="79"/>
      <c r="K949" s="39"/>
      <c r="L949" s="36"/>
      <c r="M949" s="36"/>
      <c r="N949" s="45"/>
    </row>
    <row r="950">
      <c r="A950" s="36"/>
      <c r="B950" s="36"/>
      <c r="C950" s="36"/>
      <c r="D950" s="36"/>
      <c r="E950" s="36"/>
      <c r="F950" s="36"/>
      <c r="G950" s="36"/>
      <c r="H950" s="36"/>
      <c r="I950" s="36"/>
      <c r="J950" s="79"/>
      <c r="K950" s="39"/>
      <c r="L950" s="36"/>
      <c r="M950" s="36"/>
      <c r="N950" s="45"/>
    </row>
    <row r="951">
      <c r="A951" s="36"/>
      <c r="B951" s="36"/>
      <c r="C951" s="36"/>
      <c r="D951" s="36"/>
      <c r="E951" s="36"/>
      <c r="F951" s="36"/>
      <c r="G951" s="36"/>
      <c r="H951" s="36"/>
      <c r="I951" s="36"/>
      <c r="J951" s="79"/>
      <c r="K951" s="39"/>
      <c r="L951" s="36"/>
      <c r="M951" s="36"/>
      <c r="N951" s="45"/>
    </row>
    <row r="952">
      <c r="A952" s="36"/>
      <c r="B952" s="36"/>
      <c r="C952" s="36"/>
      <c r="D952" s="36"/>
      <c r="E952" s="36"/>
      <c r="F952" s="36"/>
      <c r="G952" s="36"/>
      <c r="H952" s="36"/>
      <c r="I952" s="36"/>
      <c r="J952" s="79"/>
      <c r="K952" s="39"/>
      <c r="L952" s="36"/>
      <c r="M952" s="36"/>
      <c r="N952" s="45"/>
    </row>
    <row r="953">
      <c r="A953" s="36"/>
      <c r="B953" s="36"/>
      <c r="C953" s="36"/>
      <c r="D953" s="36"/>
      <c r="E953" s="36"/>
      <c r="F953" s="36"/>
      <c r="G953" s="36"/>
      <c r="H953" s="36"/>
      <c r="I953" s="36"/>
      <c r="J953" s="79"/>
      <c r="K953" s="39"/>
      <c r="L953" s="36"/>
      <c r="M953" s="36"/>
      <c r="N953" s="45"/>
    </row>
    <row r="954">
      <c r="A954" s="36"/>
      <c r="B954" s="36"/>
      <c r="C954" s="36"/>
      <c r="D954" s="36"/>
      <c r="E954" s="36"/>
      <c r="F954" s="36"/>
      <c r="G954" s="36"/>
      <c r="H954" s="36"/>
      <c r="I954" s="36"/>
      <c r="J954" s="79"/>
      <c r="K954" s="39"/>
      <c r="L954" s="36"/>
      <c r="M954" s="36"/>
      <c r="N954" s="45"/>
    </row>
    <row r="955">
      <c r="A955" s="36"/>
      <c r="B955" s="36"/>
      <c r="C955" s="36"/>
      <c r="D955" s="36"/>
      <c r="E955" s="36"/>
      <c r="F955" s="36"/>
      <c r="G955" s="36"/>
      <c r="H955" s="36"/>
      <c r="I955" s="36"/>
      <c r="J955" s="79"/>
      <c r="K955" s="39"/>
      <c r="L955" s="36"/>
      <c r="M955" s="36"/>
      <c r="N955" s="45"/>
    </row>
    <row r="956">
      <c r="A956" s="36"/>
      <c r="B956" s="36"/>
      <c r="C956" s="36"/>
      <c r="D956" s="36"/>
      <c r="E956" s="36"/>
      <c r="F956" s="36"/>
      <c r="G956" s="36"/>
      <c r="H956" s="36"/>
      <c r="I956" s="36"/>
      <c r="J956" s="79"/>
      <c r="K956" s="39"/>
      <c r="L956" s="36"/>
      <c r="M956" s="36"/>
      <c r="N956" s="45"/>
    </row>
    <row r="957">
      <c r="A957" s="36"/>
      <c r="B957" s="36"/>
      <c r="C957" s="36"/>
      <c r="D957" s="36"/>
      <c r="E957" s="36"/>
      <c r="F957" s="36"/>
      <c r="G957" s="36"/>
      <c r="H957" s="36"/>
      <c r="I957" s="36"/>
      <c r="J957" s="79"/>
      <c r="K957" s="39"/>
      <c r="L957" s="36"/>
      <c r="M957" s="36"/>
      <c r="N957" s="45"/>
    </row>
    <row r="958">
      <c r="A958" s="36"/>
      <c r="B958" s="36"/>
      <c r="C958" s="36"/>
      <c r="D958" s="36"/>
      <c r="E958" s="36"/>
      <c r="F958" s="36"/>
      <c r="G958" s="36"/>
      <c r="H958" s="36"/>
      <c r="I958" s="36"/>
      <c r="J958" s="79"/>
      <c r="K958" s="39"/>
      <c r="L958" s="36"/>
      <c r="M958" s="36"/>
      <c r="N958" s="45"/>
    </row>
    <row r="959">
      <c r="A959" s="36"/>
      <c r="B959" s="36"/>
      <c r="C959" s="36"/>
      <c r="D959" s="36"/>
      <c r="E959" s="36"/>
      <c r="F959" s="36"/>
      <c r="G959" s="36"/>
      <c r="H959" s="36"/>
      <c r="I959" s="36"/>
      <c r="J959" s="79"/>
      <c r="K959" s="39"/>
      <c r="L959" s="36"/>
      <c r="M959" s="36"/>
      <c r="N959" s="45"/>
    </row>
    <row r="960">
      <c r="A960" s="36"/>
      <c r="B960" s="36"/>
      <c r="C960" s="36"/>
      <c r="D960" s="36"/>
      <c r="E960" s="36"/>
      <c r="F960" s="36"/>
      <c r="G960" s="36"/>
      <c r="H960" s="36"/>
      <c r="I960" s="36"/>
      <c r="J960" s="79"/>
      <c r="K960" s="39"/>
      <c r="L960" s="36"/>
      <c r="M960" s="36"/>
      <c r="N960" s="79"/>
    </row>
    <row r="961">
      <c r="A961" s="36"/>
      <c r="B961" s="36"/>
      <c r="C961" s="36"/>
      <c r="D961" s="36"/>
      <c r="E961" s="36"/>
      <c r="F961" s="36"/>
      <c r="G961" s="36"/>
      <c r="H961" s="36"/>
      <c r="I961" s="36"/>
      <c r="J961" s="79"/>
      <c r="K961" s="39"/>
      <c r="L961" s="36"/>
      <c r="M961" s="36"/>
      <c r="N961" s="45"/>
    </row>
    <row r="962">
      <c r="A962" s="36"/>
      <c r="B962" s="36"/>
      <c r="C962" s="36"/>
      <c r="D962" s="36"/>
      <c r="E962" s="36"/>
      <c r="F962" s="36"/>
      <c r="G962" s="36"/>
      <c r="H962" s="36"/>
      <c r="I962" s="36"/>
      <c r="J962" s="79"/>
      <c r="K962" s="39"/>
      <c r="L962" s="36"/>
      <c r="M962" s="36"/>
      <c r="N962" s="45"/>
    </row>
    <row r="963">
      <c r="A963" s="36"/>
      <c r="B963" s="36"/>
      <c r="C963" s="36"/>
      <c r="D963" s="36"/>
      <c r="E963" s="36"/>
      <c r="F963" s="36"/>
      <c r="G963" s="36"/>
      <c r="H963" s="36"/>
      <c r="I963" s="36"/>
      <c r="J963" s="79"/>
      <c r="K963" s="39"/>
      <c r="L963" s="36"/>
      <c r="M963" s="36"/>
      <c r="N963" s="45"/>
    </row>
    <row r="964">
      <c r="A964" s="36"/>
      <c r="B964" s="36"/>
      <c r="C964" s="36"/>
      <c r="D964" s="36"/>
      <c r="E964" s="36"/>
      <c r="F964" s="36"/>
      <c r="G964" s="36"/>
      <c r="H964" s="36"/>
      <c r="I964" s="36"/>
      <c r="J964" s="79"/>
      <c r="K964" s="39"/>
      <c r="L964" s="36"/>
      <c r="M964" s="36"/>
      <c r="N964" s="45"/>
    </row>
    <row r="965">
      <c r="A965" s="36"/>
      <c r="B965" s="36"/>
      <c r="C965" s="36"/>
      <c r="D965" s="36"/>
      <c r="E965" s="36"/>
      <c r="F965" s="36"/>
      <c r="G965" s="36"/>
      <c r="H965" s="36"/>
      <c r="I965" s="36"/>
      <c r="J965" s="79"/>
      <c r="K965" s="39"/>
      <c r="L965" s="36"/>
      <c r="M965" s="36"/>
      <c r="N965" s="45"/>
    </row>
    <row r="966">
      <c r="A966" s="36"/>
      <c r="B966" s="36"/>
      <c r="C966" s="36"/>
      <c r="D966" s="36"/>
      <c r="E966" s="36"/>
      <c r="F966" s="36"/>
      <c r="G966" s="36"/>
      <c r="H966" s="36"/>
      <c r="I966" s="36"/>
      <c r="J966" s="79"/>
      <c r="K966" s="39"/>
      <c r="L966" s="36"/>
      <c r="M966" s="36"/>
      <c r="N966" s="45"/>
    </row>
    <row r="967">
      <c r="A967" s="36"/>
      <c r="B967" s="36"/>
      <c r="C967" s="36"/>
      <c r="D967" s="36"/>
      <c r="E967" s="36"/>
      <c r="F967" s="36"/>
      <c r="G967" s="36"/>
      <c r="H967" s="36"/>
      <c r="I967" s="36"/>
      <c r="J967" s="79"/>
      <c r="K967" s="39"/>
      <c r="L967" s="36"/>
      <c r="M967" s="36"/>
      <c r="N967" s="45"/>
    </row>
    <row r="968">
      <c r="A968" s="36"/>
      <c r="B968" s="36"/>
      <c r="C968" s="36"/>
      <c r="D968" s="36"/>
      <c r="E968" s="36"/>
      <c r="F968" s="36"/>
      <c r="G968" s="36"/>
      <c r="H968" s="36"/>
      <c r="I968" s="36"/>
      <c r="J968" s="79"/>
      <c r="K968" s="39"/>
      <c r="L968" s="36"/>
      <c r="M968" s="36"/>
      <c r="N968" s="45"/>
    </row>
    <row r="969">
      <c r="A969" s="36"/>
      <c r="B969" s="36"/>
      <c r="C969" s="36"/>
      <c r="D969" s="36"/>
      <c r="E969" s="36"/>
      <c r="F969" s="36"/>
      <c r="G969" s="36"/>
      <c r="H969" s="36"/>
      <c r="I969" s="36"/>
      <c r="J969" s="79"/>
      <c r="K969" s="39"/>
      <c r="L969" s="36"/>
      <c r="M969" s="36"/>
      <c r="N969" s="79"/>
    </row>
    <row r="970">
      <c r="A970" s="36"/>
      <c r="B970" s="36"/>
      <c r="C970" s="36"/>
      <c r="D970" s="36"/>
      <c r="E970" s="36"/>
      <c r="F970" s="36"/>
      <c r="G970" s="36"/>
      <c r="H970" s="36"/>
      <c r="I970" s="36"/>
      <c r="J970" s="79"/>
      <c r="K970" s="39"/>
      <c r="L970" s="36"/>
      <c r="M970" s="36"/>
      <c r="N970" s="45"/>
    </row>
    <row r="971">
      <c r="A971" s="36"/>
      <c r="B971" s="36"/>
      <c r="C971" s="36"/>
      <c r="D971" s="36"/>
      <c r="E971" s="36"/>
      <c r="F971" s="36"/>
      <c r="G971" s="36"/>
      <c r="H971" s="36"/>
      <c r="I971" s="36"/>
      <c r="J971" s="79"/>
      <c r="K971" s="39"/>
      <c r="L971" s="36"/>
      <c r="M971" s="36"/>
      <c r="N971" s="45"/>
    </row>
    <row r="972">
      <c r="A972" s="36"/>
      <c r="B972" s="36"/>
      <c r="C972" s="36"/>
      <c r="D972" s="36"/>
      <c r="E972" s="36"/>
      <c r="F972" s="36"/>
      <c r="G972" s="36"/>
      <c r="H972" s="36"/>
      <c r="I972" s="36"/>
      <c r="J972" s="79"/>
      <c r="K972" s="39"/>
      <c r="L972" s="36"/>
      <c r="M972" s="36"/>
      <c r="N972" s="45"/>
    </row>
    <row r="973">
      <c r="A973" s="36"/>
      <c r="B973" s="36"/>
      <c r="C973" s="36"/>
      <c r="D973" s="36"/>
      <c r="E973" s="36"/>
      <c r="F973" s="36"/>
      <c r="G973" s="36"/>
      <c r="H973" s="36"/>
      <c r="I973" s="36"/>
      <c r="J973" s="79"/>
      <c r="K973" s="39"/>
      <c r="L973" s="36"/>
      <c r="M973" s="36"/>
      <c r="N973" s="45"/>
    </row>
    <row r="974">
      <c r="A974" s="36"/>
      <c r="B974" s="36"/>
      <c r="C974" s="36"/>
      <c r="D974" s="36"/>
      <c r="E974" s="36"/>
      <c r="F974" s="36"/>
      <c r="G974" s="36"/>
      <c r="H974" s="36"/>
      <c r="I974" s="36"/>
      <c r="J974" s="79"/>
      <c r="K974" s="39"/>
      <c r="L974" s="36"/>
      <c r="M974" s="36"/>
      <c r="N974" s="45"/>
    </row>
    <row r="975">
      <c r="A975" s="36"/>
      <c r="B975" s="36"/>
      <c r="C975" s="36"/>
      <c r="D975" s="36"/>
      <c r="E975" s="36"/>
      <c r="F975" s="36"/>
      <c r="G975" s="36"/>
      <c r="H975" s="36"/>
      <c r="I975" s="36"/>
      <c r="J975" s="79"/>
      <c r="K975" s="39"/>
      <c r="L975" s="36"/>
      <c r="M975" s="36"/>
      <c r="N975" s="45"/>
    </row>
    <row r="976">
      <c r="A976" s="36"/>
      <c r="B976" s="36"/>
      <c r="C976" s="36"/>
      <c r="D976" s="36"/>
      <c r="E976" s="36"/>
      <c r="F976" s="36"/>
      <c r="G976" s="36"/>
      <c r="H976" s="36"/>
      <c r="I976" s="36"/>
      <c r="J976" s="79"/>
      <c r="K976" s="39"/>
      <c r="L976" s="36"/>
      <c r="M976" s="36"/>
      <c r="N976" s="45"/>
    </row>
    <row r="977">
      <c r="A977" s="36"/>
      <c r="B977" s="36"/>
      <c r="C977" s="36"/>
      <c r="D977" s="36"/>
      <c r="E977" s="36"/>
      <c r="F977" s="36"/>
      <c r="G977" s="36"/>
      <c r="H977" s="36"/>
      <c r="I977" s="36"/>
      <c r="J977" s="79"/>
      <c r="K977" s="39"/>
      <c r="L977" s="36"/>
      <c r="M977" s="36"/>
      <c r="N977" s="45"/>
    </row>
    <row r="978">
      <c r="A978" s="36"/>
      <c r="B978" s="36"/>
      <c r="C978" s="36"/>
      <c r="D978" s="36"/>
      <c r="E978" s="36"/>
      <c r="F978" s="36"/>
      <c r="G978" s="36"/>
      <c r="H978" s="36"/>
      <c r="I978" s="36"/>
      <c r="J978" s="79"/>
      <c r="K978" s="39"/>
      <c r="L978" s="36"/>
      <c r="M978" s="36"/>
      <c r="N978" s="45"/>
    </row>
    <row r="979">
      <c r="A979" s="36"/>
      <c r="B979" s="36"/>
      <c r="C979" s="36"/>
      <c r="D979" s="36"/>
      <c r="E979" s="36"/>
      <c r="F979" s="36"/>
      <c r="G979" s="36"/>
      <c r="H979" s="36"/>
      <c r="I979" s="36"/>
      <c r="J979" s="79"/>
      <c r="K979" s="39"/>
      <c r="L979" s="36"/>
      <c r="M979" s="36"/>
      <c r="N979" s="79"/>
    </row>
    <row r="980">
      <c r="A980" s="36"/>
      <c r="B980" s="36"/>
      <c r="C980" s="36"/>
      <c r="D980" s="36"/>
      <c r="E980" s="36"/>
      <c r="F980" s="36"/>
      <c r="G980" s="36"/>
      <c r="H980" s="36"/>
      <c r="I980" s="36"/>
      <c r="J980" s="79"/>
      <c r="K980" s="39"/>
      <c r="L980" s="36"/>
      <c r="M980" s="36"/>
      <c r="N980" s="45"/>
    </row>
    <row r="981">
      <c r="A981" s="36"/>
      <c r="B981" s="36"/>
      <c r="C981" s="36"/>
      <c r="D981" s="36"/>
      <c r="E981" s="36"/>
      <c r="F981" s="36"/>
      <c r="G981" s="36"/>
      <c r="H981" s="36"/>
      <c r="I981" s="36"/>
      <c r="J981" s="79"/>
      <c r="K981" s="39"/>
      <c r="L981" s="36"/>
      <c r="M981" s="36"/>
      <c r="N981" s="45"/>
    </row>
    <row r="982">
      <c r="A982" s="36"/>
      <c r="B982" s="36"/>
      <c r="C982" s="36"/>
      <c r="D982" s="36"/>
      <c r="E982" s="36"/>
      <c r="F982" s="36"/>
      <c r="G982" s="36"/>
      <c r="H982" s="36"/>
      <c r="I982" s="36"/>
      <c r="J982" s="79"/>
      <c r="K982" s="39"/>
      <c r="L982" s="36"/>
      <c r="M982" s="36"/>
      <c r="N982" s="79"/>
    </row>
    <row r="983">
      <c r="A983" s="36"/>
      <c r="B983" s="36"/>
      <c r="C983" s="36"/>
      <c r="D983" s="36"/>
      <c r="E983" s="36"/>
      <c r="F983" s="36"/>
      <c r="G983" s="36"/>
      <c r="H983" s="36"/>
      <c r="I983" s="36"/>
      <c r="J983" s="79"/>
      <c r="K983" s="39"/>
      <c r="L983" s="36"/>
      <c r="M983" s="36"/>
      <c r="N983" s="45"/>
    </row>
    <row r="984">
      <c r="A984" s="36"/>
      <c r="B984" s="36"/>
      <c r="C984" s="36"/>
      <c r="D984" s="36"/>
      <c r="E984" s="36"/>
      <c r="F984" s="36"/>
      <c r="G984" s="36"/>
      <c r="H984" s="36"/>
      <c r="I984" s="36"/>
      <c r="J984" s="79"/>
      <c r="K984" s="39"/>
      <c r="L984" s="36"/>
      <c r="M984" s="36"/>
      <c r="N984" s="45"/>
    </row>
    <row r="985">
      <c r="A985" s="36"/>
      <c r="B985" s="36"/>
      <c r="C985" s="36"/>
      <c r="D985" s="36"/>
      <c r="E985" s="36"/>
      <c r="F985" s="36"/>
      <c r="G985" s="36"/>
      <c r="H985" s="36"/>
      <c r="I985" s="36"/>
      <c r="J985" s="79"/>
      <c r="K985" s="39"/>
      <c r="L985" s="36"/>
      <c r="M985" s="36"/>
      <c r="N985" s="45"/>
    </row>
    <row r="986">
      <c r="A986" s="36"/>
      <c r="B986" s="36"/>
      <c r="C986" s="36"/>
      <c r="D986" s="36"/>
      <c r="E986" s="36"/>
      <c r="F986" s="36"/>
      <c r="G986" s="36"/>
      <c r="H986" s="36"/>
      <c r="I986" s="36"/>
      <c r="J986" s="79"/>
      <c r="K986" s="39"/>
      <c r="L986" s="36"/>
      <c r="M986" s="36"/>
      <c r="N986" s="45"/>
    </row>
    <row r="987">
      <c r="A987" s="36"/>
      <c r="B987" s="36"/>
      <c r="C987" s="36"/>
      <c r="D987" s="36"/>
      <c r="E987" s="36"/>
      <c r="F987" s="36"/>
      <c r="G987" s="36"/>
      <c r="H987" s="36"/>
      <c r="I987" s="36"/>
      <c r="J987" s="79"/>
      <c r="K987" s="39"/>
      <c r="L987" s="36"/>
      <c r="M987" s="36"/>
      <c r="N987" s="45"/>
    </row>
    <row r="988">
      <c r="A988" s="36"/>
      <c r="B988" s="36"/>
      <c r="C988" s="36"/>
      <c r="D988" s="36"/>
      <c r="E988" s="36"/>
      <c r="F988" s="36"/>
      <c r="G988" s="36"/>
      <c r="H988" s="36"/>
      <c r="I988" s="36"/>
      <c r="J988" s="79"/>
      <c r="K988" s="39"/>
      <c r="L988" s="36"/>
      <c r="M988" s="36"/>
      <c r="N988" s="45"/>
    </row>
    <row r="989">
      <c r="A989" s="36"/>
      <c r="B989" s="36"/>
      <c r="C989" s="36"/>
      <c r="D989" s="36"/>
      <c r="E989" s="36"/>
      <c r="F989" s="36"/>
      <c r="G989" s="36"/>
      <c r="H989" s="36"/>
      <c r="I989" s="36"/>
      <c r="J989" s="79"/>
      <c r="K989" s="39"/>
      <c r="L989" s="36"/>
      <c r="M989" s="36"/>
      <c r="N989" s="45"/>
    </row>
    <row r="990">
      <c r="A990" s="36"/>
      <c r="B990" s="36"/>
      <c r="C990" s="36"/>
      <c r="D990" s="36"/>
      <c r="E990" s="36"/>
      <c r="F990" s="36"/>
      <c r="G990" s="36"/>
      <c r="H990" s="36"/>
      <c r="I990" s="36"/>
      <c r="J990" s="79"/>
      <c r="K990" s="39"/>
      <c r="L990" s="36"/>
      <c r="M990" s="36"/>
      <c r="N990" s="45"/>
    </row>
    <row r="991">
      <c r="A991" s="36"/>
      <c r="B991" s="36"/>
      <c r="C991" s="36"/>
      <c r="D991" s="36"/>
      <c r="E991" s="36"/>
      <c r="F991" s="36"/>
      <c r="G991" s="36"/>
      <c r="H991" s="36"/>
      <c r="I991" s="36"/>
      <c r="J991" s="79"/>
      <c r="K991" s="39"/>
      <c r="L991" s="36"/>
      <c r="M991" s="36"/>
      <c r="N991" s="45"/>
    </row>
    <row r="992">
      <c r="A992" s="36"/>
      <c r="B992" s="36"/>
      <c r="C992" s="36"/>
      <c r="D992" s="36"/>
      <c r="E992" s="36"/>
      <c r="F992" s="36"/>
      <c r="G992" s="36"/>
      <c r="H992" s="36"/>
      <c r="I992" s="36"/>
      <c r="J992" s="79"/>
      <c r="K992" s="39"/>
      <c r="L992" s="36"/>
      <c r="M992" s="36"/>
      <c r="N992" s="79"/>
    </row>
    <row r="993">
      <c r="A993" s="36"/>
      <c r="B993" s="36"/>
      <c r="C993" s="36"/>
      <c r="D993" s="36"/>
      <c r="E993" s="36"/>
      <c r="F993" s="36"/>
      <c r="G993" s="36"/>
      <c r="H993" s="36"/>
      <c r="I993" s="36"/>
      <c r="J993" s="79"/>
      <c r="K993" s="39"/>
      <c r="L993" s="36"/>
      <c r="M993" s="36"/>
      <c r="N993" s="45"/>
    </row>
    <row r="994">
      <c r="A994" s="36"/>
      <c r="B994" s="36"/>
      <c r="C994" s="36"/>
      <c r="D994" s="36"/>
      <c r="E994" s="36"/>
      <c r="F994" s="36"/>
      <c r="G994" s="36"/>
      <c r="H994" s="36"/>
      <c r="I994" s="36"/>
      <c r="J994" s="79"/>
      <c r="K994" s="39"/>
      <c r="L994" s="36"/>
      <c r="M994" s="36"/>
      <c r="N994" s="45"/>
    </row>
    <row r="995">
      <c r="A995" s="36"/>
      <c r="B995" s="36"/>
      <c r="C995" s="36"/>
      <c r="D995" s="36"/>
      <c r="E995" s="36"/>
      <c r="F995" s="36"/>
      <c r="G995" s="36"/>
      <c r="H995" s="36"/>
      <c r="I995" s="36"/>
      <c r="J995" s="79"/>
      <c r="K995" s="39"/>
      <c r="L995" s="36"/>
      <c r="M995" s="36"/>
      <c r="N995" s="45"/>
    </row>
    <row r="996">
      <c r="A996" s="36"/>
      <c r="B996" s="36"/>
      <c r="C996" s="36"/>
      <c r="D996" s="36"/>
      <c r="E996" s="36"/>
      <c r="F996" s="36"/>
      <c r="G996" s="36"/>
      <c r="H996" s="36"/>
      <c r="I996" s="36"/>
      <c r="J996" s="79"/>
      <c r="K996" s="39"/>
      <c r="L996" s="36"/>
      <c r="M996" s="36"/>
      <c r="N996" s="45"/>
    </row>
    <row r="997">
      <c r="A997" s="36"/>
      <c r="B997" s="36"/>
      <c r="C997" s="36"/>
      <c r="D997" s="36"/>
      <c r="E997" s="36"/>
      <c r="F997" s="36"/>
      <c r="G997" s="36"/>
      <c r="H997" s="36"/>
      <c r="I997" s="36"/>
      <c r="J997" s="79"/>
      <c r="K997" s="39"/>
      <c r="L997" s="36"/>
      <c r="M997" s="36"/>
      <c r="N997" s="45"/>
    </row>
    <row r="998">
      <c r="A998" s="36"/>
      <c r="B998" s="36"/>
      <c r="C998" s="36"/>
      <c r="D998" s="36"/>
      <c r="E998" s="36"/>
      <c r="F998" s="36"/>
      <c r="G998" s="36"/>
      <c r="H998" s="36"/>
      <c r="I998" s="36"/>
      <c r="J998" s="79"/>
      <c r="K998" s="39"/>
      <c r="L998" s="36"/>
      <c r="M998" s="36"/>
      <c r="N998" s="45"/>
    </row>
    <row r="999">
      <c r="A999" s="36"/>
      <c r="B999" s="36"/>
      <c r="C999" s="36"/>
      <c r="D999" s="36"/>
      <c r="E999" s="36"/>
      <c r="F999" s="36"/>
      <c r="G999" s="36"/>
      <c r="H999" s="36"/>
      <c r="I999" s="36"/>
      <c r="J999" s="79"/>
      <c r="K999" s="39"/>
      <c r="L999" s="36"/>
      <c r="M999" s="36"/>
      <c r="N999" s="45"/>
    </row>
    <row r="1000">
      <c r="A1000" s="36"/>
      <c r="B1000" s="36"/>
      <c r="C1000" s="36"/>
      <c r="D1000" s="36"/>
      <c r="E1000" s="36"/>
      <c r="F1000" s="36"/>
      <c r="G1000" s="36"/>
      <c r="H1000" s="36"/>
      <c r="I1000" s="36"/>
      <c r="J1000" s="79"/>
      <c r="K1000" s="39"/>
      <c r="L1000" s="36"/>
      <c r="M1000" s="36"/>
      <c r="N1000" s="45"/>
    </row>
    <row r="1001">
      <c r="A1001" s="36"/>
      <c r="B1001" s="36"/>
      <c r="C1001" s="36"/>
      <c r="D1001" s="36"/>
      <c r="E1001" s="36"/>
      <c r="F1001" s="36"/>
      <c r="G1001" s="36"/>
      <c r="H1001" s="36"/>
      <c r="I1001" s="36"/>
      <c r="J1001" s="79"/>
      <c r="K1001" s="39"/>
      <c r="L1001" s="36"/>
      <c r="M1001" s="36"/>
      <c r="N1001" s="45"/>
    </row>
    <row r="1002">
      <c r="A1002" s="36"/>
      <c r="B1002" s="36"/>
      <c r="C1002" s="36"/>
      <c r="D1002" s="36"/>
      <c r="E1002" s="36"/>
      <c r="F1002" s="36"/>
      <c r="G1002" s="36"/>
      <c r="H1002" s="36"/>
      <c r="I1002" s="36"/>
      <c r="J1002" s="79"/>
      <c r="K1002" s="39"/>
      <c r="L1002" s="36"/>
      <c r="M1002" s="36"/>
      <c r="N1002" s="79"/>
    </row>
    <row r="1003">
      <c r="A1003" s="36"/>
      <c r="B1003" s="36"/>
      <c r="C1003" s="36"/>
      <c r="D1003" s="36"/>
      <c r="E1003" s="36"/>
      <c r="F1003" s="36"/>
      <c r="G1003" s="36"/>
      <c r="H1003" s="36"/>
      <c r="I1003" s="36"/>
      <c r="J1003" s="79"/>
      <c r="K1003" s="39"/>
      <c r="L1003" s="36"/>
      <c r="M1003" s="36"/>
      <c r="N1003" s="45"/>
    </row>
    <row r="1004">
      <c r="A1004" s="36"/>
      <c r="B1004" s="36"/>
      <c r="C1004" s="36"/>
      <c r="D1004" s="36"/>
      <c r="E1004" s="36"/>
      <c r="F1004" s="36"/>
      <c r="G1004" s="36"/>
      <c r="H1004" s="36"/>
      <c r="I1004" s="36"/>
      <c r="J1004" s="79"/>
      <c r="K1004" s="39"/>
      <c r="L1004" s="36"/>
      <c r="M1004" s="36"/>
      <c r="N1004" s="45"/>
    </row>
    <row r="1005">
      <c r="A1005" s="36"/>
      <c r="B1005" s="36"/>
      <c r="C1005" s="36"/>
      <c r="D1005" s="36"/>
      <c r="E1005" s="36"/>
      <c r="F1005" s="36"/>
      <c r="G1005" s="36"/>
      <c r="H1005" s="36"/>
      <c r="I1005" s="36"/>
      <c r="J1005" s="79"/>
      <c r="K1005" s="39"/>
      <c r="L1005" s="36"/>
      <c r="M1005" s="36"/>
      <c r="N1005" s="45"/>
    </row>
    <row r="1006">
      <c r="A1006" s="36"/>
      <c r="B1006" s="36"/>
      <c r="C1006" s="36"/>
      <c r="D1006" s="36"/>
      <c r="E1006" s="36"/>
      <c r="F1006" s="36"/>
      <c r="G1006" s="36"/>
      <c r="H1006" s="36"/>
      <c r="I1006" s="36"/>
      <c r="J1006" s="79"/>
      <c r="K1006" s="39"/>
      <c r="L1006" s="36"/>
      <c r="M1006" s="36"/>
      <c r="N1006" s="45"/>
    </row>
    <row r="1007">
      <c r="A1007" s="36"/>
      <c r="B1007" s="36"/>
      <c r="C1007" s="36"/>
      <c r="D1007" s="36"/>
      <c r="E1007" s="36"/>
      <c r="F1007" s="36"/>
      <c r="G1007" s="36"/>
      <c r="H1007" s="36"/>
      <c r="I1007" s="36"/>
      <c r="J1007" s="79"/>
      <c r="K1007" s="39"/>
      <c r="L1007" s="36"/>
      <c r="M1007" s="36"/>
      <c r="N1007" s="79"/>
    </row>
    <row r="1008">
      <c r="A1008" s="36"/>
      <c r="B1008" s="36"/>
      <c r="C1008" s="36"/>
      <c r="D1008" s="36"/>
      <c r="E1008" s="36"/>
      <c r="F1008" s="36"/>
      <c r="G1008" s="36"/>
      <c r="H1008" s="36"/>
      <c r="I1008" s="36"/>
      <c r="J1008" s="79"/>
      <c r="K1008" s="39"/>
      <c r="L1008" s="36"/>
      <c r="M1008" s="36"/>
      <c r="N1008" s="79"/>
    </row>
    <row r="1009">
      <c r="A1009" s="36"/>
      <c r="B1009" s="36"/>
      <c r="C1009" s="36"/>
      <c r="D1009" s="36"/>
      <c r="E1009" s="36"/>
      <c r="F1009" s="36"/>
      <c r="G1009" s="36"/>
      <c r="H1009" s="36"/>
      <c r="I1009" s="36"/>
      <c r="J1009" s="79"/>
      <c r="K1009" s="39"/>
      <c r="L1009" s="36"/>
      <c r="M1009" s="36"/>
      <c r="N1009" s="45"/>
    </row>
    <row r="1010">
      <c r="A1010" s="36"/>
      <c r="B1010" s="36"/>
      <c r="C1010" s="36"/>
      <c r="D1010" s="36"/>
      <c r="E1010" s="36"/>
      <c r="F1010" s="36"/>
      <c r="G1010" s="36"/>
      <c r="H1010" s="36"/>
      <c r="I1010" s="36"/>
      <c r="J1010" s="79"/>
      <c r="K1010" s="39"/>
      <c r="L1010" s="36"/>
      <c r="M1010" s="36"/>
      <c r="N1010" s="45"/>
    </row>
    <row r="1011">
      <c r="A1011" s="36"/>
      <c r="B1011" s="36"/>
      <c r="C1011" s="36"/>
      <c r="D1011" s="36"/>
      <c r="E1011" s="36"/>
      <c r="F1011" s="36"/>
      <c r="G1011" s="36"/>
      <c r="H1011" s="36"/>
      <c r="I1011" s="36"/>
      <c r="J1011" s="79"/>
      <c r="K1011" s="39"/>
      <c r="L1011" s="36"/>
      <c r="M1011" s="36"/>
      <c r="N1011" s="45"/>
    </row>
    <row r="1012">
      <c r="A1012" s="36"/>
      <c r="B1012" s="36"/>
      <c r="C1012" s="36"/>
      <c r="D1012" s="36"/>
      <c r="E1012" s="36"/>
      <c r="F1012" s="36"/>
      <c r="G1012" s="36"/>
      <c r="H1012" s="36"/>
      <c r="I1012" s="36"/>
      <c r="J1012" s="79"/>
      <c r="K1012" s="39"/>
      <c r="L1012" s="36"/>
      <c r="M1012" s="36"/>
      <c r="N1012" s="45"/>
    </row>
    <row r="1013">
      <c r="A1013" s="36"/>
      <c r="B1013" s="36"/>
      <c r="C1013" s="36"/>
      <c r="D1013" s="36"/>
      <c r="E1013" s="36"/>
      <c r="F1013" s="36"/>
      <c r="G1013" s="36"/>
      <c r="H1013" s="36"/>
      <c r="I1013" s="36"/>
      <c r="J1013" s="79"/>
      <c r="K1013" s="39"/>
      <c r="L1013" s="36"/>
      <c r="M1013" s="36"/>
      <c r="N1013" s="45"/>
    </row>
    <row r="1014">
      <c r="A1014" s="36"/>
      <c r="B1014" s="36"/>
      <c r="C1014" s="36"/>
      <c r="D1014" s="36"/>
      <c r="E1014" s="36"/>
      <c r="F1014" s="36"/>
      <c r="G1014" s="36"/>
      <c r="H1014" s="36"/>
      <c r="I1014" s="36"/>
      <c r="J1014" s="79"/>
      <c r="K1014" s="39"/>
      <c r="L1014" s="36"/>
      <c r="M1014" s="36"/>
      <c r="N1014" s="45"/>
    </row>
    <row r="1015">
      <c r="A1015" s="36"/>
      <c r="B1015" s="36"/>
      <c r="C1015" s="36"/>
      <c r="D1015" s="36"/>
      <c r="E1015" s="36"/>
      <c r="F1015" s="36"/>
      <c r="G1015" s="36"/>
      <c r="H1015" s="36"/>
      <c r="I1015" s="36"/>
      <c r="J1015" s="79"/>
      <c r="K1015" s="39"/>
      <c r="L1015" s="36"/>
      <c r="M1015" s="36"/>
      <c r="N1015" s="45"/>
    </row>
    <row r="1016">
      <c r="A1016" s="36"/>
      <c r="B1016" s="36"/>
      <c r="C1016" s="36"/>
      <c r="D1016" s="36"/>
      <c r="E1016" s="36"/>
      <c r="F1016" s="36"/>
      <c r="G1016" s="36"/>
      <c r="H1016" s="36"/>
      <c r="I1016" s="36"/>
      <c r="J1016" s="79"/>
      <c r="K1016" s="39"/>
      <c r="L1016" s="36"/>
      <c r="M1016" s="36"/>
      <c r="N1016" s="45"/>
    </row>
    <row r="1017">
      <c r="A1017" s="36"/>
      <c r="B1017" s="36"/>
      <c r="C1017" s="36"/>
      <c r="D1017" s="36"/>
      <c r="E1017" s="36"/>
      <c r="F1017" s="36"/>
      <c r="G1017" s="36"/>
      <c r="H1017" s="36"/>
      <c r="I1017" s="36"/>
      <c r="J1017" s="79"/>
      <c r="K1017" s="39"/>
      <c r="L1017" s="36"/>
      <c r="M1017" s="36"/>
      <c r="N1017" s="45"/>
    </row>
    <row r="1018">
      <c r="A1018" s="36"/>
      <c r="B1018" s="36"/>
      <c r="C1018" s="36"/>
      <c r="D1018" s="36"/>
      <c r="E1018" s="36"/>
      <c r="F1018" s="36"/>
      <c r="G1018" s="36"/>
      <c r="H1018" s="36"/>
      <c r="I1018" s="36"/>
      <c r="J1018" s="79"/>
      <c r="K1018" s="39"/>
      <c r="L1018" s="36"/>
      <c r="M1018" s="36"/>
      <c r="N1018" s="45"/>
    </row>
    <row r="1019">
      <c r="A1019" s="36"/>
      <c r="B1019" s="36"/>
      <c r="C1019" s="36"/>
      <c r="D1019" s="36"/>
      <c r="E1019" s="36"/>
      <c r="F1019" s="36"/>
      <c r="G1019" s="36"/>
      <c r="H1019" s="36"/>
      <c r="I1019" s="36"/>
      <c r="J1019" s="79"/>
      <c r="K1019" s="39"/>
      <c r="L1019" s="36"/>
      <c r="M1019" s="36"/>
      <c r="N1019" s="45"/>
    </row>
    <row r="1020">
      <c r="A1020" s="36"/>
      <c r="B1020" s="36"/>
      <c r="C1020" s="36"/>
      <c r="D1020" s="36"/>
      <c r="E1020" s="36"/>
      <c r="F1020" s="36"/>
      <c r="G1020" s="36"/>
      <c r="H1020" s="36"/>
      <c r="I1020" s="36"/>
      <c r="J1020" s="79"/>
      <c r="K1020" s="39"/>
      <c r="L1020" s="36"/>
      <c r="M1020" s="36"/>
      <c r="N1020" s="45"/>
    </row>
    <row r="1021">
      <c r="A1021" s="36"/>
      <c r="B1021" s="36"/>
      <c r="C1021" s="36"/>
      <c r="D1021" s="36"/>
      <c r="E1021" s="36"/>
      <c r="F1021" s="36"/>
      <c r="G1021" s="36"/>
      <c r="H1021" s="36"/>
      <c r="I1021" s="36"/>
      <c r="J1021" s="79"/>
      <c r="K1021" s="39"/>
      <c r="L1021" s="36"/>
      <c r="M1021" s="36"/>
      <c r="N1021" s="45"/>
    </row>
    <row r="1022">
      <c r="A1022" s="36"/>
      <c r="B1022" s="36"/>
      <c r="C1022" s="36"/>
      <c r="D1022" s="36"/>
      <c r="E1022" s="36"/>
      <c r="F1022" s="36"/>
      <c r="G1022" s="36"/>
      <c r="H1022" s="36"/>
      <c r="I1022" s="36"/>
      <c r="J1022" s="79"/>
      <c r="K1022" s="39"/>
      <c r="L1022" s="36"/>
      <c r="M1022" s="36"/>
      <c r="N1022" s="45"/>
    </row>
    <row r="1023">
      <c r="A1023" s="36"/>
      <c r="B1023" s="36"/>
      <c r="C1023" s="36"/>
      <c r="D1023" s="36"/>
      <c r="E1023" s="36"/>
      <c r="F1023" s="36"/>
      <c r="G1023" s="36"/>
      <c r="H1023" s="36"/>
      <c r="I1023" s="36"/>
      <c r="J1023" s="79"/>
      <c r="K1023" s="39"/>
      <c r="L1023" s="36"/>
      <c r="M1023" s="36"/>
      <c r="N1023" s="45"/>
    </row>
    <row r="1024">
      <c r="A1024" s="36"/>
      <c r="B1024" s="36"/>
      <c r="C1024" s="36"/>
      <c r="D1024" s="36"/>
      <c r="E1024" s="36"/>
      <c r="F1024" s="36"/>
      <c r="G1024" s="36"/>
      <c r="H1024" s="36"/>
      <c r="I1024" s="36"/>
      <c r="J1024" s="79"/>
      <c r="K1024" s="39"/>
      <c r="L1024" s="36"/>
      <c r="M1024" s="36"/>
      <c r="N1024" s="45"/>
    </row>
    <row r="1025">
      <c r="A1025" s="36"/>
      <c r="B1025" s="36"/>
      <c r="C1025" s="36"/>
      <c r="D1025" s="36"/>
      <c r="E1025" s="36"/>
      <c r="F1025" s="36"/>
      <c r="G1025" s="36"/>
      <c r="H1025" s="36"/>
      <c r="I1025" s="36"/>
      <c r="J1025" s="79"/>
      <c r="K1025" s="39"/>
      <c r="L1025" s="36"/>
      <c r="M1025" s="36"/>
      <c r="N1025" s="45"/>
    </row>
    <row r="1026">
      <c r="A1026" s="36"/>
      <c r="B1026" s="36"/>
      <c r="C1026" s="36"/>
      <c r="D1026" s="36"/>
      <c r="E1026" s="36"/>
      <c r="F1026" s="36"/>
      <c r="G1026" s="36"/>
      <c r="H1026" s="36"/>
      <c r="I1026" s="36"/>
      <c r="J1026" s="79"/>
      <c r="K1026" s="39"/>
      <c r="L1026" s="36"/>
      <c r="M1026" s="36"/>
      <c r="N1026" s="45"/>
    </row>
    <row r="1027">
      <c r="A1027" s="36"/>
      <c r="B1027" s="36"/>
      <c r="C1027" s="36"/>
      <c r="D1027" s="36"/>
      <c r="E1027" s="36"/>
      <c r="F1027" s="36"/>
      <c r="G1027" s="36"/>
      <c r="H1027" s="36"/>
      <c r="I1027" s="36"/>
      <c r="J1027" s="79"/>
      <c r="K1027" s="39"/>
      <c r="L1027" s="36"/>
      <c r="M1027" s="36"/>
      <c r="N1027" s="45"/>
    </row>
    <row r="1028">
      <c r="A1028" s="36"/>
      <c r="B1028" s="36"/>
      <c r="C1028" s="36"/>
      <c r="D1028" s="36"/>
      <c r="E1028" s="36"/>
      <c r="F1028" s="36"/>
      <c r="G1028" s="36"/>
      <c r="H1028" s="36"/>
      <c r="I1028" s="36"/>
      <c r="J1028" s="79"/>
      <c r="K1028" s="39"/>
      <c r="L1028" s="36"/>
      <c r="M1028" s="36"/>
      <c r="N1028" s="45"/>
    </row>
    <row r="1029">
      <c r="A1029" s="36"/>
      <c r="B1029" s="36"/>
      <c r="C1029" s="36"/>
      <c r="D1029" s="36"/>
      <c r="E1029" s="36"/>
      <c r="F1029" s="36"/>
      <c r="G1029" s="36"/>
      <c r="H1029" s="36"/>
      <c r="I1029" s="36"/>
      <c r="J1029" s="79"/>
      <c r="K1029" s="39"/>
      <c r="L1029" s="36"/>
      <c r="M1029" s="36"/>
      <c r="N1029" s="45"/>
    </row>
    <row r="1030">
      <c r="A1030" s="36"/>
      <c r="B1030" s="36"/>
      <c r="C1030" s="36"/>
      <c r="D1030" s="36"/>
      <c r="E1030" s="36"/>
      <c r="F1030" s="36"/>
      <c r="G1030" s="36"/>
      <c r="H1030" s="36"/>
      <c r="I1030" s="36"/>
      <c r="J1030" s="79"/>
      <c r="K1030" s="39"/>
      <c r="L1030" s="36"/>
      <c r="M1030" s="36"/>
      <c r="N1030" s="45"/>
    </row>
    <row r="1031">
      <c r="A1031" s="36"/>
      <c r="B1031" s="36"/>
      <c r="C1031" s="36"/>
      <c r="D1031" s="36"/>
      <c r="E1031" s="36"/>
      <c r="F1031" s="36"/>
      <c r="G1031" s="36"/>
      <c r="H1031" s="36"/>
      <c r="I1031" s="36"/>
      <c r="J1031" s="79"/>
      <c r="K1031" s="39"/>
      <c r="L1031" s="36"/>
      <c r="M1031" s="36"/>
      <c r="N1031" s="45"/>
    </row>
    <row r="1032">
      <c r="A1032" s="36"/>
      <c r="B1032" s="36"/>
      <c r="C1032" s="36"/>
      <c r="D1032" s="36"/>
      <c r="E1032" s="36"/>
      <c r="F1032" s="36"/>
      <c r="G1032" s="36"/>
      <c r="H1032" s="36"/>
      <c r="I1032" s="36"/>
      <c r="J1032" s="79"/>
      <c r="K1032" s="39"/>
      <c r="L1032" s="36"/>
      <c r="M1032" s="36"/>
      <c r="N1032" s="45"/>
    </row>
    <row r="1033">
      <c r="A1033" s="36"/>
      <c r="B1033" s="36"/>
      <c r="C1033" s="36"/>
      <c r="D1033" s="36"/>
      <c r="E1033" s="36"/>
      <c r="F1033" s="36"/>
      <c r="G1033" s="36"/>
      <c r="H1033" s="36"/>
      <c r="I1033" s="36"/>
      <c r="J1033" s="79"/>
      <c r="K1033" s="39"/>
      <c r="L1033" s="36"/>
      <c r="M1033" s="36"/>
      <c r="N1033" s="45"/>
    </row>
    <row r="1034">
      <c r="A1034" s="36"/>
      <c r="B1034" s="36"/>
      <c r="C1034" s="36"/>
      <c r="D1034" s="36"/>
      <c r="E1034" s="36"/>
      <c r="F1034" s="36"/>
      <c r="G1034" s="36"/>
      <c r="H1034" s="36"/>
      <c r="I1034" s="36"/>
      <c r="J1034" s="79"/>
      <c r="K1034" s="39"/>
      <c r="L1034" s="36"/>
      <c r="M1034" s="36"/>
      <c r="N1034" s="45"/>
    </row>
    <row r="1035">
      <c r="A1035" s="36"/>
      <c r="B1035" s="36"/>
      <c r="C1035" s="36"/>
      <c r="D1035" s="36"/>
      <c r="E1035" s="36"/>
      <c r="F1035" s="36"/>
      <c r="G1035" s="36"/>
      <c r="H1035" s="36"/>
      <c r="I1035" s="36"/>
      <c r="J1035" s="79"/>
      <c r="K1035" s="39"/>
      <c r="L1035" s="36"/>
      <c r="M1035" s="36"/>
      <c r="N1035" s="45"/>
    </row>
    <row r="1036">
      <c r="A1036" s="36"/>
      <c r="B1036" s="36"/>
      <c r="C1036" s="36"/>
      <c r="D1036" s="36"/>
      <c r="E1036" s="36"/>
      <c r="F1036" s="36"/>
      <c r="G1036" s="36"/>
      <c r="H1036" s="36"/>
      <c r="I1036" s="36"/>
      <c r="J1036" s="79"/>
      <c r="K1036" s="39"/>
      <c r="L1036" s="36"/>
      <c r="M1036" s="36"/>
      <c r="N1036" s="45"/>
    </row>
    <row r="1037">
      <c r="A1037" s="36"/>
      <c r="B1037" s="36"/>
      <c r="C1037" s="36"/>
      <c r="D1037" s="36"/>
      <c r="E1037" s="36"/>
      <c r="F1037" s="36"/>
      <c r="G1037" s="36"/>
      <c r="H1037" s="36"/>
      <c r="I1037" s="36"/>
      <c r="J1037" s="79"/>
      <c r="K1037" s="39"/>
      <c r="L1037" s="36"/>
      <c r="M1037" s="36"/>
      <c r="N1037" s="45"/>
    </row>
    <row r="1038">
      <c r="A1038" s="36"/>
      <c r="B1038" s="36"/>
      <c r="C1038" s="36"/>
      <c r="D1038" s="36"/>
      <c r="E1038" s="36"/>
      <c r="F1038" s="36"/>
      <c r="G1038" s="36"/>
      <c r="H1038" s="36"/>
      <c r="I1038" s="36"/>
      <c r="J1038" s="79"/>
      <c r="K1038" s="39"/>
      <c r="L1038" s="36"/>
      <c r="M1038" s="36"/>
      <c r="N1038" s="45"/>
    </row>
    <row r="1039">
      <c r="A1039" s="36"/>
      <c r="B1039" s="36"/>
      <c r="C1039" s="36"/>
      <c r="D1039" s="36"/>
      <c r="E1039" s="36"/>
      <c r="F1039" s="36"/>
      <c r="G1039" s="36"/>
      <c r="H1039" s="36"/>
      <c r="I1039" s="36"/>
      <c r="J1039" s="79"/>
      <c r="K1039" s="39"/>
      <c r="L1039" s="36"/>
      <c r="M1039" s="36"/>
      <c r="N1039" s="45"/>
    </row>
    <row r="1040">
      <c r="A1040" s="36"/>
      <c r="B1040" s="36"/>
      <c r="C1040" s="36"/>
      <c r="D1040" s="36"/>
      <c r="E1040" s="36"/>
      <c r="F1040" s="36"/>
      <c r="G1040" s="36"/>
      <c r="H1040" s="36"/>
      <c r="I1040" s="36"/>
      <c r="J1040" s="79"/>
      <c r="K1040" s="39"/>
      <c r="L1040" s="36"/>
      <c r="M1040" s="36"/>
      <c r="N1040" s="45"/>
    </row>
    <row r="1041">
      <c r="A1041" s="36"/>
      <c r="B1041" s="36"/>
      <c r="C1041" s="36"/>
      <c r="D1041" s="36"/>
      <c r="E1041" s="36"/>
      <c r="F1041" s="36"/>
      <c r="G1041" s="36"/>
      <c r="H1041" s="36"/>
      <c r="I1041" s="36"/>
      <c r="J1041" s="79"/>
      <c r="K1041" s="39"/>
      <c r="L1041" s="36"/>
      <c r="M1041" s="36"/>
      <c r="N1041" s="45"/>
    </row>
    <row r="1042">
      <c r="A1042" s="36"/>
      <c r="B1042" s="36"/>
      <c r="C1042" s="36"/>
      <c r="D1042" s="36"/>
      <c r="E1042" s="36"/>
      <c r="F1042" s="36"/>
      <c r="G1042" s="36"/>
      <c r="H1042" s="36"/>
      <c r="I1042" s="36"/>
      <c r="J1042" s="79"/>
      <c r="K1042" s="39"/>
      <c r="L1042" s="36"/>
      <c r="M1042" s="36"/>
      <c r="N1042" s="79"/>
    </row>
    <row r="1043" ht="176.25" customHeight="1">
      <c r="A1043" s="36"/>
      <c r="B1043" s="38"/>
      <c r="C1043" s="38"/>
      <c r="D1043" s="38"/>
      <c r="E1043" s="38"/>
      <c r="F1043" s="38"/>
      <c r="G1043" s="38"/>
      <c r="H1043" s="38"/>
      <c r="I1043" s="38"/>
      <c r="J1043" s="80"/>
      <c r="K1043" s="38"/>
      <c r="L1043" s="38"/>
      <c r="M1043" s="38"/>
      <c r="N1043" s="80"/>
    </row>
    <row r="1044" ht="152.25" customHeight="1">
      <c r="A1044" s="36"/>
      <c r="B1044" s="38"/>
      <c r="C1044" s="38"/>
      <c r="D1044" s="38"/>
      <c r="E1044" s="81"/>
      <c r="F1044" s="38"/>
      <c r="G1044" s="82"/>
      <c r="H1044" s="38"/>
      <c r="I1044" s="38"/>
      <c r="J1044" s="83"/>
      <c r="K1044" s="38"/>
      <c r="L1044" s="38"/>
      <c r="M1044" s="38"/>
      <c r="N1044" s="80"/>
    </row>
    <row r="1045" ht="141.0" customHeight="1">
      <c r="A1045" s="36"/>
      <c r="B1045" s="38"/>
      <c r="C1045" s="38"/>
      <c r="D1045" s="38"/>
      <c r="E1045" s="81"/>
      <c r="F1045" s="38"/>
      <c r="G1045" s="82"/>
      <c r="H1045" s="38"/>
      <c r="I1045" s="38"/>
      <c r="J1045" s="83"/>
      <c r="K1045" s="38"/>
      <c r="L1045" s="38"/>
      <c r="M1045" s="38"/>
      <c r="N1045" s="80"/>
    </row>
    <row r="1046" ht="159.75" customHeight="1">
      <c r="A1046" s="36"/>
      <c r="B1046" s="38"/>
      <c r="C1046" s="38"/>
      <c r="D1046" s="38"/>
      <c r="E1046" s="81"/>
      <c r="F1046" s="38"/>
      <c r="G1046" s="82"/>
      <c r="H1046" s="38"/>
      <c r="I1046" s="38"/>
      <c r="J1046" s="83"/>
      <c r="K1046" s="38"/>
      <c r="L1046" s="38"/>
      <c r="M1046" s="38"/>
      <c r="N1046" s="80"/>
    </row>
    <row r="1047" ht="93.0" customHeight="1">
      <c r="A1047" s="38"/>
      <c r="B1047" s="38"/>
      <c r="C1047" s="38"/>
      <c r="D1047" s="38"/>
      <c r="E1047" s="81"/>
      <c r="F1047" s="38"/>
      <c r="G1047" s="38"/>
      <c r="H1047" s="38"/>
      <c r="I1047" s="38"/>
      <c r="J1047" s="83"/>
      <c r="K1047" s="38"/>
      <c r="L1047" s="38"/>
      <c r="M1047" s="38"/>
      <c r="N1047" s="83"/>
    </row>
    <row r="1048" ht="129.0" customHeight="1">
      <c r="A1048" s="38"/>
      <c r="B1048" s="38"/>
      <c r="C1048" s="38"/>
      <c r="D1048" s="38"/>
      <c r="E1048" s="38"/>
      <c r="F1048" s="84"/>
      <c r="G1048" s="38"/>
      <c r="H1048" s="38"/>
      <c r="I1048" s="38"/>
      <c r="J1048" s="83"/>
      <c r="K1048" s="38"/>
      <c r="L1048" s="38"/>
      <c r="M1048" s="38"/>
      <c r="N1048" s="80"/>
    </row>
    <row r="1049" ht="155.25" customHeight="1">
      <c r="A1049" s="38"/>
      <c r="B1049" s="38"/>
      <c r="C1049" s="38"/>
      <c r="D1049" s="38"/>
      <c r="E1049" s="38"/>
      <c r="F1049" s="84"/>
      <c r="G1049" s="38"/>
      <c r="H1049" s="38"/>
      <c r="I1049" s="38"/>
      <c r="J1049" s="83"/>
      <c r="K1049" s="38"/>
      <c r="L1049" s="38"/>
      <c r="M1049" s="38"/>
      <c r="N1049" s="83"/>
    </row>
    <row r="1050" ht="91.5" customHeight="1">
      <c r="A1050" s="38"/>
      <c r="B1050" s="5"/>
      <c r="C1050" s="5"/>
      <c r="D1050" s="5"/>
      <c r="E1050" s="5"/>
      <c r="F1050" s="5"/>
      <c r="G1050" s="5"/>
      <c r="H1050" s="5"/>
      <c r="I1050" s="5"/>
      <c r="J1050" s="83"/>
      <c r="K1050" s="5"/>
      <c r="L1050" s="5"/>
      <c r="M1050" s="5"/>
      <c r="N1050" s="83"/>
    </row>
    <row r="1051" ht="74.25" customHeight="1">
      <c r="A1051" s="38"/>
      <c r="B1051" s="5"/>
      <c r="C1051" s="5"/>
      <c r="D1051" s="5"/>
      <c r="E1051" s="5"/>
      <c r="F1051" s="5"/>
      <c r="G1051" s="5"/>
      <c r="H1051" s="5"/>
      <c r="I1051" s="5"/>
      <c r="J1051" s="83"/>
      <c r="K1051" s="5"/>
      <c r="L1051" s="5"/>
      <c r="M1051" s="5"/>
      <c r="N1051" s="83"/>
    </row>
    <row r="1052">
      <c r="A1052" s="38"/>
      <c r="B1052" s="60"/>
      <c r="C1052" s="61"/>
      <c r="D1052" s="62"/>
      <c r="E1052" s="85"/>
      <c r="F1052" s="86"/>
      <c r="G1052" s="87"/>
      <c r="H1052" s="5"/>
      <c r="I1052" s="5"/>
      <c r="J1052" s="45"/>
      <c r="K1052" s="86"/>
      <c r="L1052" s="11"/>
      <c r="M1052" s="5"/>
      <c r="N1052" s="83"/>
    </row>
    <row r="1053">
      <c r="A1053" s="38"/>
      <c r="B1053" s="60"/>
      <c r="C1053" s="61"/>
      <c r="D1053" s="62"/>
      <c r="E1053" s="85"/>
      <c r="F1053" s="86"/>
      <c r="G1053" s="60"/>
      <c r="H1053" s="5"/>
      <c r="I1053" s="5"/>
      <c r="J1053" s="45"/>
      <c r="K1053" s="86"/>
      <c r="L1053" s="11"/>
      <c r="M1053" s="5"/>
      <c r="N1053" s="83"/>
    </row>
    <row r="1054">
      <c r="A1054" s="38"/>
      <c r="B1054" s="60"/>
      <c r="C1054" s="61"/>
      <c r="D1054" s="62"/>
      <c r="E1054" s="85"/>
      <c r="F1054" s="86"/>
      <c r="G1054" s="60"/>
      <c r="H1054" s="5"/>
      <c r="I1054" s="5"/>
      <c r="J1054" s="45"/>
      <c r="K1054" s="86"/>
      <c r="L1054" s="11"/>
      <c r="M1054" s="5"/>
      <c r="N1054" s="83"/>
    </row>
    <row r="1055">
      <c r="A1055" s="38"/>
      <c r="B1055" s="60"/>
      <c r="C1055" s="61"/>
      <c r="D1055" s="62"/>
      <c r="E1055" s="85"/>
      <c r="F1055" s="86"/>
      <c r="G1055" s="60"/>
      <c r="H1055" s="60"/>
      <c r="I1055" s="60"/>
      <c r="J1055" s="45"/>
      <c r="K1055" s="43"/>
      <c r="L1055" s="11"/>
      <c r="M1055" s="5"/>
      <c r="N1055" s="83"/>
    </row>
    <row r="1056">
      <c r="A1056" s="38"/>
      <c r="B1056" s="60"/>
      <c r="C1056" s="61"/>
      <c r="D1056" s="62"/>
      <c r="E1056" s="85"/>
      <c r="F1056" s="86"/>
      <c r="G1056" s="60"/>
      <c r="H1056" s="60"/>
      <c r="I1056" s="60"/>
      <c r="J1056" s="45"/>
      <c r="K1056" s="43"/>
      <c r="L1056" s="11"/>
      <c r="M1056" s="5"/>
      <c r="N1056" s="83"/>
    </row>
    <row r="1057">
      <c r="A1057" s="38"/>
      <c r="B1057" s="60"/>
      <c r="C1057" s="61"/>
      <c r="D1057" s="62"/>
      <c r="E1057" s="85"/>
      <c r="F1057" s="86"/>
      <c r="G1057" s="60"/>
      <c r="H1057" s="60"/>
      <c r="I1057" s="60"/>
      <c r="J1057" s="45"/>
      <c r="K1057" s="43"/>
      <c r="L1057" s="11"/>
      <c r="M1057" s="5"/>
      <c r="N1057" s="83"/>
    </row>
    <row r="1058">
      <c r="A1058" s="38"/>
      <c r="B1058" s="60"/>
      <c r="C1058" s="61"/>
      <c r="D1058" s="62"/>
      <c r="E1058" s="85"/>
      <c r="F1058" s="86"/>
      <c r="G1058" s="60"/>
      <c r="H1058" s="60"/>
      <c r="I1058" s="60"/>
      <c r="J1058" s="45"/>
      <c r="K1058" s="43"/>
      <c r="L1058" s="11"/>
      <c r="M1058" s="5"/>
      <c r="N1058" s="83"/>
    </row>
    <row r="1059">
      <c r="A1059" s="38"/>
      <c r="B1059" s="60"/>
      <c r="C1059" s="61"/>
      <c r="D1059" s="62"/>
      <c r="E1059" s="85"/>
      <c r="F1059" s="86"/>
      <c r="G1059" s="60"/>
      <c r="H1059" s="60"/>
      <c r="I1059" s="60"/>
      <c r="J1059" s="45"/>
      <c r="K1059" s="43"/>
      <c r="L1059" s="11"/>
      <c r="M1059" s="5"/>
      <c r="N1059" s="83"/>
    </row>
    <row r="1060">
      <c r="A1060" s="38"/>
      <c r="B1060" s="60"/>
      <c r="C1060" s="61"/>
      <c r="D1060" s="62"/>
      <c r="E1060" s="85"/>
      <c r="F1060" s="86"/>
      <c r="G1060" s="60"/>
      <c r="H1060" s="60"/>
      <c r="I1060" s="60"/>
      <c r="J1060" s="45"/>
      <c r="K1060" s="43"/>
      <c r="L1060" s="11"/>
      <c r="M1060" s="5"/>
      <c r="N1060" s="83"/>
    </row>
    <row r="1061">
      <c r="A1061" s="38"/>
      <c r="B1061" s="60"/>
      <c r="C1061" s="61"/>
      <c r="D1061" s="62"/>
      <c r="E1061" s="85"/>
      <c r="F1061" s="86"/>
      <c r="G1061" s="60"/>
      <c r="H1061" s="60"/>
      <c r="I1061" s="60"/>
      <c r="J1061" s="45"/>
      <c r="K1061" s="43"/>
      <c r="L1061" s="11"/>
      <c r="M1061" s="5"/>
      <c r="N1061" s="83"/>
    </row>
    <row r="1062">
      <c r="A1062" s="38"/>
      <c r="B1062" s="60"/>
      <c r="C1062" s="61"/>
      <c r="D1062" s="62"/>
      <c r="E1062" s="85"/>
      <c r="F1062" s="86"/>
      <c r="G1062" s="60"/>
      <c r="H1062" s="60"/>
      <c r="I1062" s="60"/>
      <c r="J1062" s="45"/>
      <c r="K1062" s="43"/>
      <c r="L1062" s="11"/>
      <c r="M1062" s="5"/>
      <c r="N1062" s="83"/>
    </row>
    <row r="1063">
      <c r="A1063" s="38"/>
      <c r="B1063" s="60"/>
      <c r="C1063" s="61"/>
      <c r="D1063" s="62"/>
      <c r="E1063" s="85"/>
      <c r="F1063" s="86"/>
      <c r="G1063" s="60"/>
      <c r="H1063" s="60"/>
      <c r="I1063" s="60"/>
      <c r="J1063" s="45"/>
      <c r="K1063" s="43"/>
      <c r="L1063" s="11"/>
      <c r="M1063" s="5"/>
      <c r="N1063" s="83"/>
    </row>
    <row r="1064">
      <c r="A1064" s="38"/>
      <c r="B1064" s="60"/>
      <c r="C1064" s="61"/>
      <c r="D1064" s="62"/>
      <c r="E1064" s="85"/>
      <c r="F1064" s="86"/>
      <c r="G1064" s="60"/>
      <c r="H1064" s="60"/>
      <c r="I1064" s="60"/>
      <c r="J1064" s="45"/>
      <c r="K1064" s="43"/>
      <c r="L1064" s="11"/>
      <c r="M1064" s="5"/>
      <c r="N1064" s="83"/>
    </row>
    <row r="1065">
      <c r="A1065" s="38"/>
      <c r="B1065" s="60"/>
      <c r="C1065" s="61"/>
      <c r="D1065" s="62"/>
      <c r="E1065" s="85"/>
      <c r="F1065" s="86"/>
      <c r="G1065" s="60"/>
      <c r="H1065" s="60"/>
      <c r="I1065" s="60"/>
      <c r="J1065" s="45"/>
      <c r="K1065" s="43"/>
      <c r="L1065" s="11"/>
      <c r="M1065" s="5"/>
      <c r="N1065" s="83"/>
    </row>
    <row r="1066">
      <c r="A1066" s="38"/>
      <c r="B1066" s="60"/>
      <c r="C1066" s="61"/>
      <c r="D1066" s="62"/>
      <c r="E1066" s="85"/>
      <c r="F1066" s="86"/>
      <c r="G1066" s="60"/>
      <c r="H1066" s="60"/>
      <c r="I1066" s="60"/>
      <c r="J1066" s="45"/>
      <c r="K1066" s="43"/>
      <c r="L1066" s="11"/>
      <c r="M1066" s="5"/>
      <c r="N1066" s="83"/>
    </row>
    <row r="1067">
      <c r="A1067" s="38"/>
      <c r="B1067" s="60"/>
      <c r="C1067" s="61"/>
      <c r="D1067" s="62"/>
      <c r="E1067" s="85"/>
      <c r="F1067" s="86"/>
      <c r="G1067" s="60"/>
      <c r="H1067" s="60"/>
      <c r="I1067" s="60"/>
      <c r="J1067" s="45"/>
      <c r="K1067" s="43"/>
      <c r="L1067" s="11"/>
      <c r="M1067" s="5"/>
      <c r="N1067" s="83"/>
    </row>
    <row r="1068">
      <c r="A1068" s="38"/>
      <c r="B1068" s="60"/>
      <c r="C1068" s="61"/>
      <c r="D1068" s="62"/>
      <c r="E1068" s="85"/>
      <c r="F1068" s="86"/>
      <c r="G1068" s="60"/>
      <c r="H1068" s="60"/>
      <c r="I1068" s="60"/>
      <c r="J1068" s="45"/>
      <c r="K1068" s="43"/>
      <c r="L1068" s="11"/>
      <c r="M1068" s="5"/>
      <c r="N1068" s="83"/>
    </row>
    <row r="1069">
      <c r="A1069" s="38"/>
      <c r="B1069" s="60"/>
      <c r="C1069" s="61"/>
      <c r="D1069" s="62"/>
      <c r="E1069" s="85"/>
      <c r="F1069" s="86"/>
      <c r="G1069" s="60"/>
      <c r="H1069" s="60"/>
      <c r="I1069" s="60"/>
      <c r="J1069" s="45"/>
      <c r="K1069" s="43"/>
      <c r="L1069" s="11"/>
      <c r="M1069" s="5"/>
      <c r="N1069" s="83"/>
    </row>
    <row r="1070">
      <c r="A1070" s="38"/>
      <c r="B1070" s="60"/>
      <c r="C1070" s="61"/>
      <c r="D1070" s="62"/>
      <c r="E1070" s="85"/>
      <c r="F1070" s="86"/>
      <c r="G1070" s="60"/>
      <c r="H1070" s="60"/>
      <c r="I1070" s="60"/>
      <c r="J1070" s="45"/>
      <c r="K1070" s="43"/>
      <c r="L1070" s="11"/>
      <c r="M1070" s="5"/>
      <c r="N1070" s="83"/>
    </row>
    <row r="1071">
      <c r="A1071" s="38"/>
      <c r="B1071" s="60"/>
      <c r="C1071" s="61"/>
      <c r="D1071" s="62"/>
      <c r="E1071" s="85"/>
      <c r="F1071" s="86"/>
      <c r="G1071" s="60"/>
      <c r="H1071" s="60"/>
      <c r="I1071" s="60"/>
      <c r="J1071" s="45"/>
      <c r="K1071" s="43"/>
      <c r="L1071" s="11"/>
      <c r="M1071" s="5"/>
      <c r="N1071" s="83"/>
    </row>
    <row r="1072">
      <c r="A1072" s="38"/>
      <c r="B1072" s="60"/>
      <c r="C1072" s="61"/>
      <c r="D1072" s="62"/>
      <c r="E1072" s="85"/>
      <c r="F1072" s="86"/>
      <c r="G1072" s="60"/>
      <c r="H1072" s="60"/>
      <c r="I1072" s="60"/>
      <c r="J1072" s="45"/>
      <c r="K1072" s="43"/>
      <c r="L1072" s="11"/>
      <c r="M1072" s="5"/>
      <c r="N1072" s="83"/>
    </row>
    <row r="1073">
      <c r="A1073" s="38"/>
      <c r="B1073" s="60"/>
      <c r="C1073" s="61"/>
      <c r="D1073" s="62"/>
      <c r="E1073" s="85"/>
      <c r="F1073" s="86"/>
      <c r="G1073" s="60"/>
      <c r="H1073" s="60"/>
      <c r="I1073" s="60"/>
      <c r="J1073" s="45"/>
      <c r="K1073" s="43"/>
      <c r="L1073" s="11"/>
      <c r="M1073" s="5"/>
      <c r="N1073" s="83"/>
    </row>
    <row r="1074">
      <c r="A1074" s="38"/>
      <c r="B1074" s="60"/>
      <c r="C1074" s="61"/>
      <c r="D1074" s="62"/>
      <c r="E1074" s="85"/>
      <c r="F1074" s="86"/>
      <c r="G1074" s="60"/>
      <c r="H1074" s="60"/>
      <c r="I1074" s="60"/>
      <c r="J1074" s="45"/>
      <c r="K1074" s="43"/>
      <c r="L1074" s="11"/>
      <c r="M1074" s="5"/>
      <c r="N1074" s="83"/>
    </row>
    <row r="1075">
      <c r="A1075" s="38"/>
      <c r="B1075" s="60"/>
      <c r="C1075" s="61"/>
      <c r="D1075" s="62"/>
      <c r="E1075" s="85"/>
      <c r="F1075" s="86"/>
      <c r="G1075" s="60"/>
      <c r="H1075" s="60"/>
      <c r="I1075" s="60"/>
      <c r="J1075" s="45"/>
      <c r="K1075" s="43"/>
      <c r="L1075" s="11"/>
      <c r="M1075" s="5"/>
      <c r="N1075" s="83"/>
    </row>
    <row r="1076">
      <c r="A1076" s="38"/>
      <c r="B1076" s="60"/>
      <c r="C1076" s="61"/>
      <c r="D1076" s="62"/>
      <c r="E1076" s="85"/>
      <c r="F1076" s="86"/>
      <c r="G1076" s="60"/>
      <c r="H1076" s="60"/>
      <c r="I1076" s="60"/>
      <c r="J1076" s="45"/>
      <c r="K1076" s="43"/>
      <c r="L1076" s="11"/>
      <c r="M1076" s="5"/>
      <c r="N1076" s="83"/>
    </row>
    <row r="1077">
      <c r="A1077" s="38"/>
      <c r="B1077" s="60"/>
      <c r="C1077" s="61"/>
      <c r="D1077" s="62"/>
      <c r="E1077" s="85"/>
      <c r="F1077" s="86"/>
      <c r="G1077" s="60"/>
      <c r="H1077" s="60"/>
      <c r="I1077" s="60"/>
      <c r="J1077" s="45"/>
      <c r="K1077" s="43"/>
      <c r="L1077" s="11"/>
      <c r="M1077" s="5"/>
      <c r="N1077" s="83"/>
    </row>
    <row r="1078">
      <c r="A1078" s="38"/>
      <c r="B1078" s="60"/>
      <c r="C1078" s="61"/>
      <c r="D1078" s="62"/>
      <c r="E1078" s="85"/>
      <c r="F1078" s="86"/>
      <c r="G1078" s="60"/>
      <c r="H1078" s="60"/>
      <c r="I1078" s="60"/>
      <c r="J1078" s="45"/>
      <c r="K1078" s="43"/>
      <c r="L1078" s="11"/>
      <c r="M1078" s="5"/>
      <c r="N1078" s="83"/>
    </row>
    <row r="1079">
      <c r="A1079" s="38"/>
      <c r="B1079" s="60"/>
      <c r="C1079" s="61"/>
      <c r="D1079" s="62"/>
      <c r="E1079" s="85"/>
      <c r="F1079" s="86"/>
      <c r="G1079" s="60"/>
      <c r="H1079" s="60"/>
      <c r="I1079" s="60"/>
      <c r="J1079" s="45"/>
      <c r="K1079" s="43"/>
      <c r="L1079" s="11"/>
      <c r="M1079" s="5"/>
      <c r="N1079" s="83"/>
    </row>
    <row r="1080">
      <c r="A1080" s="38"/>
      <c r="B1080" s="60"/>
      <c r="C1080" s="61"/>
      <c r="D1080" s="62"/>
      <c r="E1080" s="85"/>
      <c r="F1080" s="86"/>
      <c r="G1080" s="60"/>
      <c r="H1080" s="60"/>
      <c r="I1080" s="60"/>
      <c r="J1080" s="45"/>
      <c r="K1080" s="43"/>
      <c r="L1080" s="11"/>
      <c r="M1080" s="5"/>
      <c r="N1080" s="83"/>
    </row>
    <row r="1081">
      <c r="A1081" s="38"/>
      <c r="B1081" s="60"/>
      <c r="C1081" s="61"/>
      <c r="D1081" s="62"/>
      <c r="E1081" s="85"/>
      <c r="F1081" s="86"/>
      <c r="G1081" s="60"/>
      <c r="H1081" s="60"/>
      <c r="I1081" s="60"/>
      <c r="J1081" s="45"/>
      <c r="K1081" s="43"/>
      <c r="L1081" s="11"/>
      <c r="M1081" s="5"/>
      <c r="N1081" s="83"/>
    </row>
    <row r="1082">
      <c r="A1082" s="38"/>
      <c r="B1082" s="60"/>
      <c r="C1082" s="61"/>
      <c r="D1082" s="62"/>
      <c r="E1082" s="85"/>
      <c r="F1082" s="86"/>
      <c r="G1082" s="60"/>
      <c r="H1082" s="60"/>
      <c r="I1082" s="60"/>
      <c r="J1082" s="45"/>
      <c r="K1082" s="43"/>
      <c r="L1082" s="11"/>
      <c r="M1082" s="5"/>
      <c r="N1082" s="83"/>
    </row>
    <row r="1083">
      <c r="A1083" s="38"/>
      <c r="B1083" s="60"/>
      <c r="C1083" s="61"/>
      <c r="D1083" s="62"/>
      <c r="E1083" s="85"/>
      <c r="F1083" s="86"/>
      <c r="G1083" s="60"/>
      <c r="H1083" s="60"/>
      <c r="I1083" s="60"/>
      <c r="J1083" s="45"/>
      <c r="K1083" s="43"/>
      <c r="L1083" s="11"/>
      <c r="M1083" s="5"/>
      <c r="N1083" s="83"/>
    </row>
    <row r="1084">
      <c r="A1084" s="38"/>
      <c r="B1084" s="60"/>
      <c r="C1084" s="61"/>
      <c r="D1084" s="62"/>
      <c r="E1084" s="85"/>
      <c r="F1084" s="86"/>
      <c r="G1084" s="60"/>
      <c r="H1084" s="60"/>
      <c r="I1084" s="60"/>
      <c r="J1084" s="45"/>
      <c r="K1084" s="43"/>
      <c r="L1084" s="11"/>
      <c r="M1084" s="5"/>
      <c r="N1084" s="83"/>
    </row>
    <row r="1085">
      <c r="A1085" s="38"/>
      <c r="B1085" s="60"/>
      <c r="C1085" s="61"/>
      <c r="D1085" s="62"/>
      <c r="E1085" s="85"/>
      <c r="F1085" s="86"/>
      <c r="G1085" s="60"/>
      <c r="H1085" s="60"/>
      <c r="I1085" s="60"/>
      <c r="J1085" s="45"/>
      <c r="K1085" s="43"/>
      <c r="L1085" s="11"/>
      <c r="M1085" s="5"/>
      <c r="N1085" s="83"/>
    </row>
    <row r="1086">
      <c r="A1086" s="38"/>
      <c r="B1086" s="60"/>
      <c r="C1086" s="61"/>
      <c r="D1086" s="62"/>
      <c r="E1086" s="85"/>
      <c r="F1086" s="86"/>
      <c r="G1086" s="60"/>
      <c r="H1086" s="60"/>
      <c r="I1086" s="60"/>
      <c r="J1086" s="45"/>
      <c r="K1086" s="43"/>
      <c r="L1086" s="11"/>
      <c r="M1086" s="5"/>
      <c r="N1086" s="83"/>
    </row>
    <row r="1087">
      <c r="A1087" s="38"/>
      <c r="B1087" s="60"/>
      <c r="C1087" s="61"/>
      <c r="D1087" s="62"/>
      <c r="E1087" s="85"/>
      <c r="F1087" s="86"/>
      <c r="G1087" s="60"/>
      <c r="H1087" s="60"/>
      <c r="I1087" s="60"/>
      <c r="J1087" s="45"/>
      <c r="K1087" s="43"/>
      <c r="L1087" s="11"/>
      <c r="M1087" s="5"/>
      <c r="N1087" s="83"/>
    </row>
    <row r="1088">
      <c r="A1088" s="38"/>
      <c r="B1088" s="60"/>
      <c r="C1088" s="61"/>
      <c r="D1088" s="62"/>
      <c r="E1088" s="85"/>
      <c r="F1088" s="86"/>
      <c r="G1088" s="60"/>
      <c r="H1088" s="60"/>
      <c r="I1088" s="60"/>
      <c r="J1088" s="45"/>
      <c r="K1088" s="43"/>
      <c r="L1088" s="11"/>
      <c r="M1088" s="5"/>
      <c r="N1088" s="83"/>
    </row>
    <row r="1089">
      <c r="A1089" s="38"/>
      <c r="B1089" s="60"/>
      <c r="C1089" s="61"/>
      <c r="D1089" s="62"/>
      <c r="E1089" s="85"/>
      <c r="F1089" s="86"/>
      <c r="G1089" s="60"/>
      <c r="H1089" s="60"/>
      <c r="I1089" s="60"/>
      <c r="J1089" s="45"/>
      <c r="K1089" s="43"/>
      <c r="L1089" s="11"/>
      <c r="M1089" s="5"/>
      <c r="N1089" s="83"/>
    </row>
    <row r="1090">
      <c r="A1090" s="38"/>
      <c r="B1090" s="60"/>
      <c r="C1090" s="61"/>
      <c r="D1090" s="62"/>
      <c r="E1090" s="85"/>
      <c r="F1090" s="86"/>
      <c r="G1090" s="60"/>
      <c r="H1090" s="60"/>
      <c r="I1090" s="60"/>
      <c r="J1090" s="45"/>
      <c r="K1090" s="43"/>
      <c r="L1090" s="11"/>
      <c r="M1090" s="5"/>
      <c r="N1090" s="83"/>
    </row>
    <row r="1091">
      <c r="A1091" s="38"/>
      <c r="B1091" s="60"/>
      <c r="C1091" s="61"/>
      <c r="D1091" s="62"/>
      <c r="E1091" s="85"/>
      <c r="F1091" s="86"/>
      <c r="G1091" s="60"/>
      <c r="H1091" s="60"/>
      <c r="I1091" s="60"/>
      <c r="J1091" s="45"/>
      <c r="K1091" s="43"/>
      <c r="L1091" s="11"/>
      <c r="M1091" s="5"/>
      <c r="N1091" s="83"/>
    </row>
    <row r="1092">
      <c r="A1092" s="38"/>
      <c r="B1092" s="60"/>
      <c r="C1092" s="61"/>
      <c r="D1092" s="62"/>
      <c r="E1092" s="85"/>
      <c r="F1092" s="86"/>
      <c r="G1092" s="60"/>
      <c r="H1092" s="60"/>
      <c r="I1092" s="60"/>
      <c r="J1092" s="45"/>
      <c r="K1092" s="43"/>
      <c r="L1092" s="11"/>
      <c r="M1092" s="5"/>
      <c r="N1092" s="83"/>
    </row>
    <row r="1093">
      <c r="A1093" s="38"/>
      <c r="B1093" s="60"/>
      <c r="C1093" s="61"/>
      <c r="D1093" s="62"/>
      <c r="E1093" s="85"/>
      <c r="F1093" s="86"/>
      <c r="G1093" s="60"/>
      <c r="H1093" s="60"/>
      <c r="I1093" s="60"/>
      <c r="J1093" s="45"/>
      <c r="K1093" s="43"/>
      <c r="L1093" s="11"/>
      <c r="M1093" s="5"/>
      <c r="N1093" s="83"/>
    </row>
    <row r="1094">
      <c r="A1094" s="38"/>
      <c r="B1094" s="60"/>
      <c r="C1094" s="61"/>
      <c r="D1094" s="62"/>
      <c r="E1094" s="85"/>
      <c r="F1094" s="86"/>
      <c r="G1094" s="60"/>
      <c r="H1094" s="60"/>
      <c r="I1094" s="60"/>
      <c r="J1094" s="45"/>
      <c r="K1094" s="43"/>
      <c r="L1094" s="11"/>
      <c r="M1094" s="5"/>
      <c r="N1094" s="83"/>
    </row>
    <row r="1095">
      <c r="A1095" s="38"/>
      <c r="B1095" s="60"/>
      <c r="C1095" s="61"/>
      <c r="D1095" s="62"/>
      <c r="E1095" s="85"/>
      <c r="F1095" s="86"/>
      <c r="G1095" s="60"/>
      <c r="H1095" s="60"/>
      <c r="I1095" s="60"/>
      <c r="J1095" s="45"/>
      <c r="K1095" s="43"/>
      <c r="L1095" s="11"/>
      <c r="M1095" s="5"/>
      <c r="N1095" s="83"/>
    </row>
    <row r="1096">
      <c r="A1096" s="38"/>
      <c r="B1096" s="60"/>
      <c r="C1096" s="61"/>
      <c r="D1096" s="62"/>
      <c r="E1096" s="85"/>
      <c r="F1096" s="86"/>
      <c r="G1096" s="60"/>
      <c r="H1096" s="60"/>
      <c r="I1096" s="60"/>
      <c r="J1096" s="45"/>
      <c r="K1096" s="43"/>
      <c r="L1096" s="11"/>
      <c r="M1096" s="5"/>
      <c r="N1096" s="83"/>
    </row>
    <row r="1097">
      <c r="A1097" s="38"/>
      <c r="B1097" s="60"/>
      <c r="C1097" s="61"/>
      <c r="D1097" s="62"/>
      <c r="E1097" s="85"/>
      <c r="F1097" s="86"/>
      <c r="G1097" s="60"/>
      <c r="H1097" s="60"/>
      <c r="I1097" s="60"/>
      <c r="J1097" s="45"/>
      <c r="K1097" s="43"/>
      <c r="L1097" s="11"/>
      <c r="M1097" s="5"/>
      <c r="N1097" s="83"/>
    </row>
    <row r="1098">
      <c r="A1098" s="38"/>
      <c r="B1098" s="60"/>
      <c r="C1098" s="61"/>
      <c r="D1098" s="62"/>
      <c r="E1098" s="85"/>
      <c r="F1098" s="86"/>
      <c r="G1098" s="60"/>
      <c r="H1098" s="60"/>
      <c r="I1098" s="60"/>
      <c r="J1098" s="45"/>
      <c r="K1098" s="43"/>
      <c r="L1098" s="11"/>
      <c r="M1098" s="5"/>
      <c r="N1098" s="83"/>
    </row>
    <row r="1099">
      <c r="A1099" s="38"/>
      <c r="B1099" s="60"/>
      <c r="C1099" s="61"/>
      <c r="D1099" s="62"/>
      <c r="E1099" s="85"/>
      <c r="F1099" s="86"/>
      <c r="G1099" s="60"/>
      <c r="H1099" s="60"/>
      <c r="I1099" s="60"/>
      <c r="J1099" s="45"/>
      <c r="K1099" s="43"/>
      <c r="L1099" s="11"/>
      <c r="M1099" s="5"/>
      <c r="N1099" s="83"/>
    </row>
    <row r="1100">
      <c r="A1100" s="38"/>
      <c r="B1100" s="60"/>
      <c r="C1100" s="61"/>
      <c r="D1100" s="62"/>
      <c r="E1100" s="85"/>
      <c r="F1100" s="86"/>
      <c r="G1100" s="60"/>
      <c r="H1100" s="60"/>
      <c r="I1100" s="60"/>
      <c r="J1100" s="45"/>
      <c r="K1100" s="43"/>
      <c r="L1100" s="11"/>
      <c r="M1100" s="5"/>
      <c r="N1100" s="83"/>
    </row>
    <row r="1101">
      <c r="A1101" s="38"/>
      <c r="B1101" s="60"/>
      <c r="C1101" s="61"/>
      <c r="D1101" s="62"/>
      <c r="E1101" s="85"/>
      <c r="F1101" s="86"/>
      <c r="G1101" s="60"/>
      <c r="H1101" s="60"/>
      <c r="I1101" s="60"/>
      <c r="J1101" s="45"/>
      <c r="K1101" s="43"/>
      <c r="L1101" s="11"/>
      <c r="M1101" s="5"/>
      <c r="N1101" s="83"/>
    </row>
    <row r="1102">
      <c r="A1102" s="38"/>
      <c r="B1102" s="60"/>
      <c r="C1102" s="61"/>
      <c r="D1102" s="62"/>
      <c r="E1102" s="85"/>
      <c r="F1102" s="86"/>
      <c r="G1102" s="60"/>
      <c r="H1102" s="60"/>
      <c r="I1102" s="60"/>
      <c r="J1102" s="45"/>
      <c r="K1102" s="43"/>
      <c r="L1102" s="11"/>
      <c r="M1102" s="5"/>
      <c r="N1102" s="83"/>
    </row>
    <row r="1103">
      <c r="A1103" s="38"/>
      <c r="B1103" s="60"/>
      <c r="C1103" s="61"/>
      <c r="D1103" s="62"/>
      <c r="E1103" s="85"/>
      <c r="F1103" s="86"/>
      <c r="G1103" s="60"/>
      <c r="H1103" s="60"/>
      <c r="I1103" s="60"/>
      <c r="J1103" s="45"/>
      <c r="K1103" s="43"/>
      <c r="L1103" s="11"/>
      <c r="M1103" s="5"/>
      <c r="N1103" s="83"/>
    </row>
    <row r="1104">
      <c r="A1104" s="38"/>
      <c r="B1104" s="60"/>
      <c r="C1104" s="61"/>
      <c r="D1104" s="62"/>
      <c r="E1104" s="85"/>
      <c r="F1104" s="86"/>
      <c r="G1104" s="60"/>
      <c r="H1104" s="60"/>
      <c r="I1104" s="60"/>
      <c r="J1104" s="45"/>
      <c r="K1104" s="43"/>
      <c r="L1104" s="11"/>
      <c r="M1104" s="5"/>
      <c r="N1104" s="83"/>
    </row>
    <row r="1105">
      <c r="A1105" s="38"/>
      <c r="B1105" s="60"/>
      <c r="C1105" s="61"/>
      <c r="D1105" s="62"/>
      <c r="E1105" s="85"/>
      <c r="F1105" s="86"/>
      <c r="G1105" s="60"/>
      <c r="H1105" s="60"/>
      <c r="I1105" s="60"/>
      <c r="J1105" s="45"/>
      <c r="K1105" s="43"/>
      <c r="L1105" s="11"/>
      <c r="M1105" s="5"/>
      <c r="N1105" s="83"/>
    </row>
    <row r="1106">
      <c r="A1106" s="38"/>
      <c r="B1106" s="60"/>
      <c r="C1106" s="61"/>
      <c r="D1106" s="62"/>
      <c r="E1106" s="85"/>
      <c r="F1106" s="86"/>
      <c r="G1106" s="60"/>
      <c r="H1106" s="60"/>
      <c r="I1106" s="60"/>
      <c r="J1106" s="45"/>
      <c r="K1106" s="43"/>
      <c r="L1106" s="11"/>
      <c r="M1106" s="5"/>
      <c r="N1106" s="83"/>
    </row>
    <row r="1107">
      <c r="A1107" s="38"/>
      <c r="B1107" s="60"/>
      <c r="C1107" s="61"/>
      <c r="D1107" s="62"/>
      <c r="E1107" s="85"/>
      <c r="F1107" s="86"/>
      <c r="G1107" s="60"/>
      <c r="H1107" s="60"/>
      <c r="I1107" s="60"/>
      <c r="J1107" s="45"/>
      <c r="K1107" s="43"/>
      <c r="L1107" s="11"/>
      <c r="M1107" s="5"/>
      <c r="N1107" s="83"/>
    </row>
    <row r="1108">
      <c r="A1108" s="38"/>
      <c r="B1108" s="60"/>
      <c r="C1108" s="61"/>
      <c r="D1108" s="62"/>
      <c r="E1108" s="85"/>
      <c r="F1108" s="86"/>
      <c r="G1108" s="60"/>
      <c r="H1108" s="60"/>
      <c r="I1108" s="60"/>
      <c r="J1108" s="45"/>
      <c r="K1108" s="43"/>
      <c r="L1108" s="11"/>
      <c r="M1108" s="5"/>
      <c r="N1108" s="83"/>
    </row>
    <row r="1109">
      <c r="A1109" s="38"/>
      <c r="B1109" s="60"/>
      <c r="C1109" s="61"/>
      <c r="D1109" s="62"/>
      <c r="E1109" s="85"/>
      <c r="F1109" s="86"/>
      <c r="G1109" s="60"/>
      <c r="H1109" s="60"/>
      <c r="I1109" s="60"/>
      <c r="J1109" s="45"/>
      <c r="K1109" s="43"/>
      <c r="L1109" s="11"/>
      <c r="M1109" s="5"/>
      <c r="N1109" s="83"/>
    </row>
    <row r="1110">
      <c r="A1110" s="38"/>
      <c r="B1110" s="60"/>
      <c r="C1110" s="61"/>
      <c r="D1110" s="62"/>
      <c r="E1110" s="85"/>
      <c r="F1110" s="86"/>
      <c r="G1110" s="60"/>
      <c r="H1110" s="60"/>
      <c r="I1110" s="60"/>
      <c r="J1110" s="45"/>
      <c r="K1110" s="43"/>
      <c r="L1110" s="11"/>
      <c r="M1110" s="5"/>
      <c r="N1110" s="83"/>
    </row>
    <row r="1111">
      <c r="A1111" s="38"/>
      <c r="B1111" s="60"/>
      <c r="C1111" s="61"/>
      <c r="D1111" s="62"/>
      <c r="E1111" s="85"/>
      <c r="F1111" s="86"/>
      <c r="G1111" s="60"/>
      <c r="H1111" s="60"/>
      <c r="I1111" s="60"/>
      <c r="J1111" s="45"/>
      <c r="K1111" s="43"/>
      <c r="L1111" s="11"/>
      <c r="M1111" s="5"/>
      <c r="N1111" s="83"/>
    </row>
    <row r="1112">
      <c r="A1112" s="38"/>
      <c r="B1112" s="60"/>
      <c r="C1112" s="61"/>
      <c r="D1112" s="62"/>
      <c r="E1112" s="85"/>
      <c r="F1112" s="86"/>
      <c r="G1112" s="60"/>
      <c r="H1112" s="60"/>
      <c r="I1112" s="60"/>
      <c r="J1112" s="45"/>
      <c r="K1112" s="43"/>
      <c r="L1112" s="11"/>
      <c r="M1112" s="5"/>
      <c r="N1112" s="83"/>
    </row>
    <row r="1113">
      <c r="A1113" s="38"/>
      <c r="B1113" s="60"/>
      <c r="C1113" s="61"/>
      <c r="D1113" s="62"/>
      <c r="E1113" s="85"/>
      <c r="F1113" s="86"/>
      <c r="G1113" s="60"/>
      <c r="H1113" s="60"/>
      <c r="I1113" s="60"/>
      <c r="J1113" s="45"/>
      <c r="K1113" s="43"/>
      <c r="L1113" s="11"/>
      <c r="M1113" s="5"/>
      <c r="N1113" s="83"/>
    </row>
    <row r="1114">
      <c r="A1114" s="38"/>
      <c r="B1114" s="60"/>
      <c r="C1114" s="61"/>
      <c r="D1114" s="62"/>
      <c r="E1114" s="85"/>
      <c r="F1114" s="86"/>
      <c r="G1114" s="60"/>
      <c r="H1114" s="60"/>
      <c r="I1114" s="60"/>
      <c r="J1114" s="45"/>
      <c r="K1114" s="43"/>
      <c r="L1114" s="11"/>
      <c r="M1114" s="5"/>
      <c r="N1114" s="83"/>
    </row>
    <row r="1115">
      <c r="A1115" s="38"/>
      <c r="B1115" s="60"/>
      <c r="C1115" s="61"/>
      <c r="D1115" s="62"/>
      <c r="E1115" s="85"/>
      <c r="F1115" s="86"/>
      <c r="G1115" s="60"/>
      <c r="H1115" s="60"/>
      <c r="I1115" s="60"/>
      <c r="J1115" s="45"/>
      <c r="K1115" s="43"/>
      <c r="L1115" s="11"/>
      <c r="M1115" s="5"/>
      <c r="N1115" s="83"/>
    </row>
    <row r="1116">
      <c r="A1116" s="38"/>
      <c r="B1116" s="60"/>
      <c r="C1116" s="61"/>
      <c r="D1116" s="62"/>
      <c r="E1116" s="85"/>
      <c r="F1116" s="86"/>
      <c r="G1116" s="60"/>
      <c r="H1116" s="60"/>
      <c r="I1116" s="60"/>
      <c r="J1116" s="45"/>
      <c r="K1116" s="43"/>
      <c r="L1116" s="11"/>
      <c r="M1116" s="5"/>
      <c r="N1116" s="83"/>
    </row>
    <row r="1117">
      <c r="A1117" s="38"/>
      <c r="B1117" s="60"/>
      <c r="C1117" s="61"/>
      <c r="D1117" s="62"/>
      <c r="E1117" s="85"/>
      <c r="F1117" s="86"/>
      <c r="G1117" s="60"/>
      <c r="H1117" s="60"/>
      <c r="I1117" s="60"/>
      <c r="J1117" s="45"/>
      <c r="K1117" s="43"/>
      <c r="L1117" s="11"/>
      <c r="M1117" s="5"/>
      <c r="N1117" s="83"/>
    </row>
    <row r="1118">
      <c r="A1118" s="38"/>
      <c r="B1118" s="60"/>
      <c r="C1118" s="61"/>
      <c r="D1118" s="62"/>
      <c r="E1118" s="85"/>
      <c r="F1118" s="86"/>
      <c r="G1118" s="60"/>
      <c r="H1118" s="60"/>
      <c r="I1118" s="60"/>
      <c r="J1118" s="45"/>
      <c r="K1118" s="43"/>
      <c r="L1118" s="11"/>
      <c r="M1118" s="5"/>
      <c r="N1118" s="83"/>
    </row>
    <row r="1119">
      <c r="A1119" s="38"/>
      <c r="B1119" s="60"/>
      <c r="C1119" s="61"/>
      <c r="D1119" s="62"/>
      <c r="E1119" s="85"/>
      <c r="F1119" s="86"/>
      <c r="G1119" s="60"/>
      <c r="H1119" s="60"/>
      <c r="I1119" s="60"/>
      <c r="J1119" s="45"/>
      <c r="K1119" s="43"/>
      <c r="L1119" s="11"/>
      <c r="M1119" s="5"/>
      <c r="N1119" s="83"/>
    </row>
    <row r="1120">
      <c r="A1120" s="38"/>
      <c r="B1120" s="60"/>
      <c r="C1120" s="61"/>
      <c r="D1120" s="62"/>
      <c r="E1120" s="85"/>
      <c r="F1120" s="86"/>
      <c r="G1120" s="60"/>
      <c r="H1120" s="60"/>
      <c r="I1120" s="60"/>
      <c r="J1120" s="45"/>
      <c r="K1120" s="43"/>
      <c r="L1120" s="11"/>
      <c r="M1120" s="5"/>
      <c r="N1120" s="83"/>
    </row>
    <row r="1121">
      <c r="A1121" s="38"/>
      <c r="B1121" s="60"/>
      <c r="C1121" s="61"/>
      <c r="D1121" s="62"/>
      <c r="E1121" s="85"/>
      <c r="F1121" s="86"/>
      <c r="G1121" s="60"/>
      <c r="H1121" s="60"/>
      <c r="I1121" s="60"/>
      <c r="J1121" s="45"/>
      <c r="K1121" s="43"/>
      <c r="L1121" s="11"/>
      <c r="M1121" s="5"/>
      <c r="N1121" s="83"/>
    </row>
    <row r="1122">
      <c r="A1122" s="38"/>
      <c r="B1122" s="60"/>
      <c r="C1122" s="61"/>
      <c r="D1122" s="62"/>
      <c r="E1122" s="85"/>
      <c r="F1122" s="86"/>
      <c r="G1122" s="60"/>
      <c r="H1122" s="60"/>
      <c r="I1122" s="60"/>
      <c r="J1122" s="45"/>
      <c r="K1122" s="43"/>
      <c r="L1122" s="11"/>
      <c r="M1122" s="5"/>
      <c r="N1122" s="83"/>
    </row>
    <row r="1123">
      <c r="A1123" s="38"/>
      <c r="B1123" s="60"/>
      <c r="C1123" s="61"/>
      <c r="D1123" s="62"/>
      <c r="E1123" s="85"/>
      <c r="F1123" s="86"/>
      <c r="G1123" s="60"/>
      <c r="H1123" s="60"/>
      <c r="I1123" s="60"/>
      <c r="J1123" s="45"/>
      <c r="K1123" s="43"/>
      <c r="L1123" s="11"/>
      <c r="M1123" s="5"/>
      <c r="N1123" s="83"/>
    </row>
    <row r="1124">
      <c r="A1124" s="38"/>
      <c r="B1124" s="60"/>
      <c r="C1124" s="61"/>
      <c r="D1124" s="62"/>
      <c r="E1124" s="85"/>
      <c r="F1124" s="86"/>
      <c r="G1124" s="60"/>
      <c r="H1124" s="60"/>
      <c r="I1124" s="60"/>
      <c r="J1124" s="45"/>
      <c r="K1124" s="43"/>
      <c r="L1124" s="11"/>
      <c r="M1124" s="5"/>
      <c r="N1124" s="83"/>
    </row>
    <row r="1125">
      <c r="A1125" s="38"/>
      <c r="B1125" s="60"/>
      <c r="C1125" s="61"/>
      <c r="D1125" s="62"/>
      <c r="E1125" s="85"/>
      <c r="F1125" s="86"/>
      <c r="G1125" s="60"/>
      <c r="H1125" s="60"/>
      <c r="I1125" s="60"/>
      <c r="J1125" s="45"/>
      <c r="K1125" s="43"/>
      <c r="L1125" s="11"/>
      <c r="M1125" s="5"/>
      <c r="N1125" s="83"/>
    </row>
    <row r="1126">
      <c r="A1126" s="38"/>
      <c r="B1126" s="60"/>
      <c r="C1126" s="61"/>
      <c r="D1126" s="62"/>
      <c r="E1126" s="85"/>
      <c r="F1126" s="86"/>
      <c r="G1126" s="60"/>
      <c r="H1126" s="60"/>
      <c r="I1126" s="60"/>
      <c r="J1126" s="45"/>
      <c r="K1126" s="43"/>
      <c r="L1126" s="11"/>
      <c r="M1126" s="5"/>
      <c r="N1126" s="83"/>
    </row>
    <row r="1127">
      <c r="A1127" s="38"/>
      <c r="B1127" s="60"/>
      <c r="C1127" s="61"/>
      <c r="D1127" s="62"/>
      <c r="E1127" s="85"/>
      <c r="F1127" s="86"/>
      <c r="G1127" s="60"/>
      <c r="H1127" s="60"/>
      <c r="I1127" s="60"/>
      <c r="J1127" s="45"/>
      <c r="K1127" s="43"/>
      <c r="L1127" s="11"/>
      <c r="M1127" s="5"/>
      <c r="N1127" s="83"/>
    </row>
    <row r="1128">
      <c r="A1128" s="38"/>
      <c r="B1128" s="60"/>
      <c r="C1128" s="61"/>
      <c r="D1128" s="62"/>
      <c r="E1128" s="85"/>
      <c r="F1128" s="86"/>
      <c r="G1128" s="60"/>
      <c r="H1128" s="60"/>
      <c r="I1128" s="60"/>
      <c r="J1128" s="45"/>
      <c r="K1128" s="43"/>
      <c r="L1128" s="11"/>
      <c r="M1128" s="5"/>
      <c r="N1128" s="83"/>
    </row>
    <row r="1129">
      <c r="A1129" s="38"/>
      <c r="B1129" s="60"/>
      <c r="C1129" s="61"/>
      <c r="D1129" s="62"/>
      <c r="E1129" s="85"/>
      <c r="F1129" s="86"/>
      <c r="G1129" s="60"/>
      <c r="H1129" s="60"/>
      <c r="I1129" s="60"/>
      <c r="J1129" s="45"/>
      <c r="K1129" s="43"/>
      <c r="L1129" s="11"/>
      <c r="M1129" s="5"/>
      <c r="N1129" s="83"/>
    </row>
    <row r="1130">
      <c r="A1130" s="38"/>
      <c r="B1130" s="39"/>
      <c r="C1130" s="38"/>
      <c r="D1130" s="36"/>
      <c r="E1130" s="88"/>
      <c r="F1130" s="39"/>
      <c r="G1130" s="41"/>
      <c r="H1130" s="36"/>
      <c r="I1130" s="36"/>
      <c r="J1130" s="42"/>
      <c r="K1130" s="39"/>
      <c r="L1130" s="39"/>
      <c r="M1130" s="36"/>
      <c r="N1130" s="42"/>
    </row>
    <row r="1131">
      <c r="A1131" s="38"/>
      <c r="B1131" s="39"/>
      <c r="C1131" s="38"/>
      <c r="D1131" s="36"/>
      <c r="E1131" s="88"/>
      <c r="F1131" s="39"/>
      <c r="G1131" s="41"/>
      <c r="H1131" s="36"/>
      <c r="I1131" s="36"/>
      <c r="J1131" s="42"/>
      <c r="K1131" s="39"/>
      <c r="L1131" s="39"/>
      <c r="M1131" s="36"/>
      <c r="N1131" s="42"/>
    </row>
    <row r="1132">
      <c r="A1132" s="38"/>
      <c r="B1132" s="39"/>
      <c r="C1132" s="38"/>
      <c r="D1132" s="36"/>
      <c r="E1132" s="88"/>
      <c r="F1132" s="39"/>
      <c r="G1132" s="89"/>
      <c r="H1132" s="36"/>
      <c r="I1132" s="36"/>
      <c r="J1132" s="90"/>
      <c r="K1132" s="39"/>
      <c r="L1132" s="39"/>
      <c r="M1132" s="36"/>
      <c r="N1132" s="42"/>
    </row>
    <row r="1133">
      <c r="A1133" s="38"/>
      <c r="B1133" s="60"/>
      <c r="C1133" s="43"/>
      <c r="D1133" s="62"/>
      <c r="E1133" s="91"/>
      <c r="F1133" s="43"/>
      <c r="G1133" s="43"/>
      <c r="H1133" s="60"/>
      <c r="I1133" s="60"/>
      <c r="J1133" s="90"/>
      <c r="K1133" s="43"/>
      <c r="L1133" s="60"/>
      <c r="M1133" s="60"/>
      <c r="N1133" s="83"/>
    </row>
    <row r="1134">
      <c r="A1134" s="36"/>
      <c r="B1134" s="60"/>
      <c r="C1134" s="43"/>
      <c r="D1134" s="62"/>
      <c r="E1134" s="91"/>
      <c r="F1134" s="43"/>
      <c r="G1134" s="60"/>
      <c r="H1134" s="60"/>
      <c r="I1134" s="60"/>
      <c r="J1134" s="90"/>
      <c r="K1134" s="43"/>
      <c r="L1134" s="60"/>
      <c r="M1134" s="60"/>
      <c r="N1134" s="83"/>
    </row>
    <row r="1135">
      <c r="A1135" s="36"/>
      <c r="B1135" s="60"/>
      <c r="C1135" s="43"/>
      <c r="D1135" s="62"/>
      <c r="E1135" s="91"/>
      <c r="F1135" s="43"/>
      <c r="G1135" s="60"/>
      <c r="H1135" s="60"/>
      <c r="I1135" s="60"/>
      <c r="J1135" s="90"/>
      <c r="K1135" s="43"/>
      <c r="L1135" s="60"/>
      <c r="M1135" s="60"/>
      <c r="N1135" s="83"/>
    </row>
    <row r="1136">
      <c r="A1136" s="36"/>
      <c r="B1136" s="60"/>
      <c r="C1136" s="43"/>
      <c r="D1136" s="62"/>
      <c r="E1136" s="91"/>
      <c r="F1136" s="43"/>
      <c r="G1136" s="43"/>
      <c r="H1136" s="60"/>
      <c r="I1136" s="60"/>
      <c r="J1136" s="90"/>
      <c r="K1136" s="43"/>
      <c r="L1136" s="60"/>
      <c r="M1136" s="60"/>
      <c r="N1136" s="83"/>
    </row>
    <row r="1137">
      <c r="A1137" s="36"/>
      <c r="B1137" s="60"/>
      <c r="C1137" s="43"/>
      <c r="D1137" s="62"/>
      <c r="E1137" s="91"/>
      <c r="F1137" s="43"/>
      <c r="G1137" s="43"/>
      <c r="H1137" s="60"/>
      <c r="I1137" s="60"/>
      <c r="J1137" s="90"/>
      <c r="K1137" s="43"/>
      <c r="L1137" s="60"/>
      <c r="M1137" s="60"/>
      <c r="N1137" s="83"/>
    </row>
    <row r="1138">
      <c r="A1138" s="36"/>
      <c r="B1138" s="60"/>
      <c r="C1138" s="43"/>
      <c r="D1138" s="62"/>
      <c r="E1138" s="91"/>
      <c r="F1138" s="43"/>
      <c r="G1138" s="43"/>
      <c r="H1138" s="60"/>
      <c r="I1138" s="60"/>
      <c r="J1138" s="90"/>
      <c r="K1138" s="43"/>
      <c r="L1138" s="60"/>
      <c r="M1138" s="60"/>
      <c r="N1138" s="83"/>
    </row>
    <row r="1139">
      <c r="A1139" s="36"/>
      <c r="B1139" s="60"/>
      <c r="C1139" s="43"/>
      <c r="D1139" s="62"/>
      <c r="E1139" s="91"/>
      <c r="F1139" s="43"/>
      <c r="G1139" s="43"/>
      <c r="H1139" s="60"/>
      <c r="I1139" s="60"/>
      <c r="J1139" s="90"/>
      <c r="K1139" s="43"/>
      <c r="L1139" s="60"/>
      <c r="M1139" s="60"/>
      <c r="N1139" s="83"/>
    </row>
    <row r="1140">
      <c r="A1140" s="36"/>
      <c r="B1140" s="60"/>
      <c r="C1140" s="43"/>
      <c r="D1140" s="62"/>
      <c r="E1140" s="91"/>
      <c r="F1140" s="43"/>
      <c r="G1140" s="43"/>
      <c r="H1140" s="60"/>
      <c r="I1140" s="60"/>
      <c r="J1140" s="90"/>
      <c r="K1140" s="43"/>
      <c r="L1140" s="60"/>
      <c r="M1140" s="60"/>
      <c r="N1140" s="83"/>
    </row>
    <row r="1141">
      <c r="A1141" s="36"/>
      <c r="B1141" s="60"/>
      <c r="C1141" s="43"/>
      <c r="D1141" s="62"/>
      <c r="E1141" s="91"/>
      <c r="F1141" s="43"/>
      <c r="G1141" s="43"/>
      <c r="H1141" s="60"/>
      <c r="I1141" s="60"/>
      <c r="J1141" s="90"/>
      <c r="K1141" s="43"/>
      <c r="L1141" s="60"/>
      <c r="M1141" s="60"/>
      <c r="N1141" s="83"/>
    </row>
    <row r="1142">
      <c r="A1142" s="36"/>
      <c r="B1142" s="60"/>
      <c r="C1142" s="43"/>
      <c r="D1142" s="62"/>
      <c r="E1142" s="91"/>
      <c r="F1142" s="43"/>
      <c r="G1142" s="43"/>
      <c r="H1142" s="60"/>
      <c r="I1142" s="60"/>
      <c r="J1142" s="90"/>
      <c r="K1142" s="43"/>
      <c r="L1142" s="60"/>
      <c r="M1142" s="60"/>
      <c r="N1142" s="83"/>
    </row>
    <row r="1143">
      <c r="A1143" s="36"/>
      <c r="B1143" s="60"/>
      <c r="C1143" s="43"/>
      <c r="D1143" s="62"/>
      <c r="E1143" s="91"/>
      <c r="F1143" s="43"/>
      <c r="G1143" s="43"/>
      <c r="H1143" s="60"/>
      <c r="I1143" s="60"/>
      <c r="J1143" s="90"/>
      <c r="K1143" s="43"/>
      <c r="L1143" s="60"/>
      <c r="M1143" s="60"/>
      <c r="N1143" s="83"/>
    </row>
    <row r="1144">
      <c r="A1144" s="36"/>
      <c r="B1144" s="60"/>
      <c r="C1144" s="43"/>
      <c r="D1144" s="62"/>
      <c r="E1144" s="91"/>
      <c r="F1144" s="43"/>
      <c r="G1144" s="43"/>
      <c r="H1144" s="60"/>
      <c r="I1144" s="60"/>
      <c r="J1144" s="90"/>
      <c r="K1144" s="43"/>
      <c r="L1144" s="60"/>
      <c r="M1144" s="60"/>
      <c r="N1144" s="83"/>
    </row>
    <row r="1145">
      <c r="A1145" s="36"/>
      <c r="B1145" s="60"/>
      <c r="C1145" s="43"/>
      <c r="D1145" s="62"/>
      <c r="E1145" s="91"/>
      <c r="F1145" s="43"/>
      <c r="G1145" s="43"/>
      <c r="H1145" s="60"/>
      <c r="I1145" s="60"/>
      <c r="J1145" s="90"/>
      <c r="K1145" s="43"/>
      <c r="L1145" s="60"/>
      <c r="M1145" s="60"/>
      <c r="N1145" s="83"/>
    </row>
    <row r="1146">
      <c r="A1146" s="36"/>
      <c r="B1146" s="60"/>
      <c r="C1146" s="43"/>
      <c r="D1146" s="62"/>
      <c r="E1146" s="91"/>
      <c r="F1146" s="43"/>
      <c r="G1146" s="60"/>
      <c r="H1146" s="60"/>
      <c r="I1146" s="60"/>
      <c r="J1146" s="90"/>
      <c r="K1146" s="43"/>
      <c r="L1146" s="60"/>
      <c r="M1146" s="60"/>
      <c r="N1146" s="83"/>
    </row>
    <row r="1147">
      <c r="A1147" s="36"/>
      <c r="B1147" s="60"/>
      <c r="C1147" s="43"/>
      <c r="D1147" s="62"/>
      <c r="E1147" s="91"/>
      <c r="F1147" s="43"/>
      <c r="G1147" s="43"/>
      <c r="H1147" s="60"/>
      <c r="I1147" s="60"/>
      <c r="J1147" s="90"/>
      <c r="K1147" s="43"/>
      <c r="L1147" s="60"/>
      <c r="M1147" s="60"/>
      <c r="N1147" s="83"/>
    </row>
    <row r="1148">
      <c r="A1148" s="36"/>
      <c r="B1148" s="60"/>
      <c r="C1148" s="43"/>
      <c r="D1148" s="62"/>
      <c r="E1148" s="91"/>
      <c r="F1148" s="43"/>
      <c r="G1148" s="43"/>
      <c r="H1148" s="60"/>
      <c r="I1148" s="60"/>
      <c r="J1148" s="90"/>
      <c r="K1148" s="43"/>
      <c r="L1148" s="60"/>
      <c r="M1148" s="60"/>
      <c r="N1148" s="83"/>
    </row>
    <row r="1149">
      <c r="A1149" s="36"/>
      <c r="B1149" s="60"/>
      <c r="C1149" s="43"/>
      <c r="D1149" s="62"/>
      <c r="E1149" s="91"/>
      <c r="F1149" s="43"/>
      <c r="G1149" s="43"/>
      <c r="H1149" s="60"/>
      <c r="I1149" s="60"/>
      <c r="J1149" s="90"/>
      <c r="K1149" s="43"/>
      <c r="L1149" s="60"/>
      <c r="M1149" s="60"/>
      <c r="N1149" s="83"/>
    </row>
    <row r="1150">
      <c r="A1150" s="36"/>
      <c r="B1150" s="60"/>
      <c r="C1150" s="43"/>
      <c r="D1150" s="62"/>
      <c r="E1150" s="91"/>
      <c r="F1150" s="43"/>
      <c r="G1150" s="60"/>
      <c r="H1150" s="60"/>
      <c r="I1150" s="60"/>
      <c r="J1150" s="90"/>
      <c r="K1150" s="43"/>
      <c r="L1150" s="60"/>
      <c r="M1150" s="60"/>
      <c r="N1150" s="83"/>
    </row>
    <row r="1151">
      <c r="A1151" s="36"/>
      <c r="B1151" s="60"/>
      <c r="C1151" s="43"/>
      <c r="D1151" s="62"/>
      <c r="E1151" s="91"/>
      <c r="F1151" s="43"/>
      <c r="G1151" s="43"/>
      <c r="H1151" s="60"/>
      <c r="I1151" s="60"/>
      <c r="J1151" s="90"/>
      <c r="K1151" s="43"/>
      <c r="L1151" s="60"/>
      <c r="M1151" s="60"/>
      <c r="N1151" s="83"/>
    </row>
    <row r="1152">
      <c r="A1152" s="36"/>
      <c r="B1152" s="60"/>
      <c r="C1152" s="43"/>
      <c r="D1152" s="62"/>
      <c r="E1152" s="91"/>
      <c r="F1152" s="43"/>
      <c r="G1152" s="43"/>
      <c r="H1152" s="60"/>
      <c r="I1152" s="60"/>
      <c r="J1152" s="90"/>
      <c r="K1152" s="43"/>
      <c r="L1152" s="60"/>
      <c r="M1152" s="60"/>
      <c r="N1152" s="83"/>
    </row>
    <row r="1153">
      <c r="A1153" s="36"/>
      <c r="B1153" s="60"/>
      <c r="C1153" s="43"/>
      <c r="D1153" s="62"/>
      <c r="E1153" s="91"/>
      <c r="F1153" s="43"/>
      <c r="G1153" s="43"/>
      <c r="H1153" s="60"/>
      <c r="I1153" s="60"/>
      <c r="J1153" s="90"/>
      <c r="K1153" s="43"/>
      <c r="L1153" s="60"/>
      <c r="M1153" s="60"/>
      <c r="N1153" s="83"/>
    </row>
    <row r="1154">
      <c r="A1154" s="36"/>
      <c r="B1154" s="60"/>
      <c r="C1154" s="43"/>
      <c r="D1154" s="62"/>
      <c r="E1154" s="91"/>
      <c r="F1154" s="43"/>
      <c r="G1154" s="43"/>
      <c r="H1154" s="60"/>
      <c r="I1154" s="60"/>
      <c r="J1154" s="90"/>
      <c r="K1154" s="43"/>
      <c r="L1154" s="60"/>
      <c r="M1154" s="60"/>
      <c r="N1154" s="83"/>
    </row>
    <row r="1155">
      <c r="A1155" s="36"/>
      <c r="B1155" s="60"/>
      <c r="C1155" s="43"/>
      <c r="D1155" s="62"/>
      <c r="E1155" s="91"/>
      <c r="F1155" s="43"/>
      <c r="G1155" s="43"/>
      <c r="H1155" s="60"/>
      <c r="I1155" s="60"/>
      <c r="J1155" s="90"/>
      <c r="K1155" s="43"/>
      <c r="L1155" s="60"/>
      <c r="M1155" s="60"/>
      <c r="N1155" s="83"/>
    </row>
    <row r="1156">
      <c r="A1156" s="36"/>
      <c r="B1156" s="60"/>
      <c r="C1156" s="43"/>
      <c r="D1156" s="62"/>
      <c r="E1156" s="91"/>
      <c r="F1156" s="43"/>
      <c r="G1156" s="60"/>
      <c r="H1156" s="60"/>
      <c r="I1156" s="60"/>
      <c r="J1156" s="90"/>
      <c r="K1156" s="43"/>
      <c r="L1156" s="60"/>
      <c r="M1156" s="60"/>
      <c r="N1156" s="83"/>
    </row>
    <row r="1157">
      <c r="A1157" s="36"/>
      <c r="B1157" s="60"/>
      <c r="C1157" s="43"/>
      <c r="D1157" s="62"/>
      <c r="E1157" s="91"/>
      <c r="F1157" s="43"/>
      <c r="G1157" s="43"/>
      <c r="H1157" s="60"/>
      <c r="I1157" s="60"/>
      <c r="J1157" s="90"/>
      <c r="K1157" s="43"/>
      <c r="L1157" s="60"/>
      <c r="M1157" s="60"/>
      <c r="N1157" s="83"/>
    </row>
    <row r="1158">
      <c r="A1158" s="36"/>
      <c r="B1158" s="60"/>
      <c r="C1158" s="43"/>
      <c r="D1158" s="62"/>
      <c r="E1158" s="91"/>
      <c r="F1158" s="43"/>
      <c r="G1158" s="43"/>
      <c r="H1158" s="60"/>
      <c r="I1158" s="60"/>
      <c r="J1158" s="90"/>
      <c r="K1158" s="43"/>
      <c r="L1158" s="60"/>
      <c r="M1158" s="60"/>
      <c r="N1158" s="83"/>
    </row>
    <row r="1159">
      <c r="A1159" s="36"/>
      <c r="B1159" s="60"/>
      <c r="C1159" s="43"/>
      <c r="D1159" s="62"/>
      <c r="E1159" s="91"/>
      <c r="F1159" s="43"/>
      <c r="G1159" s="43"/>
      <c r="H1159" s="60"/>
      <c r="I1159" s="60"/>
      <c r="J1159" s="90"/>
      <c r="K1159" s="43"/>
      <c r="L1159" s="60"/>
      <c r="M1159" s="60"/>
      <c r="N1159" s="83"/>
    </row>
    <row r="1160">
      <c r="A1160" s="36"/>
      <c r="B1160" s="60"/>
      <c r="C1160" s="43"/>
      <c r="D1160" s="62"/>
      <c r="E1160" s="91"/>
      <c r="F1160" s="43"/>
      <c r="G1160" s="60"/>
      <c r="H1160" s="60"/>
      <c r="I1160" s="60"/>
      <c r="J1160" s="90"/>
      <c r="K1160" s="43"/>
      <c r="L1160" s="60"/>
      <c r="M1160" s="60"/>
      <c r="N1160" s="83"/>
    </row>
    <row r="1161">
      <c r="A1161" s="36"/>
      <c r="B1161" s="60"/>
      <c r="C1161" s="43"/>
      <c r="D1161" s="62"/>
      <c r="E1161" s="91"/>
      <c r="F1161" s="43"/>
      <c r="G1161" s="43"/>
      <c r="H1161" s="60"/>
      <c r="I1161" s="60"/>
      <c r="J1161" s="90"/>
      <c r="K1161" s="43"/>
      <c r="L1161" s="60"/>
      <c r="M1161" s="60"/>
      <c r="N1161" s="83"/>
    </row>
    <row r="1162">
      <c r="A1162" s="36"/>
      <c r="B1162" s="60"/>
      <c r="C1162" s="43"/>
      <c r="D1162" s="62"/>
      <c r="E1162" s="91"/>
      <c r="F1162" s="43"/>
      <c r="G1162" s="43"/>
      <c r="H1162" s="60"/>
      <c r="I1162" s="60"/>
      <c r="J1162" s="90"/>
      <c r="K1162" s="43"/>
      <c r="L1162" s="60"/>
      <c r="M1162" s="60"/>
      <c r="N1162" s="83"/>
    </row>
    <row r="1163">
      <c r="A1163" s="36"/>
      <c r="B1163" s="60"/>
      <c r="C1163" s="43"/>
      <c r="D1163" s="62"/>
      <c r="E1163" s="91"/>
      <c r="F1163" s="43"/>
      <c r="G1163" s="43"/>
      <c r="H1163" s="60"/>
      <c r="I1163" s="60"/>
      <c r="J1163" s="90"/>
      <c r="K1163" s="43"/>
      <c r="L1163" s="60"/>
      <c r="M1163" s="60"/>
      <c r="N1163" s="83"/>
    </row>
    <row r="1164">
      <c r="A1164" s="36"/>
      <c r="B1164" s="60"/>
      <c r="C1164" s="43"/>
      <c r="D1164" s="62"/>
      <c r="E1164" s="91"/>
      <c r="F1164" s="43"/>
      <c r="G1164" s="43"/>
      <c r="H1164" s="60"/>
      <c r="I1164" s="60"/>
      <c r="J1164" s="90"/>
      <c r="K1164" s="43"/>
      <c r="L1164" s="60"/>
      <c r="M1164" s="60"/>
      <c r="N1164" s="83"/>
    </row>
    <row r="1165">
      <c r="A1165" s="36"/>
      <c r="B1165" s="60"/>
      <c r="C1165" s="43"/>
      <c r="D1165" s="62"/>
      <c r="E1165" s="91"/>
      <c r="F1165" s="43"/>
      <c r="G1165" s="43"/>
      <c r="H1165" s="60"/>
      <c r="I1165" s="60"/>
      <c r="J1165" s="90"/>
      <c r="K1165" s="43"/>
      <c r="L1165" s="60"/>
      <c r="M1165" s="60"/>
      <c r="N1165" s="83"/>
    </row>
    <row r="1166">
      <c r="A1166" s="36"/>
      <c r="B1166" s="60"/>
      <c r="C1166" s="43"/>
      <c r="D1166" s="62"/>
      <c r="E1166" s="91"/>
      <c r="F1166" s="43"/>
      <c r="G1166" s="43"/>
      <c r="H1166" s="60"/>
      <c r="I1166" s="60"/>
      <c r="J1166" s="90"/>
      <c r="K1166" s="43"/>
      <c r="L1166" s="60"/>
      <c r="M1166" s="60"/>
      <c r="N1166" s="83"/>
    </row>
    <row r="1167">
      <c r="A1167" s="36"/>
      <c r="B1167" s="60"/>
      <c r="C1167" s="43"/>
      <c r="D1167" s="62"/>
      <c r="E1167" s="91"/>
      <c r="F1167" s="43"/>
      <c r="G1167" s="43"/>
      <c r="H1167" s="60"/>
      <c r="I1167" s="60"/>
      <c r="J1167" s="90"/>
      <c r="K1167" s="43"/>
      <c r="L1167" s="60"/>
      <c r="M1167" s="60"/>
      <c r="N1167" s="83"/>
    </row>
    <row r="1168">
      <c r="A1168" s="36"/>
      <c r="B1168" s="60"/>
      <c r="C1168" s="43"/>
      <c r="D1168" s="62"/>
      <c r="E1168" s="91"/>
      <c r="F1168" s="43"/>
      <c r="G1168" s="43"/>
      <c r="H1168" s="60"/>
      <c r="I1168" s="60"/>
      <c r="J1168" s="90"/>
      <c r="K1168" s="43"/>
      <c r="L1168" s="60"/>
      <c r="M1168" s="60"/>
      <c r="N1168" s="83"/>
    </row>
    <row r="1169">
      <c r="A1169" s="36"/>
      <c r="B1169" s="60"/>
      <c r="C1169" s="43"/>
      <c r="D1169" s="62"/>
      <c r="E1169" s="91"/>
      <c r="F1169" s="43"/>
      <c r="G1169" s="43"/>
      <c r="H1169" s="60"/>
      <c r="I1169" s="60"/>
      <c r="J1169" s="90"/>
      <c r="K1169" s="43"/>
      <c r="L1169" s="60"/>
      <c r="M1169" s="60"/>
      <c r="N1169" s="83"/>
    </row>
    <row r="1170">
      <c r="A1170" s="36"/>
      <c r="B1170" s="60"/>
      <c r="C1170" s="43"/>
      <c r="D1170" s="62"/>
      <c r="E1170" s="91"/>
      <c r="F1170" s="43"/>
      <c r="G1170" s="43"/>
      <c r="H1170" s="60"/>
      <c r="I1170" s="60"/>
      <c r="J1170" s="90"/>
      <c r="K1170" s="43"/>
      <c r="L1170" s="60"/>
      <c r="M1170" s="60"/>
      <c r="N1170" s="83"/>
    </row>
    <row r="1171">
      <c r="A1171" s="36"/>
      <c r="B1171" s="60"/>
      <c r="C1171" s="43"/>
      <c r="D1171" s="62"/>
      <c r="E1171" s="91"/>
      <c r="F1171" s="43"/>
      <c r="G1171" s="43"/>
      <c r="H1171" s="60"/>
      <c r="I1171" s="60"/>
      <c r="J1171" s="90"/>
      <c r="K1171" s="43"/>
      <c r="L1171" s="60"/>
      <c r="M1171" s="60"/>
      <c r="N1171" s="83"/>
    </row>
    <row r="1172">
      <c r="A1172" s="36"/>
      <c r="B1172" s="60"/>
      <c r="C1172" s="43"/>
      <c r="D1172" s="62"/>
      <c r="E1172" s="60"/>
      <c r="F1172" s="60"/>
      <c r="G1172" s="60"/>
      <c r="H1172" s="60"/>
      <c r="I1172" s="60"/>
      <c r="J1172" s="90"/>
      <c r="K1172" s="43"/>
      <c r="L1172" s="60"/>
      <c r="M1172" s="60"/>
      <c r="N1172" s="83"/>
    </row>
    <row r="1173">
      <c r="A1173" s="36"/>
      <c r="B1173" s="60"/>
      <c r="C1173" s="43"/>
      <c r="D1173" s="62"/>
      <c r="E1173" s="60"/>
      <c r="F1173" s="60"/>
      <c r="G1173" s="60"/>
      <c r="H1173" s="60"/>
      <c r="I1173" s="60"/>
      <c r="J1173" s="90"/>
      <c r="K1173" s="43"/>
      <c r="L1173" s="60"/>
      <c r="M1173" s="60"/>
      <c r="N1173" s="83"/>
    </row>
    <row r="1174">
      <c r="A1174" s="36"/>
      <c r="B1174" s="60"/>
      <c r="C1174" s="43"/>
      <c r="D1174" s="62"/>
      <c r="E1174" s="91"/>
      <c r="F1174" s="43"/>
      <c r="G1174" s="43"/>
      <c r="H1174" s="60"/>
      <c r="I1174" s="60"/>
      <c r="J1174" s="90"/>
      <c r="K1174" s="43"/>
      <c r="L1174" s="60"/>
      <c r="M1174" s="60"/>
      <c r="N1174" s="83"/>
    </row>
    <row r="1175">
      <c r="A1175" s="36"/>
      <c r="B1175" s="60"/>
      <c r="C1175" s="43"/>
      <c r="D1175" s="62"/>
      <c r="E1175" s="91"/>
      <c r="F1175" s="43"/>
      <c r="G1175" s="43"/>
      <c r="H1175" s="60"/>
      <c r="I1175" s="60"/>
      <c r="J1175" s="90"/>
      <c r="K1175" s="43"/>
      <c r="L1175" s="60"/>
      <c r="M1175" s="60"/>
      <c r="N1175" s="83"/>
    </row>
    <row r="1176">
      <c r="A1176" s="36"/>
      <c r="B1176" s="60"/>
      <c r="C1176" s="43"/>
      <c r="D1176" s="62"/>
      <c r="E1176" s="60"/>
      <c r="F1176" s="60"/>
      <c r="G1176" s="60"/>
      <c r="H1176" s="60"/>
      <c r="I1176" s="60"/>
      <c r="J1176" s="90"/>
      <c r="K1176" s="43"/>
      <c r="L1176" s="60"/>
      <c r="M1176" s="60"/>
      <c r="N1176" s="83"/>
    </row>
    <row r="1177">
      <c r="A1177" s="36"/>
      <c r="B1177" s="60"/>
      <c r="C1177" s="43"/>
      <c r="D1177" s="62"/>
      <c r="E1177" s="91"/>
      <c r="F1177" s="43"/>
      <c r="G1177" s="43"/>
      <c r="H1177" s="60"/>
      <c r="I1177" s="60"/>
      <c r="J1177" s="90"/>
      <c r="K1177" s="43"/>
      <c r="L1177" s="60"/>
      <c r="M1177" s="60"/>
      <c r="N1177" s="83"/>
    </row>
    <row r="1178">
      <c r="A1178" s="36"/>
      <c r="B1178" s="60"/>
      <c r="C1178" s="43"/>
      <c r="D1178" s="62"/>
      <c r="E1178" s="91"/>
      <c r="F1178" s="43"/>
      <c r="G1178" s="43"/>
      <c r="H1178" s="60"/>
      <c r="I1178" s="60"/>
      <c r="J1178" s="90"/>
      <c r="K1178" s="43"/>
      <c r="L1178" s="60"/>
      <c r="M1178" s="60"/>
      <c r="N1178" s="83"/>
    </row>
    <row r="1179">
      <c r="A1179" s="36"/>
      <c r="B1179" s="60"/>
      <c r="C1179" s="43"/>
      <c r="D1179" s="62"/>
      <c r="E1179" s="60"/>
      <c r="F1179" s="60"/>
      <c r="G1179" s="60"/>
      <c r="H1179" s="60"/>
      <c r="I1179" s="60"/>
      <c r="J1179" s="90"/>
      <c r="K1179" s="43"/>
      <c r="L1179" s="60"/>
      <c r="M1179" s="60"/>
      <c r="N1179" s="83"/>
    </row>
    <row r="1180">
      <c r="A1180" s="36"/>
      <c r="B1180" s="60"/>
      <c r="C1180" s="43"/>
      <c r="D1180" s="62"/>
      <c r="E1180" s="91"/>
      <c r="F1180" s="43"/>
      <c r="G1180" s="43"/>
      <c r="H1180" s="60"/>
      <c r="I1180" s="60"/>
      <c r="J1180" s="90"/>
      <c r="K1180" s="43"/>
      <c r="L1180" s="60"/>
      <c r="M1180" s="60"/>
      <c r="N1180" s="83"/>
    </row>
    <row r="1181">
      <c r="A1181" s="36"/>
      <c r="B1181" s="60"/>
      <c r="C1181" s="43"/>
      <c r="D1181" s="62"/>
      <c r="E1181" s="91"/>
      <c r="F1181" s="43"/>
      <c r="G1181" s="60"/>
      <c r="H1181" s="60"/>
      <c r="I1181" s="60"/>
      <c r="J1181" s="90"/>
      <c r="K1181" s="43"/>
      <c r="L1181" s="60"/>
      <c r="M1181" s="60"/>
      <c r="N1181" s="83"/>
    </row>
    <row r="1182">
      <c r="A1182" s="36"/>
      <c r="B1182" s="60"/>
      <c r="C1182" s="43"/>
      <c r="D1182" s="62"/>
      <c r="E1182" s="91"/>
      <c r="F1182" s="43"/>
      <c r="G1182" s="43"/>
      <c r="H1182" s="60"/>
      <c r="I1182" s="60"/>
      <c r="J1182" s="90"/>
      <c r="K1182" s="43"/>
      <c r="L1182" s="60"/>
      <c r="M1182" s="60"/>
      <c r="N1182" s="83"/>
    </row>
    <row r="1183">
      <c r="A1183" s="36"/>
      <c r="B1183" s="60"/>
      <c r="C1183" s="43"/>
      <c r="D1183" s="62"/>
      <c r="E1183" s="60"/>
      <c r="F1183" s="60"/>
      <c r="G1183" s="60"/>
      <c r="H1183" s="60"/>
      <c r="I1183" s="60"/>
      <c r="J1183" s="90"/>
      <c r="K1183" s="43"/>
      <c r="L1183" s="60"/>
      <c r="M1183" s="60"/>
      <c r="N1183" s="83"/>
    </row>
    <row r="1184">
      <c r="A1184" s="36"/>
      <c r="B1184" s="60"/>
      <c r="C1184" s="43"/>
      <c r="D1184" s="62"/>
      <c r="E1184" s="91"/>
      <c r="F1184" s="43"/>
      <c r="G1184" s="43"/>
      <c r="H1184" s="60"/>
      <c r="I1184" s="60"/>
      <c r="J1184" s="90"/>
      <c r="K1184" s="43"/>
      <c r="L1184" s="60"/>
      <c r="M1184" s="60"/>
      <c r="N1184" s="83"/>
    </row>
    <row r="1185">
      <c r="A1185" s="36"/>
      <c r="B1185" s="60"/>
      <c r="C1185" s="43"/>
      <c r="D1185" s="62"/>
      <c r="E1185" s="60"/>
      <c r="F1185" s="43"/>
      <c r="G1185" s="60"/>
      <c r="H1185" s="60"/>
      <c r="I1185" s="60"/>
      <c r="J1185" s="90"/>
      <c r="K1185" s="43"/>
      <c r="L1185" s="60"/>
      <c r="M1185" s="60"/>
      <c r="N1185" s="83"/>
    </row>
    <row r="1186">
      <c r="A1186" s="36"/>
      <c r="B1186" s="60"/>
      <c r="C1186" s="43"/>
      <c r="D1186" s="62"/>
      <c r="E1186" s="60"/>
      <c r="F1186" s="60"/>
      <c r="G1186" s="60"/>
      <c r="H1186" s="60"/>
      <c r="I1186" s="60"/>
      <c r="J1186" s="90"/>
      <c r="K1186" s="43"/>
      <c r="L1186" s="60"/>
      <c r="M1186" s="60"/>
      <c r="N1186" s="83"/>
    </row>
    <row r="1187">
      <c r="A1187" s="36"/>
      <c r="B1187" s="60"/>
      <c r="C1187" s="43"/>
      <c r="D1187" s="62"/>
      <c r="E1187" s="60"/>
      <c r="F1187" s="60"/>
      <c r="G1187" s="60"/>
      <c r="H1187" s="60"/>
      <c r="I1187" s="60"/>
      <c r="J1187" s="90"/>
      <c r="K1187" s="43"/>
      <c r="L1187" s="60"/>
      <c r="M1187" s="60"/>
      <c r="N1187" s="83"/>
    </row>
    <row r="1188">
      <c r="A1188" s="36"/>
      <c r="B1188" s="60"/>
      <c r="C1188" s="43"/>
      <c r="D1188" s="62"/>
      <c r="E1188" s="60"/>
      <c r="F1188" s="60"/>
      <c r="G1188" s="60"/>
      <c r="H1188" s="60"/>
      <c r="I1188" s="60"/>
      <c r="J1188" s="90"/>
      <c r="K1188" s="43"/>
      <c r="L1188" s="60"/>
      <c r="M1188" s="60"/>
      <c r="N1188" s="83"/>
    </row>
    <row r="1189">
      <c r="A1189" s="36"/>
      <c r="B1189" s="60"/>
      <c r="C1189" s="43"/>
      <c r="D1189" s="62"/>
      <c r="E1189" s="60"/>
      <c r="F1189" s="60"/>
      <c r="G1189" s="60"/>
      <c r="H1189" s="60"/>
      <c r="I1189" s="60"/>
      <c r="J1189" s="90"/>
      <c r="K1189" s="43"/>
      <c r="L1189" s="60"/>
      <c r="M1189" s="60"/>
      <c r="N1189" s="83"/>
    </row>
    <row r="1190">
      <c r="A1190" s="36"/>
      <c r="B1190" s="60"/>
      <c r="C1190" s="43"/>
      <c r="D1190" s="62"/>
      <c r="E1190" s="91"/>
      <c r="F1190" s="43"/>
      <c r="G1190" s="43"/>
      <c r="H1190" s="60"/>
      <c r="I1190" s="60"/>
      <c r="J1190" s="90"/>
      <c r="K1190" s="43"/>
      <c r="L1190" s="60"/>
      <c r="M1190" s="60"/>
      <c r="N1190" s="83"/>
    </row>
    <row r="1191">
      <c r="A1191" s="36"/>
      <c r="B1191" s="60"/>
      <c r="C1191" s="43"/>
      <c r="D1191" s="62"/>
      <c r="E1191" s="60"/>
      <c r="F1191" s="43"/>
      <c r="G1191" s="60"/>
      <c r="H1191" s="60"/>
      <c r="I1191" s="60"/>
      <c r="J1191" s="90"/>
      <c r="K1191" s="43"/>
      <c r="L1191" s="60"/>
      <c r="M1191" s="60"/>
      <c r="N1191" s="83"/>
    </row>
    <row r="1192">
      <c r="A1192" s="36"/>
      <c r="B1192" s="60"/>
      <c r="C1192" s="43"/>
      <c r="D1192" s="62"/>
      <c r="E1192" s="60"/>
      <c r="F1192" s="60"/>
      <c r="G1192" s="60"/>
      <c r="H1192" s="60"/>
      <c r="I1192" s="60"/>
      <c r="J1192" s="90"/>
      <c r="K1192" s="43"/>
      <c r="L1192" s="60"/>
      <c r="M1192" s="60"/>
      <c r="N1192" s="83"/>
    </row>
    <row r="1193">
      <c r="A1193" s="36"/>
      <c r="B1193" s="60"/>
      <c r="C1193" s="43"/>
      <c r="D1193" s="62"/>
      <c r="E1193" s="60"/>
      <c r="F1193" s="60"/>
      <c r="G1193" s="60"/>
      <c r="H1193" s="60"/>
      <c r="I1193" s="60"/>
      <c r="J1193" s="90"/>
      <c r="K1193" s="43"/>
      <c r="L1193" s="60"/>
      <c r="M1193" s="60"/>
      <c r="N1193" s="83"/>
    </row>
    <row r="1194">
      <c r="A1194" s="36"/>
      <c r="B1194" s="60"/>
      <c r="C1194" s="43"/>
      <c r="D1194" s="62"/>
      <c r="E1194" s="60"/>
      <c r="F1194" s="60"/>
      <c r="G1194" s="60"/>
      <c r="H1194" s="60"/>
      <c r="I1194" s="60"/>
      <c r="J1194" s="90"/>
      <c r="K1194" s="43"/>
      <c r="L1194" s="60"/>
      <c r="M1194" s="60"/>
      <c r="N1194" s="83"/>
    </row>
    <row r="1195">
      <c r="A1195" s="36"/>
      <c r="B1195" s="60"/>
      <c r="C1195" s="43"/>
      <c r="D1195" s="62"/>
      <c r="E1195" s="60"/>
      <c r="F1195" s="60"/>
      <c r="G1195" s="60"/>
      <c r="H1195" s="60"/>
      <c r="I1195" s="60"/>
      <c r="J1195" s="90"/>
      <c r="K1195" s="43"/>
      <c r="L1195" s="60"/>
      <c r="M1195" s="60"/>
      <c r="N1195" s="83"/>
    </row>
    <row r="1196">
      <c r="A1196" s="36"/>
      <c r="B1196" s="60"/>
      <c r="C1196" s="43"/>
      <c r="D1196" s="62"/>
      <c r="E1196" s="91"/>
      <c r="F1196" s="43"/>
      <c r="G1196" s="43"/>
      <c r="H1196" s="60"/>
      <c r="I1196" s="60"/>
      <c r="J1196" s="90"/>
      <c r="K1196" s="43"/>
      <c r="L1196" s="60"/>
      <c r="M1196" s="60"/>
      <c r="N1196" s="83"/>
    </row>
    <row r="1197">
      <c r="A1197" s="36"/>
      <c r="B1197" s="60"/>
      <c r="C1197" s="43"/>
      <c r="D1197" s="62"/>
      <c r="E1197" s="60"/>
      <c r="F1197" s="60"/>
      <c r="G1197" s="60"/>
      <c r="H1197" s="60"/>
      <c r="I1197" s="60"/>
      <c r="J1197" s="90"/>
      <c r="K1197" s="43"/>
      <c r="L1197" s="60"/>
      <c r="M1197" s="60"/>
      <c r="N1197" s="83"/>
    </row>
    <row r="1198">
      <c r="A1198" s="36"/>
      <c r="B1198" s="60"/>
      <c r="C1198" s="43"/>
      <c r="D1198" s="62"/>
      <c r="E1198" s="60"/>
      <c r="F1198" s="60"/>
      <c r="G1198" s="60"/>
      <c r="H1198" s="60"/>
      <c r="I1198" s="60"/>
      <c r="J1198" s="90"/>
      <c r="K1198" s="43"/>
      <c r="L1198" s="60"/>
      <c r="M1198" s="60"/>
      <c r="N1198" s="83"/>
    </row>
    <row r="1199">
      <c r="A1199" s="36"/>
      <c r="B1199" s="60"/>
      <c r="C1199" s="43"/>
      <c r="D1199" s="62"/>
      <c r="E1199" s="91"/>
      <c r="F1199" s="43"/>
      <c r="G1199" s="43"/>
      <c r="H1199" s="60"/>
      <c r="I1199" s="60"/>
      <c r="J1199" s="90"/>
      <c r="K1199" s="43"/>
      <c r="L1199" s="60"/>
      <c r="M1199" s="60"/>
      <c r="N1199" s="83"/>
    </row>
    <row r="1200">
      <c r="A1200" s="36"/>
      <c r="B1200" s="60"/>
      <c r="C1200" s="43"/>
      <c r="D1200" s="62"/>
      <c r="E1200" s="60"/>
      <c r="F1200" s="60"/>
      <c r="G1200" s="60"/>
      <c r="H1200" s="60"/>
      <c r="I1200" s="60"/>
      <c r="J1200" s="90"/>
      <c r="K1200" s="43"/>
      <c r="L1200" s="60"/>
      <c r="M1200" s="60"/>
      <c r="N1200" s="83"/>
    </row>
    <row r="1201">
      <c r="A1201" s="36"/>
      <c r="B1201" s="60"/>
      <c r="C1201" s="43"/>
      <c r="D1201" s="62"/>
      <c r="E1201" s="60"/>
      <c r="F1201" s="60"/>
      <c r="G1201" s="60"/>
      <c r="H1201" s="60"/>
      <c r="I1201" s="60"/>
      <c r="J1201" s="90"/>
      <c r="K1201" s="43"/>
      <c r="L1201" s="60"/>
      <c r="M1201" s="60"/>
      <c r="N1201" s="83"/>
    </row>
    <row r="1202">
      <c r="A1202" s="36"/>
      <c r="B1202" s="60"/>
      <c r="C1202" s="43"/>
      <c r="D1202" s="62"/>
      <c r="E1202" s="60"/>
      <c r="F1202" s="60"/>
      <c r="G1202" s="60"/>
      <c r="H1202" s="60"/>
      <c r="I1202" s="60"/>
      <c r="J1202" s="90"/>
      <c r="K1202" s="43"/>
      <c r="L1202" s="60"/>
      <c r="M1202" s="60"/>
      <c r="N1202" s="83"/>
    </row>
    <row r="1203">
      <c r="A1203" s="36"/>
      <c r="B1203" s="60"/>
      <c r="C1203" s="43"/>
      <c r="D1203" s="62"/>
      <c r="E1203" s="60"/>
      <c r="F1203" s="60"/>
      <c r="G1203" s="60"/>
      <c r="H1203" s="60"/>
      <c r="I1203" s="60"/>
      <c r="J1203" s="90"/>
      <c r="K1203" s="43"/>
      <c r="L1203" s="60"/>
      <c r="M1203" s="60"/>
      <c r="N1203" s="83"/>
    </row>
    <row r="1204">
      <c r="A1204" s="36"/>
      <c r="B1204" s="60"/>
      <c r="C1204" s="43"/>
      <c r="D1204" s="62"/>
      <c r="E1204" s="60"/>
      <c r="F1204" s="60"/>
      <c r="G1204" s="60"/>
      <c r="H1204" s="60"/>
      <c r="I1204" s="60"/>
      <c r="J1204" s="90"/>
      <c r="K1204" s="43"/>
      <c r="L1204" s="60"/>
      <c r="M1204" s="60"/>
      <c r="N1204" s="83"/>
    </row>
    <row r="1205">
      <c r="A1205" s="36"/>
      <c r="B1205" s="60"/>
      <c r="C1205" s="43"/>
      <c r="D1205" s="62"/>
      <c r="E1205" s="91"/>
      <c r="F1205" s="43"/>
      <c r="G1205" s="43"/>
      <c r="H1205" s="60"/>
      <c r="I1205" s="60"/>
      <c r="J1205" s="90"/>
      <c r="K1205" s="43"/>
      <c r="L1205" s="60"/>
      <c r="M1205" s="60"/>
      <c r="N1205" s="83"/>
    </row>
    <row r="1206">
      <c r="A1206" s="36"/>
      <c r="B1206" s="60"/>
      <c r="C1206" s="43"/>
      <c r="D1206" s="62"/>
      <c r="E1206" s="60"/>
      <c r="F1206" s="60"/>
      <c r="G1206" s="60"/>
      <c r="H1206" s="60"/>
      <c r="I1206" s="60"/>
      <c r="J1206" s="90"/>
      <c r="K1206" s="43"/>
      <c r="L1206" s="60"/>
      <c r="M1206" s="60"/>
      <c r="N1206" s="83"/>
    </row>
    <row r="1207">
      <c r="A1207" s="36"/>
      <c r="B1207" s="60"/>
      <c r="C1207" s="43"/>
      <c r="D1207" s="62"/>
      <c r="E1207" s="91"/>
      <c r="F1207" s="43"/>
      <c r="G1207" s="43"/>
      <c r="H1207" s="60"/>
      <c r="I1207" s="60"/>
      <c r="J1207" s="90"/>
      <c r="K1207" s="43"/>
      <c r="L1207" s="60"/>
      <c r="M1207" s="60"/>
      <c r="N1207" s="83"/>
    </row>
    <row r="1208">
      <c r="A1208" s="36"/>
      <c r="B1208" s="60"/>
      <c r="C1208" s="43"/>
      <c r="D1208" s="62"/>
      <c r="E1208" s="60"/>
      <c r="F1208" s="60"/>
      <c r="G1208" s="60"/>
      <c r="H1208" s="60"/>
      <c r="I1208" s="60"/>
      <c r="J1208" s="90"/>
      <c r="K1208" s="43"/>
      <c r="L1208" s="60"/>
      <c r="M1208" s="60"/>
      <c r="N1208" s="83"/>
    </row>
    <row r="1209">
      <c r="A1209" s="36"/>
      <c r="B1209" s="60"/>
      <c r="C1209" s="43"/>
      <c r="D1209" s="62"/>
      <c r="E1209" s="91"/>
      <c r="F1209" s="43"/>
      <c r="G1209" s="43"/>
      <c r="H1209" s="60"/>
      <c r="I1209" s="60"/>
      <c r="J1209" s="90"/>
      <c r="K1209" s="43"/>
      <c r="L1209" s="60"/>
      <c r="M1209" s="60"/>
      <c r="N1209" s="83"/>
    </row>
    <row r="1210">
      <c r="A1210" s="36"/>
      <c r="B1210" s="60"/>
      <c r="C1210" s="43"/>
      <c r="D1210" s="62"/>
      <c r="E1210" s="60"/>
      <c r="F1210" s="60"/>
      <c r="G1210" s="60"/>
      <c r="H1210" s="60"/>
      <c r="I1210" s="60"/>
      <c r="J1210" s="90"/>
      <c r="K1210" s="43"/>
      <c r="L1210" s="60"/>
      <c r="M1210" s="60"/>
      <c r="N1210" s="83"/>
    </row>
    <row r="1211">
      <c r="A1211" s="36"/>
      <c r="B1211" s="60"/>
      <c r="C1211" s="43"/>
      <c r="D1211" s="62"/>
      <c r="E1211" s="91"/>
      <c r="F1211" s="43"/>
      <c r="G1211" s="60"/>
      <c r="H1211" s="60"/>
      <c r="I1211" s="60"/>
      <c r="J1211" s="90"/>
      <c r="K1211" s="43"/>
      <c r="L1211" s="60"/>
      <c r="M1211" s="60"/>
      <c r="N1211" s="83"/>
    </row>
    <row r="1212">
      <c r="A1212" s="36"/>
      <c r="B1212" s="60"/>
      <c r="C1212" s="43"/>
      <c r="D1212" s="62"/>
      <c r="E1212" s="60"/>
      <c r="F1212" s="60"/>
      <c r="G1212" s="60"/>
      <c r="H1212" s="60"/>
      <c r="I1212" s="60"/>
      <c r="J1212" s="90"/>
      <c r="K1212" s="43"/>
      <c r="L1212" s="60"/>
      <c r="M1212" s="60"/>
      <c r="N1212" s="83"/>
    </row>
    <row r="1213">
      <c r="A1213" s="36"/>
      <c r="B1213" s="60"/>
      <c r="C1213" s="43"/>
      <c r="D1213" s="62"/>
      <c r="E1213" s="60"/>
      <c r="F1213" s="60"/>
      <c r="G1213" s="60"/>
      <c r="H1213" s="60"/>
      <c r="I1213" s="60"/>
      <c r="J1213" s="90"/>
      <c r="K1213" s="43"/>
      <c r="L1213" s="60"/>
      <c r="M1213" s="60"/>
      <c r="N1213" s="83"/>
    </row>
    <row r="1214">
      <c r="A1214" s="36"/>
      <c r="B1214" s="60"/>
      <c r="C1214" s="43"/>
      <c r="D1214" s="62"/>
      <c r="E1214" s="91"/>
      <c r="F1214" s="43"/>
      <c r="G1214" s="43"/>
      <c r="H1214" s="60"/>
      <c r="I1214" s="60"/>
      <c r="J1214" s="90"/>
      <c r="K1214" s="43"/>
      <c r="L1214" s="60"/>
      <c r="M1214" s="60"/>
      <c r="N1214" s="83"/>
    </row>
    <row r="1215">
      <c r="A1215" s="36"/>
      <c r="B1215" s="60"/>
      <c r="C1215" s="43"/>
      <c r="D1215" s="62"/>
      <c r="E1215" s="60"/>
      <c r="F1215" s="60"/>
      <c r="G1215" s="60"/>
      <c r="H1215" s="60"/>
      <c r="I1215" s="60"/>
      <c r="J1215" s="90"/>
      <c r="K1215" s="43"/>
      <c r="L1215" s="60"/>
      <c r="M1215" s="60"/>
      <c r="N1215" s="83"/>
    </row>
    <row r="1216">
      <c r="A1216" s="36"/>
      <c r="B1216" s="60"/>
      <c r="C1216" s="43"/>
      <c r="D1216" s="62"/>
      <c r="E1216" s="91"/>
      <c r="F1216" s="43"/>
      <c r="G1216" s="43"/>
      <c r="H1216" s="60"/>
      <c r="I1216" s="60"/>
      <c r="J1216" s="90"/>
      <c r="K1216" s="43"/>
      <c r="L1216" s="60"/>
      <c r="M1216" s="60"/>
      <c r="N1216" s="92"/>
    </row>
    <row r="1217">
      <c r="A1217" s="36"/>
      <c r="B1217" s="60"/>
      <c r="C1217" s="43"/>
      <c r="D1217" s="62"/>
      <c r="E1217" s="60"/>
      <c r="F1217" s="60"/>
      <c r="G1217" s="60"/>
      <c r="H1217" s="60"/>
      <c r="I1217" s="60"/>
      <c r="J1217" s="90"/>
      <c r="K1217" s="43"/>
      <c r="L1217" s="60"/>
      <c r="M1217" s="60"/>
      <c r="N1217" s="92"/>
    </row>
    <row r="1218">
      <c r="A1218" s="36"/>
      <c r="B1218" s="60"/>
      <c r="C1218" s="43"/>
      <c r="D1218" s="62"/>
      <c r="E1218" s="91"/>
      <c r="F1218" s="43"/>
      <c r="G1218" s="43"/>
      <c r="H1218" s="60"/>
      <c r="I1218" s="60"/>
      <c r="J1218" s="90"/>
      <c r="K1218" s="43"/>
      <c r="L1218" s="60"/>
      <c r="M1218" s="60"/>
      <c r="N1218" s="92"/>
    </row>
    <row r="1219">
      <c r="A1219" s="36"/>
      <c r="B1219" s="60"/>
      <c r="C1219" s="43"/>
      <c r="D1219" s="62"/>
      <c r="E1219" s="60"/>
      <c r="F1219" s="60"/>
      <c r="G1219" s="60"/>
      <c r="H1219" s="60"/>
      <c r="I1219" s="60"/>
      <c r="J1219" s="90"/>
      <c r="K1219" s="43"/>
      <c r="L1219" s="60"/>
      <c r="M1219" s="60"/>
      <c r="N1219" s="92"/>
    </row>
    <row r="1220">
      <c r="A1220" s="36"/>
      <c r="B1220" s="60"/>
      <c r="C1220" s="43"/>
      <c r="D1220" s="62"/>
      <c r="E1220" s="60"/>
      <c r="F1220" s="43"/>
      <c r="G1220" s="60"/>
      <c r="H1220" s="60"/>
      <c r="I1220" s="60"/>
      <c r="J1220" s="90"/>
      <c r="K1220" s="43"/>
      <c r="L1220" s="60"/>
      <c r="M1220" s="60"/>
      <c r="N1220" s="92"/>
    </row>
    <row r="1221">
      <c r="A1221" s="36"/>
      <c r="B1221" s="60"/>
      <c r="C1221" s="43"/>
      <c r="D1221" s="62"/>
      <c r="E1221" s="60"/>
      <c r="F1221" s="60"/>
      <c r="G1221" s="60"/>
      <c r="H1221" s="60"/>
      <c r="I1221" s="60"/>
      <c r="J1221" s="90"/>
      <c r="K1221" s="43"/>
      <c r="L1221" s="60"/>
      <c r="M1221" s="60"/>
      <c r="N1221" s="92"/>
    </row>
    <row r="1222">
      <c r="A1222" s="36"/>
      <c r="B1222" s="60"/>
      <c r="C1222" s="43"/>
      <c r="D1222" s="62"/>
      <c r="E1222" s="60"/>
      <c r="F1222" s="60"/>
      <c r="G1222" s="60"/>
      <c r="H1222" s="60"/>
      <c r="I1222" s="60"/>
      <c r="J1222" s="90"/>
      <c r="K1222" s="43"/>
      <c r="L1222" s="60"/>
      <c r="M1222" s="60"/>
      <c r="N1222" s="92"/>
    </row>
    <row r="1223">
      <c r="A1223" s="36"/>
      <c r="B1223" s="60"/>
      <c r="C1223" s="43"/>
      <c r="D1223" s="62"/>
      <c r="E1223" s="60"/>
      <c r="F1223" s="60"/>
      <c r="G1223" s="60"/>
      <c r="H1223" s="60"/>
      <c r="I1223" s="60"/>
      <c r="J1223" s="90"/>
      <c r="K1223" s="43"/>
      <c r="L1223" s="60"/>
      <c r="M1223" s="60"/>
      <c r="N1223" s="92"/>
    </row>
    <row r="1224">
      <c r="A1224" s="36"/>
      <c r="B1224" s="60"/>
      <c r="C1224" s="43"/>
      <c r="D1224" s="62"/>
      <c r="E1224" s="60"/>
      <c r="F1224" s="60"/>
      <c r="G1224" s="60"/>
      <c r="H1224" s="60"/>
      <c r="I1224" s="60"/>
      <c r="J1224" s="90"/>
      <c r="K1224" s="43"/>
      <c r="L1224" s="60"/>
      <c r="M1224" s="60"/>
      <c r="N1224" s="92"/>
    </row>
    <row r="1225">
      <c r="A1225" s="36"/>
      <c r="B1225" s="60"/>
      <c r="C1225" s="43"/>
      <c r="D1225" s="62"/>
      <c r="E1225" s="60"/>
      <c r="F1225" s="60"/>
      <c r="G1225" s="60"/>
      <c r="H1225" s="60"/>
      <c r="I1225" s="60"/>
      <c r="J1225" s="90"/>
      <c r="K1225" s="43"/>
      <c r="L1225" s="60"/>
      <c r="M1225" s="60"/>
      <c r="N1225" s="92"/>
    </row>
    <row r="1226">
      <c r="A1226" s="36"/>
      <c r="B1226" s="60"/>
      <c r="C1226" s="43"/>
      <c r="D1226" s="62"/>
      <c r="E1226" s="60"/>
      <c r="F1226" s="43"/>
      <c r="G1226" s="60"/>
      <c r="H1226" s="60"/>
      <c r="I1226" s="60"/>
      <c r="J1226" s="90"/>
      <c r="K1226" s="43"/>
      <c r="L1226" s="60"/>
      <c r="M1226" s="60"/>
      <c r="N1226" s="92"/>
    </row>
    <row r="1227">
      <c r="A1227" s="36"/>
      <c r="B1227" s="60"/>
      <c r="C1227" s="43"/>
      <c r="D1227" s="62"/>
      <c r="E1227" s="60"/>
      <c r="F1227" s="60"/>
      <c r="G1227" s="60"/>
      <c r="H1227" s="60"/>
      <c r="I1227" s="60"/>
      <c r="J1227" s="90"/>
      <c r="K1227" s="43"/>
      <c r="L1227" s="60"/>
      <c r="M1227" s="60"/>
      <c r="N1227" s="92"/>
    </row>
    <row r="1228">
      <c r="A1228" s="36"/>
      <c r="B1228" s="60"/>
      <c r="C1228" s="43"/>
      <c r="D1228" s="62"/>
      <c r="E1228" s="91"/>
      <c r="F1228" s="43"/>
      <c r="G1228" s="60"/>
      <c r="H1228" s="60"/>
      <c r="I1228" s="60"/>
      <c r="J1228" s="90"/>
      <c r="K1228" s="43"/>
      <c r="L1228" s="60"/>
      <c r="M1228" s="60"/>
      <c r="N1228" s="92"/>
    </row>
    <row r="1229">
      <c r="A1229" s="36"/>
      <c r="B1229" s="60"/>
      <c r="C1229" s="43"/>
      <c r="D1229" s="62"/>
      <c r="E1229" s="60"/>
      <c r="F1229" s="60"/>
      <c r="G1229" s="60"/>
      <c r="H1229" s="60"/>
      <c r="I1229" s="60"/>
      <c r="J1229" s="90"/>
      <c r="K1229" s="43"/>
      <c r="L1229" s="60"/>
      <c r="M1229" s="60"/>
      <c r="N1229" s="92"/>
    </row>
    <row r="1230">
      <c r="A1230" s="36"/>
      <c r="B1230" s="60"/>
      <c r="C1230" s="43"/>
      <c r="D1230" s="62"/>
      <c r="E1230" s="60"/>
      <c r="F1230" s="60"/>
      <c r="G1230" s="60"/>
      <c r="H1230" s="60"/>
      <c r="I1230" s="60"/>
      <c r="J1230" s="90"/>
      <c r="K1230" s="43"/>
      <c r="L1230" s="60"/>
      <c r="M1230" s="60"/>
      <c r="N1230" s="92"/>
    </row>
    <row r="1231">
      <c r="A1231" s="36"/>
      <c r="B1231" s="60"/>
      <c r="C1231" s="43"/>
      <c r="D1231" s="62"/>
      <c r="E1231" s="91"/>
      <c r="F1231" s="43"/>
      <c r="G1231" s="43"/>
      <c r="H1231" s="60"/>
      <c r="I1231" s="60"/>
      <c r="J1231" s="90"/>
      <c r="K1231" s="43"/>
      <c r="L1231" s="60"/>
      <c r="M1231" s="60"/>
      <c r="N1231" s="92"/>
    </row>
    <row r="1232">
      <c r="A1232" s="36"/>
      <c r="B1232" s="60"/>
      <c r="C1232" s="43"/>
      <c r="D1232" s="62"/>
      <c r="E1232" s="60"/>
      <c r="F1232" s="60"/>
      <c r="G1232" s="60"/>
      <c r="H1232" s="60"/>
      <c r="I1232" s="60"/>
      <c r="J1232" s="90"/>
      <c r="K1232" s="43"/>
      <c r="L1232" s="60"/>
      <c r="M1232" s="60"/>
      <c r="N1232" s="92"/>
    </row>
    <row r="1233">
      <c r="A1233" s="36"/>
      <c r="B1233" s="60"/>
      <c r="C1233" s="43"/>
      <c r="D1233" s="62"/>
      <c r="E1233" s="60"/>
      <c r="F1233" s="60"/>
      <c r="G1233" s="60"/>
      <c r="H1233" s="60"/>
      <c r="I1233" s="60"/>
      <c r="J1233" s="90"/>
      <c r="K1233" s="43"/>
      <c r="L1233" s="60"/>
      <c r="M1233" s="60"/>
      <c r="N1233" s="92"/>
    </row>
    <row r="1234">
      <c r="A1234" s="36"/>
      <c r="B1234" s="60"/>
      <c r="C1234" s="43"/>
      <c r="D1234" s="62"/>
      <c r="E1234" s="91"/>
      <c r="F1234" s="43"/>
      <c r="G1234" s="43"/>
      <c r="H1234" s="60"/>
      <c r="I1234" s="60"/>
      <c r="J1234" s="90"/>
      <c r="K1234" s="43"/>
      <c r="L1234" s="60"/>
      <c r="M1234" s="60"/>
      <c r="N1234" s="92"/>
    </row>
    <row r="1235">
      <c r="A1235" s="36"/>
      <c r="B1235" s="60"/>
      <c r="C1235" s="43"/>
      <c r="D1235" s="62"/>
      <c r="E1235" s="60"/>
      <c r="F1235" s="60"/>
      <c r="G1235" s="60"/>
      <c r="H1235" s="60"/>
      <c r="I1235" s="60"/>
      <c r="J1235" s="90"/>
      <c r="K1235" s="43"/>
      <c r="L1235" s="60"/>
      <c r="M1235" s="60"/>
      <c r="N1235" s="92"/>
    </row>
    <row r="1236">
      <c r="A1236" s="36"/>
      <c r="B1236" s="60"/>
      <c r="C1236" s="43"/>
      <c r="D1236" s="62"/>
      <c r="E1236" s="60"/>
      <c r="F1236" s="60"/>
      <c r="G1236" s="60"/>
      <c r="H1236" s="60"/>
      <c r="I1236" s="60"/>
      <c r="J1236" s="90"/>
      <c r="K1236" s="43"/>
      <c r="L1236" s="60"/>
      <c r="M1236" s="60"/>
      <c r="N1236" s="92"/>
    </row>
    <row r="1237">
      <c r="A1237" s="36"/>
      <c r="B1237" s="60"/>
      <c r="C1237" s="43"/>
      <c r="D1237" s="62"/>
      <c r="E1237" s="91"/>
      <c r="F1237" s="43"/>
      <c r="G1237" s="43"/>
      <c r="H1237" s="60"/>
      <c r="I1237" s="60"/>
      <c r="J1237" s="90"/>
      <c r="K1237" s="43"/>
      <c r="L1237" s="60"/>
      <c r="M1237" s="60"/>
      <c r="N1237" s="92"/>
    </row>
    <row r="1238">
      <c r="A1238" s="36"/>
      <c r="B1238" s="60"/>
      <c r="C1238" s="43"/>
      <c r="D1238" s="62"/>
      <c r="E1238" s="91"/>
      <c r="F1238" s="43"/>
      <c r="G1238" s="43"/>
      <c r="H1238" s="60"/>
      <c r="I1238" s="60"/>
      <c r="J1238" s="90"/>
      <c r="K1238" s="43"/>
      <c r="L1238" s="60"/>
      <c r="M1238" s="60"/>
      <c r="N1238" s="92"/>
    </row>
    <row r="1239">
      <c r="A1239" s="36"/>
      <c r="B1239" s="60"/>
      <c r="C1239" s="43"/>
      <c r="D1239" s="62"/>
      <c r="E1239" s="91"/>
      <c r="F1239" s="43"/>
      <c r="G1239" s="43"/>
      <c r="H1239" s="60"/>
      <c r="I1239" s="60"/>
      <c r="J1239" s="90"/>
      <c r="K1239" s="43"/>
      <c r="L1239" s="60"/>
      <c r="M1239" s="60"/>
      <c r="N1239" s="92"/>
    </row>
    <row r="1240">
      <c r="A1240" s="36"/>
      <c r="B1240" s="60"/>
      <c r="C1240" s="43"/>
      <c r="D1240" s="62"/>
      <c r="E1240" s="60"/>
      <c r="F1240" s="60"/>
      <c r="G1240" s="60"/>
      <c r="H1240" s="60"/>
      <c r="I1240" s="60"/>
      <c r="J1240" s="90"/>
      <c r="K1240" s="43"/>
      <c r="L1240" s="60"/>
      <c r="M1240" s="60"/>
      <c r="N1240" s="92"/>
    </row>
    <row r="1241">
      <c r="A1241" s="36"/>
      <c r="B1241" s="60"/>
      <c r="C1241" s="43"/>
      <c r="D1241" s="62"/>
      <c r="E1241" s="91"/>
      <c r="F1241" s="43"/>
      <c r="G1241" s="60"/>
      <c r="H1241" s="60"/>
      <c r="I1241" s="60"/>
      <c r="J1241" s="90"/>
      <c r="K1241" s="43"/>
      <c r="L1241" s="60"/>
      <c r="M1241" s="60"/>
      <c r="N1241" s="92"/>
    </row>
    <row r="1242">
      <c r="A1242" s="36"/>
      <c r="B1242" s="60"/>
      <c r="C1242" s="43"/>
      <c r="D1242" s="62"/>
      <c r="E1242" s="60"/>
      <c r="F1242" s="60"/>
      <c r="G1242" s="60"/>
      <c r="H1242" s="60"/>
      <c r="I1242" s="60"/>
      <c r="J1242" s="90"/>
      <c r="K1242" s="43"/>
      <c r="L1242" s="60"/>
      <c r="M1242" s="60"/>
      <c r="N1242" s="92"/>
    </row>
    <row r="1243">
      <c r="A1243" s="36"/>
      <c r="B1243" s="60"/>
      <c r="C1243" s="43"/>
      <c r="D1243" s="62"/>
      <c r="E1243" s="60"/>
      <c r="F1243" s="60"/>
      <c r="G1243" s="60"/>
      <c r="H1243" s="60"/>
      <c r="I1243" s="60"/>
      <c r="J1243" s="90"/>
      <c r="K1243" s="43"/>
      <c r="L1243" s="60"/>
      <c r="M1243" s="60"/>
      <c r="N1243" s="92"/>
    </row>
    <row r="1244">
      <c r="A1244" s="36"/>
      <c r="B1244" s="60"/>
      <c r="C1244" s="43"/>
      <c r="D1244" s="62"/>
      <c r="E1244" s="60"/>
      <c r="F1244" s="60"/>
      <c r="G1244" s="60"/>
      <c r="H1244" s="60"/>
      <c r="I1244" s="60"/>
      <c r="J1244" s="90"/>
      <c r="K1244" s="43"/>
      <c r="L1244" s="60"/>
      <c r="M1244" s="60"/>
      <c r="N1244" s="92"/>
    </row>
    <row r="1245">
      <c r="A1245" s="36"/>
      <c r="B1245" s="60"/>
      <c r="C1245" s="43"/>
      <c r="D1245" s="62"/>
      <c r="E1245" s="91"/>
      <c r="F1245" s="43"/>
      <c r="G1245" s="43"/>
      <c r="H1245" s="60"/>
      <c r="I1245" s="60"/>
      <c r="J1245" s="90"/>
      <c r="K1245" s="43"/>
      <c r="L1245" s="60"/>
      <c r="M1245" s="60"/>
      <c r="N1245" s="92"/>
    </row>
    <row r="1246">
      <c r="A1246" s="36"/>
      <c r="B1246" s="60"/>
      <c r="C1246" s="43"/>
      <c r="D1246" s="62"/>
      <c r="E1246" s="60"/>
      <c r="F1246" s="60"/>
      <c r="G1246" s="60"/>
      <c r="H1246" s="60"/>
      <c r="I1246" s="60"/>
      <c r="J1246" s="90"/>
      <c r="K1246" s="43"/>
      <c r="L1246" s="60"/>
      <c r="M1246" s="60"/>
      <c r="N1246" s="92"/>
    </row>
    <row r="1247">
      <c r="A1247" s="36"/>
      <c r="B1247" s="60"/>
      <c r="C1247" s="43"/>
      <c r="D1247" s="62"/>
      <c r="E1247" s="91"/>
      <c r="F1247" s="43"/>
      <c r="G1247" s="43"/>
      <c r="H1247" s="60"/>
      <c r="I1247" s="60"/>
      <c r="J1247" s="90"/>
      <c r="K1247" s="43"/>
      <c r="L1247" s="60"/>
      <c r="M1247" s="60"/>
      <c r="N1247" s="92"/>
    </row>
    <row r="1248">
      <c r="A1248" s="36"/>
      <c r="B1248" s="60"/>
      <c r="C1248" s="43"/>
      <c r="D1248" s="62"/>
      <c r="E1248" s="91"/>
      <c r="F1248" s="43"/>
      <c r="G1248" s="43"/>
      <c r="H1248" s="60"/>
      <c r="I1248" s="60"/>
      <c r="J1248" s="90"/>
      <c r="K1248" s="43"/>
      <c r="L1248" s="60"/>
      <c r="M1248" s="60"/>
      <c r="N1248" s="92"/>
    </row>
    <row r="1249">
      <c r="A1249" s="36"/>
      <c r="B1249" s="60"/>
      <c r="C1249" s="43"/>
      <c r="D1249" s="62"/>
      <c r="E1249" s="91"/>
      <c r="F1249" s="43"/>
      <c r="G1249" s="43"/>
      <c r="H1249" s="60"/>
      <c r="I1249" s="60"/>
      <c r="J1249" s="90"/>
      <c r="K1249" s="43"/>
      <c r="L1249" s="60"/>
      <c r="M1249" s="60"/>
      <c r="N1249" s="92"/>
    </row>
    <row r="1250">
      <c r="A1250" s="36"/>
      <c r="B1250" s="60"/>
      <c r="C1250" s="43"/>
      <c r="D1250" s="62"/>
      <c r="E1250" s="60"/>
      <c r="F1250" s="60"/>
      <c r="G1250" s="60"/>
      <c r="H1250" s="60"/>
      <c r="I1250" s="60"/>
      <c r="J1250" s="90"/>
      <c r="K1250" s="43"/>
      <c r="L1250" s="60"/>
      <c r="M1250" s="60"/>
      <c r="N1250" s="92"/>
    </row>
    <row r="1251">
      <c r="A1251" s="36"/>
      <c r="B1251" s="60"/>
      <c r="C1251" s="43"/>
      <c r="D1251" s="62"/>
      <c r="E1251" s="60"/>
      <c r="F1251" s="60"/>
      <c r="G1251" s="60"/>
      <c r="H1251" s="60"/>
      <c r="I1251" s="60"/>
      <c r="J1251" s="90"/>
      <c r="K1251" s="43"/>
      <c r="L1251" s="60"/>
      <c r="M1251" s="60"/>
      <c r="N1251" s="92"/>
    </row>
    <row r="1252">
      <c r="A1252" s="36"/>
      <c r="B1252" s="60"/>
      <c r="C1252" s="43"/>
      <c r="D1252" s="62"/>
      <c r="E1252" s="60"/>
      <c r="F1252" s="60"/>
      <c r="G1252" s="60"/>
      <c r="H1252" s="60"/>
      <c r="I1252" s="60"/>
      <c r="J1252" s="90"/>
      <c r="K1252" s="43"/>
      <c r="L1252" s="60"/>
      <c r="M1252" s="60"/>
      <c r="N1252" s="92"/>
    </row>
    <row r="1253">
      <c r="A1253" s="36"/>
      <c r="B1253" s="60"/>
      <c r="C1253" s="43"/>
      <c r="D1253" s="62"/>
      <c r="E1253" s="60"/>
      <c r="F1253" s="60"/>
      <c r="G1253" s="60"/>
      <c r="H1253" s="60"/>
      <c r="I1253" s="60"/>
      <c r="J1253" s="90"/>
      <c r="K1253" s="43"/>
      <c r="L1253" s="60"/>
      <c r="M1253" s="60"/>
      <c r="N1253" s="92"/>
    </row>
    <row r="1254">
      <c r="A1254" s="36"/>
      <c r="B1254" s="60"/>
      <c r="C1254" s="43"/>
      <c r="D1254" s="62"/>
      <c r="E1254" s="60"/>
      <c r="F1254" s="60"/>
      <c r="G1254" s="60"/>
      <c r="H1254" s="60"/>
      <c r="I1254" s="60"/>
      <c r="J1254" s="90"/>
      <c r="K1254" s="43"/>
      <c r="L1254" s="60"/>
      <c r="M1254" s="60"/>
      <c r="N1254" s="92"/>
    </row>
    <row r="1255">
      <c r="A1255" s="36"/>
      <c r="B1255" s="60"/>
      <c r="C1255" s="43"/>
      <c r="D1255" s="62"/>
      <c r="E1255" s="60"/>
      <c r="F1255" s="43"/>
      <c r="G1255" s="60"/>
      <c r="H1255" s="60"/>
      <c r="I1255" s="60"/>
      <c r="J1255" s="90"/>
      <c r="K1255" s="43"/>
      <c r="L1255" s="60"/>
      <c r="M1255" s="60"/>
      <c r="N1255" s="92"/>
    </row>
    <row r="1256">
      <c r="A1256" s="36"/>
      <c r="B1256" s="60"/>
      <c r="C1256" s="43"/>
      <c r="D1256" s="62"/>
      <c r="E1256" s="60"/>
      <c r="F1256" s="60"/>
      <c r="G1256" s="60"/>
      <c r="H1256" s="60"/>
      <c r="I1256" s="60"/>
      <c r="J1256" s="90"/>
      <c r="K1256" s="43"/>
      <c r="L1256" s="60"/>
      <c r="M1256" s="60"/>
      <c r="N1256" s="92"/>
    </row>
    <row r="1257">
      <c r="A1257" s="36"/>
      <c r="B1257" s="60"/>
      <c r="C1257" s="43"/>
      <c r="D1257" s="62"/>
      <c r="E1257" s="91"/>
      <c r="F1257" s="43"/>
      <c r="G1257" s="43"/>
      <c r="H1257" s="60"/>
      <c r="I1257" s="60"/>
      <c r="J1257" s="90"/>
      <c r="K1257" s="43"/>
      <c r="L1257" s="60"/>
      <c r="M1257" s="60"/>
      <c r="N1257" s="92"/>
    </row>
    <row r="1258">
      <c r="A1258" s="36"/>
      <c r="B1258" s="60"/>
      <c r="C1258" s="43"/>
      <c r="D1258" s="62"/>
      <c r="E1258" s="91"/>
      <c r="F1258" s="43"/>
      <c r="G1258" s="43"/>
      <c r="H1258" s="60"/>
      <c r="I1258" s="60"/>
      <c r="J1258" s="90"/>
      <c r="K1258" s="43"/>
      <c r="L1258" s="60"/>
      <c r="M1258" s="60"/>
      <c r="N1258" s="92"/>
    </row>
    <row r="1259">
      <c r="A1259" s="36"/>
      <c r="B1259" s="60"/>
      <c r="C1259" s="43"/>
      <c r="D1259" s="62"/>
      <c r="E1259" s="91"/>
      <c r="F1259" s="43"/>
      <c r="G1259" s="43"/>
      <c r="H1259" s="60"/>
      <c r="I1259" s="60"/>
      <c r="J1259" s="90"/>
      <c r="K1259" s="43"/>
      <c r="L1259" s="60"/>
      <c r="M1259" s="60"/>
      <c r="N1259" s="92"/>
    </row>
    <row r="1260">
      <c r="A1260" s="36"/>
      <c r="B1260" s="60"/>
      <c r="C1260" s="43"/>
      <c r="D1260" s="62"/>
      <c r="E1260" s="91"/>
      <c r="F1260" s="43"/>
      <c r="G1260" s="43"/>
      <c r="H1260" s="60"/>
      <c r="I1260" s="60"/>
      <c r="J1260" s="90"/>
      <c r="K1260" s="43"/>
      <c r="L1260" s="60"/>
      <c r="M1260" s="60"/>
      <c r="N1260" s="92"/>
    </row>
    <row r="1261">
      <c r="A1261" s="36"/>
      <c r="B1261" s="60"/>
      <c r="C1261" s="43"/>
      <c r="D1261" s="62"/>
      <c r="E1261" s="60"/>
      <c r="F1261" s="60"/>
      <c r="G1261" s="60"/>
      <c r="H1261" s="60"/>
      <c r="I1261" s="60"/>
      <c r="J1261" s="90"/>
      <c r="K1261" s="43"/>
      <c r="L1261" s="60"/>
      <c r="M1261" s="60"/>
      <c r="N1261" s="92"/>
    </row>
    <row r="1262">
      <c r="A1262" s="36"/>
      <c r="B1262" s="60"/>
      <c r="C1262" s="43"/>
      <c r="D1262" s="62"/>
      <c r="E1262" s="60"/>
      <c r="F1262" s="60"/>
      <c r="G1262" s="60"/>
      <c r="H1262" s="60"/>
      <c r="I1262" s="60"/>
      <c r="J1262" s="90"/>
      <c r="K1262" s="43"/>
      <c r="L1262" s="60"/>
      <c r="M1262" s="60"/>
      <c r="N1262" s="92"/>
    </row>
    <row r="1263">
      <c r="A1263" s="36"/>
      <c r="B1263" s="60"/>
      <c r="C1263" s="43"/>
      <c r="D1263" s="62"/>
      <c r="E1263" s="91"/>
      <c r="F1263" s="43"/>
      <c r="G1263" s="43"/>
      <c r="H1263" s="60"/>
      <c r="I1263" s="60"/>
      <c r="J1263" s="90"/>
      <c r="K1263" s="43"/>
      <c r="L1263" s="60"/>
      <c r="M1263" s="60"/>
      <c r="N1263" s="92"/>
    </row>
    <row r="1264">
      <c r="A1264" s="36"/>
      <c r="B1264" s="60"/>
      <c r="C1264" s="43"/>
      <c r="D1264" s="62"/>
      <c r="E1264" s="91"/>
      <c r="F1264" s="43"/>
      <c r="G1264" s="43"/>
      <c r="H1264" s="60"/>
      <c r="I1264" s="60"/>
      <c r="J1264" s="90"/>
      <c r="K1264" s="43"/>
      <c r="L1264" s="60"/>
      <c r="M1264" s="60"/>
      <c r="N1264" s="92"/>
    </row>
    <row r="1265">
      <c r="A1265" s="36"/>
      <c r="B1265" s="60"/>
      <c r="C1265" s="43"/>
      <c r="D1265" s="62"/>
      <c r="E1265" s="60"/>
      <c r="F1265" s="60"/>
      <c r="G1265" s="60"/>
      <c r="H1265" s="60"/>
      <c r="I1265" s="60"/>
      <c r="J1265" s="90"/>
      <c r="K1265" s="43"/>
      <c r="L1265" s="60"/>
      <c r="M1265" s="60"/>
      <c r="N1265" s="92"/>
    </row>
    <row r="1266">
      <c r="A1266" s="36"/>
      <c r="B1266" s="60"/>
      <c r="C1266" s="43"/>
      <c r="D1266" s="62"/>
      <c r="E1266" s="91"/>
      <c r="F1266" s="43"/>
      <c r="G1266" s="43"/>
      <c r="H1266" s="60"/>
      <c r="I1266" s="60"/>
      <c r="J1266" s="90"/>
      <c r="K1266" s="43"/>
      <c r="L1266" s="60"/>
      <c r="M1266" s="60"/>
      <c r="N1266" s="92"/>
    </row>
    <row r="1267">
      <c r="A1267" s="36"/>
      <c r="B1267" s="60"/>
      <c r="C1267" s="43"/>
      <c r="D1267" s="62"/>
      <c r="E1267" s="91"/>
      <c r="F1267" s="43"/>
      <c r="G1267" s="43"/>
      <c r="H1267" s="60"/>
      <c r="I1267" s="60"/>
      <c r="J1267" s="90"/>
      <c r="K1267" s="43"/>
      <c r="L1267" s="60"/>
      <c r="M1267" s="60"/>
      <c r="N1267" s="92"/>
    </row>
    <row r="1268">
      <c r="A1268" s="36"/>
      <c r="B1268" s="60"/>
      <c r="C1268" s="43"/>
      <c r="D1268" s="62"/>
      <c r="E1268" s="60"/>
      <c r="F1268" s="60"/>
      <c r="G1268" s="60"/>
      <c r="H1268" s="60"/>
      <c r="I1268" s="60"/>
      <c r="J1268" s="90"/>
      <c r="K1268" s="43"/>
      <c r="L1268" s="60"/>
      <c r="M1268" s="60"/>
      <c r="N1268" s="92"/>
    </row>
    <row r="1269">
      <c r="A1269" s="36"/>
      <c r="B1269" s="60"/>
      <c r="C1269" s="43"/>
      <c r="D1269" s="62"/>
      <c r="E1269" s="60"/>
      <c r="F1269" s="43"/>
      <c r="G1269" s="60"/>
      <c r="H1269" s="60"/>
      <c r="I1269" s="60"/>
      <c r="J1269" s="90"/>
      <c r="K1269" s="43"/>
      <c r="L1269" s="60"/>
      <c r="M1269" s="60"/>
      <c r="N1269" s="92"/>
    </row>
    <row r="1270">
      <c r="A1270" s="36"/>
      <c r="B1270" s="60"/>
      <c r="C1270" s="43"/>
      <c r="D1270" s="62"/>
      <c r="E1270" s="91"/>
      <c r="F1270" s="43"/>
      <c r="G1270" s="43"/>
      <c r="H1270" s="60"/>
      <c r="I1270" s="60"/>
      <c r="J1270" s="90"/>
      <c r="K1270" s="43"/>
      <c r="L1270" s="60"/>
      <c r="M1270" s="60"/>
      <c r="N1270" s="92"/>
    </row>
    <row r="1271">
      <c r="A1271" s="36"/>
      <c r="B1271" s="60"/>
      <c r="C1271" s="43"/>
      <c r="D1271" s="62"/>
      <c r="E1271" s="91"/>
      <c r="F1271" s="43"/>
      <c r="G1271" s="43"/>
      <c r="H1271" s="60"/>
      <c r="I1271" s="60"/>
      <c r="J1271" s="90"/>
      <c r="K1271" s="43"/>
      <c r="L1271" s="60"/>
      <c r="M1271" s="60"/>
      <c r="N1271" s="92"/>
    </row>
    <row r="1272">
      <c r="A1272" s="36"/>
      <c r="B1272" s="60"/>
      <c r="C1272" s="43"/>
      <c r="D1272" s="62"/>
      <c r="E1272" s="60"/>
      <c r="F1272" s="60"/>
      <c r="G1272" s="60"/>
      <c r="H1272" s="60"/>
      <c r="I1272" s="60"/>
      <c r="J1272" s="90"/>
      <c r="K1272" s="43"/>
      <c r="L1272" s="60"/>
      <c r="M1272" s="60"/>
      <c r="N1272" s="92"/>
    </row>
    <row r="1273">
      <c r="A1273" s="36"/>
      <c r="B1273" s="60"/>
      <c r="C1273" s="43"/>
      <c r="D1273" s="62"/>
      <c r="E1273" s="91"/>
      <c r="F1273" s="43"/>
      <c r="G1273" s="43"/>
      <c r="H1273" s="60"/>
      <c r="I1273" s="60"/>
      <c r="J1273" s="90"/>
      <c r="K1273" s="43"/>
      <c r="L1273" s="60"/>
      <c r="M1273" s="60"/>
      <c r="N1273" s="92"/>
    </row>
    <row r="1274">
      <c r="A1274" s="36"/>
      <c r="B1274" s="60"/>
      <c r="C1274" s="43"/>
      <c r="D1274" s="62"/>
      <c r="E1274" s="60"/>
      <c r="F1274" s="60"/>
      <c r="G1274" s="60"/>
      <c r="H1274" s="60"/>
      <c r="I1274" s="60"/>
      <c r="J1274" s="90"/>
      <c r="K1274" s="43"/>
      <c r="L1274" s="60"/>
      <c r="M1274" s="60"/>
      <c r="N1274" s="92"/>
    </row>
    <row r="1275">
      <c r="A1275" s="36"/>
      <c r="B1275" s="60"/>
      <c r="C1275" s="43"/>
      <c r="D1275" s="62"/>
      <c r="E1275" s="91"/>
      <c r="F1275" s="43"/>
      <c r="G1275" s="43"/>
      <c r="H1275" s="60"/>
      <c r="I1275" s="60"/>
      <c r="J1275" s="90"/>
      <c r="K1275" s="43"/>
      <c r="L1275" s="60"/>
      <c r="M1275" s="60"/>
      <c r="N1275" s="92"/>
    </row>
    <row r="1276">
      <c r="A1276" s="36"/>
      <c r="B1276" s="60"/>
      <c r="C1276" s="43"/>
      <c r="D1276" s="62"/>
      <c r="E1276" s="60"/>
      <c r="F1276" s="60"/>
      <c r="G1276" s="60"/>
      <c r="H1276" s="60"/>
      <c r="I1276" s="60"/>
      <c r="J1276" s="90"/>
      <c r="K1276" s="43"/>
      <c r="L1276" s="60"/>
      <c r="M1276" s="60"/>
      <c r="N1276" s="92"/>
    </row>
    <row r="1277">
      <c r="A1277" s="36"/>
      <c r="B1277" s="60"/>
      <c r="C1277" s="43"/>
      <c r="D1277" s="62"/>
      <c r="E1277" s="60"/>
      <c r="F1277" s="60"/>
      <c r="G1277" s="60"/>
      <c r="H1277" s="60"/>
      <c r="I1277" s="60"/>
      <c r="J1277" s="90"/>
      <c r="K1277" s="43"/>
      <c r="L1277" s="60"/>
      <c r="M1277" s="60"/>
      <c r="N1277" s="92"/>
    </row>
    <row r="1278">
      <c r="A1278" s="36"/>
      <c r="B1278" s="60"/>
      <c r="C1278" s="43"/>
      <c r="D1278" s="62"/>
      <c r="E1278" s="91"/>
      <c r="F1278" s="43"/>
      <c r="G1278" s="43"/>
      <c r="H1278" s="60"/>
      <c r="I1278" s="60"/>
      <c r="J1278" s="90"/>
      <c r="K1278" s="43"/>
      <c r="L1278" s="60"/>
      <c r="M1278" s="60"/>
      <c r="N1278" s="92"/>
    </row>
    <row r="1279">
      <c r="A1279" s="36"/>
      <c r="B1279" s="60"/>
      <c r="C1279" s="43"/>
      <c r="D1279" s="62"/>
      <c r="E1279" s="60"/>
      <c r="F1279" s="43"/>
      <c r="G1279" s="43"/>
      <c r="H1279" s="60"/>
      <c r="I1279" s="60"/>
      <c r="J1279" s="90"/>
      <c r="K1279" s="43"/>
      <c r="L1279" s="60"/>
      <c r="M1279" s="60"/>
      <c r="N1279" s="92"/>
    </row>
    <row r="1280">
      <c r="A1280" s="36"/>
      <c r="B1280" s="60"/>
      <c r="C1280" s="43"/>
      <c r="D1280" s="62"/>
      <c r="E1280" s="91"/>
      <c r="F1280" s="43"/>
      <c r="G1280" s="43"/>
      <c r="H1280" s="60"/>
      <c r="I1280" s="60"/>
      <c r="J1280" s="90"/>
      <c r="K1280" s="43"/>
      <c r="L1280" s="60"/>
      <c r="M1280" s="60"/>
      <c r="N1280" s="92"/>
    </row>
    <row r="1281">
      <c r="A1281" s="36"/>
      <c r="B1281" s="60"/>
      <c r="C1281" s="43"/>
      <c r="D1281" s="62"/>
      <c r="E1281" s="60"/>
      <c r="F1281" s="60"/>
      <c r="G1281" s="60"/>
      <c r="H1281" s="60"/>
      <c r="I1281" s="60"/>
      <c r="J1281" s="90"/>
      <c r="K1281" s="43"/>
      <c r="L1281" s="60"/>
      <c r="M1281" s="60"/>
      <c r="N1281" s="92"/>
    </row>
    <row r="1282">
      <c r="A1282" s="36"/>
      <c r="B1282" s="60"/>
      <c r="C1282" s="43"/>
      <c r="D1282" s="62"/>
      <c r="E1282" s="60"/>
      <c r="F1282" s="43"/>
      <c r="G1282" s="60"/>
      <c r="H1282" s="60"/>
      <c r="I1282" s="60"/>
      <c r="J1282" s="90"/>
      <c r="K1282" s="43"/>
      <c r="L1282" s="60"/>
      <c r="M1282" s="60"/>
      <c r="N1282" s="92"/>
    </row>
    <row r="1283">
      <c r="A1283" s="36"/>
      <c r="B1283" s="60"/>
      <c r="C1283" s="43"/>
      <c r="D1283" s="62"/>
      <c r="E1283" s="91"/>
      <c r="F1283" s="43"/>
      <c r="G1283" s="43"/>
      <c r="H1283" s="60"/>
      <c r="I1283" s="60"/>
      <c r="J1283" s="90"/>
      <c r="K1283" s="43"/>
      <c r="L1283" s="60"/>
      <c r="M1283" s="60"/>
      <c r="N1283" s="92"/>
    </row>
    <row r="1284">
      <c r="A1284" s="36"/>
      <c r="B1284" s="60"/>
      <c r="C1284" s="43"/>
      <c r="D1284" s="62"/>
      <c r="E1284" s="91"/>
      <c r="F1284" s="43"/>
      <c r="G1284" s="43"/>
      <c r="H1284" s="60"/>
      <c r="I1284" s="60"/>
      <c r="J1284" s="90"/>
      <c r="K1284" s="43"/>
      <c r="L1284" s="60"/>
      <c r="M1284" s="60"/>
      <c r="N1284" s="92"/>
    </row>
    <row r="1285">
      <c r="A1285" s="36"/>
      <c r="B1285" s="60"/>
      <c r="C1285" s="43"/>
      <c r="D1285" s="62"/>
      <c r="E1285" s="91"/>
      <c r="F1285" s="43"/>
      <c r="G1285" s="43"/>
      <c r="H1285" s="60"/>
      <c r="I1285" s="60"/>
      <c r="J1285" s="90"/>
      <c r="K1285" s="43"/>
      <c r="L1285" s="60"/>
      <c r="M1285" s="60"/>
      <c r="N1285" s="92"/>
    </row>
    <row r="1286">
      <c r="A1286" s="36"/>
      <c r="B1286" s="60"/>
      <c r="C1286" s="43"/>
      <c r="D1286" s="62"/>
      <c r="E1286" s="60"/>
      <c r="F1286" s="60"/>
      <c r="G1286" s="60"/>
      <c r="H1286" s="60"/>
      <c r="I1286" s="60"/>
      <c r="J1286" s="90"/>
      <c r="K1286" s="43"/>
      <c r="L1286" s="60"/>
      <c r="M1286" s="60"/>
      <c r="N1286" s="92"/>
    </row>
    <row r="1287">
      <c r="A1287" s="36"/>
      <c r="B1287" s="60"/>
      <c r="C1287" s="43"/>
      <c r="D1287" s="62"/>
      <c r="E1287" s="60"/>
      <c r="F1287" s="60"/>
      <c r="G1287" s="60"/>
      <c r="H1287" s="60"/>
      <c r="I1287" s="60"/>
      <c r="J1287" s="90"/>
      <c r="K1287" s="43"/>
      <c r="L1287" s="60"/>
      <c r="M1287" s="60"/>
      <c r="N1287" s="92"/>
    </row>
    <row r="1288">
      <c r="A1288" s="36"/>
      <c r="B1288" s="60"/>
      <c r="C1288" s="43"/>
      <c r="D1288" s="62"/>
      <c r="E1288" s="60"/>
      <c r="F1288" s="60"/>
      <c r="G1288" s="60"/>
      <c r="H1288" s="60"/>
      <c r="I1288" s="60"/>
      <c r="J1288" s="90"/>
      <c r="K1288" s="43"/>
      <c r="L1288" s="60"/>
      <c r="M1288" s="60"/>
      <c r="N1288" s="92"/>
    </row>
    <row r="1289">
      <c r="A1289" s="36"/>
      <c r="B1289" s="60"/>
      <c r="C1289" s="43"/>
      <c r="D1289" s="62"/>
      <c r="E1289" s="91"/>
      <c r="F1289" s="43"/>
      <c r="G1289" s="43"/>
      <c r="H1289" s="60"/>
      <c r="I1289" s="60"/>
      <c r="J1289" s="90"/>
      <c r="K1289" s="43"/>
      <c r="L1289" s="60"/>
      <c r="M1289" s="60"/>
      <c r="N1289" s="92"/>
    </row>
    <row r="1290">
      <c r="A1290" s="36"/>
      <c r="B1290" s="60"/>
      <c r="C1290" s="43"/>
      <c r="D1290" s="62"/>
      <c r="E1290" s="91"/>
      <c r="F1290" s="43"/>
      <c r="G1290" s="43"/>
      <c r="H1290" s="60"/>
      <c r="I1290" s="60"/>
      <c r="J1290" s="90"/>
      <c r="K1290" s="43"/>
      <c r="L1290" s="60"/>
      <c r="M1290" s="60"/>
      <c r="N1290" s="92"/>
    </row>
    <row r="1291">
      <c r="A1291" s="36"/>
      <c r="B1291" s="60"/>
      <c r="C1291" s="43"/>
      <c r="D1291" s="62"/>
      <c r="E1291" s="91"/>
      <c r="F1291" s="43"/>
      <c r="G1291" s="43"/>
      <c r="H1291" s="60"/>
      <c r="I1291" s="60"/>
      <c r="J1291" s="90"/>
      <c r="K1291" s="43"/>
      <c r="L1291" s="60"/>
      <c r="M1291" s="60"/>
      <c r="N1291" s="92"/>
    </row>
    <row r="1292">
      <c r="A1292" s="36"/>
      <c r="B1292" s="60"/>
      <c r="C1292" s="43"/>
      <c r="D1292" s="62"/>
      <c r="E1292" s="91"/>
      <c r="F1292" s="43"/>
      <c r="G1292" s="43"/>
      <c r="H1292" s="60"/>
      <c r="I1292" s="60"/>
      <c r="J1292" s="90"/>
      <c r="K1292" s="43"/>
      <c r="L1292" s="60"/>
      <c r="M1292" s="60"/>
      <c r="N1292" s="92"/>
    </row>
    <row r="1293">
      <c r="A1293" s="36"/>
      <c r="B1293" s="60"/>
      <c r="C1293" s="43"/>
      <c r="D1293" s="62"/>
      <c r="E1293" s="60"/>
      <c r="F1293" s="60"/>
      <c r="G1293" s="60"/>
      <c r="H1293" s="60"/>
      <c r="I1293" s="60"/>
      <c r="J1293" s="90"/>
      <c r="K1293" s="43"/>
      <c r="L1293" s="60"/>
      <c r="M1293" s="60"/>
      <c r="N1293" s="92"/>
    </row>
    <row r="1294">
      <c r="A1294" s="36"/>
      <c r="B1294" s="60"/>
      <c r="C1294" s="43"/>
      <c r="D1294" s="62"/>
      <c r="E1294" s="60"/>
      <c r="F1294" s="43"/>
      <c r="G1294" s="60"/>
      <c r="H1294" s="60"/>
      <c r="I1294" s="60"/>
      <c r="J1294" s="90"/>
      <c r="K1294" s="43"/>
      <c r="L1294" s="60"/>
      <c r="M1294" s="60"/>
      <c r="N1294" s="92"/>
    </row>
    <row r="1295">
      <c r="A1295" s="36"/>
      <c r="B1295" s="60"/>
      <c r="C1295" s="43"/>
      <c r="D1295" s="62"/>
      <c r="E1295" s="91"/>
      <c r="F1295" s="43"/>
      <c r="G1295" s="60"/>
      <c r="H1295" s="60"/>
      <c r="I1295" s="60"/>
      <c r="J1295" s="90"/>
      <c r="K1295" s="43"/>
      <c r="L1295" s="60"/>
      <c r="M1295" s="60"/>
      <c r="N1295" s="92"/>
    </row>
    <row r="1296">
      <c r="A1296" s="36"/>
      <c r="B1296" s="60"/>
      <c r="C1296" s="43"/>
      <c r="D1296" s="62"/>
      <c r="E1296" s="91"/>
      <c r="F1296" s="43"/>
      <c r="G1296" s="43"/>
      <c r="H1296" s="60"/>
      <c r="I1296" s="60"/>
      <c r="J1296" s="90"/>
      <c r="K1296" s="43"/>
      <c r="L1296" s="60"/>
      <c r="M1296" s="60"/>
      <c r="N1296" s="92"/>
    </row>
    <row r="1297">
      <c r="A1297" s="36"/>
      <c r="B1297" s="60"/>
      <c r="C1297" s="43"/>
      <c r="D1297" s="62"/>
      <c r="E1297" s="91"/>
      <c r="F1297" s="43"/>
      <c r="G1297" s="43"/>
      <c r="H1297" s="60"/>
      <c r="I1297" s="60"/>
      <c r="J1297" s="90"/>
      <c r="K1297" s="43"/>
      <c r="L1297" s="60"/>
      <c r="M1297" s="60"/>
      <c r="N1297" s="92"/>
    </row>
    <row r="1298">
      <c r="A1298" s="36"/>
      <c r="B1298" s="60"/>
      <c r="C1298" s="43"/>
      <c r="D1298" s="62"/>
      <c r="E1298" s="60"/>
      <c r="F1298" s="60"/>
      <c r="G1298" s="60"/>
      <c r="H1298" s="60"/>
      <c r="I1298" s="60"/>
      <c r="J1298" s="90"/>
      <c r="K1298" s="43"/>
      <c r="L1298" s="60"/>
      <c r="M1298" s="60"/>
      <c r="N1298" s="92"/>
    </row>
    <row r="1299">
      <c r="A1299" s="36"/>
      <c r="B1299" s="60"/>
      <c r="C1299" s="43"/>
      <c r="D1299" s="62"/>
      <c r="E1299" s="60"/>
      <c r="F1299" s="60"/>
      <c r="G1299" s="60"/>
      <c r="H1299" s="60"/>
      <c r="I1299" s="60"/>
      <c r="J1299" s="90"/>
      <c r="K1299" s="43"/>
      <c r="L1299" s="60"/>
      <c r="M1299" s="60"/>
      <c r="N1299" s="92"/>
    </row>
    <row r="1300">
      <c r="A1300" s="36"/>
      <c r="B1300" s="60"/>
      <c r="C1300" s="43"/>
      <c r="D1300" s="62"/>
      <c r="E1300" s="60"/>
      <c r="F1300" s="60"/>
      <c r="G1300" s="60"/>
      <c r="H1300" s="60"/>
      <c r="I1300" s="60"/>
      <c r="J1300" s="90"/>
      <c r="K1300" s="43"/>
      <c r="L1300" s="60"/>
      <c r="M1300" s="60"/>
      <c r="N1300" s="92"/>
    </row>
    <row r="1301">
      <c r="A1301" s="36"/>
      <c r="B1301" s="60"/>
      <c r="C1301" s="43"/>
      <c r="D1301" s="62"/>
      <c r="E1301" s="60"/>
      <c r="F1301" s="60"/>
      <c r="G1301" s="60"/>
      <c r="H1301" s="60"/>
      <c r="I1301" s="60"/>
      <c r="J1301" s="90"/>
      <c r="K1301" s="43"/>
      <c r="L1301" s="60"/>
      <c r="M1301" s="60"/>
      <c r="N1301" s="92"/>
    </row>
    <row r="1302">
      <c r="A1302" s="36"/>
      <c r="B1302" s="60"/>
      <c r="C1302" s="43"/>
      <c r="D1302" s="62"/>
      <c r="E1302" s="91"/>
      <c r="F1302" s="43"/>
      <c r="G1302" s="43"/>
      <c r="H1302" s="60"/>
      <c r="I1302" s="60"/>
      <c r="J1302" s="90"/>
      <c r="K1302" s="43"/>
      <c r="L1302" s="60"/>
      <c r="M1302" s="60"/>
      <c r="N1302" s="92"/>
    </row>
    <row r="1303">
      <c r="A1303" s="36"/>
      <c r="B1303" s="60"/>
      <c r="C1303" s="43"/>
      <c r="D1303" s="62"/>
      <c r="E1303" s="60"/>
      <c r="F1303" s="43"/>
      <c r="G1303" s="60"/>
      <c r="H1303" s="60"/>
      <c r="I1303" s="60"/>
      <c r="J1303" s="90"/>
      <c r="K1303" s="43"/>
      <c r="L1303" s="60"/>
      <c r="M1303" s="60"/>
      <c r="N1303" s="92"/>
    </row>
    <row r="1304">
      <c r="A1304" s="36"/>
      <c r="B1304" s="60"/>
      <c r="C1304" s="43"/>
      <c r="D1304" s="62"/>
      <c r="E1304" s="60"/>
      <c r="F1304" s="60"/>
      <c r="G1304" s="60"/>
      <c r="H1304" s="60"/>
      <c r="I1304" s="60"/>
      <c r="J1304" s="90"/>
      <c r="K1304" s="43"/>
      <c r="L1304" s="60"/>
      <c r="M1304" s="60"/>
      <c r="N1304" s="92"/>
    </row>
    <row r="1305">
      <c r="A1305" s="36"/>
      <c r="B1305" s="60"/>
      <c r="C1305" s="43"/>
      <c r="D1305" s="62"/>
      <c r="E1305" s="60"/>
      <c r="F1305" s="60"/>
      <c r="G1305" s="60"/>
      <c r="H1305" s="60"/>
      <c r="I1305" s="60"/>
      <c r="J1305" s="90"/>
      <c r="K1305" s="43"/>
      <c r="L1305" s="60"/>
      <c r="M1305" s="60"/>
      <c r="N1305" s="92"/>
    </row>
    <row r="1306">
      <c r="A1306" s="36"/>
      <c r="B1306" s="60"/>
      <c r="C1306" s="43"/>
      <c r="D1306" s="62"/>
      <c r="E1306" s="60"/>
      <c r="F1306" s="43"/>
      <c r="G1306" s="60"/>
      <c r="H1306" s="60"/>
      <c r="I1306" s="60"/>
      <c r="J1306" s="90"/>
      <c r="K1306" s="43"/>
      <c r="L1306" s="60"/>
      <c r="M1306" s="60"/>
      <c r="N1306" s="92"/>
    </row>
    <row r="1307">
      <c r="A1307" s="36"/>
      <c r="B1307" s="60"/>
      <c r="C1307" s="43"/>
      <c r="D1307" s="62"/>
      <c r="E1307" s="60"/>
      <c r="F1307" s="43"/>
      <c r="G1307" s="60"/>
      <c r="H1307" s="60"/>
      <c r="I1307" s="60"/>
      <c r="J1307" s="90"/>
      <c r="K1307" s="43"/>
      <c r="L1307" s="60"/>
      <c r="M1307" s="60"/>
      <c r="N1307" s="92"/>
    </row>
    <row r="1308">
      <c r="A1308" s="36"/>
      <c r="B1308" s="60"/>
      <c r="C1308" s="43"/>
      <c r="D1308" s="62"/>
      <c r="E1308" s="91"/>
      <c r="F1308" s="43"/>
      <c r="G1308" s="43"/>
      <c r="H1308" s="60"/>
      <c r="I1308" s="60"/>
      <c r="J1308" s="90"/>
      <c r="K1308" s="43"/>
      <c r="L1308" s="60"/>
      <c r="M1308" s="60"/>
      <c r="N1308" s="92"/>
    </row>
    <row r="1309">
      <c r="A1309" s="36"/>
      <c r="B1309" s="60"/>
      <c r="C1309" s="43"/>
      <c r="D1309" s="62"/>
      <c r="E1309" s="91"/>
      <c r="F1309" s="43"/>
      <c r="G1309" s="43"/>
      <c r="H1309" s="60"/>
      <c r="I1309" s="60"/>
      <c r="J1309" s="90"/>
      <c r="K1309" s="43"/>
      <c r="L1309" s="60"/>
      <c r="M1309" s="60"/>
      <c r="N1309" s="92"/>
    </row>
    <row r="1310">
      <c r="A1310" s="36"/>
      <c r="B1310" s="60"/>
      <c r="C1310" s="43"/>
      <c r="D1310" s="62"/>
      <c r="E1310" s="60"/>
      <c r="F1310" s="60"/>
      <c r="G1310" s="60"/>
      <c r="H1310" s="60"/>
      <c r="I1310" s="60"/>
      <c r="J1310" s="90"/>
      <c r="K1310" s="43"/>
      <c r="L1310" s="60"/>
      <c r="M1310" s="60"/>
      <c r="N1310" s="92"/>
    </row>
    <row r="1311">
      <c r="A1311" s="36"/>
      <c r="B1311" s="60"/>
      <c r="C1311" s="43"/>
      <c r="D1311" s="62"/>
      <c r="E1311" s="60"/>
      <c r="F1311" s="60"/>
      <c r="G1311" s="60"/>
      <c r="H1311" s="60"/>
      <c r="I1311" s="60"/>
      <c r="J1311" s="90"/>
      <c r="K1311" s="43"/>
      <c r="L1311" s="60"/>
      <c r="M1311" s="60"/>
      <c r="N1311" s="92"/>
    </row>
    <row r="1312">
      <c r="A1312" s="36"/>
      <c r="B1312" s="60"/>
      <c r="C1312" s="43"/>
      <c r="D1312" s="62"/>
      <c r="E1312" s="60"/>
      <c r="F1312" s="60"/>
      <c r="G1312" s="60"/>
      <c r="H1312" s="60"/>
      <c r="I1312" s="60"/>
      <c r="J1312" s="90"/>
      <c r="K1312" s="43"/>
      <c r="L1312" s="60"/>
      <c r="M1312" s="60"/>
      <c r="N1312" s="92"/>
    </row>
    <row r="1313">
      <c r="A1313" s="36"/>
      <c r="B1313" s="60"/>
      <c r="C1313" s="43"/>
      <c r="D1313" s="62"/>
      <c r="E1313" s="60"/>
      <c r="F1313" s="60"/>
      <c r="G1313" s="60"/>
      <c r="H1313" s="60"/>
      <c r="I1313" s="60"/>
      <c r="J1313" s="90"/>
      <c r="K1313" s="43"/>
      <c r="L1313" s="60"/>
      <c r="M1313" s="60"/>
      <c r="N1313" s="92"/>
    </row>
    <row r="1314">
      <c r="A1314" s="36"/>
      <c r="B1314" s="60"/>
      <c r="C1314" s="43"/>
      <c r="D1314" s="62"/>
      <c r="E1314" s="60"/>
      <c r="F1314" s="60"/>
      <c r="G1314" s="60"/>
      <c r="H1314" s="60"/>
      <c r="I1314" s="60"/>
      <c r="J1314" s="90"/>
      <c r="K1314" s="43"/>
      <c r="L1314" s="60"/>
      <c r="M1314" s="60"/>
      <c r="N1314" s="92"/>
    </row>
    <row r="1315">
      <c r="A1315" s="36"/>
      <c r="B1315" s="60"/>
      <c r="C1315" s="43"/>
      <c r="D1315" s="62"/>
      <c r="E1315" s="60"/>
      <c r="F1315" s="60"/>
      <c r="G1315" s="60"/>
      <c r="H1315" s="60"/>
      <c r="I1315" s="60"/>
      <c r="J1315" s="90"/>
      <c r="K1315" s="43"/>
      <c r="L1315" s="60"/>
      <c r="M1315" s="60"/>
      <c r="N1315" s="92"/>
    </row>
    <row r="1316">
      <c r="A1316" s="36"/>
      <c r="B1316" s="60"/>
      <c r="C1316" s="43"/>
      <c r="D1316" s="62"/>
      <c r="E1316" s="60"/>
      <c r="F1316" s="60"/>
      <c r="G1316" s="60"/>
      <c r="H1316" s="60"/>
      <c r="I1316" s="60"/>
      <c r="J1316" s="90"/>
      <c r="K1316" s="43"/>
      <c r="L1316" s="60"/>
      <c r="M1316" s="60"/>
      <c r="N1316" s="92"/>
    </row>
    <row r="1317">
      <c r="A1317" s="36"/>
      <c r="B1317" s="60"/>
      <c r="C1317" s="43"/>
      <c r="D1317" s="62"/>
      <c r="E1317" s="60"/>
      <c r="F1317" s="60"/>
      <c r="G1317" s="60"/>
      <c r="H1317" s="60"/>
      <c r="I1317" s="60"/>
      <c r="J1317" s="90"/>
      <c r="K1317" s="43"/>
      <c r="L1317" s="60"/>
      <c r="M1317" s="60"/>
      <c r="N1317" s="92"/>
    </row>
    <row r="1318">
      <c r="A1318" s="36"/>
      <c r="B1318" s="60"/>
      <c r="C1318" s="43"/>
      <c r="D1318" s="62"/>
      <c r="E1318" s="60"/>
      <c r="F1318" s="60"/>
      <c r="G1318" s="60"/>
      <c r="H1318" s="60"/>
      <c r="I1318" s="60"/>
      <c r="J1318" s="90"/>
      <c r="K1318" s="43"/>
      <c r="L1318" s="60"/>
      <c r="M1318" s="60"/>
      <c r="N1318" s="92"/>
    </row>
    <row r="1319">
      <c r="A1319" s="36"/>
      <c r="B1319" s="60"/>
      <c r="C1319" s="43"/>
      <c r="D1319" s="62"/>
      <c r="E1319" s="60"/>
      <c r="F1319" s="60"/>
      <c r="G1319" s="60"/>
      <c r="H1319" s="60"/>
      <c r="I1319" s="60"/>
      <c r="J1319" s="90"/>
      <c r="K1319" s="43"/>
      <c r="L1319" s="60"/>
      <c r="M1319" s="60"/>
      <c r="N1319" s="92"/>
    </row>
    <row r="1320">
      <c r="A1320" s="36"/>
      <c r="B1320" s="60"/>
      <c r="C1320" s="43"/>
      <c r="D1320" s="62"/>
      <c r="E1320" s="60"/>
      <c r="F1320" s="60"/>
      <c r="G1320" s="60"/>
      <c r="H1320" s="60"/>
      <c r="I1320" s="60"/>
      <c r="J1320" s="90"/>
      <c r="K1320" s="43"/>
      <c r="L1320" s="60"/>
      <c r="M1320" s="60"/>
      <c r="N1320" s="92"/>
    </row>
    <row r="1321">
      <c r="A1321" s="36"/>
      <c r="B1321" s="60"/>
      <c r="C1321" s="43"/>
      <c r="D1321" s="62"/>
      <c r="E1321" s="60"/>
      <c r="F1321" s="60"/>
      <c r="G1321" s="60"/>
      <c r="H1321" s="60"/>
      <c r="I1321" s="60"/>
      <c r="J1321" s="90"/>
      <c r="K1321" s="43"/>
      <c r="L1321" s="60"/>
      <c r="M1321" s="60"/>
      <c r="N1321" s="92"/>
    </row>
    <row r="1322">
      <c r="A1322" s="36"/>
      <c r="B1322" s="60"/>
      <c r="C1322" s="43"/>
      <c r="D1322" s="62"/>
      <c r="E1322" s="60"/>
      <c r="F1322" s="60"/>
      <c r="G1322" s="60"/>
      <c r="H1322" s="60"/>
      <c r="I1322" s="60"/>
      <c r="J1322" s="90"/>
      <c r="K1322" s="43"/>
      <c r="L1322" s="60"/>
      <c r="M1322" s="60"/>
      <c r="N1322" s="92"/>
    </row>
    <row r="1323">
      <c r="A1323" s="36"/>
      <c r="B1323" s="60"/>
      <c r="C1323" s="43"/>
      <c r="D1323" s="62"/>
      <c r="E1323" s="60"/>
      <c r="F1323" s="60"/>
      <c r="G1323" s="60"/>
      <c r="H1323" s="60"/>
      <c r="I1323" s="60"/>
      <c r="J1323" s="90"/>
      <c r="K1323" s="43"/>
      <c r="L1323" s="60"/>
      <c r="M1323" s="60"/>
      <c r="N1323" s="92"/>
    </row>
    <row r="1324">
      <c r="A1324" s="36"/>
      <c r="B1324" s="60"/>
      <c r="C1324" s="43"/>
      <c r="D1324" s="62"/>
      <c r="E1324" s="60"/>
      <c r="F1324" s="60"/>
      <c r="G1324" s="60"/>
      <c r="H1324" s="60"/>
      <c r="I1324" s="60"/>
      <c r="J1324" s="90"/>
      <c r="K1324" s="43"/>
      <c r="L1324" s="60"/>
      <c r="M1324" s="60"/>
      <c r="N1324" s="92"/>
    </row>
    <row r="1325">
      <c r="A1325" s="36"/>
      <c r="B1325" s="60"/>
      <c r="C1325" s="43"/>
      <c r="D1325" s="62"/>
      <c r="E1325" s="60"/>
      <c r="F1325" s="60"/>
      <c r="G1325" s="60"/>
      <c r="H1325" s="60"/>
      <c r="I1325" s="60"/>
      <c r="J1325" s="90"/>
      <c r="K1325" s="43"/>
      <c r="L1325" s="60"/>
      <c r="M1325" s="60"/>
      <c r="N1325" s="92"/>
    </row>
    <row r="1326">
      <c r="A1326" s="36"/>
      <c r="B1326" s="60"/>
      <c r="C1326" s="43"/>
      <c r="D1326" s="62"/>
      <c r="E1326" s="60"/>
      <c r="F1326" s="60"/>
      <c r="G1326" s="60"/>
      <c r="H1326" s="60"/>
      <c r="I1326" s="60"/>
      <c r="J1326" s="90"/>
      <c r="K1326" s="43"/>
      <c r="L1326" s="60"/>
      <c r="M1326" s="60"/>
      <c r="N1326" s="92"/>
    </row>
    <row r="1327">
      <c r="A1327" s="36"/>
      <c r="B1327" s="60"/>
      <c r="C1327" s="43"/>
      <c r="D1327" s="62"/>
      <c r="E1327" s="91"/>
      <c r="F1327" s="43"/>
      <c r="G1327" s="43"/>
      <c r="H1327" s="60"/>
      <c r="I1327" s="60"/>
      <c r="J1327" s="90"/>
      <c r="K1327" s="43"/>
      <c r="L1327" s="60"/>
      <c r="M1327" s="60"/>
      <c r="N1327" s="92"/>
    </row>
    <row r="1328">
      <c r="A1328" s="36"/>
      <c r="B1328" s="60"/>
      <c r="C1328" s="43"/>
      <c r="D1328" s="62"/>
      <c r="E1328" s="91"/>
      <c r="F1328" s="43"/>
      <c r="G1328" s="43"/>
      <c r="H1328" s="60"/>
      <c r="I1328" s="60"/>
      <c r="J1328" s="90"/>
      <c r="K1328" s="43"/>
      <c r="L1328" s="60"/>
      <c r="M1328" s="60"/>
      <c r="N1328" s="92"/>
    </row>
    <row r="1329">
      <c r="A1329" s="36"/>
      <c r="B1329" s="60"/>
      <c r="C1329" s="43"/>
      <c r="D1329" s="62"/>
      <c r="E1329" s="91"/>
      <c r="F1329" s="43"/>
      <c r="G1329" s="43"/>
      <c r="H1329" s="60"/>
      <c r="I1329" s="60"/>
      <c r="J1329" s="90"/>
      <c r="K1329" s="43"/>
      <c r="L1329" s="60"/>
      <c r="M1329" s="60"/>
      <c r="N1329" s="92"/>
    </row>
    <row r="1330">
      <c r="A1330" s="36"/>
      <c r="B1330" s="60"/>
      <c r="C1330" s="43"/>
      <c r="D1330" s="62"/>
      <c r="E1330" s="60"/>
      <c r="F1330" s="60"/>
      <c r="G1330" s="60"/>
      <c r="H1330" s="60"/>
      <c r="I1330" s="60"/>
      <c r="J1330" s="90"/>
      <c r="K1330" s="43"/>
      <c r="L1330" s="60"/>
      <c r="M1330" s="60"/>
      <c r="N1330" s="92"/>
    </row>
    <row r="1331">
      <c r="A1331" s="36"/>
      <c r="B1331" s="60"/>
      <c r="C1331" s="43"/>
      <c r="D1331" s="62"/>
      <c r="E1331" s="60"/>
      <c r="F1331" s="43"/>
      <c r="G1331" s="60"/>
      <c r="H1331" s="60"/>
      <c r="I1331" s="60"/>
      <c r="J1331" s="90"/>
      <c r="K1331" s="43"/>
      <c r="L1331" s="60"/>
      <c r="M1331" s="60"/>
      <c r="N1331" s="92"/>
    </row>
    <row r="1332">
      <c r="A1332" s="36"/>
      <c r="B1332" s="60"/>
      <c r="C1332" s="43"/>
      <c r="D1332" s="62"/>
      <c r="E1332" s="91"/>
      <c r="F1332" s="43"/>
      <c r="G1332" s="43"/>
      <c r="H1332" s="60"/>
      <c r="I1332" s="60"/>
      <c r="J1332" s="90"/>
      <c r="K1332" s="43"/>
      <c r="L1332" s="60"/>
      <c r="M1332" s="60"/>
      <c r="N1332" s="92"/>
    </row>
    <row r="1333">
      <c r="A1333" s="36"/>
      <c r="B1333" s="60"/>
      <c r="C1333" s="43"/>
      <c r="D1333" s="62"/>
      <c r="E1333" s="60"/>
      <c r="F1333" s="60"/>
      <c r="G1333" s="60"/>
      <c r="H1333" s="60"/>
      <c r="I1333" s="60"/>
      <c r="J1333" s="90"/>
      <c r="K1333" s="43"/>
      <c r="L1333" s="60"/>
      <c r="M1333" s="60"/>
      <c r="N1333" s="92"/>
    </row>
    <row r="1334">
      <c r="A1334" s="36"/>
      <c r="B1334" s="60"/>
      <c r="C1334" s="43"/>
      <c r="D1334" s="62"/>
      <c r="E1334" s="60"/>
      <c r="F1334" s="60"/>
      <c r="G1334" s="60"/>
      <c r="H1334" s="60"/>
      <c r="I1334" s="60"/>
      <c r="J1334" s="90"/>
      <c r="K1334" s="43"/>
      <c r="L1334" s="60"/>
      <c r="M1334" s="60"/>
      <c r="N1334" s="92"/>
    </row>
    <row r="1335">
      <c r="A1335" s="36"/>
      <c r="B1335" s="60"/>
      <c r="C1335" s="43"/>
      <c r="D1335" s="62"/>
      <c r="E1335" s="91"/>
      <c r="F1335" s="43"/>
      <c r="G1335" s="43"/>
      <c r="H1335" s="60"/>
      <c r="I1335" s="60"/>
      <c r="J1335" s="90"/>
      <c r="K1335" s="43"/>
      <c r="L1335" s="60"/>
      <c r="M1335" s="60"/>
      <c r="N1335" s="92"/>
    </row>
    <row r="1336">
      <c r="A1336" s="36"/>
      <c r="B1336" s="60"/>
      <c r="C1336" s="43"/>
      <c r="D1336" s="62"/>
      <c r="E1336" s="91"/>
      <c r="F1336" s="43"/>
      <c r="G1336" s="43"/>
      <c r="H1336" s="60"/>
      <c r="I1336" s="60"/>
      <c r="J1336" s="90"/>
      <c r="K1336" s="43"/>
      <c r="L1336" s="60"/>
      <c r="M1336" s="60"/>
      <c r="N1336" s="92"/>
    </row>
    <row r="1337">
      <c r="A1337" s="36"/>
      <c r="B1337" s="60"/>
      <c r="C1337" s="43"/>
      <c r="D1337" s="62"/>
      <c r="E1337" s="60"/>
      <c r="F1337" s="60"/>
      <c r="G1337" s="60"/>
      <c r="H1337" s="60"/>
      <c r="I1337" s="60"/>
      <c r="J1337" s="90"/>
      <c r="K1337" s="43"/>
      <c r="L1337" s="60"/>
      <c r="M1337" s="60"/>
      <c r="N1337" s="92"/>
    </row>
    <row r="1338">
      <c r="A1338" s="36"/>
      <c r="B1338" s="60"/>
      <c r="C1338" s="43"/>
      <c r="D1338" s="62"/>
      <c r="E1338" s="91"/>
      <c r="F1338" s="43"/>
      <c r="G1338" s="60"/>
      <c r="H1338" s="60"/>
      <c r="I1338" s="60"/>
      <c r="J1338" s="90"/>
      <c r="K1338" s="43"/>
      <c r="L1338" s="60"/>
      <c r="M1338" s="60"/>
      <c r="N1338" s="92"/>
    </row>
    <row r="1339">
      <c r="A1339" s="36"/>
      <c r="B1339" s="60"/>
      <c r="C1339" s="43"/>
      <c r="D1339" s="62"/>
      <c r="E1339" s="60"/>
      <c r="F1339" s="60"/>
      <c r="G1339" s="60"/>
      <c r="H1339" s="60"/>
      <c r="I1339" s="60"/>
      <c r="J1339" s="90"/>
      <c r="K1339" s="43"/>
      <c r="L1339" s="60"/>
      <c r="M1339" s="60"/>
      <c r="N1339" s="92"/>
    </row>
    <row r="1340">
      <c r="A1340" s="36"/>
      <c r="B1340" s="60"/>
      <c r="C1340" s="43"/>
      <c r="D1340" s="62"/>
      <c r="E1340" s="91"/>
      <c r="F1340" s="43"/>
      <c r="G1340" s="43"/>
      <c r="H1340" s="60"/>
      <c r="I1340" s="60"/>
      <c r="J1340" s="90"/>
      <c r="K1340" s="43"/>
      <c r="L1340" s="60"/>
      <c r="M1340" s="60"/>
      <c r="N1340" s="92"/>
    </row>
    <row r="1341">
      <c r="A1341" s="36"/>
      <c r="B1341" s="60"/>
      <c r="C1341" s="43"/>
      <c r="D1341" s="62"/>
      <c r="E1341" s="60"/>
      <c r="F1341" s="60"/>
      <c r="G1341" s="60"/>
      <c r="H1341" s="60"/>
      <c r="I1341" s="60"/>
      <c r="J1341" s="90"/>
      <c r="K1341" s="43"/>
      <c r="L1341" s="60"/>
      <c r="M1341" s="60"/>
      <c r="N1341" s="92"/>
    </row>
    <row r="1342">
      <c r="A1342" s="36"/>
      <c r="B1342" s="60"/>
      <c r="C1342" s="43"/>
      <c r="D1342" s="62"/>
      <c r="E1342" s="60"/>
      <c r="F1342" s="60"/>
      <c r="G1342" s="60"/>
      <c r="H1342" s="60"/>
      <c r="I1342" s="60"/>
      <c r="J1342" s="90"/>
      <c r="K1342" s="43"/>
      <c r="L1342" s="60"/>
      <c r="M1342" s="60"/>
      <c r="N1342" s="92"/>
    </row>
    <row r="1343">
      <c r="A1343" s="36"/>
      <c r="B1343" s="60"/>
      <c r="C1343" s="43"/>
      <c r="D1343" s="62"/>
      <c r="E1343" s="60"/>
      <c r="F1343" s="60"/>
      <c r="G1343" s="60"/>
      <c r="H1343" s="60"/>
      <c r="I1343" s="60"/>
      <c r="J1343" s="90"/>
      <c r="K1343" s="43"/>
      <c r="L1343" s="60"/>
      <c r="M1343" s="60"/>
      <c r="N1343" s="92"/>
    </row>
    <row r="1344">
      <c r="A1344" s="36"/>
      <c r="B1344" s="60"/>
      <c r="C1344" s="43"/>
      <c r="D1344" s="62"/>
      <c r="E1344" s="91"/>
      <c r="F1344" s="43"/>
      <c r="G1344" s="43"/>
      <c r="H1344" s="60"/>
      <c r="I1344" s="60"/>
      <c r="J1344" s="90"/>
      <c r="K1344" s="43"/>
      <c r="L1344" s="60"/>
      <c r="M1344" s="60"/>
      <c r="N1344" s="92"/>
    </row>
    <row r="1345">
      <c r="A1345" s="36"/>
      <c r="B1345" s="60"/>
      <c r="C1345" s="43"/>
      <c r="D1345" s="62"/>
      <c r="E1345" s="60"/>
      <c r="F1345" s="60"/>
      <c r="G1345" s="60"/>
      <c r="H1345" s="60"/>
      <c r="I1345" s="60"/>
      <c r="J1345" s="90"/>
      <c r="K1345" s="43"/>
      <c r="L1345" s="60"/>
      <c r="M1345" s="60"/>
      <c r="N1345" s="92"/>
    </row>
    <row r="1346">
      <c r="A1346" s="36"/>
      <c r="B1346" s="60"/>
      <c r="C1346" s="43"/>
      <c r="D1346" s="62"/>
      <c r="E1346" s="60"/>
      <c r="F1346" s="60"/>
      <c r="G1346" s="60"/>
      <c r="H1346" s="60"/>
      <c r="I1346" s="60"/>
      <c r="J1346" s="90"/>
      <c r="K1346" s="43"/>
      <c r="L1346" s="60"/>
      <c r="M1346" s="60"/>
      <c r="N1346" s="92"/>
    </row>
    <row r="1347">
      <c r="A1347" s="36"/>
      <c r="B1347" s="60"/>
      <c r="C1347" s="43"/>
      <c r="D1347" s="62"/>
      <c r="E1347" s="60"/>
      <c r="F1347" s="60"/>
      <c r="G1347" s="60"/>
      <c r="H1347" s="60"/>
      <c r="I1347" s="60"/>
      <c r="J1347" s="90"/>
      <c r="K1347" s="43"/>
      <c r="L1347" s="60"/>
      <c r="M1347" s="60"/>
      <c r="N1347" s="92"/>
    </row>
    <row r="1348">
      <c r="A1348" s="36"/>
      <c r="B1348" s="60"/>
      <c r="C1348" s="43"/>
      <c r="D1348" s="62"/>
      <c r="E1348" s="60"/>
      <c r="F1348" s="60"/>
      <c r="G1348" s="60"/>
      <c r="H1348" s="60"/>
      <c r="I1348" s="60"/>
      <c r="J1348" s="90"/>
      <c r="K1348" s="43"/>
      <c r="L1348" s="60"/>
      <c r="M1348" s="60"/>
      <c r="N1348" s="92"/>
    </row>
    <row r="1349">
      <c r="A1349" s="36"/>
      <c r="B1349" s="60"/>
      <c r="C1349" s="43"/>
      <c r="D1349" s="62"/>
      <c r="E1349" s="91"/>
      <c r="F1349" s="43"/>
      <c r="G1349" s="43"/>
      <c r="H1349" s="60"/>
      <c r="I1349" s="60"/>
      <c r="J1349" s="90"/>
      <c r="K1349" s="43"/>
      <c r="L1349" s="60"/>
      <c r="M1349" s="60"/>
      <c r="N1349" s="92"/>
    </row>
    <row r="1350">
      <c r="A1350" s="36"/>
      <c r="B1350" s="60"/>
      <c r="C1350" s="43"/>
      <c r="D1350" s="62"/>
      <c r="E1350" s="60"/>
      <c r="F1350" s="60"/>
      <c r="G1350" s="60"/>
      <c r="H1350" s="60"/>
      <c r="I1350" s="60"/>
      <c r="J1350" s="90"/>
      <c r="K1350" s="43"/>
      <c r="L1350" s="60"/>
      <c r="M1350" s="60"/>
      <c r="N1350" s="92"/>
    </row>
    <row r="1351">
      <c r="A1351" s="36"/>
      <c r="B1351" s="60"/>
      <c r="C1351" s="43"/>
      <c r="D1351" s="62"/>
      <c r="E1351" s="91"/>
      <c r="F1351" s="60"/>
      <c r="G1351" s="60"/>
      <c r="H1351" s="60"/>
      <c r="I1351" s="60"/>
      <c r="J1351" s="90"/>
      <c r="K1351" s="43"/>
      <c r="L1351" s="60"/>
      <c r="M1351" s="60"/>
      <c r="N1351" s="92"/>
    </row>
    <row r="1352">
      <c r="A1352" s="36"/>
      <c r="B1352" s="60"/>
      <c r="C1352" s="43"/>
      <c r="D1352" s="62"/>
      <c r="E1352" s="91"/>
      <c r="F1352" s="43"/>
      <c r="G1352" s="43"/>
      <c r="H1352" s="60"/>
      <c r="I1352" s="60"/>
      <c r="J1352" s="90"/>
      <c r="K1352" s="43"/>
      <c r="L1352" s="60"/>
      <c r="M1352" s="60"/>
      <c r="N1352" s="92"/>
    </row>
    <row r="1353">
      <c r="A1353" s="36"/>
      <c r="B1353" s="60"/>
      <c r="C1353" s="43"/>
      <c r="D1353" s="62"/>
      <c r="E1353" s="91"/>
      <c r="F1353" s="43"/>
      <c r="G1353" s="43"/>
      <c r="H1353" s="60"/>
      <c r="I1353" s="60"/>
      <c r="J1353" s="90"/>
      <c r="K1353" s="43"/>
      <c r="L1353" s="60"/>
      <c r="M1353" s="60"/>
      <c r="N1353" s="92"/>
    </row>
    <row r="1354">
      <c r="A1354" s="36"/>
      <c r="B1354" s="60"/>
      <c r="C1354" s="43"/>
      <c r="D1354" s="62"/>
      <c r="E1354" s="60"/>
      <c r="F1354" s="60"/>
      <c r="G1354" s="60"/>
      <c r="H1354" s="60"/>
      <c r="I1354" s="60"/>
      <c r="J1354" s="90"/>
      <c r="K1354" s="43"/>
      <c r="L1354" s="60"/>
      <c r="M1354" s="60"/>
      <c r="N1354" s="92"/>
    </row>
    <row r="1355">
      <c r="A1355" s="36"/>
      <c r="B1355" s="60"/>
      <c r="C1355" s="43"/>
      <c r="D1355" s="62"/>
      <c r="E1355" s="91"/>
      <c r="F1355" s="43"/>
      <c r="G1355" s="60"/>
      <c r="H1355" s="60"/>
      <c r="I1355" s="60"/>
      <c r="J1355" s="90"/>
      <c r="K1355" s="43"/>
      <c r="L1355" s="60"/>
      <c r="M1355" s="60"/>
      <c r="N1355" s="92"/>
    </row>
    <row r="1356">
      <c r="A1356" s="36"/>
      <c r="B1356" s="60"/>
      <c r="C1356" s="43"/>
      <c r="D1356" s="62"/>
      <c r="E1356" s="60"/>
      <c r="F1356" s="60"/>
      <c r="G1356" s="60"/>
      <c r="H1356" s="60"/>
      <c r="I1356" s="60"/>
      <c r="J1356" s="90"/>
      <c r="K1356" s="43"/>
      <c r="L1356" s="60"/>
      <c r="M1356" s="60"/>
      <c r="N1356" s="92"/>
    </row>
    <row r="1357">
      <c r="A1357" s="36"/>
      <c r="B1357" s="60"/>
      <c r="C1357" s="43"/>
      <c r="D1357" s="62"/>
      <c r="E1357" s="91"/>
      <c r="F1357" s="43"/>
      <c r="G1357" s="43"/>
      <c r="H1357" s="60"/>
      <c r="I1357" s="60"/>
      <c r="J1357" s="90"/>
      <c r="K1357" s="43"/>
      <c r="L1357" s="60"/>
      <c r="M1357" s="60"/>
      <c r="N1357" s="92"/>
    </row>
    <row r="1358">
      <c r="A1358" s="36"/>
      <c r="B1358" s="60"/>
      <c r="C1358" s="43"/>
      <c r="D1358" s="62"/>
      <c r="E1358" s="60"/>
      <c r="F1358" s="60"/>
      <c r="G1358" s="60"/>
      <c r="H1358" s="60"/>
      <c r="I1358" s="60"/>
      <c r="J1358" s="90"/>
      <c r="K1358" s="43"/>
      <c r="L1358" s="60"/>
      <c r="M1358" s="60"/>
      <c r="N1358" s="92"/>
    </row>
    <row r="1359">
      <c r="A1359" s="36"/>
      <c r="B1359" s="60"/>
      <c r="C1359" s="43"/>
      <c r="D1359" s="62"/>
      <c r="E1359" s="60"/>
      <c r="F1359" s="60"/>
      <c r="G1359" s="60"/>
      <c r="H1359" s="60"/>
      <c r="I1359" s="60"/>
      <c r="J1359" s="90"/>
      <c r="K1359" s="43"/>
      <c r="L1359" s="60"/>
      <c r="M1359" s="60"/>
      <c r="N1359" s="92"/>
    </row>
    <row r="1360">
      <c r="A1360" s="36"/>
      <c r="B1360" s="60"/>
      <c r="C1360" s="43"/>
      <c r="D1360" s="62"/>
      <c r="E1360" s="60"/>
      <c r="F1360" s="60"/>
      <c r="G1360" s="60"/>
      <c r="H1360" s="60"/>
      <c r="I1360" s="60"/>
      <c r="J1360" s="90"/>
      <c r="K1360" s="43"/>
      <c r="L1360" s="60"/>
      <c r="M1360" s="60"/>
      <c r="N1360" s="92"/>
    </row>
    <row r="1361">
      <c r="A1361" s="36"/>
      <c r="B1361" s="60"/>
      <c r="C1361" s="43"/>
      <c r="D1361" s="62"/>
      <c r="E1361" s="91"/>
      <c r="F1361" s="43"/>
      <c r="G1361" s="43"/>
      <c r="H1361" s="60"/>
      <c r="I1361" s="60"/>
      <c r="J1361" s="90"/>
      <c r="K1361" s="43"/>
      <c r="L1361" s="60"/>
      <c r="M1361" s="60"/>
      <c r="N1361" s="92"/>
    </row>
    <row r="1362">
      <c r="A1362" s="36"/>
      <c r="B1362" s="60"/>
      <c r="C1362" s="43"/>
      <c r="D1362" s="62"/>
      <c r="E1362" s="60"/>
      <c r="F1362" s="60"/>
      <c r="G1362" s="60"/>
      <c r="H1362" s="60"/>
      <c r="I1362" s="60"/>
      <c r="J1362" s="90"/>
      <c r="K1362" s="43"/>
      <c r="L1362" s="60"/>
      <c r="M1362" s="60"/>
      <c r="N1362" s="92"/>
    </row>
    <row r="1363">
      <c r="A1363" s="36"/>
      <c r="B1363" s="60"/>
      <c r="C1363" s="43"/>
      <c r="D1363" s="62"/>
      <c r="E1363" s="91"/>
      <c r="F1363" s="43"/>
      <c r="G1363" s="43"/>
      <c r="H1363" s="60"/>
      <c r="I1363" s="60"/>
      <c r="J1363" s="90"/>
      <c r="K1363" s="43"/>
      <c r="L1363" s="60"/>
      <c r="M1363" s="60"/>
      <c r="N1363" s="92"/>
    </row>
    <row r="1364">
      <c r="A1364" s="36"/>
      <c r="B1364" s="60"/>
      <c r="C1364" s="43"/>
      <c r="D1364" s="62"/>
      <c r="E1364" s="91"/>
      <c r="F1364" s="43"/>
      <c r="G1364" s="43"/>
      <c r="H1364" s="60"/>
      <c r="I1364" s="60"/>
      <c r="J1364" s="90"/>
      <c r="K1364" s="43"/>
      <c r="L1364" s="60"/>
      <c r="M1364" s="60"/>
      <c r="N1364" s="92"/>
    </row>
    <row r="1365">
      <c r="A1365" s="36"/>
      <c r="B1365" s="60"/>
      <c r="C1365" s="43"/>
      <c r="D1365" s="62"/>
      <c r="E1365" s="60"/>
      <c r="F1365" s="60"/>
      <c r="G1365" s="60"/>
      <c r="H1365" s="60"/>
      <c r="I1365" s="60"/>
      <c r="J1365" s="90"/>
      <c r="K1365" s="43"/>
      <c r="L1365" s="60"/>
      <c r="M1365" s="60"/>
      <c r="N1365" s="92"/>
    </row>
    <row r="1366">
      <c r="A1366" s="36"/>
      <c r="B1366" s="60"/>
      <c r="C1366" s="43"/>
      <c r="D1366" s="62"/>
      <c r="E1366" s="60"/>
      <c r="F1366" s="60"/>
      <c r="G1366" s="60"/>
      <c r="H1366" s="60"/>
      <c r="I1366" s="60"/>
      <c r="J1366" s="90"/>
      <c r="K1366" s="43"/>
      <c r="L1366" s="60"/>
      <c r="M1366" s="60"/>
      <c r="N1366" s="92"/>
    </row>
    <row r="1367">
      <c r="A1367" s="36"/>
      <c r="B1367" s="60"/>
      <c r="C1367" s="43"/>
      <c r="D1367" s="62"/>
      <c r="E1367" s="60"/>
      <c r="F1367" s="60"/>
      <c r="G1367" s="60"/>
      <c r="H1367" s="60"/>
      <c r="I1367" s="60"/>
      <c r="J1367" s="90"/>
      <c r="K1367" s="43"/>
      <c r="L1367" s="60"/>
      <c r="M1367" s="60"/>
      <c r="N1367" s="92"/>
    </row>
    <row r="1368">
      <c r="A1368" s="36"/>
      <c r="B1368" s="60"/>
      <c r="C1368" s="43"/>
      <c r="D1368" s="62"/>
      <c r="E1368" s="60"/>
      <c r="F1368" s="60"/>
      <c r="G1368" s="60"/>
      <c r="H1368" s="60"/>
      <c r="I1368" s="60"/>
      <c r="J1368" s="90"/>
      <c r="K1368" s="43"/>
      <c r="L1368" s="60"/>
      <c r="M1368" s="60"/>
      <c r="N1368" s="92"/>
    </row>
    <row r="1369">
      <c r="A1369" s="36"/>
      <c r="B1369" s="60"/>
      <c r="C1369" s="43"/>
      <c r="D1369" s="62"/>
      <c r="E1369" s="60"/>
      <c r="F1369" s="60"/>
      <c r="G1369" s="60"/>
      <c r="H1369" s="60"/>
      <c r="I1369" s="60"/>
      <c r="J1369" s="90"/>
      <c r="K1369" s="43"/>
      <c r="L1369" s="60"/>
      <c r="M1369" s="60"/>
      <c r="N1369" s="92"/>
    </row>
    <row r="1370">
      <c r="A1370" s="36"/>
      <c r="B1370" s="60"/>
      <c r="C1370" s="43"/>
      <c r="D1370" s="62"/>
      <c r="E1370" s="60"/>
      <c r="F1370" s="60"/>
      <c r="G1370" s="60"/>
      <c r="H1370" s="60"/>
      <c r="I1370" s="60"/>
      <c r="J1370" s="90"/>
      <c r="K1370" s="43"/>
      <c r="L1370" s="60"/>
      <c r="M1370" s="60"/>
      <c r="N1370" s="92"/>
    </row>
    <row r="1371">
      <c r="A1371" s="36"/>
      <c r="B1371" s="60"/>
      <c r="C1371" s="43"/>
      <c r="D1371" s="62"/>
      <c r="E1371" s="60"/>
      <c r="F1371" s="60"/>
      <c r="G1371" s="60"/>
      <c r="H1371" s="60"/>
      <c r="I1371" s="60"/>
      <c r="J1371" s="90"/>
      <c r="K1371" s="43"/>
      <c r="L1371" s="60"/>
      <c r="M1371" s="60"/>
      <c r="N1371" s="92"/>
    </row>
    <row r="1372">
      <c r="A1372" s="36"/>
      <c r="B1372" s="60"/>
      <c r="C1372" s="43"/>
      <c r="D1372" s="62"/>
      <c r="E1372" s="60"/>
      <c r="F1372" s="60"/>
      <c r="G1372" s="60"/>
      <c r="H1372" s="60"/>
      <c r="I1372" s="60"/>
      <c r="J1372" s="90"/>
      <c r="K1372" s="43"/>
      <c r="L1372" s="60"/>
      <c r="M1372" s="60"/>
      <c r="N1372" s="92"/>
    </row>
    <row r="1373">
      <c r="A1373" s="36"/>
      <c r="B1373" s="60"/>
      <c r="C1373" s="43"/>
      <c r="D1373" s="62"/>
      <c r="E1373" s="60"/>
      <c r="F1373" s="60"/>
      <c r="G1373" s="60"/>
      <c r="H1373" s="60"/>
      <c r="I1373" s="60"/>
      <c r="J1373" s="90"/>
      <c r="K1373" s="43"/>
      <c r="L1373" s="60"/>
      <c r="M1373" s="60"/>
      <c r="N1373" s="92"/>
    </row>
    <row r="1374">
      <c r="A1374" s="36"/>
      <c r="B1374" s="60"/>
      <c r="C1374" s="43"/>
      <c r="D1374" s="62"/>
      <c r="E1374" s="60"/>
      <c r="F1374" s="43"/>
      <c r="G1374" s="60"/>
      <c r="H1374" s="60"/>
      <c r="I1374" s="60"/>
      <c r="J1374" s="90"/>
      <c r="K1374" s="43"/>
      <c r="L1374" s="60"/>
      <c r="M1374" s="60"/>
      <c r="N1374" s="92"/>
    </row>
    <row r="1375">
      <c r="A1375" s="36"/>
      <c r="B1375" s="60"/>
      <c r="C1375" s="43"/>
      <c r="D1375" s="62"/>
      <c r="E1375" s="60"/>
      <c r="F1375" s="60"/>
      <c r="G1375" s="60"/>
      <c r="H1375" s="60"/>
      <c r="I1375" s="60"/>
      <c r="J1375" s="90"/>
      <c r="K1375" s="43"/>
      <c r="L1375" s="60"/>
      <c r="M1375" s="60"/>
      <c r="N1375" s="92"/>
    </row>
    <row r="1376">
      <c r="A1376" s="36"/>
      <c r="B1376" s="60"/>
      <c r="C1376" s="43"/>
      <c r="D1376" s="62"/>
      <c r="E1376" s="91"/>
      <c r="F1376" s="43"/>
      <c r="G1376" s="43"/>
      <c r="H1376" s="60"/>
      <c r="I1376" s="60"/>
      <c r="J1376" s="90"/>
      <c r="K1376" s="43"/>
      <c r="L1376" s="60"/>
      <c r="M1376" s="60"/>
      <c r="N1376" s="92"/>
    </row>
    <row r="1377">
      <c r="A1377" s="36"/>
      <c r="B1377" s="60"/>
      <c r="C1377" s="43"/>
      <c r="D1377" s="62"/>
      <c r="E1377" s="60"/>
      <c r="F1377" s="60"/>
      <c r="G1377" s="60"/>
      <c r="H1377" s="60"/>
      <c r="I1377" s="60"/>
      <c r="J1377" s="90"/>
      <c r="K1377" s="43"/>
      <c r="L1377" s="60"/>
      <c r="M1377" s="60"/>
      <c r="N1377" s="92"/>
    </row>
    <row r="1378">
      <c r="A1378" s="36"/>
      <c r="B1378" s="60"/>
      <c r="C1378" s="43"/>
      <c r="D1378" s="62"/>
      <c r="E1378" s="60"/>
      <c r="F1378" s="60"/>
      <c r="G1378" s="60"/>
      <c r="H1378" s="60"/>
      <c r="I1378" s="60"/>
      <c r="J1378" s="90"/>
      <c r="K1378" s="43"/>
      <c r="L1378" s="60"/>
      <c r="M1378" s="60"/>
      <c r="N1378" s="92"/>
    </row>
    <row r="1379">
      <c r="A1379" s="36"/>
      <c r="B1379" s="60"/>
      <c r="C1379" s="43"/>
      <c r="D1379" s="62"/>
      <c r="E1379" s="60"/>
      <c r="F1379" s="43"/>
      <c r="G1379" s="60"/>
      <c r="H1379" s="60"/>
      <c r="I1379" s="60"/>
      <c r="J1379" s="90"/>
      <c r="K1379" s="43"/>
      <c r="L1379" s="60"/>
      <c r="M1379" s="60"/>
      <c r="N1379" s="92"/>
    </row>
    <row r="1380">
      <c r="A1380" s="36"/>
      <c r="B1380" s="60"/>
      <c r="C1380" s="43"/>
      <c r="D1380" s="62"/>
      <c r="E1380" s="60"/>
      <c r="F1380" s="60"/>
      <c r="G1380" s="60"/>
      <c r="H1380" s="60"/>
      <c r="I1380" s="60"/>
      <c r="J1380" s="90"/>
      <c r="K1380" s="43"/>
      <c r="L1380" s="60"/>
      <c r="M1380" s="60"/>
      <c r="N1380" s="92"/>
    </row>
    <row r="1381">
      <c r="A1381" s="36"/>
      <c r="B1381" s="60"/>
      <c r="C1381" s="43"/>
      <c r="D1381" s="62"/>
      <c r="E1381" s="60"/>
      <c r="F1381" s="60"/>
      <c r="G1381" s="60"/>
      <c r="H1381" s="60"/>
      <c r="I1381" s="60"/>
      <c r="J1381" s="90"/>
      <c r="K1381" s="43"/>
      <c r="L1381" s="60"/>
      <c r="M1381" s="60"/>
      <c r="N1381" s="92"/>
    </row>
    <row r="1382">
      <c r="A1382" s="36"/>
      <c r="B1382" s="60"/>
      <c r="C1382" s="43"/>
      <c r="D1382" s="62"/>
      <c r="E1382" s="60"/>
      <c r="F1382" s="60"/>
      <c r="G1382" s="60"/>
      <c r="H1382" s="60"/>
      <c r="I1382" s="60"/>
      <c r="J1382" s="90"/>
      <c r="K1382" s="43"/>
      <c r="L1382" s="60"/>
      <c r="M1382" s="60"/>
      <c r="N1382" s="92"/>
    </row>
    <row r="1383">
      <c r="A1383" s="36"/>
      <c r="B1383" s="60"/>
      <c r="C1383" s="43"/>
      <c r="D1383" s="62"/>
      <c r="E1383" s="91"/>
      <c r="F1383" s="43"/>
      <c r="G1383" s="43"/>
      <c r="H1383" s="60"/>
      <c r="I1383" s="60"/>
      <c r="J1383" s="90"/>
      <c r="K1383" s="43"/>
      <c r="L1383" s="60"/>
      <c r="M1383" s="60"/>
      <c r="N1383" s="92"/>
    </row>
    <row r="1384">
      <c r="A1384" s="36"/>
      <c r="B1384" s="60"/>
      <c r="C1384" s="43"/>
      <c r="D1384" s="62"/>
      <c r="E1384" s="60"/>
      <c r="F1384" s="60"/>
      <c r="G1384" s="60"/>
      <c r="H1384" s="60"/>
      <c r="I1384" s="60"/>
      <c r="J1384" s="90"/>
      <c r="K1384" s="43"/>
      <c r="L1384" s="60"/>
      <c r="M1384" s="60"/>
      <c r="N1384" s="92"/>
    </row>
    <row r="1385">
      <c r="A1385" s="36"/>
      <c r="B1385" s="60"/>
      <c r="C1385" s="43"/>
      <c r="D1385" s="62"/>
      <c r="E1385" s="60"/>
      <c r="F1385" s="60"/>
      <c r="G1385" s="60"/>
      <c r="H1385" s="60"/>
      <c r="I1385" s="60"/>
      <c r="J1385" s="90"/>
      <c r="K1385" s="43"/>
      <c r="L1385" s="60"/>
      <c r="M1385" s="60"/>
      <c r="N1385" s="92"/>
    </row>
    <row r="1386">
      <c r="A1386" s="36"/>
      <c r="B1386" s="60"/>
      <c r="C1386" s="43"/>
      <c r="D1386" s="62"/>
      <c r="E1386" s="60"/>
      <c r="F1386" s="60"/>
      <c r="G1386" s="60"/>
      <c r="H1386" s="60"/>
      <c r="I1386" s="60"/>
      <c r="J1386" s="90"/>
      <c r="K1386" s="43"/>
      <c r="L1386" s="60"/>
      <c r="M1386" s="60"/>
      <c r="N1386" s="92"/>
    </row>
    <row r="1387">
      <c r="A1387" s="36"/>
      <c r="B1387" s="60"/>
      <c r="C1387" s="43"/>
      <c r="D1387" s="62"/>
      <c r="E1387" s="60"/>
      <c r="F1387" s="60"/>
      <c r="G1387" s="60"/>
      <c r="H1387" s="60"/>
      <c r="I1387" s="60"/>
      <c r="J1387" s="90"/>
      <c r="K1387" s="43"/>
      <c r="L1387" s="60"/>
      <c r="M1387" s="60"/>
      <c r="N1387" s="92"/>
    </row>
    <row r="1388">
      <c r="A1388" s="36"/>
      <c r="B1388" s="60"/>
      <c r="C1388" s="43"/>
      <c r="D1388" s="62"/>
      <c r="E1388" s="60"/>
      <c r="F1388" s="60"/>
      <c r="G1388" s="60"/>
      <c r="H1388" s="60"/>
      <c r="I1388" s="60"/>
      <c r="J1388" s="90"/>
      <c r="K1388" s="43"/>
      <c r="L1388" s="60"/>
      <c r="M1388" s="60"/>
      <c r="N1388" s="92"/>
    </row>
    <row r="1389">
      <c r="A1389" s="36"/>
      <c r="B1389" s="60"/>
      <c r="C1389" s="43"/>
      <c r="D1389" s="62"/>
      <c r="E1389" s="60"/>
      <c r="F1389" s="60"/>
      <c r="G1389" s="60"/>
      <c r="H1389" s="60"/>
      <c r="I1389" s="60"/>
      <c r="J1389" s="90"/>
      <c r="K1389" s="43"/>
      <c r="L1389" s="60"/>
      <c r="M1389" s="60"/>
      <c r="N1389" s="92"/>
    </row>
    <row r="1390">
      <c r="A1390" s="36"/>
      <c r="B1390" s="60"/>
      <c r="C1390" s="43"/>
      <c r="D1390" s="62"/>
      <c r="E1390" s="60"/>
      <c r="F1390" s="60"/>
      <c r="G1390" s="60"/>
      <c r="H1390" s="60"/>
      <c r="I1390" s="60"/>
      <c r="J1390" s="90"/>
      <c r="K1390" s="43"/>
      <c r="L1390" s="60"/>
      <c r="M1390" s="60"/>
      <c r="N1390" s="92"/>
    </row>
    <row r="1391">
      <c r="A1391" s="36"/>
      <c r="B1391" s="60"/>
      <c r="C1391" s="43"/>
      <c r="D1391" s="62"/>
      <c r="E1391" s="60"/>
      <c r="F1391" s="60"/>
      <c r="G1391" s="60"/>
      <c r="H1391" s="60"/>
      <c r="I1391" s="60"/>
      <c r="J1391" s="90"/>
      <c r="K1391" s="43"/>
      <c r="L1391" s="60"/>
      <c r="M1391" s="60"/>
      <c r="N1391" s="92"/>
    </row>
    <row r="1392">
      <c r="A1392" s="36"/>
      <c r="B1392" s="60"/>
      <c r="C1392" s="43"/>
      <c r="D1392" s="62"/>
      <c r="E1392" s="60"/>
      <c r="F1392" s="60"/>
      <c r="G1392" s="60"/>
      <c r="H1392" s="60"/>
      <c r="I1392" s="60"/>
      <c r="J1392" s="90"/>
      <c r="K1392" s="43"/>
      <c r="L1392" s="60"/>
      <c r="M1392" s="60"/>
      <c r="N1392" s="92"/>
    </row>
    <row r="1393">
      <c r="A1393" s="36"/>
      <c r="B1393" s="60"/>
      <c r="C1393" s="43"/>
      <c r="D1393" s="62"/>
      <c r="E1393" s="60"/>
      <c r="F1393" s="60"/>
      <c r="G1393" s="60"/>
      <c r="H1393" s="60"/>
      <c r="I1393" s="60"/>
      <c r="J1393" s="90"/>
      <c r="K1393" s="43"/>
      <c r="L1393" s="60"/>
      <c r="M1393" s="60"/>
      <c r="N1393" s="92"/>
    </row>
    <row r="1394">
      <c r="A1394" s="36"/>
      <c r="B1394" s="60"/>
      <c r="C1394" s="43"/>
      <c r="D1394" s="62"/>
      <c r="E1394" s="60"/>
      <c r="F1394" s="60"/>
      <c r="G1394" s="60"/>
      <c r="H1394" s="60"/>
      <c r="I1394" s="60"/>
      <c r="J1394" s="90"/>
      <c r="K1394" s="43"/>
      <c r="L1394" s="60"/>
      <c r="M1394" s="60"/>
      <c r="N1394" s="92"/>
    </row>
    <row r="1395">
      <c r="A1395" s="36"/>
      <c r="B1395" s="60"/>
      <c r="C1395" s="43"/>
      <c r="D1395" s="62"/>
      <c r="E1395" s="60"/>
      <c r="F1395" s="43"/>
      <c r="G1395" s="60"/>
      <c r="H1395" s="60"/>
      <c r="I1395" s="60"/>
      <c r="J1395" s="90"/>
      <c r="K1395" s="43"/>
      <c r="L1395" s="60"/>
      <c r="M1395" s="60"/>
      <c r="N1395" s="92"/>
    </row>
    <row r="1396">
      <c r="A1396" s="36"/>
      <c r="B1396" s="60"/>
      <c r="C1396" s="43"/>
      <c r="D1396" s="62"/>
      <c r="E1396" s="60"/>
      <c r="F1396" s="60"/>
      <c r="G1396" s="60"/>
      <c r="H1396" s="60"/>
      <c r="I1396" s="60"/>
      <c r="J1396" s="90"/>
      <c r="K1396" s="43"/>
      <c r="L1396" s="60"/>
      <c r="M1396" s="60"/>
      <c r="N1396" s="92"/>
    </row>
    <row r="1397">
      <c r="A1397" s="36"/>
      <c r="B1397" s="60"/>
      <c r="C1397" s="43"/>
      <c r="D1397" s="62"/>
      <c r="E1397" s="60"/>
      <c r="F1397" s="60"/>
      <c r="G1397" s="60"/>
      <c r="H1397" s="60"/>
      <c r="I1397" s="60"/>
      <c r="J1397" s="90"/>
      <c r="K1397" s="43"/>
      <c r="L1397" s="60"/>
      <c r="M1397" s="60"/>
      <c r="N1397" s="92"/>
    </row>
    <row r="1398">
      <c r="A1398" s="36"/>
      <c r="B1398" s="60"/>
      <c r="C1398" s="43"/>
      <c r="D1398" s="62"/>
      <c r="E1398" s="60"/>
      <c r="F1398" s="43"/>
      <c r="G1398" s="60"/>
      <c r="H1398" s="60"/>
      <c r="I1398" s="60"/>
      <c r="J1398" s="90"/>
      <c r="K1398" s="43"/>
      <c r="L1398" s="60"/>
      <c r="M1398" s="60"/>
      <c r="N1398" s="92"/>
    </row>
    <row r="1399">
      <c r="A1399" s="36"/>
      <c r="B1399" s="60"/>
      <c r="C1399" s="43"/>
      <c r="D1399" s="62"/>
      <c r="E1399" s="60"/>
      <c r="F1399" s="43"/>
      <c r="G1399" s="60"/>
      <c r="H1399" s="60"/>
      <c r="I1399" s="60"/>
      <c r="J1399" s="90"/>
      <c r="K1399" s="43"/>
      <c r="L1399" s="60"/>
      <c r="M1399" s="60"/>
      <c r="N1399" s="92"/>
    </row>
    <row r="1400">
      <c r="A1400" s="36"/>
      <c r="B1400" s="60"/>
      <c r="C1400" s="43"/>
      <c r="D1400" s="62"/>
      <c r="E1400" s="60"/>
      <c r="F1400" s="60"/>
      <c r="G1400" s="60"/>
      <c r="H1400" s="60"/>
      <c r="I1400" s="60"/>
      <c r="J1400" s="90"/>
      <c r="K1400" s="43"/>
      <c r="L1400" s="60"/>
      <c r="M1400" s="60"/>
      <c r="N1400" s="92"/>
    </row>
    <row r="1401">
      <c r="A1401" s="36"/>
      <c r="B1401" s="60"/>
      <c r="C1401" s="43"/>
      <c r="D1401" s="62"/>
      <c r="E1401" s="60"/>
      <c r="F1401" s="60"/>
      <c r="G1401" s="60"/>
      <c r="H1401" s="60"/>
      <c r="I1401" s="60"/>
      <c r="J1401" s="90"/>
      <c r="K1401" s="43"/>
      <c r="L1401" s="60"/>
      <c r="M1401" s="60"/>
      <c r="N1401" s="92"/>
    </row>
    <row r="1402">
      <c r="A1402" s="36"/>
      <c r="B1402" s="60"/>
      <c r="C1402" s="43"/>
      <c r="D1402" s="62"/>
      <c r="E1402" s="60"/>
      <c r="F1402" s="60"/>
      <c r="G1402" s="60"/>
      <c r="H1402" s="60"/>
      <c r="I1402" s="60"/>
      <c r="J1402" s="90"/>
      <c r="K1402" s="43"/>
      <c r="L1402" s="60"/>
      <c r="M1402" s="60"/>
      <c r="N1402" s="92"/>
    </row>
    <row r="1403">
      <c r="A1403" s="36"/>
      <c r="B1403" s="60"/>
      <c r="C1403" s="43"/>
      <c r="D1403" s="62"/>
      <c r="E1403" s="60"/>
      <c r="F1403" s="60"/>
      <c r="G1403" s="60"/>
      <c r="H1403" s="60"/>
      <c r="I1403" s="60"/>
      <c r="J1403" s="90"/>
      <c r="K1403" s="43"/>
      <c r="L1403" s="60"/>
      <c r="M1403" s="60"/>
      <c r="N1403" s="92"/>
    </row>
    <row r="1404">
      <c r="A1404" s="36"/>
      <c r="B1404" s="60"/>
      <c r="C1404" s="43"/>
      <c r="D1404" s="62"/>
      <c r="E1404" s="60"/>
      <c r="F1404" s="43"/>
      <c r="G1404" s="60"/>
      <c r="H1404" s="60"/>
      <c r="I1404" s="60"/>
      <c r="J1404" s="90"/>
      <c r="K1404" s="43"/>
      <c r="L1404" s="60"/>
      <c r="M1404" s="60"/>
      <c r="N1404" s="92"/>
    </row>
    <row r="1405">
      <c r="A1405" s="36"/>
      <c r="B1405" s="60"/>
      <c r="C1405" s="43"/>
      <c r="D1405" s="62"/>
      <c r="E1405" s="60"/>
      <c r="F1405" s="43"/>
      <c r="G1405" s="60"/>
      <c r="H1405" s="60"/>
      <c r="I1405" s="60"/>
      <c r="J1405" s="90"/>
      <c r="K1405" s="43"/>
      <c r="L1405" s="60"/>
      <c r="M1405" s="60"/>
      <c r="N1405" s="92"/>
    </row>
    <row r="1406">
      <c r="A1406" s="36"/>
      <c r="B1406" s="43"/>
      <c r="C1406" s="43"/>
      <c r="D1406" s="43"/>
      <c r="E1406" s="93"/>
      <c r="F1406" s="43"/>
      <c r="G1406" s="43"/>
      <c r="H1406" s="60"/>
      <c r="I1406" s="60"/>
      <c r="J1406" s="90"/>
      <c r="K1406" s="60"/>
      <c r="L1406" s="60"/>
      <c r="M1406" s="60"/>
      <c r="N1406" s="92"/>
    </row>
    <row r="1407">
      <c r="A1407" s="36"/>
      <c r="B1407" s="43"/>
      <c r="C1407" s="43"/>
      <c r="D1407" s="43"/>
      <c r="E1407" s="93"/>
      <c r="F1407" s="43"/>
      <c r="G1407" s="60"/>
      <c r="H1407" s="60"/>
      <c r="I1407" s="60"/>
      <c r="J1407" s="90"/>
      <c r="K1407" s="60"/>
      <c r="L1407" s="60"/>
      <c r="M1407" s="60"/>
      <c r="N1407" s="77"/>
    </row>
    <row r="1408">
      <c r="A1408" s="36"/>
      <c r="B1408" s="43"/>
      <c r="C1408" s="43"/>
      <c r="D1408" s="43"/>
      <c r="E1408" s="93"/>
      <c r="F1408" s="43"/>
      <c r="G1408" s="43"/>
      <c r="H1408" s="60"/>
      <c r="I1408" s="60"/>
      <c r="J1408" s="90"/>
      <c r="K1408" s="60"/>
      <c r="L1408" s="60"/>
      <c r="M1408" s="60"/>
      <c r="N1408" s="77"/>
    </row>
    <row r="1409">
      <c r="A1409" s="36"/>
      <c r="B1409" s="43"/>
      <c r="C1409" s="43"/>
      <c r="D1409" s="43"/>
      <c r="E1409" s="93"/>
      <c r="F1409" s="43"/>
      <c r="G1409" s="43"/>
      <c r="H1409" s="60"/>
      <c r="I1409" s="60"/>
      <c r="J1409" s="90"/>
      <c r="K1409" s="60"/>
      <c r="L1409" s="60"/>
      <c r="M1409" s="60"/>
      <c r="N1409" s="78"/>
    </row>
    <row r="1410">
      <c r="A1410" s="43"/>
      <c r="B1410" s="43"/>
      <c r="C1410" s="43"/>
      <c r="D1410" s="43"/>
      <c r="E1410" s="93"/>
      <c r="F1410" s="43"/>
      <c r="G1410" s="43"/>
      <c r="H1410" s="60"/>
      <c r="I1410" s="60"/>
      <c r="J1410" s="90"/>
      <c r="K1410" s="60"/>
      <c r="L1410" s="60"/>
      <c r="M1410" s="60"/>
      <c r="N1410" s="77"/>
    </row>
    <row r="1411">
      <c r="A1411" s="43"/>
      <c r="B1411" s="43"/>
      <c r="C1411" s="43"/>
      <c r="D1411" s="43"/>
      <c r="E1411" s="93"/>
      <c r="F1411" s="43"/>
      <c r="G1411" s="43"/>
      <c r="H1411" s="60"/>
      <c r="I1411" s="60"/>
      <c r="J1411" s="90"/>
      <c r="K1411" s="60"/>
      <c r="L1411" s="60"/>
      <c r="M1411" s="60"/>
      <c r="N1411" s="77"/>
    </row>
    <row r="1412">
      <c r="A1412" s="43"/>
      <c r="B1412" s="43"/>
      <c r="C1412" s="43"/>
      <c r="D1412" s="43"/>
      <c r="E1412" s="93"/>
      <c r="F1412" s="43"/>
      <c r="G1412" s="43"/>
      <c r="H1412" s="60"/>
      <c r="I1412" s="60"/>
      <c r="J1412" s="90"/>
      <c r="K1412" s="60"/>
      <c r="L1412" s="60"/>
      <c r="M1412" s="60"/>
      <c r="N1412" s="77"/>
    </row>
    <row r="1413">
      <c r="A1413" s="43"/>
      <c r="B1413" s="43"/>
      <c r="C1413" s="43"/>
      <c r="D1413" s="43"/>
      <c r="E1413" s="93"/>
      <c r="F1413" s="43"/>
      <c r="G1413" s="43"/>
      <c r="H1413" s="60"/>
      <c r="I1413" s="60"/>
      <c r="J1413" s="90"/>
      <c r="K1413" s="60"/>
      <c r="L1413" s="60"/>
      <c r="M1413" s="60"/>
      <c r="N1413" s="77"/>
    </row>
    <row r="1414">
      <c r="A1414" s="43"/>
      <c r="B1414" s="43"/>
      <c r="C1414" s="43"/>
      <c r="D1414" s="43"/>
      <c r="E1414" s="93"/>
      <c r="F1414" s="43"/>
      <c r="G1414" s="43"/>
      <c r="H1414" s="60"/>
      <c r="I1414" s="60"/>
      <c r="J1414" s="90"/>
      <c r="K1414" s="60"/>
      <c r="L1414" s="60"/>
      <c r="M1414" s="60"/>
      <c r="N1414" s="77"/>
    </row>
    <row r="1415">
      <c r="A1415" s="43"/>
      <c r="B1415" s="43"/>
      <c r="C1415" s="43"/>
      <c r="D1415" s="43"/>
      <c r="E1415" s="93"/>
      <c r="F1415" s="43"/>
      <c r="G1415" s="43"/>
      <c r="H1415" s="60"/>
      <c r="I1415" s="60"/>
      <c r="J1415" s="90"/>
      <c r="K1415" s="60"/>
      <c r="L1415" s="60"/>
      <c r="M1415" s="60"/>
      <c r="N1415" s="78"/>
    </row>
    <row r="1416">
      <c r="A1416" s="43"/>
      <c r="B1416" s="43"/>
      <c r="C1416" s="43"/>
      <c r="D1416" s="43"/>
      <c r="E1416" s="93"/>
      <c r="F1416" s="43"/>
      <c r="G1416" s="43"/>
      <c r="H1416" s="60"/>
      <c r="I1416" s="60"/>
      <c r="J1416" s="90"/>
      <c r="K1416" s="60"/>
      <c r="L1416" s="60"/>
      <c r="M1416" s="60"/>
      <c r="N1416" s="77"/>
    </row>
    <row r="1417">
      <c r="A1417" s="43"/>
      <c r="B1417" s="43"/>
      <c r="C1417" s="43"/>
      <c r="D1417" s="43"/>
      <c r="E1417" s="93"/>
      <c r="F1417" s="43"/>
      <c r="G1417" s="43"/>
      <c r="H1417" s="60"/>
      <c r="I1417" s="60"/>
      <c r="J1417" s="90"/>
      <c r="K1417" s="60"/>
      <c r="L1417" s="60"/>
      <c r="M1417" s="60"/>
      <c r="N1417" s="78"/>
    </row>
    <row r="1418">
      <c r="A1418" s="43"/>
      <c r="B1418" s="43"/>
      <c r="C1418" s="43"/>
      <c r="D1418" s="43"/>
      <c r="E1418" s="93"/>
      <c r="F1418" s="43"/>
      <c r="G1418" s="43"/>
      <c r="H1418" s="60"/>
      <c r="I1418" s="60"/>
      <c r="J1418" s="90"/>
      <c r="K1418" s="60"/>
      <c r="L1418" s="60"/>
      <c r="M1418" s="60"/>
      <c r="N1418" s="77"/>
    </row>
    <row r="1419">
      <c r="A1419" s="43"/>
      <c r="B1419" s="43"/>
      <c r="C1419" s="43"/>
      <c r="D1419" s="43"/>
      <c r="E1419" s="93"/>
      <c r="F1419" s="43"/>
      <c r="G1419" s="43"/>
      <c r="H1419" s="60"/>
      <c r="I1419" s="60"/>
      <c r="J1419" s="90"/>
      <c r="K1419" s="60"/>
      <c r="L1419" s="60"/>
      <c r="M1419" s="60"/>
      <c r="N1419" s="77"/>
    </row>
    <row r="1420">
      <c r="A1420" s="43"/>
      <c r="B1420" s="43"/>
      <c r="C1420" s="43"/>
      <c r="D1420" s="43"/>
      <c r="E1420" s="93"/>
      <c r="F1420" s="43"/>
      <c r="G1420" s="43"/>
      <c r="H1420" s="60"/>
      <c r="I1420" s="60"/>
      <c r="J1420" s="90"/>
      <c r="K1420" s="60"/>
      <c r="L1420" s="60"/>
      <c r="M1420" s="60"/>
      <c r="N1420" s="78"/>
    </row>
    <row r="1421">
      <c r="A1421" s="43"/>
      <c r="B1421" s="43"/>
      <c r="C1421" s="43"/>
      <c r="D1421" s="43"/>
      <c r="E1421" s="93"/>
      <c r="F1421" s="43"/>
      <c r="G1421" s="43"/>
      <c r="H1421" s="60"/>
      <c r="I1421" s="60"/>
      <c r="J1421" s="90"/>
      <c r="K1421" s="60"/>
      <c r="L1421" s="60"/>
      <c r="M1421" s="60"/>
      <c r="N1421" s="77"/>
    </row>
    <row r="1422">
      <c r="A1422" s="43"/>
      <c r="B1422" s="43"/>
      <c r="C1422" s="43"/>
      <c r="D1422" s="43"/>
      <c r="E1422" s="93"/>
      <c r="F1422" s="43"/>
      <c r="G1422" s="43"/>
      <c r="H1422" s="60"/>
      <c r="I1422" s="60"/>
      <c r="J1422" s="90"/>
      <c r="K1422" s="60"/>
      <c r="L1422" s="60"/>
      <c r="M1422" s="60"/>
      <c r="N1422" s="77"/>
    </row>
    <row r="1423">
      <c r="A1423" s="43"/>
      <c r="B1423" s="43"/>
      <c r="C1423" s="43"/>
      <c r="D1423" s="43"/>
      <c r="E1423" s="93"/>
      <c r="F1423" s="43"/>
      <c r="G1423" s="43"/>
      <c r="H1423" s="60"/>
      <c r="I1423" s="60"/>
      <c r="J1423" s="90"/>
      <c r="K1423" s="60"/>
      <c r="L1423" s="60"/>
      <c r="M1423" s="60"/>
      <c r="N1423" s="78"/>
    </row>
    <row r="1424">
      <c r="A1424" s="43"/>
      <c r="B1424" s="43"/>
      <c r="C1424" s="43"/>
      <c r="D1424" s="43"/>
      <c r="E1424" s="93"/>
      <c r="F1424" s="43"/>
      <c r="G1424" s="43"/>
      <c r="H1424" s="60"/>
      <c r="I1424" s="60"/>
      <c r="J1424" s="90"/>
      <c r="K1424" s="60"/>
      <c r="L1424" s="60"/>
      <c r="M1424" s="60"/>
      <c r="N1424" s="77"/>
    </row>
    <row r="1425">
      <c r="A1425" s="43"/>
      <c r="B1425" s="43"/>
      <c r="C1425" s="43"/>
      <c r="D1425" s="43"/>
      <c r="E1425" s="93"/>
      <c r="F1425" s="43"/>
      <c r="G1425" s="60"/>
      <c r="H1425" s="60"/>
      <c r="I1425" s="60"/>
      <c r="J1425" s="90"/>
      <c r="K1425" s="60"/>
      <c r="L1425" s="60"/>
      <c r="M1425" s="60"/>
      <c r="N1425" s="77"/>
    </row>
    <row r="1426">
      <c r="A1426" s="43"/>
      <c r="B1426" s="43"/>
      <c r="C1426" s="43"/>
      <c r="D1426" s="43"/>
      <c r="E1426" s="93"/>
      <c r="F1426" s="43"/>
      <c r="G1426" s="43"/>
      <c r="H1426" s="60"/>
      <c r="I1426" s="60"/>
      <c r="J1426" s="90"/>
      <c r="K1426" s="60"/>
      <c r="L1426" s="60"/>
      <c r="M1426" s="60"/>
      <c r="N1426" s="77"/>
    </row>
    <row r="1427">
      <c r="A1427" s="43"/>
      <c r="B1427" s="43"/>
      <c r="C1427" s="43"/>
      <c r="D1427" s="43"/>
      <c r="E1427" s="93"/>
      <c r="F1427" s="43"/>
      <c r="G1427" s="43"/>
      <c r="H1427" s="60"/>
      <c r="I1427" s="60"/>
      <c r="J1427" s="90"/>
      <c r="K1427" s="60"/>
      <c r="L1427" s="60"/>
      <c r="M1427" s="60"/>
      <c r="N1427" s="77"/>
    </row>
    <row r="1428">
      <c r="A1428" s="43"/>
      <c r="B1428" s="43"/>
      <c r="C1428" s="43"/>
      <c r="D1428" s="43"/>
      <c r="E1428" s="93"/>
      <c r="F1428" s="43"/>
      <c r="G1428" s="60"/>
      <c r="H1428" s="60"/>
      <c r="I1428" s="60"/>
      <c r="J1428" s="90"/>
      <c r="K1428" s="60"/>
      <c r="L1428" s="60"/>
      <c r="M1428" s="60"/>
      <c r="N1428" s="78"/>
    </row>
    <row r="1429">
      <c r="A1429" s="43"/>
      <c r="B1429" s="43"/>
      <c r="C1429" s="43"/>
      <c r="D1429" s="43"/>
      <c r="E1429" s="93"/>
      <c r="F1429" s="43"/>
      <c r="G1429" s="43"/>
      <c r="H1429" s="60"/>
      <c r="I1429" s="60"/>
      <c r="J1429" s="90"/>
      <c r="K1429" s="60"/>
      <c r="L1429" s="60"/>
      <c r="M1429" s="60"/>
      <c r="N1429" s="77"/>
    </row>
    <row r="1430">
      <c r="A1430" s="43"/>
      <c r="B1430" s="43"/>
      <c r="C1430" s="43"/>
      <c r="D1430" s="43"/>
      <c r="E1430" s="93"/>
      <c r="F1430" s="43"/>
      <c r="G1430" s="43"/>
      <c r="H1430" s="60"/>
      <c r="I1430" s="60"/>
      <c r="J1430" s="90"/>
      <c r="K1430" s="60"/>
      <c r="L1430" s="60"/>
      <c r="M1430" s="60"/>
      <c r="N1430" s="77"/>
    </row>
    <row r="1431">
      <c r="A1431" s="43"/>
      <c r="B1431" s="43"/>
      <c r="C1431" s="43"/>
      <c r="D1431" s="43"/>
      <c r="E1431" s="93"/>
      <c r="F1431" s="43"/>
      <c r="G1431" s="60"/>
      <c r="H1431" s="60"/>
      <c r="I1431" s="60"/>
      <c r="J1431" s="90"/>
      <c r="K1431" s="60"/>
      <c r="L1431" s="60"/>
      <c r="M1431" s="60"/>
      <c r="N1431" s="78"/>
    </row>
    <row r="1432">
      <c r="A1432" s="43"/>
      <c r="B1432" s="43"/>
      <c r="C1432" s="43"/>
      <c r="D1432" s="43"/>
      <c r="E1432" s="93"/>
      <c r="F1432" s="43"/>
      <c r="G1432" s="43"/>
      <c r="H1432" s="60"/>
      <c r="I1432" s="60"/>
      <c r="J1432" s="90"/>
      <c r="K1432" s="60"/>
      <c r="L1432" s="60"/>
      <c r="M1432" s="60"/>
      <c r="N1432" s="77"/>
    </row>
    <row r="1433">
      <c r="A1433" s="43"/>
      <c r="B1433" s="43"/>
      <c r="C1433" s="43"/>
      <c r="D1433" s="43"/>
      <c r="E1433" s="93"/>
      <c r="F1433" s="43"/>
      <c r="G1433" s="43"/>
      <c r="H1433" s="60"/>
      <c r="I1433" s="60"/>
      <c r="J1433" s="90"/>
      <c r="K1433" s="60"/>
      <c r="L1433" s="60"/>
      <c r="M1433" s="60"/>
      <c r="N1433" s="77"/>
    </row>
    <row r="1434">
      <c r="A1434" s="43"/>
      <c r="B1434" s="43"/>
      <c r="C1434" s="43"/>
      <c r="D1434" s="43"/>
      <c r="E1434" s="93"/>
      <c r="F1434" s="43"/>
      <c r="G1434" s="43"/>
      <c r="H1434" s="60"/>
      <c r="I1434" s="60"/>
      <c r="J1434" s="90"/>
      <c r="K1434" s="60"/>
      <c r="L1434" s="60"/>
      <c r="M1434" s="60"/>
      <c r="N1434" s="78"/>
    </row>
    <row r="1435">
      <c r="A1435" s="43"/>
      <c r="B1435" s="43"/>
      <c r="C1435" s="43"/>
      <c r="D1435" s="43"/>
      <c r="E1435" s="93"/>
      <c r="F1435" s="43"/>
      <c r="G1435" s="43"/>
      <c r="H1435" s="60"/>
      <c r="I1435" s="60"/>
      <c r="J1435" s="90"/>
      <c r="K1435" s="60"/>
      <c r="L1435" s="60"/>
      <c r="M1435" s="60"/>
      <c r="N1435" s="77"/>
    </row>
    <row r="1436">
      <c r="A1436" s="43"/>
      <c r="B1436" s="43"/>
      <c r="C1436" s="43"/>
      <c r="D1436" s="43"/>
      <c r="E1436" s="93"/>
      <c r="F1436" s="43"/>
      <c r="G1436" s="43"/>
      <c r="H1436" s="60"/>
      <c r="I1436" s="60"/>
      <c r="J1436" s="90"/>
      <c r="K1436" s="60"/>
      <c r="L1436" s="60"/>
      <c r="M1436" s="60"/>
      <c r="N1436" s="78"/>
    </row>
    <row r="1437">
      <c r="A1437" s="43"/>
      <c r="B1437" s="43"/>
      <c r="C1437" s="43"/>
      <c r="D1437" s="43"/>
      <c r="E1437" s="93"/>
      <c r="F1437" s="43"/>
      <c r="G1437" s="60"/>
      <c r="H1437" s="60"/>
      <c r="I1437" s="60"/>
      <c r="J1437" s="90"/>
      <c r="K1437" s="60"/>
      <c r="L1437" s="60"/>
      <c r="M1437" s="60"/>
      <c r="N1437" s="77"/>
    </row>
    <row r="1438">
      <c r="A1438" s="43"/>
      <c r="B1438" s="43"/>
      <c r="C1438" s="43"/>
      <c r="D1438" s="43"/>
      <c r="E1438" s="93"/>
      <c r="F1438" s="43"/>
      <c r="G1438" s="43"/>
      <c r="H1438" s="60"/>
      <c r="I1438" s="60"/>
      <c r="J1438" s="90"/>
      <c r="K1438" s="60"/>
      <c r="L1438" s="60"/>
      <c r="M1438" s="60"/>
      <c r="N1438" s="77"/>
    </row>
    <row r="1439">
      <c r="A1439" s="43"/>
      <c r="B1439" s="43"/>
      <c r="C1439" s="43"/>
      <c r="D1439" s="43"/>
      <c r="E1439" s="93"/>
      <c r="F1439" s="43"/>
      <c r="G1439" s="60"/>
      <c r="H1439" s="60"/>
      <c r="I1439" s="60"/>
      <c r="J1439" s="90"/>
      <c r="K1439" s="60"/>
      <c r="L1439" s="60"/>
      <c r="M1439" s="60"/>
      <c r="N1439" s="77"/>
    </row>
    <row r="1440">
      <c r="A1440" s="43"/>
      <c r="B1440" s="43"/>
      <c r="C1440" s="43"/>
      <c r="D1440" s="43"/>
      <c r="E1440" s="93"/>
      <c r="F1440" s="43"/>
      <c r="G1440" s="60"/>
      <c r="H1440" s="60"/>
      <c r="I1440" s="60"/>
      <c r="J1440" s="90"/>
      <c r="K1440" s="60"/>
      <c r="L1440" s="60"/>
      <c r="M1440" s="60"/>
      <c r="N1440" s="77"/>
    </row>
    <row r="1441">
      <c r="A1441" s="43"/>
      <c r="B1441" s="43"/>
      <c r="C1441" s="43"/>
      <c r="D1441" s="43"/>
      <c r="E1441" s="93"/>
      <c r="F1441" s="43"/>
      <c r="G1441" s="60"/>
      <c r="H1441" s="60"/>
      <c r="I1441" s="60"/>
      <c r="J1441" s="90"/>
      <c r="K1441" s="60"/>
      <c r="L1441" s="60"/>
      <c r="M1441" s="60"/>
      <c r="N1441" s="77"/>
    </row>
    <row r="1442">
      <c r="A1442" s="43"/>
      <c r="B1442" s="43"/>
      <c r="C1442" s="43"/>
      <c r="D1442" s="43"/>
      <c r="E1442" s="93"/>
      <c r="F1442" s="43"/>
      <c r="G1442" s="43"/>
      <c r="H1442" s="60"/>
      <c r="I1442" s="60"/>
      <c r="J1442" s="90"/>
      <c r="K1442" s="60"/>
      <c r="L1442" s="60"/>
      <c r="M1442" s="60"/>
      <c r="N1442" s="77"/>
    </row>
    <row r="1443">
      <c r="A1443" s="43"/>
      <c r="B1443" s="43"/>
      <c r="C1443" s="43"/>
      <c r="D1443" s="43"/>
      <c r="E1443" s="93"/>
      <c r="F1443" s="43"/>
      <c r="G1443" s="43"/>
      <c r="H1443" s="60"/>
      <c r="I1443" s="60"/>
      <c r="J1443" s="90"/>
      <c r="K1443" s="60"/>
      <c r="L1443" s="60"/>
      <c r="M1443" s="60"/>
      <c r="N1443" s="78"/>
    </row>
    <row r="1444">
      <c r="A1444" s="43"/>
      <c r="B1444" s="43"/>
      <c r="C1444" s="43"/>
      <c r="D1444" s="43"/>
      <c r="E1444" s="93"/>
      <c r="F1444" s="43"/>
      <c r="G1444" s="60"/>
      <c r="H1444" s="60"/>
      <c r="I1444" s="60"/>
      <c r="J1444" s="90"/>
      <c r="K1444" s="60"/>
      <c r="L1444" s="60"/>
      <c r="M1444" s="60"/>
      <c r="N1444" s="78"/>
    </row>
    <row r="1445">
      <c r="A1445" s="43"/>
      <c r="B1445" s="43"/>
      <c r="C1445" s="43"/>
      <c r="D1445" s="43"/>
      <c r="E1445" s="93"/>
      <c r="F1445" s="43"/>
      <c r="G1445" s="60"/>
      <c r="H1445" s="60"/>
      <c r="I1445" s="60"/>
      <c r="J1445" s="90"/>
      <c r="K1445" s="60"/>
      <c r="L1445" s="60"/>
      <c r="M1445" s="60"/>
      <c r="N1445" s="77"/>
    </row>
    <row r="1446">
      <c r="A1446" s="43"/>
      <c r="B1446" s="43"/>
      <c r="C1446" s="43"/>
      <c r="D1446" s="43"/>
      <c r="E1446" s="93"/>
      <c r="F1446" s="43"/>
      <c r="G1446" s="43"/>
      <c r="H1446" s="60"/>
      <c r="I1446" s="60"/>
      <c r="J1446" s="90"/>
      <c r="K1446" s="60"/>
      <c r="L1446" s="60"/>
      <c r="M1446" s="60"/>
      <c r="N1446" s="77"/>
    </row>
    <row r="1447">
      <c r="A1447" s="43"/>
      <c r="B1447" s="43"/>
      <c r="C1447" s="43"/>
      <c r="D1447" s="43"/>
      <c r="E1447" s="93"/>
      <c r="F1447" s="43"/>
      <c r="G1447" s="43"/>
      <c r="H1447" s="60"/>
      <c r="I1447" s="60"/>
      <c r="J1447" s="77"/>
      <c r="K1447" s="60"/>
      <c r="L1447" s="60"/>
      <c r="M1447" s="60"/>
      <c r="N1447" s="77"/>
    </row>
    <row r="1448">
      <c r="A1448" s="43"/>
      <c r="B1448" s="43"/>
      <c r="C1448" s="43"/>
      <c r="D1448" s="43"/>
      <c r="E1448" s="93"/>
      <c r="F1448" s="43"/>
      <c r="G1448" s="43"/>
      <c r="H1448" s="60"/>
      <c r="I1448" s="60"/>
      <c r="J1448" s="77"/>
      <c r="K1448" s="60"/>
      <c r="L1448" s="60"/>
      <c r="M1448" s="60"/>
      <c r="N1448" s="78"/>
    </row>
    <row r="1449">
      <c r="A1449" s="43"/>
      <c r="B1449" s="43"/>
      <c r="C1449" s="43"/>
      <c r="D1449" s="43"/>
      <c r="E1449" s="93"/>
      <c r="F1449" s="43"/>
      <c r="G1449" s="43"/>
      <c r="H1449" s="60"/>
      <c r="I1449" s="60"/>
      <c r="J1449" s="77"/>
      <c r="K1449" s="60"/>
      <c r="L1449" s="60"/>
      <c r="M1449" s="60"/>
      <c r="N1449" s="77"/>
    </row>
    <row r="1450">
      <c r="A1450" s="43"/>
      <c r="B1450" s="43"/>
      <c r="C1450" s="43"/>
      <c r="D1450" s="43"/>
      <c r="E1450" s="93"/>
      <c r="F1450" s="43"/>
      <c r="G1450" s="43"/>
      <c r="H1450" s="60"/>
      <c r="I1450" s="60"/>
      <c r="J1450" s="77"/>
      <c r="K1450" s="60"/>
      <c r="L1450" s="60"/>
      <c r="M1450" s="60"/>
      <c r="N1450" s="77"/>
    </row>
    <row r="1451">
      <c r="A1451" s="43"/>
      <c r="B1451" s="43"/>
      <c r="C1451" s="43"/>
      <c r="D1451" s="43"/>
      <c r="E1451" s="93"/>
      <c r="F1451" s="43"/>
      <c r="G1451" s="43"/>
      <c r="H1451" s="60"/>
      <c r="I1451" s="60"/>
      <c r="J1451" s="78"/>
      <c r="K1451" s="60"/>
      <c r="L1451" s="60"/>
      <c r="M1451" s="60"/>
      <c r="N1451" s="77"/>
    </row>
    <row r="1452">
      <c r="A1452" s="43"/>
      <c r="B1452" s="43"/>
      <c r="C1452" s="43"/>
      <c r="D1452" s="43"/>
      <c r="E1452" s="93"/>
      <c r="F1452" s="43"/>
      <c r="G1452" s="43"/>
      <c r="H1452" s="60"/>
      <c r="I1452" s="60"/>
      <c r="J1452" s="77"/>
      <c r="K1452" s="60"/>
      <c r="L1452" s="60"/>
      <c r="M1452" s="60"/>
      <c r="N1452" s="77"/>
    </row>
    <row r="1453">
      <c r="A1453" s="43"/>
      <c r="B1453" s="43"/>
      <c r="C1453" s="43"/>
      <c r="D1453" s="43"/>
      <c r="E1453" s="93"/>
      <c r="F1453" s="43"/>
      <c r="G1453" s="60"/>
      <c r="H1453" s="60"/>
      <c r="I1453" s="60"/>
      <c r="J1453" s="77"/>
      <c r="K1453" s="60"/>
      <c r="L1453" s="60"/>
      <c r="M1453" s="60"/>
      <c r="N1453" s="77"/>
    </row>
    <row r="1454">
      <c r="A1454" s="43"/>
      <c r="B1454" s="43"/>
      <c r="C1454" s="43"/>
      <c r="D1454" s="43"/>
      <c r="E1454" s="93"/>
      <c r="F1454" s="43"/>
      <c r="G1454" s="43"/>
      <c r="H1454" s="60"/>
      <c r="I1454" s="60"/>
      <c r="J1454" s="77"/>
      <c r="K1454" s="60"/>
      <c r="L1454" s="60"/>
      <c r="M1454" s="60"/>
      <c r="N1454" s="77"/>
    </row>
    <row r="1455">
      <c r="A1455" s="43"/>
      <c r="B1455" s="43"/>
      <c r="C1455" s="43"/>
      <c r="D1455" s="43"/>
      <c r="E1455" s="93"/>
      <c r="F1455" s="43"/>
      <c r="G1455" s="43"/>
      <c r="H1455" s="60"/>
      <c r="I1455" s="60"/>
      <c r="J1455" s="77"/>
      <c r="K1455" s="60"/>
      <c r="L1455" s="60"/>
      <c r="M1455" s="60"/>
      <c r="N1455" s="78"/>
    </row>
    <row r="1456">
      <c r="A1456" s="43"/>
      <c r="B1456" s="43"/>
      <c r="C1456" s="43"/>
      <c r="D1456" s="43"/>
      <c r="E1456" s="93"/>
      <c r="F1456" s="43"/>
      <c r="G1456" s="43"/>
      <c r="H1456" s="60"/>
      <c r="I1456" s="60"/>
      <c r="J1456" s="77"/>
      <c r="K1456" s="60"/>
      <c r="L1456" s="60"/>
      <c r="M1456" s="60"/>
      <c r="N1456" s="77"/>
    </row>
    <row r="1457">
      <c r="A1457" s="43"/>
      <c r="B1457" s="43"/>
      <c r="C1457" s="43"/>
      <c r="D1457" s="43"/>
      <c r="E1457" s="93"/>
      <c r="F1457" s="43"/>
      <c r="G1457" s="60"/>
      <c r="H1457" s="60"/>
      <c r="I1457" s="60"/>
      <c r="J1457" s="77"/>
      <c r="K1457" s="60"/>
      <c r="L1457" s="60"/>
      <c r="M1457" s="60"/>
      <c r="N1457" s="78"/>
    </row>
    <row r="1458">
      <c r="A1458" s="43"/>
      <c r="B1458" s="43"/>
      <c r="C1458" s="43"/>
      <c r="D1458" s="43"/>
      <c r="E1458" s="93"/>
      <c r="F1458" s="43"/>
      <c r="G1458" s="60"/>
      <c r="H1458" s="60"/>
      <c r="I1458" s="60"/>
      <c r="J1458" s="77"/>
      <c r="K1458" s="60"/>
      <c r="L1458" s="60"/>
      <c r="M1458" s="60"/>
      <c r="N1458" s="78"/>
    </row>
    <row r="1459">
      <c r="A1459" s="43"/>
      <c r="B1459" s="43"/>
      <c r="C1459" s="43"/>
      <c r="D1459" s="43"/>
      <c r="E1459" s="93"/>
      <c r="F1459" s="43"/>
      <c r="G1459" s="43"/>
      <c r="H1459" s="60"/>
      <c r="I1459" s="60"/>
      <c r="J1459" s="77"/>
      <c r="K1459" s="60"/>
      <c r="L1459" s="60"/>
      <c r="M1459" s="60"/>
      <c r="N1459" s="77"/>
    </row>
    <row r="1460">
      <c r="A1460" s="43"/>
      <c r="B1460" s="43"/>
      <c r="C1460" s="43"/>
      <c r="D1460" s="43"/>
      <c r="E1460" s="93"/>
      <c r="F1460" s="43"/>
      <c r="G1460" s="43"/>
      <c r="H1460" s="60"/>
      <c r="I1460" s="60"/>
      <c r="J1460" s="77"/>
      <c r="K1460" s="60"/>
      <c r="L1460" s="60"/>
      <c r="M1460" s="60"/>
      <c r="N1460" s="77"/>
    </row>
    <row r="1461">
      <c r="A1461" s="43"/>
      <c r="B1461" s="43"/>
      <c r="C1461" s="43"/>
      <c r="D1461" s="43"/>
      <c r="E1461" s="93"/>
      <c r="F1461" s="43"/>
      <c r="G1461" s="60"/>
      <c r="H1461" s="60"/>
      <c r="I1461" s="60"/>
      <c r="J1461" s="77"/>
      <c r="K1461" s="60"/>
      <c r="L1461" s="60"/>
      <c r="M1461" s="60"/>
      <c r="N1461" s="77"/>
    </row>
    <row r="1462">
      <c r="A1462" s="43"/>
      <c r="B1462" s="43"/>
      <c r="C1462" s="43"/>
      <c r="D1462" s="43"/>
      <c r="E1462" s="93"/>
      <c r="F1462" s="43"/>
      <c r="G1462" s="43"/>
      <c r="H1462" s="60"/>
      <c r="I1462" s="60"/>
      <c r="J1462" s="77"/>
      <c r="K1462" s="60"/>
      <c r="L1462" s="60"/>
      <c r="M1462" s="60"/>
      <c r="N1462" s="77"/>
    </row>
    <row r="1463">
      <c r="A1463" s="43"/>
      <c r="B1463" s="43"/>
      <c r="C1463" s="43"/>
      <c r="D1463" s="43"/>
      <c r="E1463" s="93"/>
      <c r="F1463" s="43"/>
      <c r="G1463" s="43"/>
      <c r="H1463" s="60"/>
      <c r="I1463" s="60"/>
      <c r="J1463" s="77"/>
      <c r="K1463" s="60"/>
      <c r="L1463" s="60"/>
      <c r="M1463" s="60"/>
      <c r="N1463" s="77"/>
    </row>
    <row r="1464">
      <c r="A1464" s="43"/>
      <c r="B1464" s="43"/>
      <c r="C1464" s="43"/>
      <c r="D1464" s="43"/>
      <c r="E1464" s="93"/>
      <c r="F1464" s="43"/>
      <c r="G1464" s="43"/>
      <c r="H1464" s="60"/>
      <c r="I1464" s="60"/>
      <c r="J1464" s="77"/>
      <c r="K1464" s="60"/>
      <c r="L1464" s="60"/>
      <c r="M1464" s="60"/>
      <c r="N1464" s="77"/>
    </row>
    <row r="1465">
      <c r="A1465" s="43"/>
      <c r="B1465" s="43"/>
      <c r="C1465" s="43"/>
      <c r="D1465" s="43"/>
      <c r="E1465" s="93"/>
      <c r="F1465" s="43"/>
      <c r="G1465" s="60"/>
      <c r="H1465" s="60"/>
      <c r="I1465" s="60"/>
      <c r="J1465" s="77"/>
      <c r="K1465" s="60"/>
      <c r="L1465" s="60"/>
      <c r="M1465" s="60"/>
      <c r="N1465" s="78"/>
    </row>
    <row r="1466">
      <c r="A1466" s="43"/>
      <c r="B1466" s="43"/>
      <c r="C1466" s="43"/>
      <c r="D1466" s="43"/>
      <c r="E1466" s="93"/>
      <c r="F1466" s="43"/>
      <c r="G1466" s="43"/>
      <c r="H1466" s="60"/>
      <c r="I1466" s="60"/>
      <c r="J1466" s="78"/>
      <c r="K1466" s="60"/>
      <c r="L1466" s="60"/>
      <c r="M1466" s="60"/>
      <c r="N1466" s="77"/>
    </row>
    <row r="1467">
      <c r="A1467" s="43"/>
      <c r="B1467" s="43"/>
      <c r="C1467" s="43"/>
      <c r="D1467" s="43"/>
      <c r="E1467" s="93"/>
      <c r="F1467" s="43"/>
      <c r="G1467" s="43"/>
      <c r="H1467" s="60"/>
      <c r="I1467" s="60"/>
      <c r="J1467" s="77"/>
      <c r="K1467" s="60"/>
      <c r="L1467" s="60"/>
      <c r="M1467" s="60"/>
      <c r="N1467" s="78"/>
    </row>
    <row r="1468">
      <c r="A1468" s="43"/>
      <c r="B1468" s="43"/>
      <c r="C1468" s="43"/>
      <c r="D1468" s="43"/>
      <c r="E1468" s="93"/>
      <c r="F1468" s="43"/>
      <c r="G1468" s="43"/>
      <c r="H1468" s="60"/>
      <c r="I1468" s="60"/>
      <c r="J1468" s="77"/>
      <c r="K1468" s="60"/>
      <c r="L1468" s="60"/>
      <c r="M1468" s="60"/>
      <c r="N1468" s="77"/>
    </row>
    <row r="1469">
      <c r="A1469" s="43"/>
      <c r="B1469" s="43"/>
      <c r="C1469" s="43"/>
      <c r="D1469" s="43"/>
      <c r="E1469" s="93"/>
      <c r="F1469" s="43"/>
      <c r="G1469" s="43"/>
      <c r="H1469" s="60"/>
      <c r="I1469" s="60"/>
      <c r="J1469" s="78"/>
      <c r="K1469" s="60"/>
      <c r="L1469" s="60"/>
      <c r="M1469" s="60"/>
      <c r="N1469" s="77"/>
    </row>
    <row r="1470">
      <c r="A1470" s="43"/>
      <c r="B1470" s="43"/>
      <c r="C1470" s="43"/>
      <c r="D1470" s="43"/>
      <c r="E1470" s="93"/>
      <c r="F1470" s="43"/>
      <c r="G1470" s="43"/>
      <c r="H1470" s="60"/>
      <c r="I1470" s="60"/>
      <c r="J1470" s="77"/>
      <c r="K1470" s="60"/>
      <c r="L1470" s="60"/>
      <c r="M1470" s="60"/>
      <c r="N1470" s="78"/>
    </row>
    <row r="1471">
      <c r="A1471" s="43"/>
      <c r="B1471" s="43"/>
      <c r="C1471" s="43"/>
      <c r="D1471" s="43"/>
      <c r="E1471" s="93"/>
      <c r="F1471" s="43"/>
      <c r="G1471" s="43"/>
      <c r="H1471" s="60"/>
      <c r="I1471" s="60"/>
      <c r="J1471" s="77"/>
      <c r="K1471" s="60"/>
      <c r="L1471" s="60"/>
      <c r="M1471" s="60"/>
      <c r="N1471" s="78"/>
    </row>
    <row r="1472">
      <c r="A1472" s="43"/>
      <c r="B1472" s="43"/>
      <c r="C1472" s="43"/>
      <c r="D1472" s="43"/>
      <c r="E1472" s="93"/>
      <c r="F1472" s="43"/>
      <c r="G1472" s="43"/>
      <c r="H1472" s="60"/>
      <c r="I1472" s="60"/>
      <c r="J1472" s="77"/>
      <c r="K1472" s="60"/>
      <c r="L1472" s="60"/>
      <c r="M1472" s="60"/>
      <c r="N1472" s="77"/>
    </row>
    <row r="1473">
      <c r="A1473" s="43"/>
      <c r="B1473" s="43"/>
      <c r="C1473" s="43"/>
      <c r="D1473" s="43"/>
      <c r="E1473" s="93"/>
      <c r="F1473" s="43"/>
      <c r="G1473" s="43"/>
      <c r="H1473" s="60"/>
      <c r="I1473" s="60"/>
      <c r="J1473" s="77"/>
      <c r="K1473" s="60"/>
      <c r="L1473" s="60"/>
      <c r="M1473" s="60"/>
      <c r="N1473" s="77"/>
    </row>
    <row r="1474">
      <c r="A1474" s="43"/>
      <c r="B1474" s="43"/>
      <c r="C1474" s="43"/>
      <c r="D1474" s="43"/>
      <c r="E1474" s="93"/>
      <c r="F1474" s="43"/>
      <c r="G1474" s="43"/>
      <c r="H1474" s="60"/>
      <c r="I1474" s="60"/>
      <c r="J1474" s="78"/>
      <c r="K1474" s="60"/>
      <c r="L1474" s="60"/>
      <c r="M1474" s="60"/>
      <c r="N1474" s="77"/>
    </row>
    <row r="1475">
      <c r="A1475" s="43"/>
      <c r="B1475" s="43"/>
      <c r="C1475" s="43"/>
      <c r="D1475" s="43"/>
      <c r="E1475" s="93"/>
      <c r="F1475" s="43"/>
      <c r="G1475" s="43"/>
      <c r="H1475" s="60"/>
      <c r="I1475" s="60"/>
      <c r="J1475" s="77"/>
      <c r="K1475" s="60"/>
      <c r="L1475" s="60"/>
      <c r="M1475" s="60"/>
      <c r="N1475" s="77"/>
    </row>
    <row r="1476">
      <c r="A1476" s="43"/>
      <c r="B1476" s="43"/>
      <c r="C1476" s="43"/>
      <c r="D1476" s="43"/>
      <c r="E1476" s="93"/>
      <c r="F1476" s="43"/>
      <c r="G1476" s="60"/>
      <c r="H1476" s="60"/>
      <c r="I1476" s="60"/>
      <c r="J1476" s="77"/>
      <c r="K1476" s="60"/>
      <c r="L1476" s="60"/>
      <c r="M1476" s="60"/>
      <c r="N1476" s="77"/>
    </row>
    <row r="1477">
      <c r="A1477" s="43"/>
      <c r="B1477" s="43"/>
      <c r="C1477" s="43"/>
      <c r="D1477" s="43"/>
      <c r="E1477" s="93"/>
      <c r="F1477" s="43"/>
      <c r="G1477" s="43"/>
      <c r="H1477" s="60"/>
      <c r="I1477" s="60"/>
      <c r="J1477" s="77"/>
      <c r="K1477" s="60"/>
      <c r="L1477" s="60"/>
      <c r="M1477" s="60"/>
      <c r="N1477" s="77"/>
    </row>
    <row r="1478">
      <c r="A1478" s="43"/>
      <c r="B1478" s="43"/>
      <c r="C1478" s="43"/>
      <c r="D1478" s="43"/>
      <c r="E1478" s="93"/>
      <c r="F1478" s="43"/>
      <c r="G1478" s="43"/>
      <c r="H1478" s="60"/>
      <c r="I1478" s="60"/>
      <c r="J1478" s="78"/>
      <c r="K1478" s="60"/>
      <c r="L1478" s="60"/>
      <c r="M1478" s="60"/>
      <c r="N1478" s="77"/>
    </row>
    <row r="1479">
      <c r="A1479" s="43"/>
      <c r="B1479" s="43"/>
      <c r="C1479" s="43"/>
      <c r="D1479" s="43"/>
      <c r="E1479" s="93"/>
      <c r="F1479" s="43"/>
      <c r="G1479" s="43"/>
      <c r="H1479" s="60"/>
      <c r="I1479" s="60"/>
      <c r="J1479" s="78"/>
      <c r="K1479" s="60"/>
      <c r="L1479" s="60"/>
      <c r="M1479" s="60"/>
      <c r="N1479" s="77"/>
    </row>
    <row r="1480">
      <c r="A1480" s="43"/>
      <c r="B1480" s="43"/>
      <c r="C1480" s="43"/>
      <c r="D1480" s="43"/>
      <c r="E1480" s="93"/>
      <c r="F1480" s="43"/>
      <c r="G1480" s="43"/>
      <c r="H1480" s="60"/>
      <c r="I1480" s="60"/>
      <c r="J1480" s="77"/>
      <c r="K1480" s="60"/>
      <c r="L1480" s="60"/>
      <c r="M1480" s="60"/>
      <c r="N1480" s="77"/>
    </row>
    <row r="1481">
      <c r="A1481" s="43"/>
      <c r="B1481" s="43"/>
      <c r="C1481" s="43"/>
      <c r="D1481" s="43"/>
      <c r="E1481" s="93"/>
      <c r="F1481" s="43"/>
      <c r="G1481" s="43"/>
      <c r="H1481" s="60"/>
      <c r="I1481" s="60"/>
      <c r="J1481" s="77"/>
      <c r="K1481" s="60"/>
      <c r="L1481" s="60"/>
      <c r="M1481" s="60"/>
      <c r="N1481" s="77"/>
    </row>
    <row r="1482">
      <c r="A1482" s="43"/>
      <c r="B1482" s="43"/>
      <c r="C1482" s="43"/>
      <c r="D1482" s="43"/>
      <c r="E1482" s="93"/>
      <c r="F1482" s="43"/>
      <c r="G1482" s="43"/>
      <c r="H1482" s="60"/>
      <c r="I1482" s="60"/>
      <c r="J1482" s="77"/>
      <c r="K1482" s="60"/>
      <c r="L1482" s="60"/>
      <c r="M1482" s="60"/>
      <c r="N1482" s="77"/>
    </row>
    <row r="1483">
      <c r="A1483" s="43"/>
      <c r="B1483" s="43"/>
      <c r="C1483" s="43"/>
      <c r="D1483" s="43"/>
      <c r="E1483" s="93"/>
      <c r="F1483" s="43"/>
      <c r="G1483" s="43"/>
      <c r="H1483" s="60"/>
      <c r="I1483" s="60"/>
      <c r="J1483" s="77"/>
      <c r="K1483" s="60"/>
      <c r="L1483" s="60"/>
      <c r="M1483" s="60"/>
      <c r="N1483" s="78"/>
    </row>
    <row r="1484">
      <c r="A1484" s="43"/>
      <c r="B1484" s="43"/>
      <c r="C1484" s="43"/>
      <c r="D1484" s="43"/>
      <c r="E1484" s="93"/>
      <c r="F1484" s="43"/>
      <c r="G1484" s="60"/>
      <c r="H1484" s="60"/>
      <c r="I1484" s="60"/>
      <c r="J1484" s="77"/>
      <c r="K1484" s="60"/>
      <c r="L1484" s="60"/>
      <c r="M1484" s="60"/>
      <c r="N1484" s="78"/>
    </row>
    <row r="1485">
      <c r="A1485" s="43"/>
      <c r="B1485" s="43"/>
      <c r="C1485" s="43"/>
      <c r="D1485" s="43"/>
      <c r="E1485" s="93"/>
      <c r="F1485" s="43"/>
      <c r="G1485" s="60"/>
      <c r="H1485" s="60"/>
      <c r="I1485" s="60"/>
      <c r="J1485" s="77"/>
      <c r="K1485" s="60"/>
      <c r="L1485" s="60"/>
      <c r="M1485" s="60"/>
      <c r="N1485" s="77"/>
    </row>
    <row r="1486">
      <c r="A1486" s="43"/>
      <c r="B1486" s="43"/>
      <c r="C1486" s="43"/>
      <c r="D1486" s="43"/>
      <c r="E1486" s="93"/>
      <c r="F1486" s="43"/>
      <c r="G1486" s="43"/>
      <c r="H1486" s="60"/>
      <c r="I1486" s="60"/>
      <c r="J1486" s="77"/>
      <c r="K1486" s="60"/>
      <c r="L1486" s="60"/>
      <c r="M1486" s="60"/>
      <c r="N1486" s="78"/>
    </row>
    <row r="1487">
      <c r="A1487" s="43"/>
      <c r="B1487" s="43"/>
      <c r="C1487" s="43"/>
      <c r="D1487" s="43"/>
      <c r="E1487" s="93"/>
      <c r="F1487" s="43"/>
      <c r="G1487" s="60"/>
      <c r="H1487" s="60"/>
      <c r="I1487" s="60"/>
      <c r="J1487" s="77"/>
      <c r="K1487" s="60"/>
      <c r="L1487" s="60"/>
      <c r="M1487" s="60"/>
      <c r="N1487" s="78"/>
    </row>
    <row r="1488">
      <c r="A1488" s="43"/>
      <c r="B1488" s="43"/>
      <c r="C1488" s="43"/>
      <c r="D1488" s="43"/>
      <c r="E1488" s="93"/>
      <c r="F1488" s="43"/>
      <c r="G1488" s="43"/>
      <c r="H1488" s="60"/>
      <c r="I1488" s="60"/>
      <c r="J1488" s="77"/>
      <c r="K1488" s="60"/>
      <c r="L1488" s="60"/>
      <c r="M1488" s="60"/>
      <c r="N1488" s="77"/>
    </row>
    <row r="1489">
      <c r="A1489" s="43"/>
      <c r="B1489" s="43"/>
      <c r="C1489" s="43"/>
      <c r="D1489" s="43"/>
      <c r="E1489" s="93"/>
      <c r="F1489" s="43"/>
      <c r="G1489" s="43"/>
      <c r="H1489" s="60"/>
      <c r="I1489" s="60"/>
      <c r="J1489" s="77"/>
      <c r="K1489" s="60"/>
      <c r="L1489" s="60"/>
      <c r="M1489" s="60"/>
      <c r="N1489" s="77"/>
    </row>
    <row r="1490">
      <c r="A1490" s="43"/>
      <c r="B1490" s="43"/>
      <c r="C1490" s="43"/>
      <c r="D1490" s="43"/>
      <c r="E1490" s="93"/>
      <c r="F1490" s="43"/>
      <c r="G1490" s="43"/>
      <c r="H1490" s="60"/>
      <c r="I1490" s="60"/>
      <c r="J1490" s="77"/>
      <c r="K1490" s="60"/>
      <c r="L1490" s="60"/>
      <c r="M1490" s="60"/>
      <c r="N1490" s="78"/>
    </row>
    <row r="1491">
      <c r="A1491" s="43"/>
      <c r="B1491" s="43"/>
      <c r="C1491" s="43"/>
      <c r="D1491" s="43"/>
      <c r="E1491" s="93"/>
      <c r="F1491" s="43"/>
      <c r="G1491" s="43"/>
      <c r="H1491" s="60"/>
      <c r="I1491" s="60"/>
      <c r="J1491" s="78"/>
      <c r="K1491" s="60"/>
      <c r="L1491" s="60"/>
      <c r="M1491" s="60"/>
      <c r="N1491" s="77"/>
    </row>
    <row r="1492">
      <c r="A1492" s="43"/>
      <c r="B1492" s="43"/>
      <c r="C1492" s="43"/>
      <c r="D1492" s="43"/>
      <c r="E1492" s="93"/>
      <c r="F1492" s="43"/>
      <c r="G1492" s="43"/>
      <c r="H1492" s="60"/>
      <c r="I1492" s="60"/>
      <c r="J1492" s="77"/>
      <c r="K1492" s="60"/>
      <c r="L1492" s="60"/>
      <c r="M1492" s="60"/>
      <c r="N1492" s="77"/>
    </row>
    <row r="1493">
      <c r="A1493" s="43"/>
      <c r="B1493" s="43"/>
      <c r="C1493" s="43"/>
      <c r="D1493" s="43"/>
      <c r="E1493" s="93"/>
      <c r="F1493" s="43"/>
      <c r="G1493" s="43"/>
      <c r="H1493" s="60"/>
      <c r="I1493" s="60"/>
      <c r="J1493" s="77"/>
      <c r="K1493" s="60"/>
      <c r="L1493" s="60"/>
      <c r="M1493" s="60"/>
      <c r="N1493" s="78"/>
    </row>
    <row r="1494">
      <c r="A1494" s="43"/>
      <c r="B1494" s="43"/>
      <c r="C1494" s="43"/>
      <c r="D1494" s="43"/>
      <c r="E1494" s="93"/>
      <c r="F1494" s="43"/>
      <c r="G1494" s="43"/>
      <c r="H1494" s="60"/>
      <c r="I1494" s="60"/>
      <c r="J1494" s="77"/>
      <c r="K1494" s="60"/>
      <c r="L1494" s="60"/>
      <c r="M1494" s="60"/>
      <c r="N1494" s="77"/>
    </row>
    <row r="1495">
      <c r="A1495" s="43"/>
      <c r="B1495" s="43"/>
      <c r="C1495" s="43"/>
      <c r="D1495" s="43"/>
      <c r="E1495" s="93"/>
      <c r="F1495" s="43"/>
      <c r="G1495" s="43"/>
      <c r="H1495" s="60"/>
      <c r="I1495" s="60"/>
      <c r="J1495" s="77"/>
      <c r="K1495" s="60"/>
      <c r="L1495" s="60"/>
      <c r="M1495" s="60"/>
      <c r="N1495" s="77"/>
    </row>
    <row r="1496">
      <c r="A1496" s="43"/>
      <c r="B1496" s="43"/>
      <c r="C1496" s="43"/>
      <c r="D1496" s="43"/>
      <c r="E1496" s="93"/>
      <c r="F1496" s="43"/>
      <c r="G1496" s="43"/>
      <c r="H1496" s="60"/>
      <c r="I1496" s="60"/>
      <c r="J1496" s="77"/>
      <c r="K1496" s="60"/>
      <c r="L1496" s="60"/>
      <c r="M1496" s="60"/>
      <c r="N1496" s="77"/>
    </row>
    <row r="1497">
      <c r="A1497" s="43"/>
      <c r="B1497" s="60"/>
      <c r="C1497" s="60"/>
      <c r="D1497" s="60"/>
      <c r="E1497" s="60"/>
      <c r="F1497" s="60"/>
      <c r="G1497" s="60"/>
      <c r="H1497" s="60"/>
      <c r="I1497" s="60"/>
      <c r="J1497" s="77"/>
      <c r="K1497" s="43"/>
      <c r="L1497" s="60"/>
      <c r="M1497" s="60"/>
      <c r="N1497" s="77"/>
    </row>
    <row r="1498">
      <c r="A1498" s="43"/>
      <c r="B1498" s="60"/>
      <c r="C1498" s="60"/>
      <c r="D1498" s="60"/>
      <c r="E1498" s="60"/>
      <c r="F1498" s="60"/>
      <c r="G1498" s="60"/>
      <c r="H1498" s="60"/>
      <c r="I1498" s="60"/>
      <c r="J1498" s="77"/>
      <c r="K1498" s="43"/>
      <c r="L1498" s="60"/>
      <c r="M1498" s="60"/>
      <c r="N1498" s="77"/>
    </row>
    <row r="1499">
      <c r="A1499" s="43"/>
      <c r="B1499" s="60"/>
      <c r="C1499" s="60"/>
      <c r="D1499" s="60"/>
      <c r="E1499" s="60"/>
      <c r="F1499" s="60"/>
      <c r="G1499" s="60"/>
      <c r="H1499" s="60"/>
      <c r="I1499" s="60"/>
      <c r="J1499" s="77"/>
      <c r="K1499" s="43"/>
      <c r="L1499" s="60"/>
      <c r="M1499" s="60"/>
      <c r="N1499" s="77"/>
    </row>
    <row r="1500">
      <c r="A1500" s="43"/>
      <c r="B1500" s="60"/>
      <c r="C1500" s="60"/>
      <c r="D1500" s="60"/>
      <c r="E1500" s="60"/>
      <c r="F1500" s="60"/>
      <c r="G1500" s="60"/>
      <c r="H1500" s="60"/>
      <c r="I1500" s="60"/>
      <c r="J1500" s="77"/>
      <c r="K1500" s="43"/>
      <c r="L1500" s="60"/>
      <c r="M1500" s="60"/>
      <c r="N1500" s="77"/>
    </row>
    <row r="1501">
      <c r="A1501" s="60"/>
      <c r="B1501" s="60"/>
      <c r="C1501" s="60"/>
      <c r="D1501" s="60"/>
      <c r="E1501" s="60"/>
      <c r="F1501" s="60"/>
      <c r="G1501" s="60"/>
      <c r="H1501" s="60"/>
      <c r="I1501" s="60"/>
      <c r="J1501" s="77"/>
      <c r="K1501" s="43"/>
      <c r="L1501" s="60"/>
      <c r="M1501" s="60"/>
      <c r="N1501" s="77"/>
    </row>
    <row r="1502">
      <c r="A1502" s="60"/>
      <c r="B1502" s="60"/>
      <c r="C1502" s="60"/>
      <c r="D1502" s="60"/>
      <c r="E1502" s="60"/>
      <c r="F1502" s="60"/>
      <c r="G1502" s="60"/>
      <c r="H1502" s="60"/>
      <c r="I1502" s="60"/>
      <c r="J1502" s="77"/>
      <c r="K1502" s="43"/>
      <c r="L1502" s="60"/>
      <c r="M1502" s="60"/>
      <c r="N1502" s="77"/>
    </row>
    <row r="1503">
      <c r="A1503" s="60"/>
      <c r="B1503" s="60"/>
      <c r="C1503" s="60"/>
      <c r="D1503" s="60"/>
      <c r="E1503" s="60"/>
      <c r="F1503" s="60"/>
      <c r="G1503" s="60"/>
      <c r="H1503" s="60"/>
      <c r="I1503" s="60"/>
      <c r="J1503" s="77"/>
      <c r="K1503" s="43"/>
      <c r="L1503" s="60"/>
      <c r="M1503" s="60"/>
      <c r="N1503" s="77"/>
    </row>
    <row r="1504">
      <c r="A1504" s="60"/>
      <c r="B1504" s="60"/>
      <c r="C1504" s="60"/>
      <c r="D1504" s="60"/>
      <c r="E1504" s="60"/>
      <c r="F1504" s="60"/>
      <c r="G1504" s="60"/>
      <c r="H1504" s="60"/>
      <c r="I1504" s="60"/>
      <c r="J1504" s="77"/>
      <c r="K1504" s="43"/>
      <c r="L1504" s="60"/>
      <c r="M1504" s="60"/>
      <c r="N1504" s="77"/>
    </row>
    <row r="1505">
      <c r="A1505" s="60"/>
      <c r="B1505" s="60"/>
      <c r="C1505" s="60"/>
      <c r="D1505" s="60"/>
      <c r="E1505" s="60"/>
      <c r="F1505" s="60"/>
      <c r="G1505" s="60"/>
      <c r="H1505" s="60"/>
      <c r="I1505" s="60"/>
      <c r="J1505" s="77"/>
      <c r="K1505" s="43"/>
      <c r="L1505" s="60"/>
      <c r="M1505" s="60"/>
      <c r="N1505" s="77"/>
    </row>
    <row r="1506">
      <c r="A1506" s="60"/>
      <c r="B1506" s="60"/>
      <c r="C1506" s="60"/>
      <c r="D1506" s="60"/>
      <c r="E1506" s="60"/>
      <c r="F1506" s="60"/>
      <c r="G1506" s="60"/>
      <c r="H1506" s="60"/>
      <c r="I1506" s="60"/>
      <c r="J1506" s="77"/>
      <c r="K1506" s="43"/>
      <c r="L1506" s="60"/>
      <c r="M1506" s="60"/>
      <c r="N1506" s="77"/>
    </row>
    <row r="1507">
      <c r="A1507" s="60"/>
      <c r="B1507" s="60"/>
      <c r="C1507" s="60"/>
      <c r="D1507" s="60"/>
      <c r="E1507" s="60"/>
      <c r="F1507" s="60"/>
      <c r="G1507" s="60"/>
      <c r="H1507" s="60"/>
      <c r="I1507" s="60"/>
      <c r="J1507" s="77"/>
      <c r="K1507" s="43"/>
      <c r="L1507" s="60"/>
      <c r="M1507" s="60"/>
      <c r="N1507" s="77"/>
    </row>
    <row r="1508">
      <c r="A1508" s="60"/>
      <c r="B1508" s="60"/>
      <c r="C1508" s="60"/>
      <c r="D1508" s="60"/>
      <c r="E1508" s="60"/>
      <c r="F1508" s="60"/>
      <c r="G1508" s="60"/>
      <c r="H1508" s="60"/>
      <c r="I1508" s="60"/>
      <c r="J1508" s="77"/>
      <c r="K1508" s="43"/>
      <c r="L1508" s="60"/>
      <c r="M1508" s="60"/>
      <c r="N1508" s="77"/>
    </row>
    <row r="1509">
      <c r="A1509" s="60"/>
      <c r="B1509" s="60"/>
      <c r="C1509" s="60"/>
      <c r="D1509" s="60"/>
      <c r="E1509" s="60"/>
      <c r="F1509" s="60"/>
      <c r="G1509" s="60"/>
      <c r="H1509" s="60"/>
      <c r="I1509" s="60"/>
      <c r="J1509" s="77"/>
      <c r="K1509" s="43"/>
      <c r="L1509" s="60"/>
      <c r="M1509" s="60"/>
      <c r="N1509" s="77"/>
    </row>
    <row r="1510">
      <c r="A1510" s="60"/>
      <c r="B1510" s="60"/>
      <c r="C1510" s="60"/>
      <c r="D1510" s="60"/>
      <c r="E1510" s="60"/>
      <c r="F1510" s="60"/>
      <c r="G1510" s="60"/>
      <c r="H1510" s="60"/>
      <c r="I1510" s="60"/>
      <c r="J1510" s="77"/>
      <c r="K1510" s="43"/>
      <c r="L1510" s="60"/>
      <c r="M1510" s="60"/>
      <c r="N1510" s="77"/>
    </row>
    <row r="1511">
      <c r="A1511" s="60"/>
      <c r="B1511" s="60"/>
      <c r="C1511" s="60"/>
      <c r="D1511" s="60"/>
      <c r="E1511" s="60"/>
      <c r="F1511" s="60"/>
      <c r="G1511" s="60"/>
      <c r="H1511" s="60"/>
      <c r="I1511" s="60"/>
      <c r="J1511" s="77"/>
      <c r="K1511" s="43"/>
      <c r="L1511" s="60"/>
      <c r="M1511" s="60"/>
      <c r="N1511" s="77"/>
    </row>
    <row r="1512">
      <c r="A1512" s="60"/>
      <c r="B1512" s="60"/>
      <c r="C1512" s="60"/>
      <c r="D1512" s="60"/>
      <c r="E1512" s="60"/>
      <c r="F1512" s="60"/>
      <c r="G1512" s="60"/>
      <c r="H1512" s="60"/>
      <c r="I1512" s="60"/>
      <c r="J1512" s="77"/>
      <c r="K1512" s="43"/>
      <c r="L1512" s="60"/>
      <c r="M1512" s="60"/>
      <c r="N1512" s="77"/>
    </row>
    <row r="1513">
      <c r="A1513" s="60"/>
      <c r="B1513" s="60"/>
      <c r="C1513" s="60"/>
      <c r="D1513" s="60"/>
      <c r="E1513" s="60"/>
      <c r="F1513" s="60"/>
      <c r="G1513" s="60"/>
      <c r="H1513" s="60"/>
      <c r="I1513" s="60"/>
      <c r="J1513" s="77"/>
      <c r="K1513" s="43"/>
      <c r="L1513" s="60"/>
      <c r="M1513" s="60"/>
      <c r="N1513" s="77"/>
    </row>
    <row r="1514">
      <c r="A1514" s="60"/>
      <c r="B1514" s="60"/>
      <c r="C1514" s="60"/>
      <c r="D1514" s="60"/>
      <c r="E1514" s="60"/>
      <c r="F1514" s="60"/>
      <c r="G1514" s="60"/>
      <c r="H1514" s="60"/>
      <c r="I1514" s="60"/>
      <c r="J1514" s="77"/>
      <c r="K1514" s="43"/>
      <c r="L1514" s="60"/>
      <c r="M1514" s="60"/>
      <c r="N1514" s="77"/>
    </row>
    <row r="1515">
      <c r="A1515" s="60"/>
      <c r="B1515" s="60"/>
      <c r="C1515" s="60"/>
      <c r="D1515" s="60"/>
      <c r="E1515" s="60"/>
      <c r="F1515" s="60"/>
      <c r="G1515" s="60"/>
      <c r="H1515" s="60"/>
      <c r="I1515" s="60"/>
      <c r="J1515" s="77"/>
      <c r="K1515" s="43"/>
      <c r="L1515" s="60"/>
      <c r="M1515" s="60"/>
      <c r="N1515" s="77"/>
    </row>
    <row r="1516">
      <c r="A1516" s="60"/>
      <c r="B1516" s="60"/>
      <c r="C1516" s="60"/>
      <c r="D1516" s="60"/>
      <c r="E1516" s="60"/>
      <c r="F1516" s="60"/>
      <c r="G1516" s="60"/>
      <c r="H1516" s="60"/>
      <c r="I1516" s="60"/>
      <c r="J1516" s="77"/>
      <c r="K1516" s="43"/>
      <c r="L1516" s="60"/>
      <c r="M1516" s="60"/>
      <c r="N1516" s="77"/>
    </row>
    <row r="1517">
      <c r="A1517" s="60"/>
      <c r="B1517" s="60"/>
      <c r="C1517" s="60"/>
      <c r="D1517" s="60"/>
      <c r="E1517" s="60"/>
      <c r="F1517" s="60"/>
      <c r="G1517" s="60"/>
      <c r="H1517" s="60"/>
      <c r="I1517" s="60"/>
      <c r="J1517" s="77"/>
      <c r="K1517" s="43"/>
      <c r="L1517" s="60"/>
      <c r="M1517" s="60"/>
      <c r="N1517" s="77"/>
    </row>
    <row r="1518">
      <c r="A1518" s="60"/>
      <c r="B1518" s="60"/>
      <c r="C1518" s="60"/>
      <c r="D1518" s="60"/>
      <c r="E1518" s="60"/>
      <c r="F1518" s="60"/>
      <c r="G1518" s="60"/>
      <c r="H1518" s="60"/>
      <c r="I1518" s="60"/>
      <c r="J1518" s="77"/>
      <c r="K1518" s="43"/>
      <c r="L1518" s="60"/>
      <c r="M1518" s="60"/>
      <c r="N1518" s="77"/>
    </row>
    <row r="1519">
      <c r="A1519" s="60"/>
      <c r="B1519" s="60"/>
      <c r="C1519" s="60"/>
      <c r="D1519" s="60"/>
      <c r="E1519" s="60"/>
      <c r="F1519" s="60"/>
      <c r="G1519" s="60"/>
      <c r="H1519" s="60"/>
      <c r="I1519" s="60"/>
      <c r="J1519" s="77"/>
      <c r="K1519" s="43"/>
      <c r="L1519" s="60"/>
      <c r="M1519" s="60"/>
      <c r="N1519" s="77"/>
    </row>
    <row r="1520">
      <c r="A1520" s="60"/>
      <c r="B1520" s="60"/>
      <c r="C1520" s="60"/>
      <c r="D1520" s="60"/>
      <c r="E1520" s="60"/>
      <c r="F1520" s="60"/>
      <c r="G1520" s="60"/>
      <c r="H1520" s="60"/>
      <c r="I1520" s="60"/>
      <c r="J1520" s="77"/>
      <c r="K1520" s="43"/>
      <c r="L1520" s="60"/>
      <c r="M1520" s="60"/>
      <c r="N1520" s="77"/>
    </row>
    <row r="1521">
      <c r="A1521" s="60"/>
      <c r="B1521" s="60"/>
      <c r="C1521" s="60"/>
      <c r="D1521" s="60"/>
      <c r="E1521" s="60"/>
      <c r="F1521" s="60"/>
      <c r="G1521" s="60"/>
      <c r="H1521" s="60"/>
      <c r="I1521" s="60"/>
      <c r="J1521" s="77"/>
      <c r="K1521" s="43"/>
      <c r="L1521" s="60"/>
      <c r="M1521" s="60"/>
      <c r="N1521" s="77"/>
    </row>
    <row r="1522">
      <c r="A1522" s="60"/>
      <c r="B1522" s="60"/>
      <c r="C1522" s="60"/>
      <c r="D1522" s="60"/>
      <c r="E1522" s="60"/>
      <c r="F1522" s="60"/>
      <c r="G1522" s="60"/>
      <c r="H1522" s="60"/>
      <c r="I1522" s="60"/>
      <c r="J1522" s="77"/>
      <c r="K1522" s="43"/>
      <c r="L1522" s="60"/>
      <c r="M1522" s="60"/>
      <c r="N1522" s="77"/>
    </row>
    <row r="1523">
      <c r="A1523" s="60"/>
      <c r="B1523" s="60"/>
      <c r="C1523" s="60"/>
      <c r="D1523" s="60"/>
      <c r="E1523" s="60"/>
      <c r="F1523" s="60"/>
      <c r="G1523" s="60"/>
      <c r="H1523" s="60"/>
      <c r="I1523" s="60"/>
      <c r="J1523" s="77"/>
      <c r="K1523" s="43"/>
      <c r="L1523" s="60"/>
      <c r="M1523" s="60"/>
      <c r="N1523" s="77"/>
    </row>
    <row r="1524">
      <c r="A1524" s="60"/>
      <c r="B1524" s="60"/>
      <c r="C1524" s="60"/>
      <c r="D1524" s="60"/>
      <c r="E1524" s="60"/>
      <c r="F1524" s="60"/>
      <c r="G1524" s="60"/>
      <c r="H1524" s="60"/>
      <c r="I1524" s="60"/>
      <c r="J1524" s="77"/>
      <c r="K1524" s="43"/>
      <c r="L1524" s="60"/>
      <c r="M1524" s="60"/>
      <c r="N1524" s="77"/>
    </row>
    <row r="1525">
      <c r="A1525" s="60"/>
      <c r="B1525" s="60"/>
      <c r="C1525" s="60"/>
      <c r="D1525" s="60"/>
      <c r="E1525" s="60"/>
      <c r="F1525" s="60"/>
      <c r="G1525" s="60"/>
      <c r="H1525" s="60"/>
      <c r="I1525" s="60"/>
      <c r="J1525" s="77"/>
      <c r="K1525" s="43"/>
      <c r="L1525" s="60"/>
      <c r="M1525" s="60"/>
      <c r="N1525" s="77"/>
    </row>
    <row r="1526">
      <c r="A1526" s="60"/>
      <c r="B1526" s="60"/>
      <c r="C1526" s="60"/>
      <c r="D1526" s="60"/>
      <c r="E1526" s="60"/>
      <c r="F1526" s="60"/>
      <c r="G1526" s="60"/>
      <c r="H1526" s="60"/>
      <c r="I1526" s="60"/>
      <c r="J1526" s="77"/>
      <c r="K1526" s="43"/>
      <c r="L1526" s="60"/>
      <c r="M1526" s="60"/>
      <c r="N1526" s="77"/>
    </row>
    <row r="1527">
      <c r="A1527" s="60"/>
      <c r="B1527" s="60"/>
      <c r="C1527" s="60"/>
      <c r="D1527" s="60"/>
      <c r="E1527" s="60"/>
      <c r="F1527" s="60"/>
      <c r="G1527" s="60"/>
      <c r="H1527" s="60"/>
      <c r="I1527" s="60"/>
      <c r="J1527" s="77"/>
      <c r="K1527" s="43"/>
      <c r="L1527" s="60"/>
      <c r="M1527" s="60"/>
      <c r="N1527" s="77"/>
    </row>
    <row r="1528">
      <c r="A1528" s="60"/>
      <c r="B1528" s="60"/>
      <c r="C1528" s="60"/>
      <c r="D1528" s="60"/>
      <c r="E1528" s="60"/>
      <c r="F1528" s="60"/>
      <c r="G1528" s="60"/>
      <c r="H1528" s="60"/>
      <c r="I1528" s="60"/>
      <c r="J1528" s="77"/>
      <c r="K1528" s="43"/>
      <c r="L1528" s="60"/>
      <c r="M1528" s="60"/>
      <c r="N1528" s="77"/>
    </row>
    <row r="1529">
      <c r="A1529" s="60"/>
      <c r="B1529" s="60"/>
      <c r="C1529" s="60"/>
      <c r="D1529" s="60"/>
      <c r="E1529" s="60"/>
      <c r="F1529" s="60"/>
      <c r="G1529" s="60"/>
      <c r="H1529" s="60"/>
      <c r="I1529" s="60"/>
      <c r="J1529" s="77"/>
      <c r="K1529" s="43"/>
      <c r="L1529" s="60"/>
      <c r="M1529" s="60"/>
      <c r="N1529" s="77"/>
    </row>
    <row r="1530">
      <c r="A1530" s="60"/>
      <c r="B1530" s="60"/>
      <c r="C1530" s="60"/>
      <c r="D1530" s="60"/>
      <c r="E1530" s="60"/>
      <c r="F1530" s="60"/>
      <c r="G1530" s="60"/>
      <c r="H1530" s="60"/>
      <c r="I1530" s="60"/>
      <c r="J1530" s="77"/>
      <c r="K1530" s="43"/>
      <c r="L1530" s="60"/>
      <c r="M1530" s="60"/>
      <c r="N1530" s="77"/>
    </row>
    <row r="1531">
      <c r="A1531" s="60"/>
      <c r="B1531" s="60"/>
      <c r="C1531" s="60"/>
      <c r="D1531" s="60"/>
      <c r="E1531" s="60"/>
      <c r="F1531" s="60"/>
      <c r="G1531" s="60"/>
      <c r="H1531" s="60"/>
      <c r="I1531" s="60"/>
      <c r="J1531" s="77"/>
      <c r="K1531" s="43"/>
      <c r="L1531" s="60"/>
      <c r="M1531" s="60"/>
      <c r="N1531" s="77"/>
    </row>
    <row r="1532">
      <c r="A1532" s="60"/>
      <c r="B1532" s="60"/>
      <c r="C1532" s="60"/>
      <c r="D1532" s="60"/>
      <c r="E1532" s="60"/>
      <c r="F1532" s="60"/>
      <c r="G1532" s="60"/>
      <c r="H1532" s="60"/>
      <c r="I1532" s="60"/>
      <c r="J1532" s="77"/>
      <c r="K1532" s="43"/>
      <c r="L1532" s="60"/>
      <c r="M1532" s="60"/>
      <c r="N1532" s="77"/>
    </row>
    <row r="1533">
      <c r="A1533" s="60"/>
      <c r="B1533" s="60"/>
      <c r="C1533" s="60"/>
      <c r="D1533" s="60"/>
      <c r="E1533" s="60"/>
      <c r="F1533" s="60"/>
      <c r="G1533" s="60"/>
      <c r="H1533" s="60"/>
      <c r="I1533" s="60"/>
      <c r="J1533" s="77"/>
      <c r="K1533" s="43"/>
      <c r="L1533" s="60"/>
      <c r="M1533" s="60"/>
      <c r="N1533" s="77"/>
    </row>
    <row r="1534">
      <c r="A1534" s="60"/>
      <c r="B1534" s="60"/>
      <c r="C1534" s="60"/>
      <c r="D1534" s="60"/>
      <c r="E1534" s="60"/>
      <c r="F1534" s="60"/>
      <c r="G1534" s="60"/>
      <c r="H1534" s="60"/>
      <c r="I1534" s="60"/>
      <c r="J1534" s="77"/>
      <c r="K1534" s="43"/>
      <c r="L1534" s="60"/>
      <c r="M1534" s="60"/>
      <c r="N1534" s="77"/>
    </row>
    <row r="1535">
      <c r="A1535" s="60"/>
      <c r="B1535" s="60"/>
      <c r="C1535" s="60"/>
      <c r="D1535" s="60"/>
      <c r="E1535" s="60"/>
      <c r="F1535" s="60"/>
      <c r="G1535" s="60"/>
      <c r="H1535" s="60"/>
      <c r="I1535" s="60"/>
      <c r="J1535" s="77"/>
      <c r="K1535" s="43"/>
      <c r="L1535" s="60"/>
      <c r="M1535" s="60"/>
      <c r="N1535" s="77"/>
    </row>
    <row r="1536">
      <c r="A1536" s="60"/>
      <c r="B1536" s="60"/>
      <c r="C1536" s="60"/>
      <c r="D1536" s="60"/>
      <c r="E1536" s="60"/>
      <c r="F1536" s="60"/>
      <c r="G1536" s="60"/>
      <c r="H1536" s="60"/>
      <c r="I1536" s="60"/>
      <c r="J1536" s="77"/>
      <c r="K1536" s="43"/>
      <c r="L1536" s="60"/>
      <c r="M1536" s="60"/>
      <c r="N1536" s="77"/>
    </row>
    <row r="1537">
      <c r="A1537" s="60"/>
      <c r="B1537" s="60"/>
      <c r="C1537" s="60"/>
      <c r="D1537" s="60"/>
      <c r="E1537" s="60"/>
      <c r="F1537" s="60"/>
      <c r="G1537" s="60"/>
      <c r="H1537" s="60"/>
      <c r="I1537" s="60"/>
      <c r="J1537" s="77"/>
      <c r="K1537" s="43"/>
      <c r="L1537" s="60"/>
      <c r="M1537" s="60"/>
      <c r="N1537" s="77"/>
    </row>
    <row r="1538">
      <c r="A1538" s="60"/>
      <c r="B1538" s="60"/>
      <c r="C1538" s="60"/>
      <c r="D1538" s="60"/>
      <c r="E1538" s="60"/>
      <c r="F1538" s="60"/>
      <c r="G1538" s="60"/>
      <c r="H1538" s="60"/>
      <c r="I1538" s="60"/>
      <c r="J1538" s="77"/>
      <c r="K1538" s="43"/>
      <c r="L1538" s="60"/>
      <c r="M1538" s="60"/>
      <c r="N1538" s="77"/>
    </row>
    <row r="1539">
      <c r="A1539" s="60"/>
      <c r="B1539" s="60"/>
      <c r="C1539" s="60"/>
      <c r="D1539" s="60"/>
      <c r="E1539" s="60"/>
      <c r="F1539" s="60"/>
      <c r="G1539" s="60"/>
      <c r="H1539" s="60"/>
      <c r="I1539" s="60"/>
      <c r="J1539" s="77"/>
      <c r="K1539" s="43"/>
      <c r="L1539" s="60"/>
      <c r="M1539" s="60"/>
      <c r="N1539" s="77"/>
    </row>
    <row r="1540">
      <c r="A1540" s="60"/>
      <c r="B1540" s="60"/>
      <c r="C1540" s="60"/>
      <c r="D1540" s="60"/>
      <c r="E1540" s="60"/>
      <c r="F1540" s="60"/>
      <c r="G1540" s="60"/>
      <c r="H1540" s="60"/>
      <c r="I1540" s="60"/>
      <c r="J1540" s="77"/>
      <c r="K1540" s="43"/>
      <c r="L1540" s="60"/>
      <c r="M1540" s="60"/>
      <c r="N1540" s="77"/>
    </row>
    <row r="1541">
      <c r="A1541" s="60"/>
      <c r="B1541" s="60"/>
      <c r="C1541" s="60"/>
      <c r="D1541" s="60"/>
      <c r="E1541" s="60"/>
      <c r="F1541" s="60"/>
      <c r="G1541" s="60"/>
      <c r="H1541" s="60"/>
      <c r="I1541" s="60"/>
      <c r="J1541" s="77"/>
      <c r="K1541" s="43"/>
      <c r="L1541" s="60"/>
      <c r="M1541" s="60"/>
      <c r="N1541" s="77"/>
    </row>
    <row r="1542">
      <c r="A1542" s="60"/>
      <c r="B1542" s="60"/>
      <c r="C1542" s="60"/>
      <c r="D1542" s="60"/>
      <c r="E1542" s="60"/>
      <c r="F1542" s="60"/>
      <c r="G1542" s="60"/>
      <c r="H1542" s="60"/>
      <c r="I1542" s="60"/>
      <c r="J1542" s="77"/>
      <c r="K1542" s="43"/>
      <c r="L1542" s="60"/>
      <c r="M1542" s="60"/>
      <c r="N1542" s="77"/>
    </row>
    <row r="1543">
      <c r="A1543" s="60"/>
      <c r="B1543" s="60"/>
      <c r="C1543" s="60"/>
      <c r="D1543" s="60"/>
      <c r="E1543" s="60"/>
      <c r="F1543" s="60"/>
      <c r="G1543" s="60"/>
      <c r="H1543" s="60"/>
      <c r="I1543" s="60"/>
      <c r="J1543" s="77"/>
      <c r="K1543" s="43"/>
      <c r="L1543" s="60"/>
      <c r="M1543" s="60"/>
      <c r="N1543" s="77"/>
    </row>
    <row r="1544">
      <c r="A1544" s="60"/>
      <c r="B1544" s="60"/>
      <c r="C1544" s="60"/>
      <c r="D1544" s="60"/>
      <c r="E1544" s="60"/>
      <c r="F1544" s="60"/>
      <c r="G1544" s="60"/>
      <c r="H1544" s="60"/>
      <c r="I1544" s="60"/>
      <c r="J1544" s="77"/>
      <c r="K1544" s="43"/>
      <c r="L1544" s="60"/>
      <c r="M1544" s="60"/>
      <c r="N1544" s="77"/>
    </row>
    <row r="1545">
      <c r="A1545" s="60"/>
      <c r="B1545" s="60"/>
      <c r="C1545" s="60"/>
      <c r="D1545" s="60"/>
      <c r="E1545" s="60"/>
      <c r="F1545" s="60"/>
      <c r="G1545" s="60"/>
      <c r="H1545" s="60"/>
      <c r="I1545" s="60"/>
      <c r="J1545" s="77"/>
      <c r="K1545" s="43"/>
      <c r="L1545" s="60"/>
      <c r="M1545" s="60"/>
      <c r="N1545" s="77"/>
    </row>
    <row r="1546">
      <c r="A1546" s="60"/>
      <c r="B1546" s="60"/>
      <c r="C1546" s="60"/>
      <c r="D1546" s="60"/>
      <c r="E1546" s="60"/>
      <c r="F1546" s="60"/>
      <c r="G1546" s="60"/>
      <c r="H1546" s="60"/>
      <c r="I1546" s="60"/>
      <c r="J1546" s="77"/>
      <c r="K1546" s="43"/>
      <c r="L1546" s="60"/>
      <c r="M1546" s="60"/>
      <c r="N1546" s="77"/>
    </row>
    <row r="1547">
      <c r="A1547" s="60"/>
      <c r="B1547" s="60"/>
      <c r="C1547" s="60"/>
      <c r="D1547" s="60"/>
      <c r="E1547" s="60"/>
      <c r="F1547" s="60"/>
      <c r="G1547" s="60"/>
      <c r="H1547" s="60"/>
      <c r="I1547" s="60"/>
      <c r="J1547" s="77"/>
      <c r="K1547" s="43"/>
      <c r="L1547" s="60"/>
      <c r="M1547" s="60"/>
      <c r="N1547" s="77"/>
    </row>
    <row r="1548">
      <c r="A1548" s="60"/>
      <c r="B1548" s="60"/>
      <c r="C1548" s="60"/>
      <c r="D1548" s="60"/>
      <c r="E1548" s="60"/>
      <c r="F1548" s="60"/>
      <c r="G1548" s="60"/>
      <c r="H1548" s="60"/>
      <c r="I1548" s="60"/>
      <c r="J1548" s="77"/>
      <c r="K1548" s="43"/>
      <c r="L1548" s="60"/>
      <c r="M1548" s="60"/>
      <c r="N1548" s="77"/>
    </row>
    <row r="1549">
      <c r="A1549" s="60"/>
      <c r="B1549" s="60"/>
      <c r="C1549" s="60"/>
      <c r="D1549" s="60"/>
      <c r="E1549" s="60"/>
      <c r="F1549" s="60"/>
      <c r="G1549" s="60"/>
      <c r="H1549" s="60"/>
      <c r="I1549" s="60"/>
      <c r="J1549" s="77"/>
      <c r="K1549" s="43"/>
      <c r="L1549" s="60"/>
      <c r="M1549" s="60"/>
      <c r="N1549" s="77"/>
    </row>
    <row r="1550">
      <c r="A1550" s="60"/>
      <c r="B1550" s="60"/>
      <c r="C1550" s="60"/>
      <c r="D1550" s="60"/>
      <c r="E1550" s="60"/>
      <c r="F1550" s="60"/>
      <c r="G1550" s="60"/>
      <c r="H1550" s="60"/>
      <c r="I1550" s="60"/>
      <c r="J1550" s="77"/>
      <c r="K1550" s="43"/>
      <c r="L1550" s="60"/>
      <c r="M1550" s="60"/>
      <c r="N1550" s="77"/>
    </row>
    <row r="1551">
      <c r="A1551" s="60"/>
      <c r="B1551" s="60"/>
      <c r="C1551" s="60"/>
      <c r="D1551" s="60"/>
      <c r="E1551" s="60"/>
      <c r="F1551" s="60"/>
      <c r="G1551" s="60"/>
      <c r="H1551" s="60"/>
      <c r="I1551" s="60"/>
      <c r="J1551" s="77"/>
      <c r="K1551" s="43"/>
      <c r="L1551" s="60"/>
      <c r="M1551" s="60"/>
      <c r="N1551" s="77"/>
    </row>
    <row r="1552">
      <c r="A1552" s="60"/>
      <c r="B1552" s="60"/>
      <c r="C1552" s="60"/>
      <c r="D1552" s="60"/>
      <c r="E1552" s="60"/>
      <c r="F1552" s="60"/>
      <c r="G1552" s="60"/>
      <c r="H1552" s="60"/>
      <c r="I1552" s="60"/>
      <c r="J1552" s="77"/>
      <c r="K1552" s="43"/>
      <c r="L1552" s="60"/>
      <c r="M1552" s="60"/>
      <c r="N1552" s="77"/>
    </row>
    <row r="1553">
      <c r="A1553" s="60"/>
      <c r="B1553" s="60"/>
      <c r="C1553" s="60"/>
      <c r="D1553" s="60"/>
      <c r="E1553" s="60"/>
      <c r="F1553" s="60"/>
      <c r="G1553" s="60"/>
      <c r="H1553" s="60"/>
      <c r="I1553" s="60"/>
      <c r="J1553" s="77"/>
      <c r="K1553" s="43"/>
      <c r="L1553" s="60"/>
      <c r="M1553" s="60"/>
      <c r="N1553" s="77"/>
    </row>
    <row r="1554">
      <c r="A1554" s="60"/>
      <c r="B1554" s="60"/>
      <c r="C1554" s="60"/>
      <c r="D1554" s="60"/>
      <c r="E1554" s="60"/>
      <c r="F1554" s="60"/>
      <c r="G1554" s="60"/>
      <c r="H1554" s="60"/>
      <c r="I1554" s="60"/>
      <c r="J1554" s="77"/>
      <c r="K1554" s="43"/>
      <c r="L1554" s="60"/>
      <c r="M1554" s="60"/>
      <c r="N1554" s="77"/>
    </row>
    <row r="1555">
      <c r="A1555" s="60"/>
      <c r="B1555" s="60"/>
      <c r="C1555" s="60"/>
      <c r="D1555" s="60"/>
      <c r="E1555" s="60"/>
      <c r="F1555" s="60"/>
      <c r="G1555" s="60"/>
      <c r="H1555" s="60"/>
      <c r="I1555" s="60"/>
      <c r="J1555" s="77"/>
      <c r="K1555" s="43"/>
      <c r="L1555" s="60"/>
      <c r="M1555" s="60"/>
      <c r="N1555" s="77"/>
    </row>
    <row r="1556">
      <c r="A1556" s="60"/>
      <c r="B1556" s="60"/>
      <c r="C1556" s="60"/>
      <c r="D1556" s="60"/>
      <c r="E1556" s="60"/>
      <c r="F1556" s="60"/>
      <c r="G1556" s="60"/>
      <c r="H1556" s="60"/>
      <c r="I1556" s="60"/>
      <c r="J1556" s="77"/>
      <c r="K1556" s="43"/>
      <c r="L1556" s="60"/>
      <c r="M1556" s="60"/>
      <c r="N1556" s="77"/>
    </row>
    <row r="1557">
      <c r="A1557" s="60"/>
      <c r="B1557" s="60"/>
      <c r="C1557" s="60"/>
      <c r="D1557" s="60"/>
      <c r="E1557" s="60"/>
      <c r="F1557" s="60"/>
      <c r="G1557" s="60"/>
      <c r="H1557" s="60"/>
      <c r="I1557" s="60"/>
      <c r="J1557" s="77"/>
      <c r="K1557" s="43"/>
      <c r="L1557" s="60"/>
      <c r="M1557" s="60"/>
      <c r="N1557" s="77"/>
    </row>
    <row r="1558">
      <c r="A1558" s="60"/>
      <c r="B1558" s="60"/>
      <c r="C1558" s="60"/>
      <c r="D1558" s="60"/>
      <c r="E1558" s="60"/>
      <c r="F1558" s="60"/>
      <c r="G1558" s="60"/>
      <c r="H1558" s="60"/>
      <c r="I1558" s="60"/>
      <c r="J1558" s="77"/>
      <c r="K1558" s="43"/>
      <c r="L1558" s="60"/>
      <c r="M1558" s="60"/>
      <c r="N1558" s="77"/>
    </row>
    <row r="1559">
      <c r="A1559" s="60"/>
      <c r="B1559" s="60"/>
      <c r="C1559" s="60"/>
      <c r="D1559" s="60"/>
      <c r="E1559" s="60"/>
      <c r="F1559" s="60"/>
      <c r="G1559" s="60"/>
      <c r="H1559" s="60"/>
      <c r="I1559" s="60"/>
      <c r="J1559" s="77"/>
      <c r="K1559" s="43"/>
      <c r="L1559" s="60"/>
      <c r="M1559" s="60"/>
      <c r="N1559" s="77"/>
    </row>
    <row r="1560">
      <c r="A1560" s="60"/>
      <c r="B1560" s="60"/>
      <c r="C1560" s="60"/>
      <c r="D1560" s="60"/>
      <c r="E1560" s="60"/>
      <c r="F1560" s="60"/>
      <c r="G1560" s="60"/>
      <c r="H1560" s="60"/>
      <c r="I1560" s="60"/>
      <c r="J1560" s="77"/>
      <c r="K1560" s="43"/>
      <c r="L1560" s="60"/>
      <c r="M1560" s="60"/>
      <c r="N1560" s="77"/>
    </row>
    <row r="1561">
      <c r="A1561" s="60"/>
      <c r="B1561" s="60"/>
      <c r="C1561" s="60"/>
      <c r="D1561" s="60"/>
      <c r="E1561" s="60"/>
      <c r="F1561" s="60"/>
      <c r="G1561" s="60"/>
      <c r="H1561" s="60"/>
      <c r="I1561" s="60"/>
      <c r="J1561" s="77"/>
      <c r="K1561" s="43"/>
      <c r="L1561" s="60"/>
      <c r="M1561" s="60"/>
      <c r="N1561" s="77"/>
    </row>
    <row r="1562">
      <c r="A1562" s="60"/>
      <c r="B1562" s="60"/>
      <c r="C1562" s="60"/>
      <c r="D1562" s="60"/>
      <c r="E1562" s="60"/>
      <c r="F1562" s="60"/>
      <c r="G1562" s="60"/>
      <c r="H1562" s="60"/>
      <c r="I1562" s="60"/>
      <c r="J1562" s="77"/>
      <c r="K1562" s="43"/>
      <c r="L1562" s="60"/>
      <c r="M1562" s="60"/>
      <c r="N1562" s="77"/>
    </row>
    <row r="1563">
      <c r="A1563" s="60"/>
      <c r="B1563" s="60"/>
      <c r="C1563" s="60"/>
      <c r="D1563" s="60"/>
      <c r="E1563" s="60"/>
      <c r="F1563" s="60"/>
      <c r="G1563" s="60"/>
      <c r="H1563" s="60"/>
      <c r="I1563" s="60"/>
      <c r="J1563" s="77"/>
      <c r="K1563" s="43"/>
      <c r="L1563" s="60"/>
      <c r="M1563" s="60"/>
      <c r="N1563" s="77"/>
    </row>
    <row r="1564">
      <c r="A1564" s="60"/>
      <c r="B1564" s="60"/>
      <c r="C1564" s="60"/>
      <c r="D1564" s="60"/>
      <c r="E1564" s="60"/>
      <c r="F1564" s="60"/>
      <c r="G1564" s="60"/>
      <c r="H1564" s="60"/>
      <c r="I1564" s="60"/>
      <c r="J1564" s="77"/>
      <c r="K1564" s="43"/>
      <c r="L1564" s="60"/>
      <c r="M1564" s="60"/>
      <c r="N1564" s="77"/>
    </row>
    <row r="1565">
      <c r="A1565" s="60"/>
      <c r="B1565" s="60"/>
      <c r="C1565" s="60"/>
      <c r="D1565" s="60"/>
      <c r="E1565" s="60"/>
      <c r="F1565" s="60"/>
      <c r="G1565" s="60"/>
      <c r="H1565" s="60"/>
      <c r="I1565" s="60"/>
      <c r="J1565" s="77"/>
      <c r="K1565" s="43"/>
      <c r="L1565" s="60"/>
      <c r="M1565" s="60"/>
      <c r="N1565" s="77"/>
    </row>
    <row r="1566">
      <c r="A1566" s="60"/>
      <c r="B1566" s="60"/>
      <c r="C1566" s="60"/>
      <c r="D1566" s="60"/>
      <c r="E1566" s="60"/>
      <c r="F1566" s="60"/>
      <c r="G1566" s="60"/>
      <c r="H1566" s="60"/>
      <c r="I1566" s="60"/>
      <c r="J1566" s="77"/>
      <c r="K1566" s="43"/>
      <c r="L1566" s="60"/>
      <c r="M1566" s="60"/>
      <c r="N1566" s="77"/>
    </row>
    <row r="1567">
      <c r="A1567" s="60"/>
      <c r="B1567" s="60"/>
      <c r="C1567" s="60"/>
      <c r="D1567" s="60"/>
      <c r="E1567" s="60"/>
      <c r="F1567" s="60"/>
      <c r="G1567" s="60"/>
      <c r="H1567" s="60"/>
      <c r="I1567" s="60"/>
      <c r="J1567" s="77"/>
      <c r="K1567" s="43"/>
      <c r="L1567" s="60"/>
      <c r="M1567" s="60"/>
      <c r="N1567" s="77"/>
    </row>
    <row r="1568">
      <c r="A1568" s="60"/>
      <c r="B1568" s="60"/>
      <c r="C1568" s="60"/>
      <c r="D1568" s="60"/>
      <c r="E1568" s="60"/>
      <c r="F1568" s="60"/>
      <c r="G1568" s="60"/>
      <c r="H1568" s="60"/>
      <c r="I1568" s="60"/>
      <c r="J1568" s="77"/>
      <c r="K1568" s="43"/>
      <c r="L1568" s="60"/>
      <c r="M1568" s="60"/>
      <c r="N1568" s="77"/>
    </row>
    <row r="1569">
      <c r="A1569" s="60"/>
      <c r="B1569" s="60"/>
      <c r="C1569" s="60"/>
      <c r="D1569" s="60"/>
      <c r="E1569" s="60"/>
      <c r="F1569" s="60"/>
      <c r="G1569" s="60"/>
      <c r="H1569" s="60"/>
      <c r="I1569" s="60"/>
      <c r="J1569" s="77"/>
      <c r="K1569" s="43"/>
      <c r="L1569" s="60"/>
      <c r="M1569" s="60"/>
      <c r="N1569" s="77"/>
    </row>
    <row r="1570">
      <c r="A1570" s="60"/>
      <c r="B1570" s="60"/>
      <c r="C1570" s="60"/>
      <c r="D1570" s="60"/>
      <c r="E1570" s="60"/>
      <c r="F1570" s="60"/>
      <c r="G1570" s="60"/>
      <c r="H1570" s="60"/>
      <c r="I1570" s="60"/>
      <c r="J1570" s="77"/>
      <c r="K1570" s="43"/>
      <c r="L1570" s="60"/>
      <c r="M1570" s="60"/>
      <c r="N1570" s="77"/>
    </row>
    <row r="1571">
      <c r="A1571" s="60"/>
      <c r="B1571" s="60"/>
      <c r="C1571" s="60"/>
      <c r="D1571" s="60"/>
      <c r="E1571" s="60"/>
      <c r="F1571" s="60"/>
      <c r="G1571" s="60"/>
      <c r="H1571" s="60"/>
      <c r="I1571" s="60"/>
      <c r="J1571" s="77"/>
      <c r="K1571" s="43"/>
      <c r="L1571" s="60"/>
      <c r="M1571" s="60"/>
      <c r="N1571" s="77"/>
    </row>
    <row r="1572">
      <c r="A1572" s="60"/>
      <c r="B1572" s="60"/>
      <c r="C1572" s="60"/>
      <c r="D1572" s="60"/>
      <c r="E1572" s="60"/>
      <c r="F1572" s="60"/>
      <c r="G1572" s="60"/>
      <c r="H1572" s="60"/>
      <c r="I1572" s="60"/>
      <c r="J1572" s="77"/>
      <c r="K1572" s="43"/>
      <c r="L1572" s="60"/>
      <c r="M1572" s="60"/>
      <c r="N1572" s="77"/>
    </row>
    <row r="1573">
      <c r="A1573" s="60"/>
      <c r="B1573" s="60"/>
      <c r="C1573" s="60"/>
      <c r="D1573" s="60"/>
      <c r="E1573" s="60"/>
      <c r="F1573" s="60"/>
      <c r="G1573" s="60"/>
      <c r="H1573" s="60"/>
      <c r="I1573" s="60"/>
      <c r="J1573" s="77"/>
      <c r="K1573" s="43"/>
      <c r="L1573" s="60"/>
      <c r="M1573" s="60"/>
      <c r="N1573" s="77"/>
    </row>
    <row r="1574">
      <c r="A1574" s="60"/>
      <c r="B1574" s="60"/>
      <c r="C1574" s="60"/>
      <c r="D1574" s="60"/>
      <c r="E1574" s="60"/>
      <c r="F1574" s="60"/>
      <c r="G1574" s="60"/>
      <c r="H1574" s="60"/>
      <c r="I1574" s="60"/>
      <c r="J1574" s="77"/>
      <c r="K1574" s="43"/>
      <c r="L1574" s="60"/>
      <c r="M1574" s="60"/>
      <c r="N1574" s="77"/>
    </row>
    <row r="1575">
      <c r="A1575" s="60"/>
      <c r="B1575" s="60"/>
      <c r="C1575" s="60"/>
      <c r="D1575" s="60"/>
      <c r="E1575" s="60"/>
      <c r="F1575" s="60"/>
      <c r="G1575" s="60"/>
      <c r="H1575" s="60"/>
      <c r="I1575" s="60"/>
      <c r="J1575" s="77"/>
      <c r="K1575" s="43"/>
      <c r="L1575" s="60"/>
      <c r="M1575" s="60"/>
      <c r="N1575" s="77"/>
    </row>
    <row r="1576">
      <c r="A1576" s="60"/>
      <c r="B1576" s="60"/>
      <c r="C1576" s="60"/>
      <c r="D1576" s="60"/>
      <c r="E1576" s="60"/>
      <c r="F1576" s="60"/>
      <c r="G1576" s="60"/>
      <c r="H1576" s="60"/>
      <c r="I1576" s="60"/>
      <c r="J1576" s="77"/>
      <c r="K1576" s="43"/>
      <c r="L1576" s="60"/>
      <c r="M1576" s="60"/>
      <c r="N1576" s="77"/>
    </row>
    <row r="1577">
      <c r="A1577" s="60"/>
      <c r="B1577" s="60"/>
      <c r="C1577" s="60"/>
      <c r="D1577" s="60"/>
      <c r="E1577" s="60"/>
      <c r="F1577" s="60"/>
      <c r="G1577" s="60"/>
      <c r="H1577" s="60"/>
      <c r="I1577" s="60"/>
      <c r="J1577" s="77"/>
      <c r="K1577" s="43"/>
      <c r="L1577" s="60"/>
      <c r="M1577" s="60"/>
      <c r="N1577" s="77"/>
    </row>
    <row r="1578">
      <c r="A1578" s="60"/>
      <c r="B1578" s="60"/>
      <c r="C1578" s="60"/>
      <c r="D1578" s="60"/>
      <c r="E1578" s="60"/>
      <c r="F1578" s="60"/>
      <c r="G1578" s="60"/>
      <c r="H1578" s="60"/>
      <c r="I1578" s="60"/>
      <c r="J1578" s="77"/>
      <c r="K1578" s="43"/>
      <c r="L1578" s="60"/>
      <c r="M1578" s="60"/>
      <c r="N1578" s="77"/>
    </row>
    <row r="1579">
      <c r="A1579" s="60"/>
      <c r="B1579" s="60"/>
      <c r="C1579" s="60"/>
      <c r="D1579" s="60"/>
      <c r="E1579" s="60"/>
      <c r="F1579" s="60"/>
      <c r="G1579" s="60"/>
      <c r="H1579" s="60"/>
      <c r="I1579" s="60"/>
      <c r="J1579" s="77"/>
      <c r="K1579" s="43"/>
      <c r="L1579" s="60"/>
      <c r="M1579" s="60"/>
      <c r="N1579" s="77"/>
    </row>
    <row r="1580">
      <c r="A1580" s="60"/>
      <c r="B1580" s="60"/>
      <c r="C1580" s="60"/>
      <c r="D1580" s="60"/>
      <c r="E1580" s="60"/>
      <c r="F1580" s="60"/>
      <c r="G1580" s="60"/>
      <c r="H1580" s="60"/>
      <c r="I1580" s="60"/>
      <c r="J1580" s="77"/>
      <c r="K1580" s="43"/>
      <c r="L1580" s="60"/>
      <c r="M1580" s="60"/>
      <c r="N1580" s="77"/>
    </row>
    <row r="1581">
      <c r="A1581" s="60"/>
      <c r="B1581" s="60"/>
      <c r="C1581" s="60"/>
      <c r="D1581" s="60"/>
      <c r="E1581" s="60"/>
      <c r="F1581" s="60"/>
      <c r="G1581" s="60"/>
      <c r="H1581" s="60"/>
      <c r="I1581" s="60"/>
      <c r="J1581" s="77"/>
      <c r="K1581" s="43"/>
      <c r="L1581" s="60"/>
      <c r="M1581" s="60"/>
      <c r="N1581" s="77"/>
    </row>
    <row r="1582">
      <c r="A1582" s="60"/>
      <c r="B1582" s="60"/>
      <c r="C1582" s="60"/>
      <c r="D1582" s="60"/>
      <c r="E1582" s="60"/>
      <c r="F1582" s="60"/>
      <c r="G1582" s="60"/>
      <c r="H1582" s="60"/>
      <c r="I1582" s="60"/>
      <c r="J1582" s="77"/>
      <c r="K1582" s="43"/>
      <c r="L1582" s="60"/>
      <c r="M1582" s="60"/>
      <c r="N1582" s="77"/>
    </row>
    <row r="1583">
      <c r="A1583" s="60"/>
      <c r="B1583" s="60"/>
      <c r="C1583" s="60"/>
      <c r="D1583" s="60"/>
      <c r="E1583" s="60"/>
      <c r="F1583" s="60"/>
      <c r="G1583" s="60"/>
      <c r="H1583" s="60"/>
      <c r="I1583" s="60"/>
      <c r="J1583" s="77"/>
      <c r="K1583" s="43"/>
      <c r="L1583" s="60"/>
      <c r="M1583" s="60"/>
      <c r="N1583" s="77"/>
    </row>
    <row r="1584">
      <c r="A1584" s="60"/>
      <c r="B1584" s="60"/>
      <c r="C1584" s="60"/>
      <c r="D1584" s="60"/>
      <c r="E1584" s="60"/>
      <c r="F1584" s="60"/>
      <c r="G1584" s="60"/>
      <c r="H1584" s="60"/>
      <c r="I1584" s="60"/>
      <c r="J1584" s="77"/>
      <c r="K1584" s="43"/>
      <c r="L1584" s="60"/>
      <c r="M1584" s="60"/>
      <c r="N1584" s="77"/>
    </row>
    <row r="1585">
      <c r="A1585" s="60"/>
      <c r="B1585" s="60"/>
      <c r="C1585" s="60"/>
      <c r="D1585" s="60"/>
      <c r="E1585" s="60"/>
      <c r="F1585" s="60"/>
      <c r="G1585" s="60"/>
      <c r="H1585" s="60"/>
      <c r="I1585" s="60"/>
      <c r="J1585" s="77"/>
      <c r="K1585" s="43"/>
      <c r="L1585" s="60"/>
      <c r="M1585" s="60"/>
      <c r="N1585" s="77"/>
    </row>
    <row r="1586">
      <c r="A1586" s="60"/>
      <c r="B1586" s="60"/>
      <c r="C1586" s="60"/>
      <c r="D1586" s="60"/>
      <c r="E1586" s="60"/>
      <c r="F1586" s="60"/>
      <c r="G1586" s="60"/>
      <c r="H1586" s="60"/>
      <c r="I1586" s="60"/>
      <c r="J1586" s="77"/>
      <c r="K1586" s="43"/>
      <c r="L1586" s="60"/>
      <c r="M1586" s="60"/>
      <c r="N1586" s="77"/>
    </row>
    <row r="1587">
      <c r="A1587" s="60"/>
      <c r="B1587" s="60"/>
      <c r="C1587" s="60"/>
      <c r="D1587" s="60"/>
      <c r="E1587" s="60"/>
      <c r="F1587" s="60"/>
      <c r="G1587" s="60"/>
      <c r="H1587" s="60"/>
      <c r="I1587" s="60"/>
      <c r="J1587" s="77"/>
      <c r="K1587" s="43"/>
      <c r="L1587" s="60"/>
      <c r="M1587" s="60"/>
      <c r="N1587" s="77"/>
    </row>
    <row r="1588">
      <c r="A1588" s="60"/>
      <c r="B1588" s="60"/>
      <c r="C1588" s="60"/>
      <c r="D1588" s="60"/>
      <c r="E1588" s="60"/>
      <c r="F1588" s="60"/>
      <c r="G1588" s="60"/>
      <c r="H1588" s="60"/>
      <c r="I1588" s="60"/>
      <c r="J1588" s="77"/>
      <c r="K1588" s="43"/>
      <c r="L1588" s="60"/>
      <c r="M1588" s="60"/>
      <c r="N1588" s="77"/>
    </row>
    <row r="1589">
      <c r="A1589" s="60"/>
      <c r="B1589" s="60"/>
      <c r="C1589" s="60"/>
      <c r="D1589" s="60"/>
      <c r="E1589" s="60"/>
      <c r="F1589" s="60"/>
      <c r="G1589" s="60"/>
      <c r="H1589" s="60"/>
      <c r="I1589" s="60"/>
      <c r="J1589" s="77"/>
      <c r="K1589" s="43"/>
      <c r="L1589" s="60"/>
      <c r="M1589" s="60"/>
      <c r="N1589" s="77"/>
    </row>
    <row r="1590">
      <c r="A1590" s="60"/>
      <c r="B1590" s="60"/>
      <c r="C1590" s="60"/>
      <c r="D1590" s="60"/>
      <c r="E1590" s="60"/>
      <c r="F1590" s="60"/>
      <c r="G1590" s="60"/>
      <c r="H1590" s="60"/>
      <c r="I1590" s="60"/>
      <c r="J1590" s="77"/>
      <c r="K1590" s="43"/>
      <c r="L1590" s="60"/>
      <c r="M1590" s="60"/>
      <c r="N1590" s="77"/>
    </row>
    <row r="1591">
      <c r="A1591" s="60"/>
      <c r="B1591" s="60"/>
      <c r="C1591" s="60"/>
      <c r="D1591" s="60"/>
      <c r="E1591" s="60"/>
      <c r="F1591" s="60"/>
      <c r="G1591" s="60"/>
      <c r="H1591" s="60"/>
      <c r="I1591" s="60"/>
      <c r="J1591" s="77"/>
      <c r="K1591" s="43"/>
      <c r="L1591" s="60"/>
      <c r="M1591" s="60"/>
      <c r="N1591" s="77"/>
    </row>
    <row r="1592">
      <c r="A1592" s="60"/>
      <c r="B1592" s="60"/>
      <c r="C1592" s="60"/>
      <c r="D1592" s="60"/>
      <c r="E1592" s="60"/>
      <c r="F1592" s="60"/>
      <c r="G1592" s="60"/>
      <c r="H1592" s="60"/>
      <c r="I1592" s="60"/>
      <c r="J1592" s="77"/>
      <c r="K1592" s="43"/>
      <c r="L1592" s="60"/>
      <c r="M1592" s="60"/>
      <c r="N1592" s="77"/>
    </row>
    <row r="1593">
      <c r="A1593" s="60"/>
      <c r="B1593" s="60"/>
      <c r="C1593" s="60"/>
      <c r="D1593" s="60"/>
      <c r="E1593" s="60"/>
      <c r="F1593" s="60"/>
      <c r="G1593" s="60"/>
      <c r="H1593" s="60"/>
      <c r="I1593" s="60"/>
      <c r="J1593" s="77"/>
      <c r="K1593" s="43"/>
      <c r="L1593" s="60"/>
      <c r="M1593" s="60"/>
      <c r="N1593" s="77"/>
    </row>
    <row r="1594">
      <c r="A1594" s="60"/>
      <c r="B1594" s="60"/>
      <c r="C1594" s="60"/>
      <c r="D1594" s="60"/>
      <c r="E1594" s="60"/>
      <c r="F1594" s="60"/>
      <c r="G1594" s="60"/>
      <c r="H1594" s="60"/>
      <c r="I1594" s="60"/>
      <c r="J1594" s="77"/>
      <c r="K1594" s="43"/>
      <c r="L1594" s="60"/>
      <c r="M1594" s="60"/>
      <c r="N1594" s="77"/>
    </row>
    <row r="1595">
      <c r="A1595" s="60"/>
      <c r="B1595" s="60"/>
      <c r="C1595" s="60"/>
      <c r="D1595" s="60"/>
      <c r="E1595" s="60"/>
      <c r="F1595" s="60"/>
      <c r="G1595" s="60"/>
      <c r="H1595" s="60"/>
      <c r="I1595" s="60"/>
      <c r="J1595" s="77"/>
      <c r="K1595" s="43"/>
      <c r="L1595" s="60"/>
      <c r="M1595" s="60"/>
      <c r="N1595" s="77"/>
    </row>
    <row r="1596">
      <c r="A1596" s="60"/>
      <c r="B1596" s="60"/>
      <c r="C1596" s="60"/>
      <c r="D1596" s="60"/>
      <c r="E1596" s="60"/>
      <c r="F1596" s="60"/>
      <c r="G1596" s="60"/>
      <c r="H1596" s="60"/>
      <c r="I1596" s="60"/>
      <c r="J1596" s="77"/>
      <c r="K1596" s="43"/>
      <c r="L1596" s="60"/>
      <c r="M1596" s="60"/>
      <c r="N1596" s="77"/>
    </row>
    <row r="1597">
      <c r="A1597" s="60"/>
      <c r="B1597" s="60"/>
      <c r="C1597" s="60"/>
      <c r="D1597" s="60"/>
      <c r="E1597" s="60"/>
      <c r="F1597" s="60"/>
      <c r="G1597" s="60"/>
      <c r="H1597" s="60"/>
      <c r="I1597" s="60"/>
      <c r="J1597" s="77"/>
      <c r="K1597" s="43"/>
      <c r="L1597" s="60"/>
      <c r="M1597" s="60"/>
      <c r="N1597" s="77"/>
    </row>
    <row r="1598">
      <c r="A1598" s="60"/>
      <c r="B1598" s="60"/>
      <c r="C1598" s="60"/>
      <c r="D1598" s="60"/>
      <c r="E1598" s="60"/>
      <c r="F1598" s="60"/>
      <c r="G1598" s="60"/>
      <c r="H1598" s="60"/>
      <c r="I1598" s="60"/>
      <c r="J1598" s="77"/>
      <c r="K1598" s="43"/>
      <c r="L1598" s="60"/>
      <c r="M1598" s="60"/>
      <c r="N1598" s="77"/>
    </row>
    <row r="1599">
      <c r="A1599" s="60"/>
      <c r="B1599" s="60"/>
      <c r="C1599" s="60"/>
      <c r="D1599" s="60"/>
      <c r="E1599" s="60"/>
      <c r="F1599" s="60"/>
      <c r="G1599" s="60"/>
      <c r="H1599" s="60"/>
      <c r="I1599" s="60"/>
      <c r="J1599" s="77"/>
      <c r="K1599" s="43"/>
      <c r="L1599" s="60"/>
      <c r="M1599" s="60"/>
      <c r="N1599" s="77"/>
    </row>
    <row r="1600">
      <c r="A1600" s="60"/>
      <c r="B1600" s="60"/>
      <c r="C1600" s="60"/>
      <c r="D1600" s="60"/>
      <c r="E1600" s="60"/>
      <c r="F1600" s="60"/>
      <c r="G1600" s="60"/>
      <c r="H1600" s="60"/>
      <c r="I1600" s="60"/>
      <c r="J1600" s="77"/>
      <c r="K1600" s="43"/>
      <c r="L1600" s="60"/>
      <c r="M1600" s="60"/>
      <c r="N1600" s="77"/>
    </row>
    <row r="1601">
      <c r="A1601" s="60"/>
      <c r="B1601" s="60"/>
      <c r="C1601" s="60"/>
      <c r="D1601" s="60"/>
      <c r="E1601" s="60"/>
      <c r="F1601" s="60"/>
      <c r="G1601" s="60"/>
      <c r="H1601" s="60"/>
      <c r="I1601" s="60"/>
      <c r="J1601" s="77"/>
      <c r="K1601" s="43"/>
      <c r="L1601" s="60"/>
      <c r="M1601" s="60"/>
      <c r="N1601" s="77"/>
    </row>
    <row r="1602">
      <c r="A1602" s="60"/>
      <c r="B1602" s="60"/>
      <c r="C1602" s="60"/>
      <c r="D1602" s="60"/>
      <c r="E1602" s="60"/>
      <c r="F1602" s="60"/>
      <c r="G1602" s="60"/>
      <c r="H1602" s="60"/>
      <c r="I1602" s="60"/>
      <c r="J1602" s="77"/>
      <c r="K1602" s="43"/>
      <c r="L1602" s="60"/>
      <c r="M1602" s="60"/>
      <c r="N1602" s="77"/>
    </row>
    <row r="1603">
      <c r="A1603" s="60"/>
      <c r="B1603" s="60"/>
      <c r="C1603" s="60"/>
      <c r="D1603" s="60"/>
      <c r="E1603" s="60"/>
      <c r="F1603" s="60"/>
      <c r="G1603" s="60"/>
      <c r="H1603" s="60"/>
      <c r="I1603" s="60"/>
      <c r="J1603" s="77"/>
      <c r="K1603" s="43"/>
      <c r="L1603" s="60"/>
      <c r="M1603" s="60"/>
      <c r="N1603" s="77"/>
    </row>
    <row r="1604">
      <c r="A1604" s="60"/>
      <c r="B1604" s="60"/>
      <c r="C1604" s="60"/>
      <c r="D1604" s="60"/>
      <c r="E1604" s="60"/>
      <c r="F1604" s="60"/>
      <c r="G1604" s="60"/>
      <c r="H1604" s="60"/>
      <c r="I1604" s="60"/>
      <c r="J1604" s="77"/>
      <c r="K1604" s="43"/>
      <c r="L1604" s="60"/>
      <c r="M1604" s="60"/>
      <c r="N1604" s="77"/>
    </row>
    <row r="1605">
      <c r="A1605" s="60"/>
      <c r="B1605" s="60"/>
      <c r="C1605" s="60"/>
      <c r="D1605" s="60"/>
      <c r="E1605" s="60"/>
      <c r="F1605" s="60"/>
      <c r="G1605" s="60"/>
      <c r="H1605" s="60"/>
      <c r="I1605" s="60"/>
      <c r="J1605" s="77"/>
      <c r="K1605" s="43"/>
      <c r="L1605" s="60"/>
      <c r="M1605" s="60"/>
      <c r="N1605" s="77"/>
    </row>
    <row r="1606">
      <c r="A1606" s="60"/>
      <c r="B1606" s="60"/>
      <c r="C1606" s="60"/>
      <c r="D1606" s="60"/>
      <c r="E1606" s="60"/>
      <c r="F1606" s="60"/>
      <c r="G1606" s="60"/>
      <c r="H1606" s="60"/>
      <c r="I1606" s="60"/>
      <c r="J1606" s="77"/>
      <c r="K1606" s="43"/>
      <c r="L1606" s="60"/>
      <c r="M1606" s="60"/>
      <c r="N1606" s="77"/>
    </row>
    <row r="1607">
      <c r="A1607" s="60"/>
      <c r="B1607" s="60"/>
      <c r="C1607" s="60"/>
      <c r="D1607" s="60"/>
      <c r="E1607" s="60"/>
      <c r="F1607" s="60"/>
      <c r="G1607" s="60"/>
      <c r="H1607" s="60"/>
      <c r="I1607" s="60"/>
      <c r="J1607" s="77"/>
      <c r="K1607" s="43"/>
      <c r="L1607" s="60"/>
      <c r="M1607" s="60"/>
      <c r="N1607" s="77"/>
    </row>
    <row r="1608">
      <c r="A1608" s="60"/>
      <c r="B1608" s="60"/>
      <c r="C1608" s="60"/>
      <c r="D1608" s="60"/>
      <c r="E1608" s="60"/>
      <c r="F1608" s="60"/>
      <c r="G1608" s="60"/>
      <c r="H1608" s="60"/>
      <c r="I1608" s="60"/>
      <c r="J1608" s="77"/>
      <c r="K1608" s="43"/>
      <c r="L1608" s="60"/>
      <c r="M1608" s="60"/>
      <c r="N1608" s="77"/>
    </row>
    <row r="1609">
      <c r="A1609" s="60"/>
      <c r="B1609" s="60"/>
      <c r="C1609" s="60"/>
      <c r="D1609" s="60"/>
      <c r="E1609" s="60"/>
      <c r="F1609" s="60"/>
      <c r="G1609" s="60"/>
      <c r="H1609" s="60"/>
      <c r="I1609" s="60"/>
      <c r="J1609" s="77"/>
      <c r="K1609" s="43"/>
      <c r="L1609" s="60"/>
      <c r="M1609" s="60"/>
      <c r="N1609" s="77"/>
    </row>
    <row r="1610">
      <c r="A1610" s="60"/>
      <c r="B1610" s="60"/>
      <c r="C1610" s="60"/>
      <c r="D1610" s="60"/>
      <c r="E1610" s="60"/>
      <c r="F1610" s="60"/>
      <c r="G1610" s="60"/>
      <c r="H1610" s="60"/>
      <c r="I1610" s="60"/>
      <c r="J1610" s="77"/>
      <c r="K1610" s="43"/>
      <c r="L1610" s="60"/>
      <c r="M1610" s="60"/>
      <c r="N1610" s="77"/>
    </row>
    <row r="1611">
      <c r="A1611" s="60"/>
      <c r="B1611" s="60"/>
      <c r="C1611" s="60"/>
      <c r="D1611" s="60"/>
      <c r="E1611" s="60"/>
      <c r="F1611" s="60"/>
      <c r="G1611" s="60"/>
      <c r="H1611" s="60"/>
      <c r="I1611" s="60"/>
      <c r="J1611" s="77"/>
      <c r="K1611" s="43"/>
      <c r="L1611" s="60"/>
      <c r="M1611" s="60"/>
      <c r="N1611" s="77"/>
    </row>
    <row r="1612">
      <c r="A1612" s="60"/>
      <c r="B1612" s="60"/>
      <c r="C1612" s="60"/>
      <c r="D1612" s="60"/>
      <c r="E1612" s="60"/>
      <c r="F1612" s="60"/>
      <c r="G1612" s="60"/>
      <c r="H1612" s="60"/>
      <c r="I1612" s="60"/>
      <c r="J1612" s="77"/>
      <c r="K1612" s="43"/>
      <c r="L1612" s="60"/>
      <c r="M1612" s="60"/>
      <c r="N1612" s="77"/>
    </row>
    <row r="1613">
      <c r="A1613" s="60"/>
      <c r="B1613" s="60"/>
      <c r="C1613" s="60"/>
      <c r="D1613" s="60"/>
      <c r="E1613" s="60"/>
      <c r="F1613" s="60"/>
      <c r="G1613" s="60"/>
      <c r="H1613" s="60"/>
      <c r="I1613" s="60"/>
      <c r="J1613" s="77"/>
      <c r="K1613" s="43"/>
      <c r="L1613" s="60"/>
      <c r="M1613" s="60"/>
      <c r="N1613" s="77"/>
    </row>
    <row r="1614">
      <c r="A1614" s="60"/>
      <c r="B1614" s="60"/>
      <c r="C1614" s="60"/>
      <c r="D1614" s="60"/>
      <c r="E1614" s="60"/>
      <c r="F1614" s="60"/>
      <c r="G1614" s="60"/>
      <c r="H1614" s="60"/>
      <c r="I1614" s="60"/>
      <c r="J1614" s="77"/>
      <c r="K1614" s="43"/>
      <c r="L1614" s="60"/>
      <c r="M1614" s="60"/>
      <c r="N1614" s="77"/>
    </row>
    <row r="1615">
      <c r="A1615" s="60"/>
      <c r="B1615" s="60"/>
      <c r="C1615" s="60"/>
      <c r="D1615" s="60"/>
      <c r="E1615" s="60"/>
      <c r="F1615" s="60"/>
      <c r="G1615" s="60"/>
      <c r="H1615" s="60"/>
      <c r="I1615" s="60"/>
      <c r="J1615" s="77"/>
      <c r="K1615" s="43"/>
      <c r="L1615" s="60"/>
      <c r="M1615" s="60"/>
      <c r="N1615" s="77"/>
    </row>
    <row r="1616">
      <c r="A1616" s="60"/>
      <c r="B1616" s="60"/>
      <c r="C1616" s="60"/>
      <c r="D1616" s="60"/>
      <c r="E1616" s="60"/>
      <c r="F1616" s="60"/>
      <c r="G1616" s="60"/>
      <c r="H1616" s="60"/>
      <c r="I1616" s="60"/>
      <c r="J1616" s="77"/>
      <c r="K1616" s="43"/>
      <c r="L1616" s="60"/>
      <c r="M1616" s="60"/>
      <c r="N1616" s="77"/>
    </row>
    <row r="1617">
      <c r="A1617" s="60"/>
      <c r="B1617" s="60"/>
      <c r="C1617" s="60"/>
      <c r="D1617" s="60"/>
      <c r="E1617" s="60"/>
      <c r="F1617" s="60"/>
      <c r="G1617" s="60"/>
      <c r="H1617" s="60"/>
      <c r="I1617" s="60"/>
      <c r="J1617" s="77"/>
      <c r="K1617" s="43"/>
      <c r="L1617" s="60"/>
      <c r="M1617" s="60"/>
      <c r="N1617" s="77"/>
    </row>
    <row r="1618">
      <c r="A1618" s="60"/>
      <c r="B1618" s="60"/>
      <c r="C1618" s="60"/>
      <c r="D1618" s="60"/>
      <c r="E1618" s="60"/>
      <c r="F1618" s="60"/>
      <c r="G1618" s="60"/>
      <c r="H1618" s="60"/>
      <c r="I1618" s="60"/>
      <c r="J1618" s="77"/>
      <c r="K1618" s="43"/>
      <c r="L1618" s="60"/>
      <c r="M1618" s="60"/>
      <c r="N1618" s="77"/>
    </row>
    <row r="1619">
      <c r="A1619" s="60"/>
      <c r="B1619" s="60"/>
      <c r="C1619" s="60"/>
      <c r="D1619" s="60"/>
      <c r="E1619" s="60"/>
      <c r="F1619" s="60"/>
      <c r="G1619" s="60"/>
      <c r="H1619" s="60"/>
      <c r="I1619" s="60"/>
      <c r="J1619" s="77"/>
      <c r="K1619" s="43"/>
      <c r="L1619" s="60"/>
      <c r="M1619" s="60"/>
      <c r="N1619" s="77"/>
    </row>
    <row r="1620">
      <c r="A1620" s="60"/>
      <c r="B1620" s="60"/>
      <c r="C1620" s="60"/>
      <c r="D1620" s="60"/>
      <c r="E1620" s="60"/>
      <c r="F1620" s="60"/>
      <c r="G1620" s="60"/>
      <c r="H1620" s="60"/>
      <c r="I1620" s="60"/>
      <c r="J1620" s="77"/>
      <c r="K1620" s="43"/>
      <c r="L1620" s="60"/>
      <c r="M1620" s="60"/>
      <c r="N1620" s="77"/>
    </row>
    <row r="1621">
      <c r="A1621" s="60"/>
      <c r="B1621" s="60"/>
      <c r="C1621" s="60"/>
      <c r="D1621" s="60"/>
      <c r="E1621" s="60"/>
      <c r="F1621" s="60"/>
      <c r="G1621" s="60"/>
      <c r="H1621" s="60"/>
      <c r="I1621" s="60"/>
      <c r="J1621" s="77"/>
      <c r="K1621" s="43"/>
      <c r="L1621" s="60"/>
      <c r="M1621" s="60"/>
      <c r="N1621" s="77"/>
    </row>
    <row r="1622">
      <c r="A1622" s="60"/>
      <c r="B1622" s="60"/>
      <c r="C1622" s="60"/>
      <c r="D1622" s="60"/>
      <c r="E1622" s="60"/>
      <c r="F1622" s="60"/>
      <c r="G1622" s="60"/>
      <c r="H1622" s="60"/>
      <c r="I1622" s="60"/>
      <c r="J1622" s="77"/>
      <c r="K1622" s="43"/>
      <c r="L1622" s="60"/>
      <c r="M1622" s="60"/>
      <c r="N1622" s="77"/>
    </row>
    <row r="1623">
      <c r="A1623" s="60"/>
      <c r="B1623" s="60"/>
      <c r="C1623" s="60"/>
      <c r="D1623" s="60"/>
      <c r="E1623" s="60"/>
      <c r="F1623" s="60"/>
      <c r="G1623" s="60"/>
      <c r="H1623" s="60"/>
      <c r="I1623" s="60"/>
      <c r="J1623" s="77"/>
      <c r="K1623" s="43"/>
      <c r="L1623" s="60"/>
      <c r="M1623" s="60"/>
      <c r="N1623" s="77"/>
    </row>
    <row r="1624">
      <c r="A1624" s="60"/>
      <c r="B1624" s="60"/>
      <c r="C1624" s="60"/>
      <c r="D1624" s="60"/>
      <c r="E1624" s="60"/>
      <c r="F1624" s="60"/>
      <c r="G1624" s="60"/>
      <c r="H1624" s="60"/>
      <c r="I1624" s="60"/>
      <c r="J1624" s="77"/>
      <c r="K1624" s="43"/>
      <c r="L1624" s="60"/>
      <c r="M1624" s="60"/>
      <c r="N1624" s="77"/>
    </row>
    <row r="1625">
      <c r="A1625" s="60"/>
      <c r="B1625" s="60"/>
      <c r="C1625" s="60"/>
      <c r="D1625" s="60"/>
      <c r="E1625" s="60"/>
      <c r="F1625" s="60"/>
      <c r="G1625" s="60"/>
      <c r="H1625" s="60"/>
      <c r="I1625" s="60"/>
      <c r="J1625" s="77"/>
      <c r="K1625" s="43"/>
      <c r="L1625" s="60"/>
      <c r="M1625" s="60"/>
      <c r="N1625" s="77"/>
    </row>
    <row r="1626">
      <c r="A1626" s="60"/>
      <c r="B1626" s="60"/>
      <c r="C1626" s="60"/>
      <c r="D1626" s="60"/>
      <c r="E1626" s="60"/>
      <c r="F1626" s="60"/>
      <c r="G1626" s="60"/>
      <c r="H1626" s="60"/>
      <c r="I1626" s="60"/>
      <c r="J1626" s="77"/>
      <c r="K1626" s="43"/>
      <c r="L1626" s="60"/>
      <c r="M1626" s="60"/>
      <c r="N1626" s="77"/>
    </row>
    <row r="1627">
      <c r="A1627" s="60"/>
      <c r="B1627" s="60"/>
      <c r="C1627" s="60"/>
      <c r="D1627" s="60"/>
      <c r="E1627" s="60"/>
      <c r="F1627" s="60"/>
      <c r="G1627" s="60"/>
      <c r="H1627" s="60"/>
      <c r="I1627" s="60"/>
      <c r="J1627" s="77"/>
      <c r="K1627" s="43"/>
      <c r="L1627" s="60"/>
      <c r="M1627" s="60"/>
      <c r="N1627" s="77"/>
    </row>
    <row r="1628">
      <c r="A1628" s="60"/>
      <c r="B1628" s="60"/>
      <c r="C1628" s="60"/>
      <c r="D1628" s="60"/>
      <c r="E1628" s="60"/>
      <c r="F1628" s="60"/>
      <c r="G1628" s="60"/>
      <c r="H1628" s="60"/>
      <c r="I1628" s="60"/>
      <c r="J1628" s="77"/>
      <c r="K1628" s="43"/>
      <c r="L1628" s="60"/>
      <c r="M1628" s="60"/>
      <c r="N1628" s="77"/>
    </row>
    <row r="1629">
      <c r="A1629" s="60"/>
      <c r="B1629" s="60"/>
      <c r="C1629" s="60"/>
      <c r="D1629" s="60"/>
      <c r="E1629" s="60"/>
      <c r="F1629" s="60"/>
      <c r="G1629" s="60"/>
      <c r="H1629" s="60"/>
      <c r="I1629" s="60"/>
      <c r="J1629" s="77"/>
      <c r="K1629" s="43"/>
      <c r="L1629" s="60"/>
      <c r="M1629" s="60"/>
      <c r="N1629" s="77"/>
    </row>
    <row r="1630">
      <c r="A1630" s="60"/>
      <c r="B1630" s="60"/>
      <c r="C1630" s="60"/>
      <c r="D1630" s="60"/>
      <c r="E1630" s="60"/>
      <c r="F1630" s="60"/>
      <c r="G1630" s="60"/>
      <c r="H1630" s="60"/>
      <c r="I1630" s="60"/>
      <c r="J1630" s="77"/>
      <c r="K1630" s="43"/>
      <c r="L1630" s="60"/>
      <c r="M1630" s="60"/>
      <c r="N1630" s="77"/>
    </row>
    <row r="1631">
      <c r="A1631" s="60"/>
      <c r="B1631" s="60"/>
      <c r="C1631" s="60"/>
      <c r="D1631" s="60"/>
      <c r="E1631" s="60"/>
      <c r="F1631" s="60"/>
      <c r="G1631" s="60"/>
      <c r="H1631" s="60"/>
      <c r="I1631" s="60"/>
      <c r="J1631" s="77"/>
      <c r="K1631" s="43"/>
      <c r="L1631" s="60"/>
      <c r="M1631" s="60"/>
      <c r="N1631" s="77"/>
    </row>
    <row r="1632">
      <c r="A1632" s="60"/>
      <c r="B1632" s="60"/>
      <c r="C1632" s="60"/>
      <c r="D1632" s="60"/>
      <c r="E1632" s="60"/>
      <c r="F1632" s="60"/>
      <c r="G1632" s="60"/>
      <c r="H1632" s="60"/>
      <c r="I1632" s="60"/>
      <c r="J1632" s="77"/>
      <c r="K1632" s="43"/>
      <c r="L1632" s="60"/>
      <c r="M1632" s="60"/>
      <c r="N1632" s="77"/>
    </row>
    <row r="1633">
      <c r="A1633" s="60"/>
      <c r="B1633" s="60"/>
      <c r="C1633" s="60"/>
      <c r="D1633" s="60"/>
      <c r="E1633" s="60"/>
      <c r="F1633" s="60"/>
      <c r="G1633" s="60"/>
      <c r="H1633" s="60"/>
      <c r="I1633" s="60"/>
      <c r="J1633" s="77"/>
      <c r="K1633" s="43"/>
      <c r="L1633" s="60"/>
      <c r="M1633" s="60"/>
      <c r="N1633" s="77"/>
    </row>
    <row r="1634">
      <c r="A1634" s="60"/>
      <c r="B1634" s="60"/>
      <c r="C1634" s="60"/>
      <c r="D1634" s="60"/>
      <c r="E1634" s="60"/>
      <c r="F1634" s="60"/>
      <c r="G1634" s="60"/>
      <c r="H1634" s="60"/>
      <c r="I1634" s="60"/>
      <c r="J1634" s="77"/>
      <c r="K1634" s="43"/>
      <c r="L1634" s="60"/>
      <c r="M1634" s="60"/>
      <c r="N1634" s="77"/>
    </row>
    <row r="1635">
      <c r="A1635" s="60"/>
      <c r="B1635" s="60"/>
      <c r="C1635" s="60"/>
      <c r="D1635" s="60"/>
      <c r="E1635" s="60"/>
      <c r="F1635" s="60"/>
      <c r="G1635" s="60"/>
      <c r="H1635" s="60"/>
      <c r="I1635" s="60"/>
      <c r="J1635" s="77"/>
      <c r="K1635" s="43"/>
      <c r="L1635" s="60"/>
      <c r="M1635" s="60"/>
      <c r="N1635" s="77"/>
    </row>
    <row r="1636">
      <c r="A1636" s="60"/>
      <c r="B1636" s="60"/>
      <c r="C1636" s="60"/>
      <c r="D1636" s="60"/>
      <c r="E1636" s="60"/>
      <c r="F1636" s="60"/>
      <c r="G1636" s="60"/>
      <c r="H1636" s="60"/>
      <c r="I1636" s="60"/>
      <c r="J1636" s="77"/>
      <c r="K1636" s="43"/>
      <c r="L1636" s="60"/>
      <c r="M1636" s="60"/>
      <c r="N1636" s="77"/>
    </row>
    <row r="1637">
      <c r="A1637" s="60"/>
      <c r="B1637" s="60"/>
      <c r="C1637" s="60"/>
      <c r="D1637" s="60"/>
      <c r="E1637" s="60"/>
      <c r="F1637" s="60"/>
      <c r="G1637" s="60"/>
      <c r="H1637" s="60"/>
      <c r="I1637" s="60"/>
      <c r="J1637" s="77"/>
      <c r="K1637" s="43"/>
      <c r="L1637" s="60"/>
      <c r="M1637" s="60"/>
      <c r="N1637" s="77"/>
    </row>
    <row r="1638">
      <c r="A1638" s="60"/>
      <c r="B1638" s="60"/>
      <c r="C1638" s="60"/>
      <c r="D1638" s="60"/>
      <c r="E1638" s="60"/>
      <c r="F1638" s="60"/>
      <c r="G1638" s="60"/>
      <c r="H1638" s="60"/>
      <c r="I1638" s="60"/>
      <c r="J1638" s="77"/>
      <c r="K1638" s="43"/>
      <c r="L1638" s="60"/>
      <c r="M1638" s="60"/>
      <c r="N1638" s="77"/>
    </row>
    <row r="1639">
      <c r="A1639" s="60"/>
      <c r="B1639" s="60"/>
      <c r="C1639" s="60"/>
      <c r="D1639" s="60"/>
      <c r="E1639" s="60"/>
      <c r="F1639" s="60"/>
      <c r="G1639" s="60"/>
      <c r="H1639" s="60"/>
      <c r="I1639" s="60"/>
      <c r="J1639" s="77"/>
      <c r="K1639" s="43"/>
      <c r="L1639" s="60"/>
      <c r="M1639" s="60"/>
      <c r="N1639" s="77"/>
    </row>
    <row r="1640">
      <c r="A1640" s="60"/>
      <c r="B1640" s="60"/>
      <c r="C1640" s="60"/>
      <c r="D1640" s="60"/>
      <c r="E1640" s="60"/>
      <c r="F1640" s="60"/>
      <c r="G1640" s="60"/>
      <c r="H1640" s="60"/>
      <c r="I1640" s="60"/>
      <c r="J1640" s="77"/>
      <c r="K1640" s="43"/>
      <c r="L1640" s="60"/>
      <c r="M1640" s="60"/>
      <c r="N1640" s="77"/>
    </row>
    <row r="1641">
      <c r="A1641" s="60"/>
      <c r="B1641" s="60"/>
      <c r="C1641" s="60"/>
      <c r="D1641" s="60"/>
      <c r="E1641" s="60"/>
      <c r="F1641" s="60"/>
      <c r="G1641" s="60"/>
      <c r="H1641" s="60"/>
      <c r="I1641" s="60"/>
      <c r="J1641" s="77"/>
      <c r="K1641" s="43"/>
      <c r="L1641" s="60"/>
      <c r="M1641" s="60"/>
      <c r="N1641" s="77"/>
    </row>
    <row r="1642">
      <c r="A1642" s="60"/>
      <c r="B1642" s="60"/>
      <c r="C1642" s="60"/>
      <c r="D1642" s="60"/>
      <c r="E1642" s="60"/>
      <c r="F1642" s="60"/>
      <c r="G1642" s="60"/>
      <c r="H1642" s="60"/>
      <c r="I1642" s="60"/>
      <c r="J1642" s="77"/>
      <c r="K1642" s="43"/>
      <c r="L1642" s="60"/>
      <c r="M1642" s="60"/>
      <c r="N1642" s="77"/>
    </row>
    <row r="1643">
      <c r="A1643" s="60"/>
      <c r="B1643" s="60"/>
      <c r="C1643" s="60"/>
      <c r="D1643" s="60"/>
      <c r="E1643" s="60"/>
      <c r="F1643" s="60"/>
      <c r="G1643" s="60"/>
      <c r="H1643" s="60"/>
      <c r="I1643" s="60"/>
      <c r="J1643" s="77"/>
      <c r="K1643" s="43"/>
      <c r="L1643" s="60"/>
      <c r="M1643" s="60"/>
      <c r="N1643" s="77"/>
    </row>
    <row r="1644">
      <c r="A1644" s="60"/>
      <c r="B1644" s="60"/>
      <c r="C1644" s="60"/>
      <c r="D1644" s="60"/>
      <c r="E1644" s="60"/>
      <c r="F1644" s="60"/>
      <c r="G1644" s="60"/>
      <c r="H1644" s="60"/>
      <c r="I1644" s="60"/>
      <c r="J1644" s="77"/>
      <c r="K1644" s="43"/>
      <c r="L1644" s="60"/>
      <c r="M1644" s="60"/>
      <c r="N1644" s="77"/>
    </row>
    <row r="1645">
      <c r="A1645" s="60"/>
      <c r="B1645" s="60"/>
      <c r="C1645" s="60"/>
      <c r="D1645" s="60"/>
      <c r="E1645" s="60"/>
      <c r="F1645" s="60"/>
      <c r="G1645" s="60"/>
      <c r="H1645" s="60"/>
      <c r="I1645" s="60"/>
      <c r="J1645" s="77"/>
      <c r="K1645" s="43"/>
      <c r="L1645" s="60"/>
      <c r="M1645" s="60"/>
      <c r="N1645" s="77"/>
    </row>
    <row r="1646">
      <c r="A1646" s="60"/>
      <c r="B1646" s="60"/>
      <c r="C1646" s="60"/>
      <c r="D1646" s="60"/>
      <c r="E1646" s="60"/>
      <c r="F1646" s="60"/>
      <c r="G1646" s="60"/>
      <c r="H1646" s="60"/>
      <c r="I1646" s="60"/>
      <c r="J1646" s="77"/>
      <c r="K1646" s="43"/>
      <c r="L1646" s="60"/>
      <c r="M1646" s="60"/>
      <c r="N1646" s="77"/>
    </row>
    <row r="1647">
      <c r="A1647" s="60"/>
      <c r="B1647" s="60"/>
      <c r="C1647" s="60"/>
      <c r="D1647" s="60"/>
      <c r="E1647" s="60"/>
      <c r="F1647" s="60"/>
      <c r="G1647" s="60"/>
      <c r="H1647" s="60"/>
      <c r="I1647" s="60"/>
      <c r="J1647" s="77"/>
      <c r="K1647" s="43"/>
      <c r="L1647" s="60"/>
      <c r="M1647" s="60"/>
      <c r="N1647" s="77"/>
    </row>
    <row r="1648">
      <c r="A1648" s="60"/>
      <c r="B1648" s="60"/>
      <c r="C1648" s="60"/>
      <c r="D1648" s="60"/>
      <c r="E1648" s="60"/>
      <c r="F1648" s="60"/>
      <c r="G1648" s="60"/>
      <c r="H1648" s="60"/>
      <c r="I1648" s="60"/>
      <c r="J1648" s="77"/>
      <c r="K1648" s="43"/>
      <c r="L1648" s="60"/>
      <c r="M1648" s="60"/>
      <c r="N1648" s="77"/>
    </row>
    <row r="1649">
      <c r="A1649" s="60"/>
      <c r="B1649" s="60"/>
      <c r="C1649" s="60"/>
      <c r="D1649" s="60"/>
      <c r="E1649" s="60"/>
      <c r="F1649" s="60"/>
      <c r="G1649" s="60"/>
      <c r="H1649" s="60"/>
      <c r="I1649" s="60"/>
      <c r="J1649" s="77"/>
      <c r="K1649" s="43"/>
      <c r="L1649" s="60"/>
      <c r="M1649" s="60"/>
      <c r="N1649" s="77"/>
    </row>
    <row r="1650">
      <c r="A1650" s="60"/>
      <c r="B1650" s="60"/>
      <c r="C1650" s="60"/>
      <c r="D1650" s="60"/>
      <c r="E1650" s="60"/>
      <c r="F1650" s="60"/>
      <c r="G1650" s="60"/>
      <c r="H1650" s="60"/>
      <c r="I1650" s="60"/>
      <c r="J1650" s="77"/>
      <c r="K1650" s="43"/>
      <c r="L1650" s="60"/>
      <c r="M1650" s="60"/>
      <c r="N1650" s="77"/>
    </row>
    <row r="1651">
      <c r="A1651" s="60"/>
      <c r="B1651" s="60"/>
      <c r="C1651" s="60"/>
      <c r="D1651" s="60"/>
      <c r="E1651" s="60"/>
      <c r="F1651" s="60"/>
      <c r="G1651" s="60"/>
      <c r="H1651" s="60"/>
      <c r="I1651" s="60"/>
      <c r="J1651" s="77"/>
      <c r="K1651" s="43"/>
      <c r="L1651" s="60"/>
      <c r="M1651" s="60"/>
      <c r="N1651" s="77"/>
    </row>
    <row r="1652">
      <c r="A1652" s="60"/>
      <c r="B1652" s="60"/>
      <c r="C1652" s="60"/>
      <c r="D1652" s="60"/>
      <c r="E1652" s="60"/>
      <c r="F1652" s="60"/>
      <c r="G1652" s="60"/>
      <c r="H1652" s="60"/>
      <c r="I1652" s="60"/>
      <c r="J1652" s="77"/>
      <c r="K1652" s="43"/>
      <c r="L1652" s="60"/>
      <c r="M1652" s="60"/>
      <c r="N1652" s="77"/>
    </row>
    <row r="1653">
      <c r="A1653" s="60"/>
      <c r="B1653" s="60"/>
      <c r="C1653" s="60"/>
      <c r="D1653" s="60"/>
      <c r="E1653" s="60"/>
      <c r="F1653" s="60"/>
      <c r="G1653" s="60"/>
      <c r="H1653" s="60"/>
      <c r="I1653" s="60"/>
      <c r="J1653" s="77"/>
      <c r="K1653" s="43"/>
      <c r="L1653" s="60"/>
      <c r="M1653" s="60"/>
      <c r="N1653" s="77"/>
    </row>
    <row r="1654">
      <c r="A1654" s="60"/>
      <c r="B1654" s="60"/>
      <c r="C1654" s="60"/>
      <c r="D1654" s="60"/>
      <c r="E1654" s="60"/>
      <c r="F1654" s="60"/>
      <c r="G1654" s="60"/>
      <c r="H1654" s="60"/>
      <c r="I1654" s="60"/>
      <c r="J1654" s="77"/>
      <c r="K1654" s="43"/>
      <c r="L1654" s="60"/>
      <c r="M1654" s="60"/>
      <c r="N1654" s="77"/>
    </row>
    <row r="1655">
      <c r="A1655" s="60"/>
      <c r="B1655" s="60"/>
      <c r="C1655" s="60"/>
      <c r="D1655" s="60"/>
      <c r="E1655" s="60"/>
      <c r="F1655" s="60"/>
      <c r="G1655" s="60"/>
      <c r="H1655" s="60"/>
      <c r="I1655" s="60"/>
      <c r="J1655" s="77"/>
      <c r="K1655" s="43"/>
      <c r="L1655" s="60"/>
      <c r="M1655" s="60"/>
      <c r="N1655" s="77"/>
    </row>
    <row r="1656">
      <c r="A1656" s="60"/>
      <c r="B1656" s="60"/>
      <c r="C1656" s="60"/>
      <c r="D1656" s="60"/>
      <c r="E1656" s="60"/>
      <c r="F1656" s="60"/>
      <c r="G1656" s="60"/>
      <c r="H1656" s="60"/>
      <c r="I1656" s="60"/>
      <c r="J1656" s="77"/>
      <c r="K1656" s="43"/>
      <c r="L1656" s="60"/>
      <c r="M1656" s="60"/>
      <c r="N1656" s="77"/>
    </row>
    <row r="1657">
      <c r="A1657" s="60"/>
      <c r="B1657" s="60"/>
      <c r="C1657" s="60"/>
      <c r="D1657" s="60"/>
      <c r="E1657" s="60"/>
      <c r="F1657" s="60"/>
      <c r="G1657" s="60"/>
      <c r="H1657" s="60"/>
      <c r="I1657" s="60"/>
      <c r="J1657" s="77"/>
      <c r="K1657" s="43"/>
      <c r="L1657" s="60"/>
      <c r="M1657" s="60"/>
      <c r="N1657" s="77"/>
    </row>
    <row r="1658">
      <c r="A1658" s="60"/>
      <c r="B1658" s="60"/>
      <c r="C1658" s="60"/>
      <c r="D1658" s="60"/>
      <c r="E1658" s="60"/>
      <c r="F1658" s="60"/>
      <c r="G1658" s="60"/>
      <c r="H1658" s="60"/>
      <c r="I1658" s="60"/>
      <c r="J1658" s="77"/>
      <c r="K1658" s="43"/>
      <c r="L1658" s="60"/>
      <c r="M1658" s="60"/>
      <c r="N1658" s="77"/>
    </row>
    <row r="1659">
      <c r="A1659" s="60"/>
      <c r="B1659" s="60"/>
      <c r="C1659" s="60"/>
      <c r="D1659" s="60"/>
      <c r="E1659" s="60"/>
      <c r="F1659" s="60"/>
      <c r="G1659" s="60"/>
      <c r="H1659" s="60"/>
      <c r="I1659" s="60"/>
      <c r="J1659" s="77"/>
      <c r="K1659" s="43"/>
      <c r="L1659" s="60"/>
      <c r="M1659" s="60"/>
      <c r="N1659" s="77"/>
    </row>
    <row r="1660">
      <c r="A1660" s="60"/>
      <c r="B1660" s="60"/>
      <c r="C1660" s="60"/>
      <c r="D1660" s="60"/>
      <c r="E1660" s="60"/>
      <c r="F1660" s="60"/>
      <c r="G1660" s="60"/>
      <c r="H1660" s="60"/>
      <c r="I1660" s="60"/>
      <c r="J1660" s="77"/>
      <c r="K1660" s="43"/>
      <c r="L1660" s="60"/>
      <c r="M1660" s="60"/>
      <c r="N1660" s="77"/>
    </row>
    <row r="1661">
      <c r="A1661" s="60"/>
      <c r="B1661" s="60"/>
      <c r="C1661" s="60"/>
      <c r="D1661" s="60"/>
      <c r="E1661" s="60"/>
      <c r="F1661" s="60"/>
      <c r="G1661" s="60"/>
      <c r="H1661" s="60"/>
      <c r="I1661" s="60"/>
      <c r="J1661" s="77"/>
      <c r="K1661" s="43"/>
      <c r="L1661" s="60"/>
      <c r="M1661" s="60"/>
      <c r="N1661" s="77"/>
    </row>
    <row r="1662">
      <c r="A1662" s="60"/>
      <c r="B1662" s="60"/>
      <c r="C1662" s="60"/>
      <c r="D1662" s="60"/>
      <c r="E1662" s="60"/>
      <c r="F1662" s="60"/>
      <c r="G1662" s="60"/>
      <c r="H1662" s="60"/>
      <c r="I1662" s="60"/>
      <c r="J1662" s="77"/>
      <c r="K1662" s="43"/>
      <c r="L1662" s="60"/>
      <c r="M1662" s="60"/>
      <c r="N1662" s="77"/>
    </row>
    <row r="1663">
      <c r="A1663" s="60"/>
      <c r="B1663" s="60"/>
      <c r="C1663" s="60"/>
      <c r="D1663" s="60"/>
      <c r="E1663" s="60"/>
      <c r="F1663" s="60"/>
      <c r="G1663" s="60"/>
      <c r="H1663" s="60"/>
      <c r="I1663" s="60"/>
      <c r="J1663" s="77"/>
      <c r="K1663" s="43"/>
      <c r="L1663" s="60"/>
      <c r="M1663" s="60"/>
      <c r="N1663" s="77"/>
    </row>
    <row r="1664">
      <c r="A1664" s="60"/>
      <c r="B1664" s="60"/>
      <c r="C1664" s="60"/>
      <c r="D1664" s="60"/>
      <c r="E1664" s="60"/>
      <c r="F1664" s="60"/>
      <c r="G1664" s="60"/>
      <c r="H1664" s="60"/>
      <c r="I1664" s="60"/>
      <c r="J1664" s="77"/>
      <c r="K1664" s="43"/>
      <c r="L1664" s="60"/>
      <c r="M1664" s="60"/>
      <c r="N1664" s="77"/>
    </row>
    <row r="1665">
      <c r="A1665" s="60"/>
      <c r="B1665" s="60"/>
      <c r="C1665" s="60"/>
      <c r="D1665" s="60"/>
      <c r="E1665" s="60"/>
      <c r="F1665" s="60"/>
      <c r="G1665" s="60"/>
      <c r="H1665" s="60"/>
      <c r="I1665" s="60"/>
      <c r="J1665" s="77"/>
      <c r="K1665" s="43"/>
      <c r="L1665" s="60"/>
      <c r="M1665" s="60"/>
      <c r="N1665" s="77"/>
    </row>
    <row r="1666">
      <c r="A1666" s="60"/>
      <c r="B1666" s="60"/>
      <c r="C1666" s="60"/>
      <c r="D1666" s="60"/>
      <c r="E1666" s="60"/>
      <c r="F1666" s="60"/>
      <c r="G1666" s="60"/>
      <c r="H1666" s="60"/>
      <c r="I1666" s="60"/>
      <c r="J1666" s="77"/>
      <c r="K1666" s="43"/>
      <c r="L1666" s="60"/>
      <c r="M1666" s="60"/>
      <c r="N1666" s="77"/>
    </row>
    <row r="1667">
      <c r="A1667" s="60"/>
      <c r="B1667" s="60"/>
      <c r="C1667" s="60"/>
      <c r="D1667" s="60"/>
      <c r="E1667" s="60"/>
      <c r="F1667" s="60"/>
      <c r="G1667" s="60"/>
      <c r="H1667" s="60"/>
      <c r="I1667" s="60"/>
      <c r="J1667" s="77"/>
      <c r="K1667" s="43"/>
      <c r="L1667" s="60"/>
      <c r="M1667" s="60"/>
      <c r="N1667" s="77"/>
    </row>
    <row r="1668">
      <c r="A1668" s="60"/>
      <c r="B1668" s="60"/>
      <c r="C1668" s="60"/>
      <c r="D1668" s="60"/>
      <c r="E1668" s="60"/>
      <c r="F1668" s="60"/>
      <c r="G1668" s="60"/>
      <c r="H1668" s="60"/>
      <c r="I1668" s="60"/>
      <c r="J1668" s="77"/>
      <c r="K1668" s="43"/>
      <c r="L1668" s="60"/>
      <c r="M1668" s="60"/>
      <c r="N1668" s="77"/>
    </row>
    <row r="1669">
      <c r="A1669" s="60"/>
      <c r="B1669" s="60"/>
      <c r="C1669" s="60"/>
      <c r="D1669" s="60"/>
      <c r="E1669" s="60"/>
      <c r="F1669" s="60"/>
      <c r="G1669" s="60"/>
      <c r="H1669" s="60"/>
      <c r="I1669" s="60"/>
      <c r="J1669" s="77"/>
      <c r="K1669" s="43"/>
      <c r="L1669" s="60"/>
      <c r="M1669" s="60"/>
      <c r="N1669" s="77"/>
    </row>
    <row r="1670">
      <c r="A1670" s="60"/>
      <c r="B1670" s="60"/>
      <c r="C1670" s="60"/>
      <c r="D1670" s="60"/>
      <c r="E1670" s="60"/>
      <c r="F1670" s="60"/>
      <c r="G1670" s="60"/>
      <c r="H1670" s="60"/>
      <c r="I1670" s="60"/>
      <c r="J1670" s="77"/>
      <c r="K1670" s="43"/>
      <c r="L1670" s="60"/>
      <c r="M1670" s="60"/>
      <c r="N1670" s="77"/>
    </row>
    <row r="1671">
      <c r="A1671" s="60"/>
      <c r="B1671" s="60"/>
      <c r="C1671" s="60"/>
      <c r="D1671" s="60"/>
      <c r="E1671" s="60"/>
      <c r="F1671" s="60"/>
      <c r="G1671" s="60"/>
      <c r="H1671" s="60"/>
      <c r="I1671" s="60"/>
      <c r="J1671" s="77"/>
      <c r="K1671" s="43"/>
      <c r="L1671" s="60"/>
      <c r="M1671" s="60"/>
      <c r="N1671" s="77"/>
    </row>
    <row r="1672">
      <c r="A1672" s="60"/>
      <c r="B1672" s="60"/>
      <c r="C1672" s="60"/>
      <c r="D1672" s="60"/>
      <c r="E1672" s="60"/>
      <c r="F1672" s="60"/>
      <c r="G1672" s="60"/>
      <c r="H1672" s="60"/>
      <c r="I1672" s="60"/>
      <c r="J1672" s="77"/>
      <c r="K1672" s="43"/>
      <c r="L1672" s="60"/>
      <c r="M1672" s="60"/>
      <c r="N1672" s="77"/>
    </row>
    <row r="1673">
      <c r="A1673" s="60"/>
      <c r="B1673" s="60"/>
      <c r="C1673" s="60"/>
      <c r="D1673" s="60"/>
      <c r="E1673" s="60"/>
      <c r="F1673" s="60"/>
      <c r="G1673" s="60"/>
      <c r="H1673" s="60"/>
      <c r="I1673" s="60"/>
      <c r="J1673" s="77"/>
      <c r="K1673" s="43"/>
      <c r="L1673" s="60"/>
      <c r="M1673" s="60"/>
      <c r="N1673" s="77"/>
    </row>
    <row r="1674">
      <c r="A1674" s="60"/>
      <c r="B1674" s="60"/>
      <c r="C1674" s="60"/>
      <c r="D1674" s="60"/>
      <c r="E1674" s="60"/>
      <c r="F1674" s="60"/>
      <c r="G1674" s="60"/>
      <c r="H1674" s="60"/>
      <c r="I1674" s="60"/>
      <c r="J1674" s="77"/>
      <c r="K1674" s="43"/>
      <c r="L1674" s="60"/>
      <c r="M1674" s="60"/>
      <c r="N1674" s="77"/>
    </row>
    <row r="1675">
      <c r="A1675" s="60"/>
      <c r="B1675" s="60"/>
      <c r="C1675" s="60"/>
      <c r="D1675" s="60"/>
      <c r="E1675" s="60"/>
      <c r="F1675" s="60"/>
      <c r="G1675" s="60"/>
      <c r="H1675" s="60"/>
      <c r="I1675" s="60"/>
      <c r="J1675" s="77"/>
      <c r="K1675" s="43"/>
      <c r="L1675" s="60"/>
      <c r="M1675" s="60"/>
      <c r="N1675" s="77"/>
    </row>
    <row r="1676">
      <c r="A1676" s="60"/>
      <c r="B1676" s="60"/>
      <c r="C1676" s="60"/>
      <c r="D1676" s="60"/>
      <c r="E1676" s="60"/>
      <c r="F1676" s="60"/>
      <c r="G1676" s="60"/>
      <c r="H1676" s="60"/>
      <c r="I1676" s="60"/>
      <c r="J1676" s="77"/>
      <c r="K1676" s="43"/>
      <c r="L1676" s="60"/>
      <c r="M1676" s="60"/>
      <c r="N1676" s="77"/>
    </row>
    <row r="1677">
      <c r="A1677" s="60"/>
      <c r="B1677" s="60"/>
      <c r="C1677" s="60"/>
      <c r="D1677" s="60"/>
      <c r="E1677" s="60"/>
      <c r="F1677" s="60"/>
      <c r="G1677" s="60"/>
      <c r="H1677" s="60"/>
      <c r="I1677" s="60"/>
      <c r="J1677" s="77"/>
      <c r="K1677" s="43"/>
      <c r="L1677" s="60"/>
      <c r="M1677" s="60"/>
      <c r="N1677" s="77"/>
    </row>
    <row r="1678">
      <c r="A1678" s="60"/>
      <c r="B1678" s="60"/>
      <c r="C1678" s="60"/>
      <c r="D1678" s="60"/>
      <c r="E1678" s="60"/>
      <c r="F1678" s="60"/>
      <c r="G1678" s="60"/>
      <c r="H1678" s="60"/>
      <c r="I1678" s="60"/>
      <c r="J1678" s="77"/>
      <c r="K1678" s="43"/>
      <c r="L1678" s="60"/>
      <c r="M1678" s="60"/>
      <c r="N1678" s="77"/>
    </row>
    <row r="1679">
      <c r="A1679" s="60"/>
      <c r="B1679" s="60"/>
      <c r="C1679" s="60"/>
      <c r="D1679" s="60"/>
      <c r="E1679" s="60"/>
      <c r="F1679" s="60"/>
      <c r="G1679" s="60"/>
      <c r="H1679" s="60"/>
      <c r="I1679" s="60"/>
      <c r="J1679" s="77"/>
      <c r="K1679" s="43"/>
      <c r="L1679" s="60"/>
      <c r="M1679" s="60"/>
      <c r="N1679" s="77"/>
    </row>
    <row r="1680">
      <c r="A1680" s="60"/>
      <c r="B1680" s="60"/>
      <c r="C1680" s="60"/>
      <c r="D1680" s="60"/>
      <c r="E1680" s="60"/>
      <c r="F1680" s="60"/>
      <c r="G1680" s="60"/>
      <c r="H1680" s="60"/>
      <c r="I1680" s="60"/>
      <c r="J1680" s="77"/>
      <c r="K1680" s="43"/>
      <c r="L1680" s="60"/>
      <c r="M1680" s="60"/>
      <c r="N1680" s="77"/>
    </row>
    <row r="1681">
      <c r="A1681" s="60"/>
      <c r="B1681" s="60"/>
      <c r="C1681" s="60"/>
      <c r="D1681" s="60"/>
      <c r="E1681" s="60"/>
      <c r="F1681" s="60"/>
      <c r="G1681" s="60"/>
      <c r="H1681" s="60"/>
      <c r="I1681" s="60"/>
      <c r="J1681" s="77"/>
      <c r="K1681" s="43"/>
      <c r="L1681" s="60"/>
      <c r="M1681" s="60"/>
      <c r="N1681" s="77"/>
    </row>
    <row r="1682">
      <c r="A1682" s="60"/>
      <c r="B1682" s="60"/>
      <c r="C1682" s="60"/>
      <c r="D1682" s="60"/>
      <c r="E1682" s="60"/>
      <c r="F1682" s="60"/>
      <c r="G1682" s="60"/>
      <c r="H1682" s="60"/>
      <c r="I1682" s="60"/>
      <c r="J1682" s="77"/>
      <c r="K1682" s="43"/>
      <c r="L1682" s="60"/>
      <c r="M1682" s="60"/>
      <c r="N1682" s="77"/>
    </row>
    <row r="1683">
      <c r="A1683" s="60"/>
      <c r="B1683" s="60"/>
      <c r="C1683" s="60"/>
      <c r="D1683" s="60"/>
      <c r="E1683" s="60"/>
      <c r="F1683" s="60"/>
      <c r="G1683" s="60"/>
      <c r="H1683" s="60"/>
      <c r="I1683" s="60"/>
      <c r="J1683" s="77"/>
      <c r="K1683" s="43"/>
      <c r="L1683" s="60"/>
      <c r="M1683" s="60"/>
      <c r="N1683" s="77"/>
    </row>
    <row r="1684">
      <c r="A1684" s="60"/>
      <c r="B1684" s="60"/>
      <c r="C1684" s="60"/>
      <c r="D1684" s="60"/>
      <c r="E1684" s="60"/>
      <c r="F1684" s="60"/>
      <c r="G1684" s="60"/>
      <c r="H1684" s="60"/>
      <c r="I1684" s="60"/>
      <c r="J1684" s="77"/>
      <c r="K1684" s="43"/>
      <c r="L1684" s="60"/>
      <c r="M1684" s="60"/>
      <c r="N1684" s="77"/>
    </row>
    <row r="1685">
      <c r="A1685" s="60"/>
      <c r="B1685" s="60"/>
      <c r="C1685" s="60"/>
      <c r="D1685" s="60"/>
      <c r="E1685" s="60"/>
      <c r="F1685" s="60"/>
      <c r="G1685" s="60"/>
      <c r="H1685" s="60"/>
      <c r="I1685" s="60"/>
      <c r="J1685" s="77"/>
      <c r="K1685" s="43"/>
      <c r="L1685" s="60"/>
      <c r="M1685" s="60"/>
      <c r="N1685" s="77"/>
    </row>
    <row r="1686">
      <c r="A1686" s="60"/>
      <c r="B1686" s="60"/>
      <c r="C1686" s="60"/>
      <c r="D1686" s="60"/>
      <c r="E1686" s="60"/>
      <c r="F1686" s="60"/>
      <c r="G1686" s="60"/>
      <c r="H1686" s="60"/>
      <c r="I1686" s="60"/>
      <c r="J1686" s="77"/>
      <c r="K1686" s="43"/>
      <c r="L1686" s="60"/>
      <c r="M1686" s="60"/>
      <c r="N1686" s="77"/>
    </row>
    <row r="1687">
      <c r="A1687" s="60"/>
      <c r="B1687" s="60"/>
      <c r="C1687" s="60"/>
      <c r="D1687" s="60"/>
      <c r="E1687" s="60"/>
      <c r="F1687" s="60"/>
      <c r="G1687" s="60"/>
      <c r="H1687" s="60"/>
      <c r="I1687" s="60"/>
      <c r="J1687" s="77"/>
      <c r="K1687" s="43"/>
      <c r="L1687" s="60"/>
      <c r="M1687" s="60"/>
      <c r="N1687" s="77"/>
    </row>
    <row r="1688">
      <c r="A1688" s="60"/>
      <c r="B1688" s="60"/>
      <c r="C1688" s="60"/>
      <c r="D1688" s="60"/>
      <c r="E1688" s="60"/>
      <c r="F1688" s="60"/>
      <c r="G1688" s="60"/>
      <c r="H1688" s="60"/>
      <c r="I1688" s="60"/>
      <c r="J1688" s="77"/>
      <c r="K1688" s="43"/>
      <c r="L1688" s="60"/>
      <c r="M1688" s="60"/>
      <c r="N1688" s="77"/>
    </row>
    <row r="1689">
      <c r="A1689" s="60"/>
      <c r="B1689" s="60"/>
      <c r="C1689" s="60"/>
      <c r="D1689" s="60"/>
      <c r="E1689" s="60"/>
      <c r="F1689" s="60"/>
      <c r="G1689" s="60"/>
      <c r="H1689" s="60"/>
      <c r="I1689" s="60"/>
      <c r="J1689" s="77"/>
      <c r="K1689" s="43"/>
      <c r="L1689" s="60"/>
      <c r="M1689" s="60"/>
      <c r="N1689" s="77"/>
    </row>
    <row r="1690">
      <c r="A1690" s="60"/>
      <c r="B1690" s="60"/>
      <c r="C1690" s="60"/>
      <c r="D1690" s="60"/>
      <c r="E1690" s="60"/>
      <c r="F1690" s="60"/>
      <c r="G1690" s="60"/>
      <c r="H1690" s="60"/>
      <c r="I1690" s="60"/>
      <c r="J1690" s="77"/>
      <c r="K1690" s="43"/>
      <c r="L1690" s="60"/>
      <c r="M1690" s="60"/>
      <c r="N1690" s="77"/>
    </row>
    <row r="1691">
      <c r="A1691" s="60"/>
      <c r="B1691" s="60"/>
      <c r="C1691" s="60"/>
      <c r="D1691" s="60"/>
      <c r="E1691" s="60"/>
      <c r="F1691" s="60"/>
      <c r="G1691" s="60"/>
      <c r="H1691" s="60"/>
      <c r="I1691" s="60"/>
      <c r="J1691" s="77"/>
      <c r="K1691" s="43"/>
      <c r="L1691" s="60"/>
      <c r="M1691" s="60"/>
      <c r="N1691" s="77"/>
    </row>
    <row r="1692">
      <c r="A1692" s="60"/>
      <c r="B1692" s="60"/>
      <c r="C1692" s="60"/>
      <c r="D1692" s="60"/>
      <c r="E1692" s="60"/>
      <c r="F1692" s="60"/>
      <c r="G1692" s="60"/>
      <c r="H1692" s="60"/>
      <c r="I1692" s="60"/>
      <c r="J1692" s="77"/>
      <c r="K1692" s="43"/>
      <c r="L1692" s="60"/>
      <c r="M1692" s="60"/>
      <c r="N1692" s="77"/>
    </row>
    <row r="1693">
      <c r="A1693" s="60"/>
      <c r="B1693" s="60"/>
      <c r="C1693" s="60"/>
      <c r="D1693" s="60"/>
      <c r="E1693" s="60"/>
      <c r="F1693" s="60"/>
      <c r="G1693" s="60"/>
      <c r="H1693" s="60"/>
      <c r="I1693" s="60"/>
      <c r="J1693" s="77"/>
      <c r="K1693" s="43"/>
      <c r="L1693" s="60"/>
      <c r="M1693" s="60"/>
      <c r="N1693" s="77"/>
    </row>
    <row r="1694">
      <c r="A1694" s="60"/>
      <c r="B1694" s="60"/>
      <c r="C1694" s="60"/>
      <c r="D1694" s="60"/>
      <c r="E1694" s="60"/>
      <c r="F1694" s="60"/>
      <c r="G1694" s="60"/>
      <c r="H1694" s="60"/>
      <c r="I1694" s="60"/>
      <c r="J1694" s="77"/>
      <c r="K1694" s="43"/>
      <c r="L1694" s="60"/>
      <c r="M1694" s="60"/>
      <c r="N1694" s="77"/>
    </row>
    <row r="1695">
      <c r="A1695" s="60"/>
      <c r="B1695" s="60"/>
      <c r="C1695" s="60"/>
      <c r="D1695" s="60"/>
      <c r="E1695" s="60"/>
      <c r="F1695" s="60"/>
      <c r="G1695" s="60"/>
      <c r="H1695" s="60"/>
      <c r="I1695" s="60"/>
      <c r="J1695" s="77"/>
      <c r="K1695" s="43"/>
      <c r="L1695" s="60"/>
      <c r="M1695" s="60"/>
      <c r="N1695" s="77"/>
    </row>
    <row r="1696">
      <c r="A1696" s="60"/>
      <c r="B1696" s="60"/>
      <c r="C1696" s="60"/>
      <c r="D1696" s="60"/>
      <c r="E1696" s="60"/>
      <c r="F1696" s="60"/>
      <c r="G1696" s="60"/>
      <c r="H1696" s="60"/>
      <c r="I1696" s="60"/>
      <c r="J1696" s="77"/>
      <c r="K1696" s="43"/>
      <c r="L1696" s="60"/>
      <c r="M1696" s="60"/>
      <c r="N1696" s="77"/>
    </row>
    <row r="1697">
      <c r="A1697" s="60"/>
      <c r="B1697" s="60"/>
      <c r="C1697" s="60"/>
      <c r="D1697" s="60"/>
      <c r="E1697" s="60"/>
      <c r="F1697" s="60"/>
      <c r="G1697" s="60"/>
      <c r="H1697" s="60"/>
      <c r="I1697" s="60"/>
      <c r="J1697" s="77"/>
      <c r="K1697" s="43"/>
      <c r="L1697" s="60"/>
      <c r="M1697" s="60"/>
      <c r="N1697" s="77"/>
    </row>
    <row r="1698">
      <c r="A1698" s="60"/>
      <c r="B1698" s="60"/>
      <c r="C1698" s="60"/>
      <c r="D1698" s="60"/>
      <c r="E1698" s="60"/>
      <c r="F1698" s="60"/>
      <c r="G1698" s="60"/>
      <c r="H1698" s="60"/>
      <c r="I1698" s="60"/>
      <c r="J1698" s="77"/>
      <c r="K1698" s="43"/>
      <c r="L1698" s="60"/>
      <c r="M1698" s="60"/>
      <c r="N1698" s="77"/>
    </row>
    <row r="1699">
      <c r="A1699" s="60"/>
      <c r="B1699" s="60"/>
      <c r="C1699" s="60"/>
      <c r="D1699" s="60"/>
      <c r="E1699" s="60"/>
      <c r="F1699" s="60"/>
      <c r="G1699" s="60"/>
      <c r="H1699" s="60"/>
      <c r="I1699" s="60"/>
      <c r="J1699" s="77"/>
      <c r="K1699" s="43"/>
      <c r="L1699" s="60"/>
      <c r="M1699" s="60"/>
      <c r="N1699" s="77"/>
    </row>
    <row r="1700">
      <c r="A1700" s="60"/>
      <c r="B1700" s="60"/>
      <c r="C1700" s="60"/>
      <c r="D1700" s="60"/>
      <c r="E1700" s="60"/>
      <c r="F1700" s="60"/>
      <c r="G1700" s="60"/>
      <c r="H1700" s="60"/>
      <c r="I1700" s="60"/>
      <c r="J1700" s="77"/>
      <c r="K1700" s="43"/>
      <c r="L1700" s="60"/>
      <c r="M1700" s="60"/>
      <c r="N1700" s="77"/>
    </row>
  </sheetData>
  <autoFilter ref="$N$4:$N$1700"/>
  <mergeCells count="4">
    <mergeCell ref="A1:B1"/>
    <mergeCell ref="C1:N1"/>
    <mergeCell ref="A2:B2"/>
    <mergeCell ref="A3:B3"/>
  </mergeCells>
  <conditionalFormatting sqref="J5:J1700">
    <cfRule type="cellIs" dxfId="0" priority="1" operator="equal">
      <formula>"Diferente"</formula>
    </cfRule>
  </conditionalFormatting>
  <conditionalFormatting sqref="J5:J1700">
    <cfRule type="cellIs" dxfId="1" priority="2" operator="equal">
      <formula>"Igual"</formula>
    </cfRule>
  </conditionalFormatting>
  <conditionalFormatting sqref="A4:Z4">
    <cfRule type="notContainsBlanks" dxfId="2" priority="3">
      <formula>LEN(TRIM(A4))&gt;0</formula>
    </cfRule>
  </conditionalFormatting>
  <conditionalFormatting sqref="N5:N1700">
    <cfRule type="cellIs" dxfId="1" priority="4" operator="equal">
      <formula>"Sim"</formula>
    </cfRule>
  </conditionalFormatting>
  <conditionalFormatting sqref="N5:N1700">
    <cfRule type="cellIs" dxfId="0" priority="5" operator="equal">
      <formula>"Não"</formula>
    </cfRule>
  </conditionalFormatting>
  <dataValidations>
    <dataValidation type="list" allowBlank="1" showErrorMessage="1" sqref="A5:A42 A163:A438 A1134:A1409">
      <formula1>"SpringerLink,PubMed,ACM,ScienceDirect"</formula1>
    </dataValidation>
    <dataValidation type="list" allowBlank="1" showErrorMessage="1" sqref="H5:I1700">
      <formula1>"Sim,Não"</formula1>
    </dataValidation>
    <dataValidation type="list" allowBlank="1" showErrorMessage="1" sqref="M5:M1700">
      <formula1>"LLM 1,LLM 2,Ambas,Nenhuma"</formula1>
    </dataValidation>
  </dataValidations>
  <hyperlinks>
    <hyperlink r:id="rId1" ref="E5"/>
    <hyperlink r:id="rId2" ref="E6"/>
    <hyperlink r:id="rId3" ref="E7"/>
    <hyperlink r:id="rId4" ref="E76"/>
    <hyperlink r:id="rId5" ref="E77"/>
    <hyperlink r:id="rId6" location="keywords" ref="E78"/>
    <hyperlink r:id="rId7" ref="E79"/>
    <hyperlink r:id="rId8" ref="E80"/>
    <hyperlink r:id="rId9" ref="E81"/>
    <hyperlink r:id="rId10" ref="E82"/>
    <hyperlink r:id="rId11" ref="E83"/>
    <hyperlink r:id="rId12" ref="E84"/>
    <hyperlink r:id="rId13" ref="E85"/>
    <hyperlink r:id="rId14" ref="E86"/>
    <hyperlink r:id="rId15" ref="E87"/>
    <hyperlink r:id="rId16" ref="E88"/>
    <hyperlink r:id="rId17" ref="E89"/>
    <hyperlink r:id="rId18" ref="E90"/>
    <hyperlink r:id="rId19" ref="E91"/>
    <hyperlink r:id="rId20" ref="E92"/>
    <hyperlink r:id="rId21" ref="E93"/>
    <hyperlink r:id="rId22" ref="E94"/>
    <hyperlink r:id="rId23" ref="E95"/>
    <hyperlink r:id="rId24" ref="E96"/>
    <hyperlink r:id="rId25" ref="E97"/>
    <hyperlink r:id="rId26" ref="E98"/>
    <hyperlink r:id="rId27" ref="E99"/>
    <hyperlink r:id="rId28" ref="E100"/>
    <hyperlink r:id="rId29" ref="E101"/>
    <hyperlink r:id="rId30" ref="E102"/>
    <hyperlink r:id="rId31" ref="E103"/>
    <hyperlink r:id="rId32" ref="E104"/>
    <hyperlink r:id="rId33" ref="E105"/>
    <hyperlink r:id="rId34" ref="E106"/>
    <hyperlink r:id="rId35" ref="E107"/>
    <hyperlink r:id="rId36" ref="E108"/>
    <hyperlink r:id="rId37" ref="E109"/>
    <hyperlink r:id="rId38" ref="E110"/>
    <hyperlink r:id="rId39" ref="E111"/>
    <hyperlink r:id="rId40" ref="E112"/>
    <hyperlink r:id="rId41" ref="E113"/>
    <hyperlink r:id="rId42" ref="E114"/>
    <hyperlink r:id="rId43" ref="E115"/>
    <hyperlink r:id="rId44" ref="E116"/>
    <hyperlink r:id="rId45" ref="E117"/>
    <hyperlink r:id="rId46" ref="E118"/>
    <hyperlink r:id="rId47" ref="E119"/>
    <hyperlink r:id="rId48" ref="E120"/>
    <hyperlink r:id="rId49" ref="E121"/>
    <hyperlink r:id="rId50" ref="E122"/>
    <hyperlink r:id="rId51" ref="E123"/>
    <hyperlink r:id="rId52" ref="E124"/>
    <hyperlink r:id="rId53" ref="E125"/>
    <hyperlink r:id="rId54" ref="E126"/>
    <hyperlink r:id="rId55" ref="E127"/>
    <hyperlink r:id="rId56" ref="E128"/>
    <hyperlink r:id="rId57" ref="E129"/>
    <hyperlink r:id="rId58" ref="E130"/>
    <hyperlink r:id="rId59" ref="E131"/>
    <hyperlink r:id="rId60" ref="E132"/>
    <hyperlink r:id="rId61" ref="E133"/>
    <hyperlink r:id="rId62" ref="E134"/>
    <hyperlink r:id="rId63" ref="E135"/>
    <hyperlink r:id="rId64" ref="E136"/>
    <hyperlink r:id="rId65" ref="E137"/>
    <hyperlink r:id="rId66" ref="E138"/>
    <hyperlink r:id="rId67" ref="E139"/>
    <hyperlink r:id="rId68" ref="E140"/>
    <hyperlink r:id="rId69" ref="E141"/>
    <hyperlink r:id="rId70" ref="E142"/>
    <hyperlink r:id="rId71" ref="E143"/>
    <hyperlink r:id="rId72" ref="E144"/>
    <hyperlink r:id="rId73" ref="E145"/>
    <hyperlink r:id="rId74" ref="E146"/>
    <hyperlink r:id="rId75" ref="E147"/>
    <hyperlink r:id="rId76" ref="E148"/>
    <hyperlink r:id="rId77" ref="E149"/>
    <hyperlink r:id="rId78" ref="E150"/>
    <hyperlink r:id="rId79" ref="E151"/>
    <hyperlink r:id="rId80" ref="E152"/>
    <hyperlink r:id="rId81" ref="E153"/>
    <hyperlink r:id="rId82" ref="E154"/>
    <hyperlink r:id="rId83" ref="E155"/>
    <hyperlink r:id="rId84" ref="E156"/>
    <hyperlink r:id="rId85" ref="E157"/>
    <hyperlink r:id="rId86" ref="E158"/>
    <hyperlink r:id="rId87" ref="E159"/>
    <hyperlink r:id="rId88" ref="E160"/>
    <hyperlink r:id="rId89" ref="E161"/>
    <hyperlink r:id="rId90" ref="E162"/>
    <hyperlink r:id="rId91" ref="E163"/>
    <hyperlink r:id="rId92" ref="E164"/>
    <hyperlink r:id="rId93" ref="E165"/>
    <hyperlink r:id="rId94" ref="E166"/>
    <hyperlink r:id="rId95" ref="E167"/>
    <hyperlink r:id="rId96" ref="E168"/>
    <hyperlink r:id="rId97" ref="E169"/>
    <hyperlink r:id="rId98" ref="E170"/>
    <hyperlink r:id="rId99" ref="E171"/>
    <hyperlink r:id="rId100" ref="E172"/>
    <hyperlink r:id="rId101" ref="E173"/>
    <hyperlink r:id="rId102" ref="E174"/>
    <hyperlink r:id="rId103" ref="E175"/>
    <hyperlink r:id="rId104" ref="E176"/>
    <hyperlink r:id="rId105" ref="E177"/>
    <hyperlink r:id="rId106" ref="E178"/>
    <hyperlink r:id="rId107" ref="E179"/>
    <hyperlink r:id="rId108" ref="E180"/>
    <hyperlink r:id="rId109" ref="E181"/>
    <hyperlink r:id="rId110" ref="E182"/>
    <hyperlink r:id="rId111" ref="E183"/>
    <hyperlink r:id="rId112" ref="E184"/>
    <hyperlink r:id="rId113" ref="E185"/>
    <hyperlink r:id="rId114" ref="E186"/>
    <hyperlink r:id="rId115" ref="E187"/>
    <hyperlink r:id="rId116" ref="E188"/>
    <hyperlink r:id="rId117" ref="E189"/>
    <hyperlink r:id="rId118" ref="E190"/>
    <hyperlink r:id="rId119" ref="E191"/>
    <hyperlink r:id="rId120" ref="E192"/>
    <hyperlink r:id="rId121" ref="E193"/>
    <hyperlink r:id="rId122" ref="E194"/>
    <hyperlink r:id="rId123" ref="E195"/>
    <hyperlink r:id="rId124" ref="E196"/>
    <hyperlink r:id="rId125" ref="E197"/>
    <hyperlink r:id="rId126" ref="E198"/>
    <hyperlink r:id="rId127" ref="E199"/>
    <hyperlink r:id="rId128" ref="E200"/>
    <hyperlink r:id="rId129" ref="E203"/>
    <hyperlink r:id="rId130" ref="E204"/>
    <hyperlink r:id="rId131" ref="E206"/>
    <hyperlink r:id="rId132" ref="E207"/>
    <hyperlink r:id="rId133" ref="E209"/>
    <hyperlink r:id="rId134" ref="E210"/>
    <hyperlink r:id="rId135" ref="E211"/>
    <hyperlink r:id="rId136" ref="E213"/>
    <hyperlink r:id="rId137" ref="E219"/>
    <hyperlink r:id="rId138" ref="E225"/>
    <hyperlink r:id="rId139" ref="E228"/>
    <hyperlink r:id="rId140" ref="E234"/>
    <hyperlink r:id="rId141" ref="E236"/>
    <hyperlink r:id="rId142" ref="E238"/>
    <hyperlink r:id="rId143" ref="E240"/>
    <hyperlink r:id="rId144" ref="E243"/>
    <hyperlink r:id="rId145" ref="E245"/>
    <hyperlink r:id="rId146" ref="E247"/>
    <hyperlink r:id="rId147" ref="E257"/>
    <hyperlink r:id="rId148" ref="E260"/>
    <hyperlink r:id="rId149" ref="E263"/>
    <hyperlink r:id="rId150" ref="E266"/>
    <hyperlink r:id="rId151" ref="E267"/>
    <hyperlink r:id="rId152" ref="E268"/>
    <hyperlink r:id="rId153" ref="E270"/>
    <hyperlink r:id="rId154" ref="E274"/>
    <hyperlink r:id="rId155" ref="E276"/>
    <hyperlink r:id="rId156" ref="E277"/>
    <hyperlink r:id="rId157" ref="E278"/>
    <hyperlink r:id="rId158" ref="E286"/>
    <hyperlink r:id="rId159" ref="E287"/>
    <hyperlink r:id="rId160" ref="E288"/>
    <hyperlink r:id="rId161" ref="E289"/>
    <hyperlink r:id="rId162" ref="E292"/>
    <hyperlink r:id="rId163" ref="E293"/>
    <hyperlink r:id="rId164" ref="E295"/>
    <hyperlink r:id="rId165" ref="E296"/>
    <hyperlink r:id="rId166" ref="E299"/>
    <hyperlink r:id="rId167" ref="E300"/>
    <hyperlink r:id="rId168" ref="E302"/>
    <hyperlink r:id="rId169" ref="E304"/>
    <hyperlink r:id="rId170" ref="E307"/>
    <hyperlink r:id="rId171" ref="E309"/>
    <hyperlink r:id="rId172" ref="E312"/>
    <hyperlink r:id="rId173" ref="E313"/>
    <hyperlink r:id="rId174" ref="E314"/>
    <hyperlink r:id="rId175" ref="E318"/>
    <hyperlink r:id="rId176" ref="E319"/>
    <hyperlink r:id="rId177" ref="E320"/>
    <hyperlink r:id="rId178" ref="E321"/>
    <hyperlink r:id="rId179" ref="E324"/>
    <hyperlink r:id="rId180" ref="E325"/>
    <hyperlink r:id="rId181" ref="E326"/>
    <hyperlink r:id="rId182" ref="E331"/>
    <hyperlink r:id="rId183" ref="E337"/>
    <hyperlink r:id="rId184" ref="E338"/>
    <hyperlink r:id="rId185" ref="E356"/>
    <hyperlink r:id="rId186" ref="E357"/>
    <hyperlink r:id="rId187" ref="E358"/>
    <hyperlink r:id="rId188" ref="E361"/>
    <hyperlink r:id="rId189" ref="E364"/>
    <hyperlink r:id="rId190" ref="E365"/>
    <hyperlink r:id="rId191" ref="E367"/>
    <hyperlink r:id="rId192" ref="E369"/>
    <hyperlink r:id="rId193" ref="E373"/>
    <hyperlink r:id="rId194" ref="E378"/>
    <hyperlink r:id="rId195" ref="E380"/>
    <hyperlink r:id="rId196" ref="E381"/>
    <hyperlink r:id="rId197" ref="E382"/>
    <hyperlink r:id="rId198" ref="E384"/>
    <hyperlink r:id="rId199" ref="E386"/>
    <hyperlink r:id="rId200" ref="E390"/>
    <hyperlink r:id="rId201" ref="E392"/>
    <hyperlink r:id="rId202" ref="E393"/>
    <hyperlink r:id="rId203" ref="E405"/>
    <hyperlink r:id="rId204" ref="E412"/>
    <hyperlink r:id="rId205" ref="E435"/>
    <hyperlink r:id="rId206" ref="E436"/>
    <hyperlink r:id="rId207" ref="E437"/>
    <hyperlink r:id="rId208" ref="E438"/>
    <hyperlink r:id="rId209" ref="E439"/>
    <hyperlink r:id="rId210" ref="E440"/>
    <hyperlink r:id="rId211" ref="E441"/>
    <hyperlink r:id="rId212" ref="E442"/>
    <hyperlink r:id="rId213" ref="E443"/>
    <hyperlink r:id="rId214" ref="E444"/>
    <hyperlink r:id="rId215" ref="E445"/>
    <hyperlink r:id="rId216" ref="E446"/>
    <hyperlink r:id="rId217" ref="E447"/>
    <hyperlink r:id="rId218" ref="E448"/>
    <hyperlink r:id="rId219" ref="E449"/>
    <hyperlink r:id="rId220" ref="E450"/>
    <hyperlink r:id="rId221" ref="E451"/>
    <hyperlink r:id="rId222" ref="E452"/>
    <hyperlink r:id="rId223" ref="E453"/>
    <hyperlink r:id="rId224" ref="E454"/>
    <hyperlink r:id="rId225" ref="E455"/>
    <hyperlink r:id="rId226" ref="E456"/>
    <hyperlink r:id="rId227" ref="E457"/>
    <hyperlink r:id="rId228" ref="E458"/>
    <hyperlink r:id="rId229" ref="E459"/>
    <hyperlink r:id="rId230" ref="E460"/>
    <hyperlink r:id="rId231" ref="E461"/>
    <hyperlink r:id="rId232" ref="E462"/>
    <hyperlink r:id="rId233" ref="E463"/>
    <hyperlink r:id="rId234" ref="E464"/>
    <hyperlink r:id="rId235" ref="E465"/>
    <hyperlink r:id="rId236" ref="E466"/>
    <hyperlink r:id="rId237" ref="E467"/>
    <hyperlink r:id="rId238" ref="E468"/>
    <hyperlink r:id="rId239" ref="E469"/>
    <hyperlink r:id="rId240" ref="E470"/>
    <hyperlink r:id="rId241" ref="E471"/>
    <hyperlink r:id="rId242" ref="E472"/>
    <hyperlink r:id="rId243" ref="E473"/>
    <hyperlink r:id="rId244" ref="E474"/>
    <hyperlink r:id="rId245" ref="E475"/>
    <hyperlink r:id="rId246" ref="E476"/>
    <hyperlink r:id="rId247" ref="E477"/>
    <hyperlink r:id="rId248" ref="E478"/>
    <hyperlink r:id="rId249" ref="E479"/>
    <hyperlink r:id="rId250" ref="E480"/>
    <hyperlink r:id="rId251" ref="E481"/>
    <hyperlink r:id="rId252" ref="E482"/>
    <hyperlink r:id="rId253" ref="E483"/>
    <hyperlink r:id="rId254" ref="E484"/>
    <hyperlink r:id="rId255" ref="E485"/>
    <hyperlink r:id="rId256" ref="E486"/>
    <hyperlink r:id="rId257" ref="E487"/>
    <hyperlink r:id="rId258" ref="E488"/>
    <hyperlink r:id="rId259" ref="E489"/>
    <hyperlink r:id="rId260" ref="E490"/>
    <hyperlink r:id="rId261" ref="E491"/>
    <hyperlink r:id="rId262" ref="E492"/>
    <hyperlink r:id="rId263" ref="E493"/>
    <hyperlink r:id="rId264" ref="E494"/>
    <hyperlink r:id="rId265" ref="E495"/>
    <hyperlink r:id="rId266" ref="E496"/>
    <hyperlink r:id="rId267" ref="E497"/>
    <hyperlink r:id="rId268" ref="E498"/>
    <hyperlink r:id="rId269" ref="E499"/>
    <hyperlink r:id="rId270" ref="E500"/>
    <hyperlink r:id="rId271" ref="E501"/>
    <hyperlink r:id="rId272" ref="E502"/>
    <hyperlink r:id="rId273" ref="E503"/>
    <hyperlink r:id="rId274" ref="E504"/>
    <hyperlink r:id="rId275" ref="E505"/>
    <hyperlink r:id="rId276" ref="E506"/>
    <hyperlink r:id="rId277" ref="E507"/>
    <hyperlink r:id="rId278" ref="E508"/>
    <hyperlink r:id="rId279" ref="E509"/>
    <hyperlink r:id="rId280" ref="E510"/>
    <hyperlink r:id="rId281" ref="E511"/>
    <hyperlink r:id="rId282" ref="E512"/>
    <hyperlink r:id="rId283" ref="E513"/>
    <hyperlink r:id="rId284" ref="E514"/>
    <hyperlink r:id="rId285" ref="E515"/>
    <hyperlink r:id="rId286" ref="E516"/>
    <hyperlink r:id="rId287" ref="E517"/>
    <hyperlink r:id="rId288" ref="E518"/>
    <hyperlink r:id="rId289" ref="E519"/>
    <hyperlink r:id="rId290" ref="E520"/>
    <hyperlink r:id="rId291" ref="E521"/>
    <hyperlink r:id="rId292" ref="E522"/>
    <hyperlink r:id="rId293" ref="E523"/>
    <hyperlink r:id="rId294" ref="E524"/>
    <hyperlink r:id="rId295" ref="E525"/>
  </hyperlinks>
  <drawing r:id="rId29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27.5"/>
    <col customWidth="1" min="4" max="4" width="29.5"/>
    <col customWidth="1" min="5" max="6" width="12.63"/>
  </cols>
  <sheetData>
    <row r="1"/>
    <row r="2"/>
    <row r="3">
      <c r="B3" s="94" t="s">
        <v>64</v>
      </c>
      <c r="C3" s="94" t="s">
        <v>2405</v>
      </c>
      <c r="D3" s="94" t="s">
        <v>2406</v>
      </c>
    </row>
    <row r="4">
      <c r="B4" s="95" t="s">
        <v>43</v>
      </c>
      <c r="C4" s="95">
        <v>276.0</v>
      </c>
      <c r="D4" s="95">
        <v>3.0</v>
      </c>
    </row>
    <row r="5">
      <c r="B5" s="95" t="s">
        <v>45</v>
      </c>
      <c r="C5" s="95">
        <v>87.0</v>
      </c>
      <c r="D5" s="96">
        <v>69.0</v>
      </c>
    </row>
    <row r="6">
      <c r="B6" s="95" t="s">
        <v>47</v>
      </c>
      <c r="C6" s="96">
        <v>87.0</v>
      </c>
      <c r="D6" s="96">
        <v>43.0</v>
      </c>
    </row>
    <row r="7">
      <c r="B7" s="95" t="s">
        <v>2407</v>
      </c>
      <c r="C7" s="96">
        <v>38.0</v>
      </c>
      <c r="D7" s="95">
        <v>9.0</v>
      </c>
    </row>
    <row r="8">
      <c r="B8" s="95" t="s">
        <v>49</v>
      </c>
      <c r="C8" s="96">
        <v>33.0</v>
      </c>
      <c r="D8" s="96">
        <v>20.0</v>
      </c>
      <c r="E8" s="11"/>
    </row>
    <row r="9">
      <c r="B9" s="94" t="s">
        <v>2408</v>
      </c>
      <c r="C9" s="94">
        <f t="shared" ref="C9:D9" si="1">SUM(C4:C8)</f>
        <v>521</v>
      </c>
      <c r="D9" s="94">
        <f t="shared" si="1"/>
        <v>144</v>
      </c>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35.25"/>
    <col customWidth="1" min="3" max="3" width="18.0"/>
    <col customWidth="1" min="4" max="4" width="34.0"/>
    <col customWidth="1" min="5" max="5" width="11.25"/>
    <col customWidth="1" min="6" max="6" width="24.25"/>
  </cols>
  <sheetData>
    <row r="1">
      <c r="A1" s="97" t="s">
        <v>58</v>
      </c>
      <c r="C1" s="97" t="s">
        <v>60</v>
      </c>
      <c r="E1" s="97" t="s">
        <v>62</v>
      </c>
    </row>
    <row r="2">
      <c r="A2" s="98" t="s">
        <v>2409</v>
      </c>
      <c r="C2" s="99" t="s">
        <v>2410</v>
      </c>
      <c r="D2" s="100" t="s">
        <v>61</v>
      </c>
      <c r="E2" s="99" t="s">
        <v>2410</v>
      </c>
      <c r="F2" s="100" t="s">
        <v>2411</v>
      </c>
    </row>
    <row r="3" ht="68.25" customHeight="1">
      <c r="C3" s="101" t="s">
        <v>2412</v>
      </c>
      <c r="D3" s="102" t="s">
        <v>2413</v>
      </c>
      <c r="E3" s="101" t="s">
        <v>2412</v>
      </c>
      <c r="F3" s="102" t="s">
        <v>2413</v>
      </c>
    </row>
    <row r="4">
      <c r="C4" s="101" t="s">
        <v>2414</v>
      </c>
      <c r="D4" s="102" t="s">
        <v>2415</v>
      </c>
      <c r="E4" s="101" t="s">
        <v>2414</v>
      </c>
      <c r="F4" s="102" t="s">
        <v>2415</v>
      </c>
    </row>
    <row r="5">
      <c r="C5" s="101" t="s">
        <v>2416</v>
      </c>
      <c r="D5" s="102" t="s">
        <v>2417</v>
      </c>
      <c r="E5" s="101" t="s">
        <v>2416</v>
      </c>
      <c r="F5" s="102" t="s">
        <v>2417</v>
      </c>
    </row>
    <row r="6">
      <c r="C6" s="101" t="s">
        <v>2418</v>
      </c>
      <c r="D6" s="102" t="s">
        <v>2419</v>
      </c>
      <c r="E6" s="101" t="s">
        <v>2418</v>
      </c>
      <c r="F6" s="102" t="s">
        <v>2419</v>
      </c>
    </row>
    <row r="7">
      <c r="C7" s="101" t="s">
        <v>2420</v>
      </c>
      <c r="D7" s="102" t="s">
        <v>2421</v>
      </c>
      <c r="E7" s="101" t="s">
        <v>2420</v>
      </c>
      <c r="F7" s="102" t="s">
        <v>2421</v>
      </c>
    </row>
    <row r="8">
      <c r="D8" s="103"/>
      <c r="F8" s="104"/>
    </row>
    <row r="9">
      <c r="D9" s="103"/>
      <c r="F9" s="104"/>
    </row>
    <row r="10">
      <c r="D10" s="103"/>
      <c r="F10" s="104"/>
    </row>
    <row r="11">
      <c r="D11" s="103"/>
      <c r="F11" s="104"/>
    </row>
    <row r="12">
      <c r="D12" s="103"/>
      <c r="F12" s="104"/>
    </row>
    <row r="13">
      <c r="D13" s="103"/>
      <c r="F13" s="104"/>
    </row>
    <row r="14">
      <c r="D14" s="103"/>
      <c r="F14" s="104"/>
    </row>
    <row r="15">
      <c r="D15" s="103"/>
      <c r="F15" s="104"/>
    </row>
    <row r="16">
      <c r="D16" s="103"/>
      <c r="F16" s="104"/>
    </row>
    <row r="17">
      <c r="D17" s="103"/>
      <c r="F17" s="104"/>
    </row>
    <row r="18" ht="180.0" customHeight="1">
      <c r="D18" s="103"/>
      <c r="F18" s="104"/>
    </row>
    <row r="19">
      <c r="D19" s="103"/>
      <c r="F19" s="104"/>
    </row>
    <row r="20">
      <c r="D20" s="103"/>
      <c r="F20" s="104"/>
    </row>
    <row r="21">
      <c r="D21" s="103"/>
      <c r="F21" s="104"/>
    </row>
    <row r="22">
      <c r="D22" s="103"/>
      <c r="F22" s="104"/>
    </row>
    <row r="23">
      <c r="D23" s="103"/>
      <c r="F23" s="104"/>
    </row>
    <row r="24">
      <c r="D24" s="103"/>
      <c r="F24" s="104"/>
    </row>
    <row r="25">
      <c r="D25" s="103"/>
      <c r="F25" s="104"/>
    </row>
    <row r="26">
      <c r="D26" s="103"/>
      <c r="F26" s="104"/>
    </row>
    <row r="27">
      <c r="D27" s="103"/>
      <c r="F27" s="104"/>
    </row>
    <row r="28">
      <c r="D28" s="103"/>
      <c r="F28" s="104"/>
    </row>
    <row r="29">
      <c r="D29" s="103"/>
      <c r="F29" s="104"/>
    </row>
    <row r="30">
      <c r="D30" s="103"/>
      <c r="F30" s="104"/>
    </row>
    <row r="31">
      <c r="D31" s="103"/>
      <c r="F31" s="104"/>
    </row>
    <row r="32">
      <c r="D32" s="103"/>
      <c r="F32" s="104"/>
    </row>
    <row r="33">
      <c r="D33" s="103"/>
      <c r="F33" s="104"/>
    </row>
    <row r="34">
      <c r="D34" s="103"/>
      <c r="F34" s="104"/>
    </row>
    <row r="35">
      <c r="D35" s="103"/>
      <c r="F35" s="104"/>
    </row>
    <row r="36">
      <c r="D36" s="103"/>
      <c r="F36" s="104"/>
    </row>
    <row r="37">
      <c r="D37" s="103"/>
      <c r="F37" s="104"/>
    </row>
    <row r="38">
      <c r="D38" s="103"/>
      <c r="F38" s="104"/>
    </row>
    <row r="39">
      <c r="D39" s="103"/>
      <c r="F39" s="104"/>
    </row>
    <row r="40">
      <c r="D40" s="103"/>
      <c r="F40" s="104"/>
    </row>
    <row r="41">
      <c r="D41" s="103"/>
      <c r="F41" s="104"/>
    </row>
    <row r="42">
      <c r="D42" s="103"/>
      <c r="F42" s="104"/>
    </row>
    <row r="43">
      <c r="D43" s="103"/>
      <c r="F43" s="104"/>
    </row>
    <row r="44">
      <c r="D44" s="103"/>
      <c r="F44" s="104"/>
    </row>
    <row r="45">
      <c r="D45" s="103"/>
      <c r="F45" s="104"/>
    </row>
    <row r="46">
      <c r="D46" s="103"/>
      <c r="F46" s="104"/>
    </row>
    <row r="47">
      <c r="D47" s="103"/>
      <c r="F47" s="104"/>
    </row>
    <row r="48">
      <c r="D48" s="103"/>
      <c r="F48" s="104"/>
    </row>
    <row r="49">
      <c r="D49" s="103"/>
      <c r="F49" s="104"/>
    </row>
    <row r="50">
      <c r="D50" s="103"/>
      <c r="F50" s="104"/>
    </row>
    <row r="51">
      <c r="D51" s="103"/>
      <c r="F51" s="104"/>
    </row>
    <row r="52">
      <c r="D52" s="103"/>
      <c r="F52" s="104"/>
    </row>
    <row r="53">
      <c r="D53" s="103"/>
      <c r="F53" s="104"/>
    </row>
    <row r="54">
      <c r="D54" s="103"/>
      <c r="F54" s="104"/>
    </row>
    <row r="55">
      <c r="D55" s="103"/>
      <c r="F55" s="104"/>
    </row>
    <row r="56">
      <c r="D56" s="103"/>
      <c r="F56" s="104"/>
    </row>
    <row r="57">
      <c r="D57" s="103"/>
      <c r="F57" s="104"/>
    </row>
    <row r="58">
      <c r="D58" s="103"/>
      <c r="F58" s="104"/>
    </row>
    <row r="59">
      <c r="D59" s="103"/>
      <c r="F59" s="104"/>
    </row>
    <row r="60">
      <c r="D60" s="103"/>
      <c r="F60" s="104"/>
    </row>
    <row r="61">
      <c r="D61" s="103"/>
      <c r="F61" s="104"/>
    </row>
    <row r="62">
      <c r="D62" s="103"/>
      <c r="F62" s="104"/>
    </row>
    <row r="63">
      <c r="D63" s="103"/>
      <c r="F63" s="104"/>
    </row>
    <row r="64">
      <c r="D64" s="103"/>
      <c r="F64" s="104"/>
    </row>
    <row r="65">
      <c r="D65" s="103"/>
      <c r="F65" s="104"/>
    </row>
    <row r="66">
      <c r="D66" s="103"/>
      <c r="F66" s="104"/>
    </row>
    <row r="67">
      <c r="D67" s="103"/>
      <c r="F67" s="104"/>
    </row>
    <row r="68">
      <c r="D68" s="103"/>
      <c r="F68" s="104"/>
    </row>
    <row r="69">
      <c r="D69" s="103"/>
      <c r="F69" s="104"/>
    </row>
    <row r="70">
      <c r="D70" s="103"/>
      <c r="F70" s="104"/>
    </row>
    <row r="71">
      <c r="D71" s="103"/>
      <c r="F71" s="104"/>
    </row>
    <row r="72">
      <c r="D72" s="103"/>
      <c r="F72" s="104"/>
    </row>
    <row r="73">
      <c r="D73" s="103"/>
      <c r="F73" s="104"/>
    </row>
    <row r="74">
      <c r="D74" s="103"/>
      <c r="F74" s="104"/>
    </row>
    <row r="75">
      <c r="D75" s="103"/>
      <c r="F75" s="104"/>
    </row>
    <row r="76">
      <c r="D76" s="103"/>
      <c r="F76" s="104"/>
    </row>
    <row r="77">
      <c r="D77" s="103"/>
      <c r="F77" s="104"/>
    </row>
    <row r="78">
      <c r="D78" s="103"/>
      <c r="F78" s="104"/>
    </row>
    <row r="79">
      <c r="D79" s="103"/>
      <c r="F79" s="104"/>
    </row>
    <row r="80">
      <c r="D80" s="103"/>
      <c r="F80" s="104"/>
    </row>
    <row r="81">
      <c r="D81" s="103"/>
      <c r="F81" s="104"/>
    </row>
    <row r="82">
      <c r="D82" s="103"/>
      <c r="F82" s="104"/>
    </row>
    <row r="83">
      <c r="D83" s="103"/>
      <c r="F83" s="104"/>
    </row>
    <row r="84">
      <c r="D84" s="103"/>
      <c r="F84" s="104"/>
    </row>
    <row r="85">
      <c r="D85" s="103"/>
      <c r="F85" s="104"/>
    </row>
    <row r="86">
      <c r="D86" s="103"/>
      <c r="F86" s="104"/>
    </row>
    <row r="87">
      <c r="D87" s="103"/>
      <c r="F87" s="104"/>
    </row>
    <row r="88">
      <c r="D88" s="103"/>
      <c r="F88" s="104"/>
    </row>
    <row r="89">
      <c r="D89" s="103"/>
      <c r="F89" s="104"/>
    </row>
    <row r="90">
      <c r="D90" s="103"/>
      <c r="F90" s="104"/>
    </row>
    <row r="91">
      <c r="D91" s="103"/>
      <c r="F91" s="104"/>
    </row>
    <row r="92">
      <c r="D92" s="103"/>
      <c r="F92" s="104"/>
    </row>
    <row r="93">
      <c r="D93" s="103"/>
      <c r="F93" s="104"/>
    </row>
    <row r="94">
      <c r="D94" s="103"/>
      <c r="F94" s="104"/>
    </row>
    <row r="95">
      <c r="D95" s="103"/>
      <c r="F95" s="104"/>
    </row>
    <row r="96">
      <c r="D96" s="103"/>
      <c r="F96" s="104"/>
    </row>
    <row r="97">
      <c r="D97" s="103"/>
      <c r="F97" s="104"/>
    </row>
    <row r="98">
      <c r="D98" s="103"/>
      <c r="F98" s="104"/>
    </row>
    <row r="99">
      <c r="D99" s="103"/>
      <c r="F99" s="104"/>
    </row>
    <row r="100">
      <c r="D100" s="103"/>
      <c r="F100" s="104"/>
    </row>
    <row r="101">
      <c r="D101" s="103"/>
      <c r="F101" s="104"/>
    </row>
    <row r="102">
      <c r="D102" s="103"/>
      <c r="F102" s="104"/>
    </row>
    <row r="103">
      <c r="D103" s="103"/>
      <c r="F103" s="104"/>
    </row>
    <row r="104">
      <c r="D104" s="103"/>
      <c r="F104" s="104"/>
    </row>
    <row r="105">
      <c r="D105" s="103"/>
      <c r="F105" s="104"/>
    </row>
    <row r="106">
      <c r="D106" s="103"/>
      <c r="F106" s="104"/>
    </row>
    <row r="107">
      <c r="D107" s="103"/>
      <c r="F107" s="104"/>
    </row>
    <row r="108">
      <c r="D108" s="103"/>
      <c r="F108" s="104"/>
    </row>
    <row r="109">
      <c r="D109" s="103"/>
      <c r="F109" s="104"/>
    </row>
    <row r="110">
      <c r="D110" s="103"/>
      <c r="F110" s="104"/>
    </row>
    <row r="111">
      <c r="D111" s="103"/>
      <c r="F111" s="104"/>
    </row>
    <row r="112">
      <c r="D112" s="103"/>
      <c r="F112" s="104"/>
    </row>
    <row r="113">
      <c r="D113" s="103"/>
      <c r="F113" s="104"/>
    </row>
    <row r="114">
      <c r="D114" s="103"/>
      <c r="F114" s="104"/>
    </row>
    <row r="115">
      <c r="D115" s="103"/>
      <c r="F115" s="104"/>
    </row>
    <row r="116">
      <c r="D116" s="103"/>
      <c r="F116" s="104"/>
    </row>
    <row r="117">
      <c r="D117" s="103"/>
      <c r="F117" s="104"/>
    </row>
    <row r="118">
      <c r="D118" s="103"/>
      <c r="F118" s="104"/>
    </row>
    <row r="119">
      <c r="D119" s="103"/>
      <c r="F119" s="104"/>
    </row>
    <row r="120">
      <c r="D120" s="103"/>
      <c r="F120" s="104"/>
    </row>
    <row r="121">
      <c r="D121" s="103"/>
      <c r="F121" s="104"/>
    </row>
    <row r="122">
      <c r="D122" s="103"/>
      <c r="F122" s="104"/>
    </row>
    <row r="123">
      <c r="D123" s="103"/>
      <c r="F123" s="104"/>
    </row>
    <row r="124">
      <c r="D124" s="103"/>
      <c r="F124" s="104"/>
    </row>
    <row r="125">
      <c r="D125" s="103"/>
      <c r="F125" s="104"/>
    </row>
    <row r="126">
      <c r="D126" s="103"/>
      <c r="F126" s="104"/>
    </row>
    <row r="127">
      <c r="D127" s="103"/>
      <c r="F127" s="104"/>
    </row>
    <row r="128">
      <c r="D128" s="103"/>
      <c r="F128" s="104"/>
    </row>
    <row r="129">
      <c r="D129" s="103"/>
      <c r="F129" s="104"/>
    </row>
    <row r="130">
      <c r="D130" s="103"/>
      <c r="F130" s="104"/>
    </row>
    <row r="131">
      <c r="D131" s="103"/>
      <c r="F131" s="104"/>
    </row>
    <row r="132">
      <c r="D132" s="103"/>
      <c r="F132" s="104"/>
    </row>
    <row r="133">
      <c r="D133" s="103"/>
      <c r="F133" s="104"/>
    </row>
    <row r="134">
      <c r="D134" s="103"/>
      <c r="F134" s="104"/>
    </row>
    <row r="135">
      <c r="D135" s="103"/>
      <c r="F135" s="104"/>
    </row>
    <row r="136">
      <c r="D136" s="103"/>
      <c r="F136" s="104"/>
    </row>
    <row r="137">
      <c r="D137" s="103"/>
      <c r="F137" s="104"/>
    </row>
    <row r="138">
      <c r="D138" s="103"/>
      <c r="F138" s="104"/>
    </row>
    <row r="139">
      <c r="D139" s="103"/>
      <c r="F139" s="104"/>
    </row>
    <row r="140">
      <c r="D140" s="103"/>
      <c r="F140" s="104"/>
    </row>
    <row r="141">
      <c r="D141" s="103"/>
      <c r="F141" s="104"/>
    </row>
    <row r="142">
      <c r="D142" s="103"/>
      <c r="F142" s="104"/>
    </row>
    <row r="143">
      <c r="D143" s="103"/>
      <c r="F143" s="104"/>
    </row>
    <row r="144">
      <c r="D144" s="103"/>
      <c r="F144" s="104"/>
    </row>
    <row r="145">
      <c r="D145" s="103"/>
      <c r="F145" s="104"/>
    </row>
    <row r="146">
      <c r="D146" s="103"/>
      <c r="F146" s="104"/>
    </row>
    <row r="147">
      <c r="D147" s="103"/>
      <c r="F147" s="104"/>
    </row>
    <row r="148">
      <c r="D148" s="103"/>
      <c r="F148" s="104"/>
    </row>
    <row r="149">
      <c r="D149" s="103"/>
      <c r="F149" s="104"/>
    </row>
    <row r="150">
      <c r="D150" s="103"/>
      <c r="F150" s="104"/>
    </row>
    <row r="151">
      <c r="D151" s="103"/>
      <c r="F151" s="104"/>
    </row>
    <row r="152">
      <c r="D152" s="103"/>
      <c r="F152" s="104"/>
    </row>
    <row r="153">
      <c r="D153" s="103"/>
      <c r="F153" s="104"/>
    </row>
    <row r="154">
      <c r="D154" s="103"/>
      <c r="F154" s="104"/>
    </row>
    <row r="155">
      <c r="D155" s="103"/>
      <c r="F155" s="104"/>
    </row>
    <row r="156">
      <c r="D156" s="103"/>
      <c r="F156" s="104"/>
    </row>
    <row r="157">
      <c r="D157" s="103"/>
      <c r="F157" s="104"/>
    </row>
    <row r="158">
      <c r="D158" s="103"/>
      <c r="F158" s="104"/>
    </row>
    <row r="159">
      <c r="D159" s="103"/>
      <c r="F159" s="104"/>
    </row>
    <row r="160">
      <c r="D160" s="103"/>
      <c r="F160" s="104"/>
    </row>
    <row r="161">
      <c r="D161" s="103"/>
      <c r="F161" s="104"/>
    </row>
    <row r="162">
      <c r="D162" s="103"/>
      <c r="F162" s="104"/>
    </row>
    <row r="163">
      <c r="D163" s="103"/>
      <c r="F163" s="104"/>
    </row>
    <row r="164">
      <c r="D164" s="103"/>
      <c r="F164" s="104"/>
    </row>
    <row r="165">
      <c r="D165" s="103"/>
      <c r="F165" s="104"/>
    </row>
    <row r="166">
      <c r="D166" s="103"/>
      <c r="F166" s="104"/>
    </row>
    <row r="167">
      <c r="D167" s="103"/>
      <c r="F167" s="104"/>
    </row>
    <row r="168">
      <c r="D168" s="103"/>
      <c r="F168" s="104"/>
    </row>
    <row r="169">
      <c r="D169" s="103"/>
      <c r="F169" s="104"/>
    </row>
    <row r="170">
      <c r="D170" s="103"/>
      <c r="F170" s="104"/>
    </row>
    <row r="171">
      <c r="D171" s="103"/>
      <c r="F171" s="104"/>
    </row>
    <row r="172">
      <c r="D172" s="103"/>
      <c r="F172" s="104"/>
    </row>
    <row r="173">
      <c r="D173" s="103"/>
      <c r="F173" s="104"/>
    </row>
    <row r="174">
      <c r="D174" s="103"/>
      <c r="F174" s="104"/>
    </row>
    <row r="175">
      <c r="D175" s="103"/>
      <c r="F175" s="104"/>
    </row>
    <row r="176">
      <c r="D176" s="103"/>
      <c r="F176" s="104"/>
    </row>
    <row r="177">
      <c r="D177" s="103"/>
      <c r="F177" s="104"/>
    </row>
    <row r="178">
      <c r="D178" s="103"/>
      <c r="F178" s="104"/>
    </row>
    <row r="179">
      <c r="D179" s="103"/>
      <c r="F179" s="104"/>
    </row>
    <row r="180">
      <c r="D180" s="103"/>
      <c r="F180" s="104"/>
    </row>
    <row r="181">
      <c r="D181" s="103"/>
      <c r="F181" s="104"/>
    </row>
    <row r="182">
      <c r="D182" s="103"/>
      <c r="F182" s="104"/>
    </row>
    <row r="183">
      <c r="D183" s="103"/>
      <c r="F183" s="104"/>
    </row>
    <row r="184">
      <c r="D184" s="103"/>
      <c r="F184" s="104"/>
    </row>
    <row r="185">
      <c r="D185" s="103"/>
      <c r="F185" s="104"/>
    </row>
    <row r="186">
      <c r="D186" s="103"/>
      <c r="F186" s="104"/>
    </row>
    <row r="187">
      <c r="D187" s="103"/>
      <c r="F187" s="104"/>
    </row>
    <row r="188">
      <c r="D188" s="103"/>
      <c r="F188" s="104"/>
    </row>
    <row r="189">
      <c r="D189" s="103"/>
      <c r="F189" s="104"/>
    </row>
    <row r="190">
      <c r="D190" s="103"/>
      <c r="F190" s="104"/>
    </row>
    <row r="191">
      <c r="D191" s="103"/>
      <c r="F191" s="104"/>
    </row>
    <row r="192">
      <c r="D192" s="103"/>
      <c r="F192" s="104"/>
    </row>
    <row r="193">
      <c r="D193" s="103"/>
      <c r="F193" s="104"/>
    </row>
    <row r="194">
      <c r="D194" s="103"/>
      <c r="F194" s="104"/>
    </row>
    <row r="195">
      <c r="D195" s="103"/>
      <c r="F195" s="104"/>
    </row>
    <row r="196">
      <c r="D196" s="103"/>
      <c r="F196" s="104"/>
    </row>
    <row r="197">
      <c r="D197" s="103"/>
      <c r="F197" s="104"/>
    </row>
    <row r="198">
      <c r="D198" s="103"/>
      <c r="F198" s="104"/>
    </row>
    <row r="199">
      <c r="D199" s="103"/>
      <c r="F199" s="104"/>
    </row>
    <row r="200">
      <c r="D200" s="103"/>
      <c r="F200" s="104"/>
    </row>
    <row r="201">
      <c r="D201" s="103"/>
      <c r="F201" s="104"/>
    </row>
    <row r="202">
      <c r="D202" s="103"/>
      <c r="F202" s="104"/>
    </row>
    <row r="203">
      <c r="D203" s="103"/>
      <c r="F203" s="104"/>
    </row>
    <row r="204">
      <c r="D204" s="103"/>
      <c r="F204" s="104"/>
    </row>
    <row r="205">
      <c r="D205" s="103"/>
      <c r="F205" s="104"/>
    </row>
    <row r="206">
      <c r="D206" s="103"/>
      <c r="F206" s="104"/>
    </row>
    <row r="207">
      <c r="D207" s="103"/>
      <c r="F207" s="104"/>
    </row>
    <row r="208">
      <c r="D208" s="103"/>
      <c r="F208" s="104"/>
    </row>
    <row r="209">
      <c r="D209" s="103"/>
      <c r="F209" s="104"/>
    </row>
    <row r="210">
      <c r="D210" s="103"/>
      <c r="F210" s="104"/>
    </row>
    <row r="211">
      <c r="D211" s="103"/>
      <c r="F211" s="104"/>
    </row>
    <row r="212">
      <c r="D212" s="103"/>
      <c r="F212" s="104"/>
    </row>
    <row r="213">
      <c r="D213" s="103"/>
      <c r="F213" s="104"/>
    </row>
    <row r="214">
      <c r="D214" s="103"/>
      <c r="F214" s="104"/>
    </row>
    <row r="215">
      <c r="D215" s="103"/>
      <c r="F215" s="104"/>
    </row>
    <row r="216">
      <c r="D216" s="103"/>
      <c r="F216" s="104"/>
    </row>
    <row r="217">
      <c r="D217" s="103"/>
      <c r="F217" s="104"/>
    </row>
    <row r="218">
      <c r="D218" s="103"/>
      <c r="F218" s="104"/>
    </row>
    <row r="219">
      <c r="D219" s="103"/>
      <c r="F219" s="104"/>
    </row>
    <row r="220">
      <c r="D220" s="103"/>
      <c r="F220" s="104"/>
    </row>
    <row r="221">
      <c r="D221" s="103"/>
      <c r="F221" s="104"/>
    </row>
    <row r="222">
      <c r="D222" s="103"/>
      <c r="F222" s="104"/>
    </row>
    <row r="223">
      <c r="D223" s="103"/>
      <c r="F223" s="104"/>
    </row>
    <row r="224">
      <c r="D224" s="103"/>
      <c r="F224" s="104"/>
    </row>
    <row r="225">
      <c r="D225" s="103"/>
      <c r="F225" s="104"/>
    </row>
    <row r="226">
      <c r="D226" s="103"/>
      <c r="F226" s="104"/>
    </row>
    <row r="227">
      <c r="D227" s="103"/>
      <c r="F227" s="104"/>
    </row>
    <row r="228">
      <c r="D228" s="103"/>
      <c r="F228" s="104"/>
    </row>
    <row r="229">
      <c r="D229" s="103"/>
      <c r="F229" s="104"/>
    </row>
    <row r="230">
      <c r="D230" s="103"/>
      <c r="F230" s="104"/>
    </row>
    <row r="231">
      <c r="D231" s="103"/>
      <c r="F231" s="104"/>
    </row>
    <row r="232">
      <c r="D232" s="103"/>
      <c r="F232" s="104"/>
    </row>
    <row r="233">
      <c r="D233" s="103"/>
      <c r="F233" s="104"/>
    </row>
    <row r="234">
      <c r="D234" s="103"/>
      <c r="F234" s="104"/>
    </row>
    <row r="235">
      <c r="D235" s="103"/>
      <c r="F235" s="104"/>
    </row>
    <row r="236">
      <c r="D236" s="103"/>
      <c r="F236" s="104"/>
    </row>
    <row r="237">
      <c r="D237" s="103"/>
      <c r="F237" s="104"/>
    </row>
    <row r="238">
      <c r="D238" s="103"/>
      <c r="F238" s="104"/>
    </row>
    <row r="239">
      <c r="D239" s="103"/>
      <c r="F239" s="104"/>
    </row>
    <row r="240">
      <c r="D240" s="103"/>
      <c r="F240" s="104"/>
    </row>
    <row r="241">
      <c r="D241" s="103"/>
      <c r="F241" s="104"/>
    </row>
    <row r="242">
      <c r="D242" s="103"/>
      <c r="F242" s="104"/>
    </row>
    <row r="243">
      <c r="D243" s="103"/>
      <c r="F243" s="104"/>
    </row>
    <row r="244">
      <c r="D244" s="103"/>
      <c r="F244" s="104"/>
    </row>
    <row r="245">
      <c r="D245" s="103"/>
      <c r="F245" s="104"/>
    </row>
    <row r="246">
      <c r="D246" s="103"/>
      <c r="F246" s="104"/>
    </row>
    <row r="247">
      <c r="D247" s="103"/>
      <c r="F247" s="104"/>
    </row>
    <row r="248">
      <c r="D248" s="103"/>
      <c r="F248" s="104"/>
    </row>
    <row r="249">
      <c r="D249" s="103"/>
      <c r="F249" s="104"/>
    </row>
    <row r="250">
      <c r="D250" s="103"/>
      <c r="F250" s="104"/>
    </row>
    <row r="251">
      <c r="D251" s="103"/>
      <c r="F251" s="104"/>
    </row>
    <row r="252">
      <c r="D252" s="103"/>
      <c r="F252" s="104"/>
    </row>
    <row r="253">
      <c r="D253" s="103"/>
      <c r="F253" s="104"/>
    </row>
    <row r="254">
      <c r="D254" s="103"/>
      <c r="F254" s="104"/>
    </row>
    <row r="255">
      <c r="D255" s="103"/>
      <c r="F255" s="104"/>
    </row>
    <row r="256">
      <c r="D256" s="103"/>
      <c r="F256" s="104"/>
    </row>
    <row r="257">
      <c r="D257" s="103"/>
      <c r="F257" s="104"/>
    </row>
    <row r="258">
      <c r="D258" s="103"/>
      <c r="F258" s="104"/>
    </row>
    <row r="259">
      <c r="D259" s="103"/>
      <c r="F259" s="104"/>
    </row>
    <row r="260">
      <c r="D260" s="103"/>
      <c r="F260" s="104"/>
    </row>
    <row r="261">
      <c r="D261" s="103"/>
      <c r="F261" s="104"/>
    </row>
    <row r="262">
      <c r="D262" s="103"/>
      <c r="F262" s="104"/>
    </row>
    <row r="263">
      <c r="D263" s="103"/>
      <c r="F263" s="104"/>
    </row>
    <row r="264">
      <c r="D264" s="103"/>
      <c r="F264" s="104"/>
    </row>
    <row r="265">
      <c r="D265" s="103"/>
      <c r="F265" s="104"/>
    </row>
    <row r="266">
      <c r="D266" s="103"/>
      <c r="F266" s="104"/>
    </row>
    <row r="267">
      <c r="D267" s="103"/>
      <c r="F267" s="104"/>
    </row>
    <row r="268">
      <c r="D268" s="103"/>
      <c r="F268" s="104"/>
    </row>
    <row r="269">
      <c r="D269" s="103"/>
      <c r="F269" s="104"/>
    </row>
    <row r="270">
      <c r="D270" s="103"/>
      <c r="F270" s="104"/>
    </row>
    <row r="271">
      <c r="D271" s="103"/>
      <c r="F271" s="104"/>
    </row>
    <row r="272">
      <c r="D272" s="103"/>
      <c r="F272" s="104"/>
    </row>
    <row r="273">
      <c r="D273" s="103"/>
      <c r="F273" s="104"/>
    </row>
    <row r="274">
      <c r="D274" s="103"/>
      <c r="F274" s="104"/>
    </row>
    <row r="275">
      <c r="D275" s="103"/>
      <c r="F275" s="104"/>
    </row>
    <row r="276">
      <c r="D276" s="103"/>
      <c r="F276" s="104"/>
    </row>
    <row r="277">
      <c r="D277" s="103"/>
      <c r="F277" s="104"/>
    </row>
    <row r="278">
      <c r="D278" s="103"/>
      <c r="F278" s="104"/>
    </row>
    <row r="279">
      <c r="D279" s="103"/>
      <c r="F279" s="104"/>
    </row>
    <row r="280">
      <c r="D280" s="103"/>
      <c r="F280" s="104"/>
    </row>
    <row r="281">
      <c r="D281" s="103"/>
      <c r="F281" s="104"/>
    </row>
    <row r="282">
      <c r="D282" s="103"/>
      <c r="F282" s="104"/>
    </row>
    <row r="283">
      <c r="D283" s="103"/>
      <c r="F283" s="104"/>
    </row>
    <row r="284">
      <c r="D284" s="103"/>
      <c r="F284" s="104"/>
    </row>
    <row r="285">
      <c r="D285" s="103"/>
      <c r="F285" s="104"/>
    </row>
    <row r="286">
      <c r="D286" s="103"/>
      <c r="F286" s="104"/>
    </row>
    <row r="287">
      <c r="D287" s="103"/>
      <c r="F287" s="104"/>
    </row>
    <row r="288">
      <c r="D288" s="103"/>
      <c r="F288" s="104"/>
    </row>
    <row r="289">
      <c r="D289" s="103"/>
      <c r="F289" s="104"/>
    </row>
    <row r="290">
      <c r="D290" s="103"/>
      <c r="F290" s="104"/>
    </row>
    <row r="291">
      <c r="D291" s="103"/>
      <c r="F291" s="104"/>
    </row>
    <row r="292">
      <c r="D292" s="103"/>
      <c r="F292" s="104"/>
    </row>
    <row r="293">
      <c r="D293" s="103"/>
      <c r="F293" s="104"/>
    </row>
    <row r="294">
      <c r="D294" s="103"/>
      <c r="F294" s="104"/>
    </row>
    <row r="295">
      <c r="D295" s="103"/>
      <c r="F295" s="104"/>
    </row>
    <row r="296">
      <c r="D296" s="103"/>
      <c r="F296" s="104"/>
    </row>
    <row r="297">
      <c r="D297" s="103"/>
      <c r="F297" s="104"/>
    </row>
    <row r="298">
      <c r="D298" s="103"/>
      <c r="F298" s="104"/>
    </row>
    <row r="299">
      <c r="D299" s="103"/>
      <c r="F299" s="104"/>
    </row>
    <row r="300">
      <c r="D300" s="103"/>
      <c r="F300" s="104"/>
    </row>
    <row r="301">
      <c r="D301" s="103"/>
      <c r="F301" s="104"/>
    </row>
    <row r="302">
      <c r="D302" s="103"/>
      <c r="F302" s="104"/>
    </row>
    <row r="303">
      <c r="D303" s="103"/>
      <c r="F303" s="104"/>
    </row>
    <row r="304">
      <c r="D304" s="103"/>
      <c r="F304" s="104"/>
    </row>
    <row r="305">
      <c r="D305" s="103"/>
      <c r="F305" s="104"/>
    </row>
    <row r="306">
      <c r="D306" s="103"/>
      <c r="F306" s="104"/>
    </row>
    <row r="307">
      <c r="D307" s="103"/>
      <c r="F307" s="104"/>
    </row>
    <row r="308">
      <c r="D308" s="103"/>
      <c r="F308" s="104"/>
    </row>
    <row r="309">
      <c r="D309" s="103"/>
      <c r="F309" s="104"/>
    </row>
    <row r="310">
      <c r="D310" s="103"/>
      <c r="F310" s="104"/>
    </row>
    <row r="311">
      <c r="D311" s="103"/>
      <c r="F311" s="104"/>
    </row>
    <row r="312">
      <c r="D312" s="103"/>
      <c r="F312" s="104"/>
    </row>
    <row r="313">
      <c r="D313" s="103"/>
      <c r="F313" s="104"/>
    </row>
    <row r="314">
      <c r="D314" s="103"/>
      <c r="F314" s="104"/>
    </row>
    <row r="315">
      <c r="D315" s="103"/>
      <c r="F315" s="104"/>
    </row>
    <row r="316">
      <c r="D316" s="103"/>
      <c r="F316" s="104"/>
    </row>
    <row r="317">
      <c r="D317" s="103"/>
      <c r="F317" s="104"/>
    </row>
    <row r="318">
      <c r="D318" s="103"/>
      <c r="F318" s="104"/>
    </row>
    <row r="319">
      <c r="D319" s="103"/>
      <c r="F319" s="104"/>
    </row>
    <row r="320">
      <c r="D320" s="103"/>
      <c r="F320" s="104"/>
    </row>
    <row r="321">
      <c r="D321" s="103"/>
      <c r="F321" s="104"/>
    </row>
    <row r="322">
      <c r="D322" s="103"/>
      <c r="F322" s="104"/>
    </row>
    <row r="323">
      <c r="D323" s="103"/>
      <c r="F323" s="104"/>
    </row>
    <row r="324">
      <c r="D324" s="103"/>
      <c r="F324" s="104"/>
    </row>
    <row r="325">
      <c r="D325" s="103"/>
      <c r="F325" s="104"/>
    </row>
    <row r="326">
      <c r="D326" s="103"/>
      <c r="F326" s="104"/>
    </row>
    <row r="327">
      <c r="D327" s="103"/>
      <c r="F327" s="104"/>
    </row>
    <row r="328">
      <c r="D328" s="103"/>
      <c r="F328" s="104"/>
    </row>
    <row r="329">
      <c r="D329" s="103"/>
      <c r="F329" s="104"/>
    </row>
    <row r="330">
      <c r="D330" s="103"/>
      <c r="F330" s="104"/>
    </row>
    <row r="331">
      <c r="D331" s="103"/>
      <c r="F331" s="104"/>
    </row>
    <row r="332">
      <c r="D332" s="103"/>
      <c r="F332" s="104"/>
    </row>
    <row r="333">
      <c r="D333" s="103"/>
      <c r="F333" s="104"/>
    </row>
    <row r="334">
      <c r="D334" s="103"/>
      <c r="F334" s="104"/>
    </row>
    <row r="335">
      <c r="D335" s="103"/>
      <c r="F335" s="104"/>
    </row>
    <row r="336">
      <c r="D336" s="103"/>
      <c r="F336" s="104"/>
    </row>
    <row r="337">
      <c r="D337" s="103"/>
      <c r="F337" s="104"/>
    </row>
    <row r="338">
      <c r="D338" s="103"/>
      <c r="F338" s="104"/>
    </row>
    <row r="339">
      <c r="D339" s="103"/>
      <c r="F339" s="104"/>
    </row>
    <row r="340">
      <c r="D340" s="103"/>
      <c r="F340" s="104"/>
    </row>
    <row r="341">
      <c r="D341" s="103"/>
      <c r="F341" s="104"/>
    </row>
    <row r="342">
      <c r="D342" s="103"/>
      <c r="F342" s="104"/>
    </row>
    <row r="343">
      <c r="D343" s="103"/>
      <c r="F343" s="104"/>
    </row>
    <row r="344">
      <c r="D344" s="103"/>
      <c r="F344" s="104"/>
    </row>
    <row r="345">
      <c r="D345" s="103"/>
      <c r="F345" s="104"/>
    </row>
    <row r="346">
      <c r="D346" s="103"/>
      <c r="F346" s="104"/>
    </row>
    <row r="347">
      <c r="D347" s="103"/>
      <c r="F347" s="104"/>
    </row>
    <row r="348">
      <c r="D348" s="103"/>
      <c r="F348" s="104"/>
    </row>
    <row r="349">
      <c r="D349" s="103"/>
      <c r="F349" s="104"/>
    </row>
    <row r="350">
      <c r="D350" s="103"/>
      <c r="F350" s="104"/>
    </row>
    <row r="351">
      <c r="D351" s="103"/>
      <c r="F351" s="104"/>
    </row>
    <row r="352">
      <c r="D352" s="103"/>
      <c r="F352" s="104"/>
    </row>
    <row r="353">
      <c r="D353" s="103"/>
      <c r="F353" s="104"/>
    </row>
    <row r="354">
      <c r="D354" s="103"/>
      <c r="F354" s="104"/>
    </row>
    <row r="355">
      <c r="D355" s="103"/>
      <c r="F355" s="104"/>
    </row>
    <row r="356">
      <c r="D356" s="103"/>
      <c r="F356" s="104"/>
    </row>
    <row r="357">
      <c r="D357" s="103"/>
      <c r="F357" s="104"/>
    </row>
    <row r="358">
      <c r="D358" s="103"/>
      <c r="F358" s="104"/>
    </row>
    <row r="359">
      <c r="D359" s="103"/>
      <c r="F359" s="104"/>
    </row>
    <row r="360">
      <c r="D360" s="103"/>
      <c r="F360" s="104"/>
    </row>
    <row r="361">
      <c r="D361" s="103"/>
      <c r="F361" s="104"/>
    </row>
    <row r="362">
      <c r="D362" s="103"/>
      <c r="F362" s="104"/>
    </row>
    <row r="363">
      <c r="D363" s="103"/>
      <c r="F363" s="104"/>
    </row>
    <row r="364">
      <c r="D364" s="103"/>
      <c r="F364" s="104"/>
    </row>
    <row r="365">
      <c r="D365" s="103"/>
      <c r="F365" s="104"/>
    </row>
    <row r="366">
      <c r="D366" s="103"/>
      <c r="F366" s="104"/>
    </row>
    <row r="367">
      <c r="D367" s="103"/>
      <c r="F367" s="104"/>
    </row>
    <row r="368">
      <c r="D368" s="103"/>
      <c r="F368" s="104"/>
    </row>
    <row r="369">
      <c r="D369" s="103"/>
      <c r="F369" s="104"/>
    </row>
    <row r="370">
      <c r="D370" s="103"/>
      <c r="F370" s="104"/>
    </row>
    <row r="371">
      <c r="D371" s="103"/>
      <c r="F371" s="104"/>
    </row>
    <row r="372">
      <c r="D372" s="103"/>
      <c r="F372" s="104"/>
    </row>
    <row r="373">
      <c r="D373" s="103"/>
      <c r="F373" s="104"/>
    </row>
    <row r="374">
      <c r="D374" s="103"/>
      <c r="F374" s="104"/>
    </row>
    <row r="375">
      <c r="D375" s="103"/>
      <c r="F375" s="104"/>
    </row>
    <row r="376">
      <c r="D376" s="103"/>
      <c r="F376" s="104"/>
    </row>
    <row r="377">
      <c r="D377" s="103"/>
      <c r="F377" s="104"/>
    </row>
    <row r="378">
      <c r="D378" s="103"/>
      <c r="F378" s="104"/>
    </row>
    <row r="379">
      <c r="D379" s="103"/>
      <c r="F379" s="104"/>
    </row>
    <row r="380">
      <c r="D380" s="103"/>
      <c r="F380" s="104"/>
    </row>
    <row r="381">
      <c r="D381" s="103"/>
      <c r="F381" s="104"/>
    </row>
    <row r="382">
      <c r="D382" s="103"/>
      <c r="F382" s="104"/>
    </row>
    <row r="383">
      <c r="D383" s="103"/>
      <c r="F383" s="104"/>
    </row>
    <row r="384">
      <c r="D384" s="103"/>
      <c r="F384" s="104"/>
    </row>
    <row r="385">
      <c r="D385" s="103"/>
      <c r="F385" s="104"/>
    </row>
    <row r="386">
      <c r="D386" s="103"/>
      <c r="F386" s="104"/>
    </row>
    <row r="387">
      <c r="D387" s="103"/>
      <c r="F387" s="104"/>
    </row>
    <row r="388">
      <c r="D388" s="103"/>
      <c r="F388" s="104"/>
    </row>
    <row r="389">
      <c r="D389" s="103"/>
      <c r="F389" s="104"/>
    </row>
    <row r="390">
      <c r="D390" s="103"/>
      <c r="F390" s="104"/>
    </row>
    <row r="391">
      <c r="D391" s="103"/>
      <c r="F391" s="104"/>
    </row>
    <row r="392">
      <c r="D392" s="103"/>
      <c r="F392" s="104"/>
    </row>
    <row r="393">
      <c r="D393" s="103"/>
      <c r="F393" s="104"/>
    </row>
    <row r="394">
      <c r="D394" s="103"/>
      <c r="F394" s="104"/>
    </row>
    <row r="395">
      <c r="D395" s="103"/>
      <c r="F395" s="104"/>
    </row>
    <row r="396">
      <c r="D396" s="103"/>
      <c r="F396" s="104"/>
    </row>
    <row r="397">
      <c r="D397" s="103"/>
      <c r="F397" s="104"/>
    </row>
    <row r="398">
      <c r="D398" s="103"/>
      <c r="F398" s="104"/>
    </row>
    <row r="399">
      <c r="D399" s="103"/>
      <c r="F399" s="104"/>
    </row>
    <row r="400">
      <c r="D400" s="103"/>
      <c r="F400" s="104"/>
    </row>
    <row r="401">
      <c r="D401" s="103"/>
      <c r="F401" s="104"/>
    </row>
    <row r="402">
      <c r="D402" s="103"/>
      <c r="F402" s="104"/>
    </row>
    <row r="403">
      <c r="D403" s="103"/>
      <c r="F403" s="104"/>
    </row>
    <row r="404">
      <c r="D404" s="103"/>
      <c r="F404" s="104"/>
    </row>
    <row r="405">
      <c r="D405" s="103"/>
      <c r="F405" s="104"/>
    </row>
    <row r="406">
      <c r="D406" s="103"/>
      <c r="F406" s="104"/>
    </row>
    <row r="407">
      <c r="D407" s="103"/>
      <c r="F407" s="104"/>
    </row>
    <row r="408">
      <c r="D408" s="103"/>
      <c r="F408" s="104"/>
    </row>
    <row r="409">
      <c r="D409" s="103"/>
      <c r="F409" s="104"/>
    </row>
    <row r="410">
      <c r="D410" s="103"/>
      <c r="F410" s="104"/>
    </row>
    <row r="411">
      <c r="D411" s="103"/>
      <c r="F411" s="104"/>
    </row>
    <row r="412">
      <c r="D412" s="103"/>
      <c r="F412" s="104"/>
    </row>
    <row r="413">
      <c r="D413" s="103"/>
      <c r="F413" s="104"/>
    </row>
    <row r="414">
      <c r="D414" s="103"/>
      <c r="F414" s="104"/>
    </row>
    <row r="415">
      <c r="D415" s="103"/>
      <c r="F415" s="104"/>
    </row>
    <row r="416">
      <c r="D416" s="103"/>
      <c r="F416" s="104"/>
    </row>
    <row r="417">
      <c r="D417" s="103"/>
      <c r="F417" s="104"/>
    </row>
    <row r="418">
      <c r="D418" s="103"/>
      <c r="F418" s="104"/>
    </row>
    <row r="419">
      <c r="D419" s="103"/>
      <c r="F419" s="104"/>
    </row>
    <row r="420">
      <c r="D420" s="103"/>
      <c r="F420" s="104"/>
    </row>
    <row r="421">
      <c r="D421" s="103"/>
      <c r="F421" s="104"/>
    </row>
    <row r="422">
      <c r="D422" s="103"/>
      <c r="F422" s="104"/>
    </row>
    <row r="423">
      <c r="D423" s="103"/>
      <c r="F423" s="104"/>
    </row>
    <row r="424">
      <c r="D424" s="103"/>
      <c r="F424" s="104"/>
    </row>
    <row r="425">
      <c r="D425" s="103"/>
      <c r="F425" s="104"/>
    </row>
    <row r="426">
      <c r="D426" s="103"/>
      <c r="F426" s="104"/>
    </row>
    <row r="427">
      <c r="D427" s="103"/>
      <c r="F427" s="104"/>
    </row>
    <row r="428">
      <c r="D428" s="103"/>
      <c r="F428" s="104"/>
    </row>
    <row r="429">
      <c r="D429" s="103"/>
      <c r="F429" s="104"/>
    </row>
    <row r="430">
      <c r="D430" s="103"/>
      <c r="F430" s="104"/>
    </row>
    <row r="431">
      <c r="D431" s="103"/>
      <c r="F431" s="104"/>
    </row>
    <row r="432">
      <c r="D432" s="103"/>
      <c r="F432" s="104"/>
    </row>
    <row r="433">
      <c r="D433" s="103"/>
      <c r="F433" s="104"/>
    </row>
    <row r="434">
      <c r="D434" s="103"/>
      <c r="F434" s="104"/>
    </row>
    <row r="435">
      <c r="D435" s="103"/>
      <c r="F435" s="104"/>
    </row>
    <row r="436">
      <c r="D436" s="103"/>
      <c r="F436" s="104"/>
    </row>
    <row r="437">
      <c r="D437" s="103"/>
      <c r="F437" s="104"/>
    </row>
    <row r="438">
      <c r="D438" s="103"/>
      <c r="F438" s="104"/>
    </row>
    <row r="439">
      <c r="D439" s="103"/>
      <c r="F439" s="104"/>
    </row>
    <row r="440">
      <c r="D440" s="103"/>
      <c r="F440" s="104"/>
    </row>
    <row r="441">
      <c r="D441" s="103"/>
      <c r="F441" s="104"/>
    </row>
    <row r="442">
      <c r="D442" s="103"/>
      <c r="F442" s="104"/>
    </row>
    <row r="443">
      <c r="D443" s="103"/>
      <c r="F443" s="104"/>
    </row>
    <row r="444">
      <c r="D444" s="103"/>
      <c r="F444" s="104"/>
    </row>
    <row r="445">
      <c r="D445" s="103"/>
      <c r="F445" s="104"/>
    </row>
    <row r="446">
      <c r="D446" s="103"/>
      <c r="F446" s="104"/>
    </row>
    <row r="447">
      <c r="D447" s="103"/>
      <c r="F447" s="104"/>
    </row>
    <row r="448">
      <c r="D448" s="103"/>
      <c r="F448" s="104"/>
    </row>
    <row r="449">
      <c r="D449" s="103"/>
      <c r="F449" s="104"/>
    </row>
    <row r="450">
      <c r="D450" s="103"/>
      <c r="F450" s="104"/>
    </row>
    <row r="451">
      <c r="D451" s="103"/>
      <c r="F451" s="104"/>
    </row>
    <row r="452">
      <c r="D452" s="103"/>
      <c r="F452" s="104"/>
    </row>
    <row r="453">
      <c r="D453" s="103"/>
      <c r="F453" s="104"/>
    </row>
    <row r="454">
      <c r="D454" s="103"/>
      <c r="F454" s="104"/>
    </row>
    <row r="455">
      <c r="D455" s="103"/>
      <c r="F455" s="104"/>
    </row>
    <row r="456">
      <c r="D456" s="103"/>
      <c r="F456" s="104"/>
    </row>
    <row r="457">
      <c r="D457" s="103"/>
      <c r="F457" s="104"/>
    </row>
    <row r="458">
      <c r="D458" s="103"/>
      <c r="F458" s="104"/>
    </row>
    <row r="459">
      <c r="D459" s="103"/>
      <c r="F459" s="104"/>
    </row>
    <row r="460">
      <c r="D460" s="103"/>
      <c r="F460" s="104"/>
    </row>
    <row r="461">
      <c r="D461" s="103"/>
      <c r="F461" s="104"/>
    </row>
    <row r="462">
      <c r="D462" s="103"/>
      <c r="F462" s="104"/>
    </row>
    <row r="463">
      <c r="D463" s="103"/>
      <c r="F463" s="104"/>
    </row>
    <row r="464">
      <c r="D464" s="103"/>
      <c r="F464" s="104"/>
    </row>
    <row r="465">
      <c r="D465" s="103"/>
      <c r="F465" s="104"/>
    </row>
    <row r="466">
      <c r="D466" s="103"/>
      <c r="F466" s="104"/>
    </row>
    <row r="467">
      <c r="D467" s="103"/>
      <c r="F467" s="104"/>
    </row>
    <row r="468">
      <c r="D468" s="103"/>
      <c r="F468" s="104"/>
    </row>
    <row r="469">
      <c r="D469" s="103"/>
      <c r="F469" s="104"/>
    </row>
    <row r="470">
      <c r="D470" s="103"/>
      <c r="F470" s="104"/>
    </row>
    <row r="471">
      <c r="D471" s="103"/>
      <c r="F471" s="104"/>
    </row>
    <row r="472">
      <c r="D472" s="103"/>
      <c r="F472" s="104"/>
    </row>
    <row r="473">
      <c r="D473" s="103"/>
      <c r="F473" s="104"/>
    </row>
    <row r="474">
      <c r="D474" s="103"/>
      <c r="F474" s="104"/>
    </row>
    <row r="475">
      <c r="D475" s="103"/>
      <c r="F475" s="104"/>
    </row>
    <row r="476">
      <c r="D476" s="103"/>
      <c r="F476" s="104"/>
    </row>
    <row r="477">
      <c r="D477" s="103"/>
      <c r="F477" s="104"/>
    </row>
    <row r="478">
      <c r="D478" s="103"/>
      <c r="F478" s="104"/>
    </row>
    <row r="479">
      <c r="D479" s="103"/>
      <c r="F479" s="104"/>
    </row>
    <row r="480">
      <c r="D480" s="103"/>
      <c r="F480" s="104"/>
    </row>
    <row r="481">
      <c r="D481" s="103"/>
      <c r="F481" s="104"/>
    </row>
    <row r="482">
      <c r="D482" s="103"/>
      <c r="F482" s="104"/>
    </row>
    <row r="483">
      <c r="D483" s="103"/>
      <c r="F483" s="104"/>
    </row>
    <row r="484">
      <c r="D484" s="103"/>
      <c r="F484" s="104"/>
    </row>
    <row r="485">
      <c r="D485" s="103"/>
      <c r="F485" s="104"/>
    </row>
    <row r="486">
      <c r="D486" s="103"/>
      <c r="F486" s="104"/>
    </row>
    <row r="487">
      <c r="D487" s="103"/>
      <c r="F487" s="104"/>
    </row>
    <row r="488">
      <c r="D488" s="103"/>
      <c r="F488" s="104"/>
    </row>
    <row r="489">
      <c r="D489" s="103"/>
      <c r="F489" s="104"/>
    </row>
    <row r="490">
      <c r="D490" s="103"/>
      <c r="F490" s="104"/>
    </row>
    <row r="491">
      <c r="D491" s="103"/>
      <c r="F491" s="104"/>
    </row>
    <row r="492">
      <c r="D492" s="103"/>
      <c r="F492" s="104"/>
    </row>
    <row r="493">
      <c r="D493" s="103"/>
      <c r="F493" s="104"/>
    </row>
    <row r="494">
      <c r="D494" s="103"/>
      <c r="F494" s="104"/>
    </row>
    <row r="495">
      <c r="D495" s="103"/>
      <c r="F495" s="104"/>
    </row>
    <row r="496">
      <c r="D496" s="103"/>
      <c r="F496" s="104"/>
    </row>
    <row r="497">
      <c r="D497" s="103"/>
      <c r="F497" s="104"/>
    </row>
    <row r="498">
      <c r="D498" s="103"/>
      <c r="F498" s="104"/>
    </row>
    <row r="499">
      <c r="D499" s="103"/>
      <c r="F499" s="104"/>
    </row>
    <row r="500">
      <c r="D500" s="103"/>
      <c r="F500" s="104"/>
    </row>
    <row r="501">
      <c r="D501" s="103"/>
      <c r="F501" s="104"/>
    </row>
    <row r="502">
      <c r="D502" s="103"/>
      <c r="F502" s="104"/>
    </row>
    <row r="503">
      <c r="D503" s="103"/>
      <c r="F503" s="104"/>
    </row>
    <row r="504">
      <c r="D504" s="103"/>
      <c r="F504" s="104"/>
    </row>
    <row r="505">
      <c r="D505" s="103"/>
      <c r="F505" s="104"/>
    </row>
    <row r="506">
      <c r="D506" s="103"/>
      <c r="F506" s="104"/>
    </row>
    <row r="507">
      <c r="D507" s="103"/>
      <c r="F507" s="104"/>
    </row>
    <row r="508">
      <c r="D508" s="103"/>
      <c r="F508" s="104"/>
    </row>
    <row r="509">
      <c r="D509" s="103"/>
      <c r="F509" s="104"/>
    </row>
    <row r="510">
      <c r="D510" s="103"/>
      <c r="F510" s="104"/>
    </row>
    <row r="511">
      <c r="D511" s="103"/>
      <c r="F511" s="104"/>
    </row>
    <row r="512">
      <c r="D512" s="103"/>
      <c r="F512" s="104"/>
    </row>
    <row r="513">
      <c r="D513" s="103"/>
      <c r="F513" s="104"/>
    </row>
    <row r="514">
      <c r="D514" s="103"/>
      <c r="F514" s="104"/>
    </row>
    <row r="515">
      <c r="D515" s="103"/>
      <c r="F515" s="104"/>
    </row>
    <row r="516">
      <c r="D516" s="103"/>
      <c r="F516" s="104"/>
    </row>
    <row r="517">
      <c r="D517" s="103"/>
      <c r="F517" s="104"/>
    </row>
    <row r="518">
      <c r="D518" s="103"/>
      <c r="F518" s="104"/>
    </row>
    <row r="519">
      <c r="D519" s="103"/>
      <c r="F519" s="104"/>
    </row>
    <row r="520">
      <c r="D520" s="103"/>
      <c r="F520" s="104"/>
    </row>
    <row r="521">
      <c r="D521" s="103"/>
      <c r="F521" s="104"/>
    </row>
    <row r="522">
      <c r="D522" s="103"/>
      <c r="F522" s="104"/>
    </row>
    <row r="523">
      <c r="D523" s="103"/>
      <c r="F523" s="104"/>
    </row>
    <row r="524">
      <c r="D524" s="103"/>
      <c r="F524" s="104"/>
    </row>
    <row r="525">
      <c r="D525" s="103"/>
      <c r="F525" s="104"/>
    </row>
    <row r="526">
      <c r="D526" s="103"/>
      <c r="F526" s="104"/>
    </row>
    <row r="527">
      <c r="D527" s="103"/>
      <c r="F527" s="104"/>
    </row>
    <row r="528">
      <c r="D528" s="103"/>
      <c r="F528" s="104"/>
    </row>
    <row r="529">
      <c r="D529" s="103"/>
      <c r="F529" s="104"/>
    </row>
    <row r="530">
      <c r="D530" s="103"/>
      <c r="F530" s="104"/>
    </row>
    <row r="531">
      <c r="D531" s="103"/>
      <c r="F531" s="104"/>
    </row>
    <row r="532">
      <c r="D532" s="103"/>
      <c r="F532" s="104"/>
    </row>
    <row r="533">
      <c r="D533" s="103"/>
      <c r="F533" s="104"/>
    </row>
    <row r="534">
      <c r="D534" s="103"/>
      <c r="F534" s="104"/>
    </row>
    <row r="535">
      <c r="D535" s="103"/>
      <c r="F535" s="104"/>
    </row>
    <row r="536">
      <c r="D536" s="103"/>
      <c r="F536" s="104"/>
    </row>
    <row r="537">
      <c r="D537" s="103"/>
      <c r="F537" s="104"/>
    </row>
    <row r="538">
      <c r="D538" s="103"/>
      <c r="F538" s="104"/>
    </row>
    <row r="539">
      <c r="D539" s="103"/>
      <c r="F539" s="104"/>
    </row>
    <row r="540">
      <c r="D540" s="103"/>
      <c r="F540" s="104"/>
    </row>
    <row r="541">
      <c r="D541" s="103"/>
      <c r="F541" s="104"/>
    </row>
    <row r="542">
      <c r="D542" s="103"/>
      <c r="F542" s="104"/>
    </row>
    <row r="543">
      <c r="D543" s="103"/>
      <c r="F543" s="104"/>
    </row>
    <row r="544">
      <c r="D544" s="103"/>
      <c r="F544" s="104"/>
    </row>
    <row r="545">
      <c r="D545" s="103"/>
      <c r="F545" s="104"/>
    </row>
    <row r="546">
      <c r="D546" s="103"/>
      <c r="F546" s="104"/>
    </row>
    <row r="547">
      <c r="D547" s="103"/>
      <c r="F547" s="104"/>
    </row>
    <row r="548">
      <c r="D548" s="103"/>
      <c r="F548" s="104"/>
    </row>
    <row r="549">
      <c r="D549" s="103"/>
      <c r="F549" s="104"/>
    </row>
    <row r="550">
      <c r="D550" s="103"/>
      <c r="F550" s="104"/>
    </row>
    <row r="551">
      <c r="D551" s="103"/>
      <c r="F551" s="104"/>
    </row>
    <row r="552">
      <c r="D552" s="103"/>
      <c r="F552" s="104"/>
    </row>
    <row r="553">
      <c r="D553" s="103"/>
      <c r="F553" s="104"/>
    </row>
    <row r="554">
      <c r="D554" s="103"/>
      <c r="F554" s="104"/>
    </row>
    <row r="555">
      <c r="D555" s="103"/>
      <c r="F555" s="104"/>
    </row>
    <row r="556">
      <c r="D556" s="103"/>
      <c r="F556" s="104"/>
    </row>
    <row r="557">
      <c r="D557" s="103"/>
      <c r="F557" s="104"/>
    </row>
    <row r="558">
      <c r="D558" s="103"/>
      <c r="F558" s="104"/>
    </row>
    <row r="559">
      <c r="D559" s="103"/>
      <c r="F559" s="104"/>
    </row>
    <row r="560">
      <c r="D560" s="103"/>
      <c r="F560" s="104"/>
    </row>
    <row r="561">
      <c r="D561" s="103"/>
      <c r="F561" s="104"/>
    </row>
    <row r="562">
      <c r="D562" s="103"/>
      <c r="F562" s="104"/>
    </row>
    <row r="563">
      <c r="D563" s="103"/>
      <c r="F563" s="104"/>
    </row>
    <row r="564">
      <c r="D564" s="103"/>
      <c r="F564" s="104"/>
    </row>
    <row r="565">
      <c r="D565" s="103"/>
      <c r="F565" s="104"/>
    </row>
    <row r="566">
      <c r="D566" s="103"/>
      <c r="F566" s="104"/>
    </row>
    <row r="567">
      <c r="D567" s="103"/>
      <c r="F567" s="104"/>
    </row>
    <row r="568">
      <c r="D568" s="103"/>
      <c r="F568" s="104"/>
    </row>
    <row r="569">
      <c r="D569" s="103"/>
      <c r="F569" s="104"/>
    </row>
    <row r="570">
      <c r="D570" s="103"/>
      <c r="F570" s="104"/>
    </row>
    <row r="571">
      <c r="D571" s="103"/>
      <c r="F571" s="104"/>
    </row>
    <row r="572">
      <c r="D572" s="103"/>
      <c r="F572" s="104"/>
    </row>
    <row r="573">
      <c r="D573" s="103"/>
      <c r="F573" s="104"/>
    </row>
    <row r="574">
      <c r="D574" s="103"/>
      <c r="F574" s="104"/>
    </row>
    <row r="575">
      <c r="D575" s="103"/>
      <c r="F575" s="104"/>
    </row>
    <row r="576">
      <c r="D576" s="103"/>
      <c r="F576" s="104"/>
    </row>
    <row r="577">
      <c r="D577" s="103"/>
      <c r="F577" s="104"/>
    </row>
    <row r="578">
      <c r="D578" s="103"/>
      <c r="F578" s="104"/>
    </row>
    <row r="579">
      <c r="D579" s="103"/>
      <c r="F579" s="104"/>
    </row>
    <row r="580">
      <c r="D580" s="103"/>
      <c r="F580" s="104"/>
    </row>
    <row r="581">
      <c r="D581" s="103"/>
      <c r="F581" s="104"/>
    </row>
    <row r="582">
      <c r="D582" s="103"/>
      <c r="F582" s="104"/>
    </row>
    <row r="583">
      <c r="D583" s="103"/>
      <c r="F583" s="104"/>
    </row>
    <row r="584">
      <c r="D584" s="103"/>
      <c r="F584" s="104"/>
    </row>
    <row r="585">
      <c r="D585" s="103"/>
      <c r="F585" s="104"/>
    </row>
    <row r="586">
      <c r="D586" s="103"/>
      <c r="F586" s="104"/>
    </row>
    <row r="587">
      <c r="D587" s="103"/>
      <c r="F587" s="104"/>
    </row>
    <row r="588">
      <c r="D588" s="103"/>
      <c r="F588" s="104"/>
    </row>
    <row r="589">
      <c r="D589" s="103"/>
      <c r="F589" s="104"/>
    </row>
    <row r="590">
      <c r="D590" s="103"/>
      <c r="F590" s="104"/>
    </row>
    <row r="591">
      <c r="D591" s="103"/>
      <c r="F591" s="104"/>
    </row>
    <row r="592">
      <c r="D592" s="103"/>
      <c r="F592" s="104"/>
    </row>
    <row r="593">
      <c r="D593" s="103"/>
      <c r="F593" s="104"/>
    </row>
    <row r="594">
      <c r="D594" s="103"/>
      <c r="F594" s="104"/>
    </row>
    <row r="595">
      <c r="D595" s="103"/>
      <c r="F595" s="104"/>
    </row>
    <row r="596">
      <c r="D596" s="103"/>
      <c r="F596" s="104"/>
    </row>
    <row r="597">
      <c r="D597" s="103"/>
      <c r="F597" s="104"/>
    </row>
    <row r="598">
      <c r="D598" s="103"/>
      <c r="F598" s="104"/>
    </row>
    <row r="599">
      <c r="D599" s="103"/>
      <c r="F599" s="104"/>
    </row>
    <row r="600">
      <c r="D600" s="103"/>
      <c r="F600" s="104"/>
    </row>
    <row r="601">
      <c r="D601" s="103"/>
      <c r="F601" s="104"/>
    </row>
    <row r="602">
      <c r="D602" s="103"/>
      <c r="F602" s="104"/>
    </row>
    <row r="603">
      <c r="D603" s="103"/>
      <c r="F603" s="104"/>
    </row>
    <row r="604">
      <c r="D604" s="103"/>
      <c r="F604" s="104"/>
    </row>
    <row r="605">
      <c r="D605" s="103"/>
      <c r="F605" s="104"/>
    </row>
    <row r="606">
      <c r="D606" s="103"/>
      <c r="F606" s="104"/>
    </row>
    <row r="607">
      <c r="D607" s="103"/>
      <c r="F607" s="104"/>
    </row>
    <row r="608">
      <c r="D608" s="103"/>
      <c r="F608" s="104"/>
    </row>
    <row r="609">
      <c r="D609" s="103"/>
      <c r="F609" s="104"/>
    </row>
    <row r="610">
      <c r="D610" s="103"/>
      <c r="F610" s="104"/>
    </row>
    <row r="611">
      <c r="D611" s="103"/>
      <c r="F611" s="104"/>
    </row>
    <row r="612">
      <c r="D612" s="103"/>
      <c r="F612" s="104"/>
    </row>
    <row r="613">
      <c r="D613" s="103"/>
      <c r="F613" s="104"/>
    </row>
    <row r="614">
      <c r="D614" s="103"/>
      <c r="F614" s="104"/>
    </row>
    <row r="615">
      <c r="D615" s="103"/>
      <c r="F615" s="104"/>
    </row>
    <row r="616">
      <c r="D616" s="103"/>
      <c r="F616" s="104"/>
    </row>
    <row r="617">
      <c r="D617" s="103"/>
      <c r="F617" s="104"/>
    </row>
    <row r="618">
      <c r="D618" s="103"/>
      <c r="F618" s="104"/>
    </row>
    <row r="619">
      <c r="D619" s="103"/>
      <c r="F619" s="104"/>
    </row>
    <row r="620">
      <c r="D620" s="103"/>
      <c r="F620" s="104"/>
    </row>
    <row r="621">
      <c r="D621" s="103"/>
      <c r="F621" s="104"/>
    </row>
    <row r="622">
      <c r="D622" s="103"/>
      <c r="F622" s="104"/>
    </row>
    <row r="623">
      <c r="D623" s="103"/>
      <c r="F623" s="104"/>
    </row>
    <row r="624">
      <c r="D624" s="103"/>
      <c r="F624" s="104"/>
    </row>
    <row r="625">
      <c r="D625" s="103"/>
      <c r="F625" s="104"/>
    </row>
    <row r="626">
      <c r="D626" s="103"/>
      <c r="F626" s="104"/>
    </row>
    <row r="627">
      <c r="D627" s="103"/>
      <c r="F627" s="104"/>
    </row>
    <row r="628">
      <c r="D628" s="103"/>
      <c r="F628" s="104"/>
    </row>
    <row r="629">
      <c r="D629" s="103"/>
      <c r="F629" s="104"/>
    </row>
    <row r="630">
      <c r="D630" s="103"/>
      <c r="F630" s="104"/>
    </row>
    <row r="631">
      <c r="D631" s="103"/>
      <c r="F631" s="104"/>
    </row>
    <row r="632">
      <c r="D632" s="103"/>
      <c r="F632" s="104"/>
    </row>
    <row r="633">
      <c r="D633" s="103"/>
      <c r="F633" s="104"/>
    </row>
    <row r="634">
      <c r="D634" s="103"/>
      <c r="F634" s="104"/>
    </row>
    <row r="635">
      <c r="D635" s="103"/>
      <c r="F635" s="104"/>
    </row>
    <row r="636">
      <c r="D636" s="103"/>
      <c r="F636" s="104"/>
    </row>
    <row r="637">
      <c r="D637" s="103"/>
      <c r="F637" s="104"/>
    </row>
    <row r="638">
      <c r="D638" s="103"/>
      <c r="F638" s="104"/>
    </row>
    <row r="639">
      <c r="D639" s="103"/>
      <c r="F639" s="104"/>
    </row>
    <row r="640">
      <c r="D640" s="103"/>
      <c r="F640" s="104"/>
    </row>
    <row r="641">
      <c r="D641" s="103"/>
      <c r="F641" s="104"/>
    </row>
    <row r="642">
      <c r="D642" s="103"/>
      <c r="F642" s="104"/>
    </row>
    <row r="643">
      <c r="D643" s="103"/>
      <c r="F643" s="104"/>
    </row>
    <row r="644">
      <c r="D644" s="103"/>
      <c r="F644" s="104"/>
    </row>
    <row r="645">
      <c r="D645" s="103"/>
      <c r="F645" s="104"/>
    </row>
    <row r="646">
      <c r="D646" s="103"/>
      <c r="F646" s="104"/>
    </row>
    <row r="647">
      <c r="D647" s="103"/>
      <c r="F647" s="104"/>
    </row>
    <row r="648">
      <c r="D648" s="103"/>
      <c r="F648" s="104"/>
    </row>
    <row r="649">
      <c r="D649" s="103"/>
      <c r="F649" s="104"/>
    </row>
    <row r="650">
      <c r="D650" s="103"/>
      <c r="F650" s="104"/>
    </row>
    <row r="651">
      <c r="D651" s="103"/>
      <c r="F651" s="104"/>
    </row>
    <row r="652">
      <c r="D652" s="103"/>
      <c r="F652" s="104"/>
    </row>
    <row r="653">
      <c r="D653" s="103"/>
      <c r="F653" s="104"/>
    </row>
    <row r="654">
      <c r="D654" s="103"/>
      <c r="F654" s="104"/>
    </row>
    <row r="655">
      <c r="D655" s="103"/>
      <c r="F655" s="104"/>
    </row>
    <row r="656">
      <c r="D656" s="103"/>
      <c r="F656" s="104"/>
    </row>
    <row r="657">
      <c r="D657" s="103"/>
      <c r="F657" s="104"/>
    </row>
    <row r="658">
      <c r="D658" s="103"/>
      <c r="F658" s="104"/>
    </row>
    <row r="659">
      <c r="D659" s="103"/>
      <c r="F659" s="104"/>
    </row>
    <row r="660">
      <c r="D660" s="103"/>
      <c r="F660" s="104"/>
    </row>
    <row r="661">
      <c r="D661" s="103"/>
      <c r="F661" s="104"/>
    </row>
    <row r="662">
      <c r="D662" s="103"/>
      <c r="F662" s="104"/>
    </row>
    <row r="663">
      <c r="D663" s="103"/>
      <c r="F663" s="104"/>
    </row>
    <row r="664">
      <c r="D664" s="103"/>
      <c r="F664" s="104"/>
    </row>
    <row r="665">
      <c r="D665" s="103"/>
      <c r="F665" s="104"/>
    </row>
    <row r="666">
      <c r="D666" s="103"/>
      <c r="F666" s="104"/>
    </row>
    <row r="667">
      <c r="D667" s="103"/>
      <c r="F667" s="104"/>
    </row>
    <row r="668">
      <c r="D668" s="103"/>
      <c r="F668" s="104"/>
    </row>
    <row r="669">
      <c r="D669" s="103"/>
      <c r="F669" s="104"/>
    </row>
    <row r="670">
      <c r="D670" s="103"/>
      <c r="F670" s="104"/>
    </row>
    <row r="671">
      <c r="D671" s="103"/>
      <c r="F671" s="104"/>
    </row>
    <row r="672">
      <c r="D672" s="103"/>
      <c r="F672" s="104"/>
    </row>
    <row r="673">
      <c r="D673" s="103"/>
      <c r="F673" s="104"/>
    </row>
    <row r="674">
      <c r="D674" s="103"/>
      <c r="F674" s="104"/>
    </row>
    <row r="675">
      <c r="D675" s="103"/>
      <c r="F675" s="104"/>
    </row>
    <row r="676">
      <c r="D676" s="103"/>
      <c r="F676" s="104"/>
    </row>
    <row r="677">
      <c r="D677" s="103"/>
      <c r="F677" s="104"/>
    </row>
    <row r="678">
      <c r="D678" s="103"/>
      <c r="F678" s="104"/>
    </row>
    <row r="679">
      <c r="D679" s="103"/>
      <c r="F679" s="104"/>
    </row>
    <row r="680">
      <c r="D680" s="103"/>
      <c r="F680" s="104"/>
    </row>
    <row r="681">
      <c r="D681" s="103"/>
      <c r="F681" s="104"/>
    </row>
    <row r="682">
      <c r="D682" s="103"/>
      <c r="F682" s="104"/>
    </row>
    <row r="683">
      <c r="D683" s="103"/>
      <c r="F683" s="104"/>
    </row>
    <row r="684">
      <c r="D684" s="103"/>
      <c r="F684" s="104"/>
    </row>
    <row r="685">
      <c r="D685" s="103"/>
      <c r="F685" s="104"/>
    </row>
    <row r="686">
      <c r="D686" s="103"/>
      <c r="F686" s="104"/>
    </row>
    <row r="687">
      <c r="D687" s="103"/>
      <c r="F687" s="104"/>
    </row>
    <row r="688">
      <c r="D688" s="103"/>
      <c r="F688" s="104"/>
    </row>
    <row r="689">
      <c r="D689" s="103"/>
      <c r="F689" s="104"/>
    </row>
    <row r="690">
      <c r="D690" s="103"/>
      <c r="F690" s="104"/>
    </row>
    <row r="691">
      <c r="D691" s="103"/>
      <c r="F691" s="104"/>
    </row>
    <row r="692">
      <c r="D692" s="103"/>
      <c r="F692" s="104"/>
    </row>
    <row r="693">
      <c r="D693" s="103"/>
      <c r="F693" s="104"/>
    </row>
    <row r="694">
      <c r="D694" s="103"/>
      <c r="F694" s="104"/>
    </row>
    <row r="695">
      <c r="D695" s="103"/>
      <c r="F695" s="104"/>
    </row>
    <row r="696">
      <c r="D696" s="103"/>
      <c r="F696" s="104"/>
    </row>
    <row r="697">
      <c r="D697" s="103"/>
      <c r="F697" s="104"/>
    </row>
    <row r="698">
      <c r="D698" s="103"/>
      <c r="F698" s="104"/>
    </row>
    <row r="699">
      <c r="D699" s="103"/>
      <c r="F699" s="104"/>
    </row>
    <row r="700">
      <c r="D700" s="103"/>
      <c r="F700" s="104"/>
    </row>
    <row r="701">
      <c r="D701" s="103"/>
      <c r="F701" s="104"/>
    </row>
    <row r="702">
      <c r="D702" s="103"/>
      <c r="F702" s="104"/>
    </row>
    <row r="703">
      <c r="D703" s="103"/>
      <c r="F703" s="104"/>
    </row>
    <row r="704">
      <c r="D704" s="103"/>
      <c r="F704" s="104"/>
    </row>
    <row r="705">
      <c r="D705" s="103"/>
      <c r="F705" s="104"/>
    </row>
    <row r="706">
      <c r="D706" s="103"/>
      <c r="F706" s="104"/>
    </row>
    <row r="707">
      <c r="D707" s="103"/>
      <c r="F707" s="104"/>
    </row>
    <row r="708">
      <c r="D708" s="103"/>
      <c r="F708" s="104"/>
    </row>
    <row r="709">
      <c r="D709" s="103"/>
      <c r="F709" s="104"/>
    </row>
    <row r="710">
      <c r="D710" s="103"/>
      <c r="F710" s="104"/>
    </row>
    <row r="711">
      <c r="D711" s="103"/>
      <c r="F711" s="104"/>
    </row>
    <row r="712">
      <c r="D712" s="103"/>
      <c r="F712" s="104"/>
    </row>
    <row r="713">
      <c r="D713" s="103"/>
      <c r="F713" s="104"/>
    </row>
    <row r="714">
      <c r="D714" s="103"/>
      <c r="F714" s="104"/>
    </row>
    <row r="715">
      <c r="D715" s="103"/>
      <c r="F715" s="104"/>
    </row>
    <row r="716">
      <c r="D716" s="103"/>
      <c r="F716" s="104"/>
    </row>
    <row r="717">
      <c r="D717" s="103"/>
      <c r="F717" s="104"/>
    </row>
    <row r="718">
      <c r="D718" s="103"/>
      <c r="F718" s="104"/>
    </row>
    <row r="719">
      <c r="D719" s="103"/>
      <c r="F719" s="104"/>
    </row>
    <row r="720">
      <c r="D720" s="103"/>
      <c r="F720" s="104"/>
    </row>
    <row r="721">
      <c r="D721" s="103"/>
      <c r="F721" s="104"/>
    </row>
    <row r="722">
      <c r="D722" s="103"/>
      <c r="F722" s="104"/>
    </row>
    <row r="723">
      <c r="D723" s="103"/>
      <c r="F723" s="104"/>
    </row>
    <row r="724">
      <c r="D724" s="103"/>
      <c r="F724" s="104"/>
    </row>
    <row r="725">
      <c r="D725" s="103"/>
      <c r="F725" s="104"/>
    </row>
    <row r="726">
      <c r="D726" s="103"/>
      <c r="F726" s="104"/>
    </row>
    <row r="727">
      <c r="D727" s="103"/>
      <c r="F727" s="104"/>
    </row>
    <row r="728">
      <c r="D728" s="103"/>
      <c r="F728" s="104"/>
    </row>
    <row r="729">
      <c r="D729" s="103"/>
      <c r="F729" s="104"/>
    </row>
    <row r="730">
      <c r="D730" s="103"/>
      <c r="F730" s="104"/>
    </row>
    <row r="731">
      <c r="D731" s="103"/>
      <c r="F731" s="104"/>
    </row>
    <row r="732">
      <c r="D732" s="103"/>
      <c r="F732" s="104"/>
    </row>
    <row r="733">
      <c r="D733" s="103"/>
      <c r="F733" s="104"/>
    </row>
    <row r="734">
      <c r="D734" s="103"/>
      <c r="F734" s="104"/>
    </row>
    <row r="735">
      <c r="D735" s="103"/>
      <c r="F735" s="104"/>
    </row>
    <row r="736">
      <c r="D736" s="103"/>
      <c r="F736" s="104"/>
    </row>
    <row r="737">
      <c r="D737" s="103"/>
      <c r="F737" s="104"/>
    </row>
    <row r="738">
      <c r="D738" s="103"/>
      <c r="F738" s="104"/>
    </row>
    <row r="739">
      <c r="D739" s="103"/>
      <c r="F739" s="104"/>
    </row>
    <row r="740">
      <c r="D740" s="103"/>
      <c r="F740" s="104"/>
    </row>
    <row r="741">
      <c r="D741" s="103"/>
      <c r="F741" s="104"/>
    </row>
    <row r="742">
      <c r="D742" s="103"/>
      <c r="F742" s="104"/>
    </row>
    <row r="743">
      <c r="D743" s="103"/>
      <c r="F743" s="104"/>
    </row>
    <row r="744">
      <c r="D744" s="103"/>
      <c r="F744" s="104"/>
    </row>
    <row r="745">
      <c r="D745" s="103"/>
      <c r="F745" s="104"/>
    </row>
    <row r="746">
      <c r="D746" s="103"/>
      <c r="F746" s="104"/>
    </row>
    <row r="747">
      <c r="D747" s="103"/>
      <c r="F747" s="104"/>
    </row>
    <row r="748">
      <c r="D748" s="103"/>
      <c r="F748" s="104"/>
    </row>
    <row r="749">
      <c r="D749" s="103"/>
      <c r="F749" s="104"/>
    </row>
    <row r="750">
      <c r="D750" s="103"/>
      <c r="F750" s="104"/>
    </row>
    <row r="751">
      <c r="D751" s="103"/>
      <c r="F751" s="104"/>
    </row>
    <row r="752">
      <c r="D752" s="103"/>
      <c r="F752" s="104"/>
    </row>
    <row r="753">
      <c r="D753" s="103"/>
      <c r="F753" s="104"/>
    </row>
    <row r="754">
      <c r="D754" s="103"/>
      <c r="F754" s="104"/>
    </row>
    <row r="755">
      <c r="D755" s="103"/>
      <c r="F755" s="104"/>
    </row>
    <row r="756">
      <c r="D756" s="103"/>
      <c r="F756" s="104"/>
    </row>
    <row r="757">
      <c r="D757" s="103"/>
      <c r="F757" s="104"/>
    </row>
    <row r="758">
      <c r="D758" s="103"/>
      <c r="F758" s="104"/>
    </row>
    <row r="759">
      <c r="D759" s="103"/>
      <c r="F759" s="104"/>
    </row>
    <row r="760">
      <c r="D760" s="103"/>
      <c r="F760" s="104"/>
    </row>
    <row r="761">
      <c r="D761" s="103"/>
      <c r="F761" s="104"/>
    </row>
    <row r="762">
      <c r="D762" s="103"/>
      <c r="F762" s="104"/>
    </row>
    <row r="763">
      <c r="D763" s="103"/>
      <c r="F763" s="104"/>
    </row>
    <row r="764">
      <c r="D764" s="103"/>
      <c r="F764" s="104"/>
    </row>
    <row r="765">
      <c r="D765" s="103"/>
      <c r="F765" s="104"/>
    </row>
    <row r="766">
      <c r="D766" s="103"/>
      <c r="F766" s="104"/>
    </row>
    <row r="767">
      <c r="D767" s="103"/>
      <c r="F767" s="104"/>
    </row>
    <row r="768">
      <c r="D768" s="103"/>
      <c r="F768" s="104"/>
    </row>
    <row r="769">
      <c r="D769" s="103"/>
      <c r="F769" s="104"/>
    </row>
    <row r="770">
      <c r="D770" s="103"/>
      <c r="F770" s="104"/>
    </row>
    <row r="771">
      <c r="D771" s="103"/>
      <c r="F771" s="104"/>
    </row>
    <row r="772">
      <c r="D772" s="103"/>
      <c r="F772" s="104"/>
    </row>
    <row r="773">
      <c r="D773" s="103"/>
      <c r="F773" s="104"/>
    </row>
    <row r="774">
      <c r="D774" s="103"/>
      <c r="F774" s="104"/>
    </row>
    <row r="775">
      <c r="D775" s="103"/>
      <c r="F775" s="104"/>
    </row>
    <row r="776">
      <c r="D776" s="103"/>
      <c r="F776" s="104"/>
    </row>
    <row r="777">
      <c r="D777" s="103"/>
      <c r="F777" s="104"/>
    </row>
    <row r="778">
      <c r="D778" s="103"/>
      <c r="F778" s="104"/>
    </row>
    <row r="779">
      <c r="D779" s="103"/>
      <c r="F779" s="104"/>
    </row>
    <row r="780">
      <c r="D780" s="103"/>
      <c r="F780" s="104"/>
    </row>
    <row r="781">
      <c r="D781" s="103"/>
      <c r="F781" s="104"/>
    </row>
    <row r="782">
      <c r="D782" s="103"/>
      <c r="F782" s="104"/>
    </row>
    <row r="783">
      <c r="D783" s="103"/>
      <c r="F783" s="104"/>
    </row>
    <row r="784">
      <c r="D784" s="103"/>
      <c r="F784" s="104"/>
    </row>
    <row r="785">
      <c r="D785" s="103"/>
      <c r="F785" s="104"/>
    </row>
    <row r="786">
      <c r="D786" s="103"/>
      <c r="F786" s="104"/>
    </row>
    <row r="787">
      <c r="D787" s="103"/>
      <c r="F787" s="104"/>
    </row>
    <row r="788">
      <c r="D788" s="103"/>
      <c r="F788" s="104"/>
    </row>
    <row r="789">
      <c r="D789" s="103"/>
      <c r="F789" s="104"/>
    </row>
    <row r="790">
      <c r="D790" s="103"/>
      <c r="F790" s="104"/>
    </row>
    <row r="791">
      <c r="D791" s="103"/>
      <c r="F791" s="104"/>
    </row>
    <row r="792">
      <c r="D792" s="103"/>
      <c r="F792" s="104"/>
    </row>
    <row r="793">
      <c r="D793" s="103"/>
      <c r="F793" s="104"/>
    </row>
    <row r="794">
      <c r="D794" s="103"/>
      <c r="F794" s="104"/>
    </row>
    <row r="795">
      <c r="D795" s="103"/>
      <c r="F795" s="104"/>
    </row>
    <row r="796">
      <c r="D796" s="103"/>
      <c r="F796" s="104"/>
    </row>
    <row r="797">
      <c r="D797" s="103"/>
      <c r="F797" s="104"/>
    </row>
    <row r="798">
      <c r="D798" s="103"/>
      <c r="F798" s="104"/>
    </row>
    <row r="799">
      <c r="D799" s="103"/>
      <c r="F799" s="104"/>
    </row>
    <row r="800">
      <c r="D800" s="103"/>
      <c r="F800" s="104"/>
    </row>
    <row r="801">
      <c r="D801" s="103"/>
      <c r="F801" s="104"/>
    </row>
    <row r="802">
      <c r="D802" s="103"/>
      <c r="F802" s="104"/>
    </row>
    <row r="803">
      <c r="D803" s="103"/>
      <c r="F803" s="104"/>
    </row>
    <row r="804">
      <c r="D804" s="103"/>
      <c r="F804" s="104"/>
    </row>
    <row r="805">
      <c r="D805" s="103"/>
      <c r="F805" s="104"/>
    </row>
    <row r="806">
      <c r="D806" s="103"/>
      <c r="F806" s="104"/>
    </row>
    <row r="807">
      <c r="D807" s="103"/>
      <c r="F807" s="104"/>
    </row>
    <row r="808">
      <c r="D808" s="103"/>
      <c r="F808" s="104"/>
    </row>
    <row r="809">
      <c r="D809" s="103"/>
      <c r="F809" s="104"/>
    </row>
    <row r="810">
      <c r="D810" s="103"/>
      <c r="F810" s="104"/>
    </row>
    <row r="811">
      <c r="D811" s="103"/>
      <c r="F811" s="104"/>
    </row>
    <row r="812">
      <c r="D812" s="103"/>
      <c r="F812" s="104"/>
    </row>
    <row r="813">
      <c r="D813" s="103"/>
      <c r="F813" s="104"/>
    </row>
    <row r="814">
      <c r="D814" s="103"/>
      <c r="F814" s="104"/>
    </row>
    <row r="815">
      <c r="D815" s="103"/>
      <c r="F815" s="104"/>
    </row>
    <row r="816">
      <c r="D816" s="103"/>
      <c r="F816" s="104"/>
    </row>
    <row r="817">
      <c r="D817" s="103"/>
      <c r="F817" s="104"/>
    </row>
    <row r="818">
      <c r="D818" s="103"/>
      <c r="F818" s="104"/>
    </row>
    <row r="819">
      <c r="D819" s="103"/>
      <c r="F819" s="104"/>
    </row>
    <row r="820">
      <c r="D820" s="103"/>
      <c r="F820" s="104"/>
    </row>
    <row r="821">
      <c r="D821" s="103"/>
      <c r="F821" s="104"/>
    </row>
    <row r="822">
      <c r="D822" s="103"/>
      <c r="F822" s="104"/>
    </row>
    <row r="823">
      <c r="D823" s="103"/>
      <c r="F823" s="104"/>
    </row>
    <row r="824">
      <c r="D824" s="103"/>
      <c r="F824" s="104"/>
    </row>
    <row r="825">
      <c r="D825" s="103"/>
      <c r="F825" s="104"/>
    </row>
    <row r="826">
      <c r="D826" s="103"/>
      <c r="F826" s="104"/>
    </row>
    <row r="827">
      <c r="D827" s="103"/>
      <c r="F827" s="104"/>
    </row>
    <row r="828">
      <c r="D828" s="103"/>
      <c r="F828" s="104"/>
    </row>
    <row r="829">
      <c r="D829" s="103"/>
      <c r="F829" s="104"/>
    </row>
    <row r="830">
      <c r="D830" s="103"/>
      <c r="F830" s="104"/>
    </row>
    <row r="831">
      <c r="D831" s="103"/>
      <c r="F831" s="104"/>
    </row>
    <row r="832">
      <c r="D832" s="103"/>
      <c r="F832" s="104"/>
    </row>
    <row r="833">
      <c r="D833" s="103"/>
      <c r="F833" s="104"/>
    </row>
    <row r="834">
      <c r="D834" s="103"/>
      <c r="F834" s="104"/>
    </row>
    <row r="835">
      <c r="D835" s="103"/>
      <c r="F835" s="104"/>
    </row>
    <row r="836">
      <c r="D836" s="103"/>
      <c r="F836" s="104"/>
    </row>
    <row r="837">
      <c r="D837" s="103"/>
      <c r="F837" s="104"/>
    </row>
    <row r="838">
      <c r="D838" s="103"/>
      <c r="F838" s="104"/>
    </row>
    <row r="839">
      <c r="D839" s="103"/>
      <c r="F839" s="104"/>
    </row>
    <row r="840">
      <c r="D840" s="103"/>
      <c r="F840" s="104"/>
    </row>
    <row r="841">
      <c r="D841" s="103"/>
      <c r="F841" s="104"/>
    </row>
    <row r="842">
      <c r="D842" s="103"/>
      <c r="F842" s="104"/>
    </row>
    <row r="843">
      <c r="D843" s="103"/>
      <c r="F843" s="104"/>
    </row>
    <row r="844">
      <c r="D844" s="103"/>
      <c r="F844" s="104"/>
    </row>
    <row r="845">
      <c r="D845" s="103"/>
      <c r="F845" s="104"/>
    </row>
    <row r="846">
      <c r="D846" s="103"/>
      <c r="F846" s="104"/>
    </row>
    <row r="847">
      <c r="D847" s="103"/>
      <c r="F847" s="104"/>
    </row>
    <row r="848">
      <c r="D848" s="103"/>
      <c r="F848" s="104"/>
    </row>
    <row r="849">
      <c r="D849" s="103"/>
      <c r="F849" s="104"/>
    </row>
    <row r="850">
      <c r="D850" s="103"/>
      <c r="F850" s="104"/>
    </row>
    <row r="851">
      <c r="D851" s="103"/>
      <c r="F851" s="104"/>
    </row>
    <row r="852">
      <c r="D852" s="103"/>
      <c r="F852" s="104"/>
    </row>
    <row r="853">
      <c r="D853" s="103"/>
      <c r="F853" s="104"/>
    </row>
    <row r="854">
      <c r="D854" s="103"/>
      <c r="F854" s="104"/>
    </row>
    <row r="855">
      <c r="D855" s="103"/>
      <c r="F855" s="104"/>
    </row>
    <row r="856">
      <c r="D856" s="103"/>
      <c r="F856" s="104"/>
    </row>
    <row r="857">
      <c r="D857" s="103"/>
      <c r="F857" s="104"/>
    </row>
    <row r="858">
      <c r="D858" s="103"/>
      <c r="F858" s="104"/>
    </row>
    <row r="859">
      <c r="D859" s="103"/>
      <c r="F859" s="104"/>
    </row>
    <row r="860">
      <c r="D860" s="103"/>
      <c r="F860" s="104"/>
    </row>
    <row r="861">
      <c r="D861" s="103"/>
      <c r="F861" s="104"/>
    </row>
    <row r="862">
      <c r="D862" s="103"/>
      <c r="F862" s="104"/>
    </row>
    <row r="863">
      <c r="D863" s="103"/>
      <c r="F863" s="104"/>
    </row>
    <row r="864">
      <c r="D864" s="103"/>
      <c r="F864" s="104"/>
    </row>
    <row r="865">
      <c r="D865" s="103"/>
      <c r="F865" s="104"/>
    </row>
    <row r="866">
      <c r="D866" s="103"/>
      <c r="F866" s="104"/>
    </row>
    <row r="867">
      <c r="D867" s="103"/>
      <c r="F867" s="104"/>
    </row>
    <row r="868">
      <c r="D868" s="103"/>
      <c r="F868" s="104"/>
    </row>
    <row r="869">
      <c r="D869" s="103"/>
      <c r="F869" s="104"/>
    </row>
    <row r="870">
      <c r="D870" s="103"/>
      <c r="F870" s="104"/>
    </row>
    <row r="871">
      <c r="D871" s="103"/>
      <c r="F871" s="104"/>
    </row>
    <row r="872">
      <c r="D872" s="103"/>
      <c r="F872" s="104"/>
    </row>
    <row r="873">
      <c r="D873" s="103"/>
      <c r="F873" s="104"/>
    </row>
    <row r="874">
      <c r="D874" s="103"/>
      <c r="F874" s="104"/>
    </row>
    <row r="875">
      <c r="D875" s="103"/>
      <c r="F875" s="104"/>
    </row>
    <row r="876">
      <c r="D876" s="103"/>
      <c r="F876" s="104"/>
    </row>
    <row r="877">
      <c r="D877" s="103"/>
      <c r="F877" s="104"/>
    </row>
    <row r="878">
      <c r="D878" s="103"/>
      <c r="F878" s="104"/>
    </row>
    <row r="879">
      <c r="D879" s="103"/>
      <c r="F879" s="104"/>
    </row>
    <row r="880">
      <c r="D880" s="103"/>
      <c r="F880" s="104"/>
    </row>
    <row r="881">
      <c r="D881" s="103"/>
      <c r="F881" s="104"/>
    </row>
    <row r="882">
      <c r="D882" s="103"/>
      <c r="F882" s="104"/>
    </row>
    <row r="883">
      <c r="D883" s="103"/>
      <c r="F883" s="104"/>
    </row>
    <row r="884">
      <c r="D884" s="103"/>
      <c r="F884" s="104"/>
    </row>
    <row r="885">
      <c r="D885" s="103"/>
      <c r="F885" s="104"/>
    </row>
    <row r="886">
      <c r="D886" s="103"/>
      <c r="F886" s="104"/>
    </row>
    <row r="887">
      <c r="D887" s="103"/>
      <c r="F887" s="104"/>
    </row>
    <row r="888">
      <c r="D888" s="103"/>
      <c r="F888" s="104"/>
    </row>
    <row r="889">
      <c r="D889" s="103"/>
      <c r="F889" s="104"/>
    </row>
    <row r="890">
      <c r="D890" s="103"/>
      <c r="F890" s="104"/>
    </row>
    <row r="891">
      <c r="D891" s="103"/>
      <c r="F891" s="104"/>
    </row>
    <row r="892">
      <c r="D892" s="103"/>
      <c r="F892" s="104"/>
    </row>
    <row r="893">
      <c r="D893" s="103"/>
      <c r="F893" s="104"/>
    </row>
    <row r="894">
      <c r="D894" s="103"/>
      <c r="F894" s="104"/>
    </row>
    <row r="895">
      <c r="D895" s="103"/>
      <c r="F895" s="104"/>
    </row>
    <row r="896">
      <c r="D896" s="103"/>
      <c r="F896" s="104"/>
    </row>
    <row r="897">
      <c r="D897" s="103"/>
      <c r="F897" s="104"/>
    </row>
    <row r="898">
      <c r="D898" s="103"/>
      <c r="F898" s="104"/>
    </row>
    <row r="899">
      <c r="D899" s="103"/>
      <c r="F899" s="104"/>
    </row>
    <row r="900">
      <c r="D900" s="103"/>
      <c r="F900" s="104"/>
    </row>
    <row r="901">
      <c r="D901" s="103"/>
      <c r="F901" s="104"/>
    </row>
    <row r="902">
      <c r="D902" s="103"/>
      <c r="F902" s="104"/>
    </row>
    <row r="903">
      <c r="D903" s="103"/>
      <c r="F903" s="104"/>
    </row>
    <row r="904">
      <c r="D904" s="103"/>
      <c r="F904" s="104"/>
    </row>
    <row r="905">
      <c r="D905" s="103"/>
      <c r="F905" s="104"/>
    </row>
    <row r="906">
      <c r="D906" s="103"/>
      <c r="F906" s="104"/>
    </row>
    <row r="907">
      <c r="D907" s="103"/>
      <c r="F907" s="104"/>
    </row>
    <row r="908">
      <c r="D908" s="103"/>
      <c r="F908" s="104"/>
    </row>
    <row r="909">
      <c r="D909" s="103"/>
      <c r="F909" s="104"/>
    </row>
    <row r="910">
      <c r="D910" s="103"/>
      <c r="F910" s="104"/>
    </row>
    <row r="911">
      <c r="D911" s="103"/>
      <c r="F911" s="104"/>
    </row>
    <row r="912">
      <c r="D912" s="103"/>
      <c r="F912" s="104"/>
    </row>
    <row r="913">
      <c r="D913" s="103"/>
      <c r="F913" s="104"/>
    </row>
    <row r="914">
      <c r="D914" s="103"/>
      <c r="F914" s="104"/>
    </row>
    <row r="915">
      <c r="D915" s="103"/>
      <c r="F915" s="104"/>
    </row>
    <row r="916">
      <c r="D916" s="103"/>
      <c r="F916" s="104"/>
    </row>
    <row r="917">
      <c r="D917" s="103"/>
      <c r="F917" s="104"/>
    </row>
    <row r="918">
      <c r="D918" s="103"/>
      <c r="F918" s="104"/>
    </row>
    <row r="919">
      <c r="D919" s="103"/>
      <c r="F919" s="104"/>
    </row>
    <row r="920">
      <c r="D920" s="103"/>
      <c r="F920" s="104"/>
    </row>
    <row r="921">
      <c r="D921" s="103"/>
      <c r="F921" s="104"/>
    </row>
    <row r="922">
      <c r="D922" s="103"/>
      <c r="F922" s="104"/>
    </row>
    <row r="923">
      <c r="D923" s="103"/>
      <c r="F923" s="104"/>
    </row>
    <row r="924">
      <c r="D924" s="103"/>
      <c r="F924" s="104"/>
    </row>
    <row r="925">
      <c r="D925" s="103"/>
      <c r="F925" s="104"/>
    </row>
    <row r="926">
      <c r="D926" s="103"/>
      <c r="F926" s="104"/>
    </row>
    <row r="927">
      <c r="D927" s="103"/>
      <c r="F927" s="104"/>
    </row>
    <row r="928">
      <c r="D928" s="103"/>
      <c r="F928" s="104"/>
    </row>
    <row r="929">
      <c r="D929" s="103"/>
      <c r="F929" s="104"/>
    </row>
    <row r="930">
      <c r="D930" s="103"/>
      <c r="F930" s="104"/>
    </row>
    <row r="931">
      <c r="D931" s="103"/>
      <c r="F931" s="104"/>
    </row>
    <row r="932">
      <c r="D932" s="103"/>
      <c r="F932" s="104"/>
    </row>
    <row r="933">
      <c r="D933" s="103"/>
      <c r="F933" s="104"/>
    </row>
    <row r="934">
      <c r="D934" s="103"/>
      <c r="F934" s="104"/>
    </row>
    <row r="935">
      <c r="D935" s="103"/>
      <c r="F935" s="104"/>
    </row>
    <row r="936">
      <c r="D936" s="103"/>
      <c r="F936" s="104"/>
    </row>
    <row r="937">
      <c r="D937" s="103"/>
      <c r="F937" s="104"/>
    </row>
    <row r="938">
      <c r="D938" s="103"/>
      <c r="F938" s="104"/>
    </row>
    <row r="939">
      <c r="D939" s="103"/>
      <c r="F939" s="104"/>
    </row>
    <row r="940">
      <c r="D940" s="103"/>
      <c r="F940" s="104"/>
    </row>
    <row r="941">
      <c r="D941" s="103"/>
      <c r="F941" s="104"/>
    </row>
    <row r="942">
      <c r="D942" s="103"/>
      <c r="F942" s="104"/>
    </row>
    <row r="943">
      <c r="D943" s="103"/>
      <c r="F943" s="104"/>
    </row>
    <row r="944">
      <c r="D944" s="103"/>
      <c r="F944" s="104"/>
    </row>
    <row r="945">
      <c r="D945" s="103"/>
      <c r="F945" s="104"/>
    </row>
    <row r="946">
      <c r="D946" s="103"/>
      <c r="F946" s="104"/>
    </row>
    <row r="947">
      <c r="D947" s="103"/>
      <c r="F947" s="104"/>
    </row>
    <row r="948">
      <c r="D948" s="103"/>
      <c r="F948" s="104"/>
    </row>
    <row r="949">
      <c r="D949" s="103"/>
      <c r="F949" s="104"/>
    </row>
    <row r="950">
      <c r="D950" s="103"/>
      <c r="F950" s="104"/>
    </row>
    <row r="951">
      <c r="D951" s="103"/>
      <c r="F951" s="104"/>
    </row>
    <row r="952">
      <c r="D952" s="103"/>
      <c r="F952" s="104"/>
    </row>
    <row r="953">
      <c r="D953" s="103"/>
      <c r="F953" s="104"/>
    </row>
    <row r="954">
      <c r="D954" s="103"/>
      <c r="F954" s="104"/>
    </row>
    <row r="955">
      <c r="D955" s="103"/>
      <c r="F955" s="104"/>
    </row>
    <row r="956">
      <c r="D956" s="103"/>
      <c r="F956" s="104"/>
    </row>
    <row r="957">
      <c r="D957" s="103"/>
      <c r="F957" s="104"/>
    </row>
    <row r="958">
      <c r="D958" s="103"/>
      <c r="F958" s="104"/>
    </row>
    <row r="959">
      <c r="D959" s="103"/>
      <c r="F959" s="104"/>
    </row>
    <row r="960">
      <c r="D960" s="103"/>
      <c r="F960" s="104"/>
    </row>
    <row r="961">
      <c r="D961" s="103"/>
      <c r="F961" s="104"/>
    </row>
    <row r="962">
      <c r="D962" s="103"/>
      <c r="F962" s="104"/>
    </row>
    <row r="963">
      <c r="D963" s="103"/>
      <c r="F963" s="104"/>
    </row>
    <row r="964">
      <c r="D964" s="103"/>
      <c r="F964" s="104"/>
    </row>
    <row r="965">
      <c r="D965" s="103"/>
      <c r="F965" s="104"/>
    </row>
    <row r="966">
      <c r="D966" s="103"/>
      <c r="F966" s="104"/>
    </row>
    <row r="967">
      <c r="D967" s="103"/>
      <c r="F967" s="104"/>
    </row>
    <row r="968">
      <c r="D968" s="103"/>
      <c r="F968" s="104"/>
    </row>
    <row r="969">
      <c r="D969" s="103"/>
      <c r="F969" s="104"/>
    </row>
    <row r="970">
      <c r="D970" s="103"/>
      <c r="F970" s="104"/>
    </row>
    <row r="971">
      <c r="D971" s="103"/>
      <c r="F971" s="104"/>
    </row>
    <row r="972">
      <c r="D972" s="103"/>
      <c r="F972" s="104"/>
    </row>
    <row r="973">
      <c r="D973" s="103"/>
      <c r="F973" s="104"/>
    </row>
    <row r="974">
      <c r="D974" s="103"/>
      <c r="F974" s="104"/>
    </row>
    <row r="975">
      <c r="D975" s="103"/>
      <c r="F975" s="104"/>
    </row>
    <row r="976">
      <c r="D976" s="103"/>
      <c r="F976" s="104"/>
    </row>
    <row r="977">
      <c r="D977" s="103"/>
      <c r="F977" s="104"/>
    </row>
    <row r="978">
      <c r="D978" s="103"/>
      <c r="F978" s="104"/>
    </row>
    <row r="979">
      <c r="D979" s="103"/>
      <c r="F979" s="104"/>
    </row>
    <row r="980">
      <c r="D980" s="103"/>
      <c r="F980" s="104"/>
    </row>
    <row r="981">
      <c r="D981" s="103"/>
      <c r="F981" s="104"/>
    </row>
    <row r="982">
      <c r="D982" s="103"/>
      <c r="F982" s="104"/>
    </row>
    <row r="983">
      <c r="D983" s="103"/>
      <c r="F983" s="104"/>
    </row>
    <row r="984">
      <c r="D984" s="103"/>
      <c r="F984" s="104"/>
    </row>
    <row r="985">
      <c r="D985" s="103"/>
      <c r="F985" s="104"/>
    </row>
    <row r="986">
      <c r="D986" s="103"/>
      <c r="F986" s="104"/>
    </row>
    <row r="987">
      <c r="D987" s="103"/>
      <c r="F987" s="104"/>
    </row>
    <row r="988">
      <c r="D988" s="103"/>
      <c r="F988" s="104"/>
    </row>
    <row r="989">
      <c r="D989" s="103"/>
      <c r="F989" s="104"/>
    </row>
    <row r="990">
      <c r="D990" s="103"/>
      <c r="F990" s="104"/>
    </row>
    <row r="991">
      <c r="D991" s="103"/>
      <c r="F991" s="104"/>
    </row>
    <row r="992">
      <c r="D992" s="103"/>
      <c r="F992" s="104"/>
    </row>
    <row r="993">
      <c r="D993" s="103"/>
      <c r="F993" s="104"/>
    </row>
    <row r="994">
      <c r="D994" s="103"/>
      <c r="F994" s="104"/>
    </row>
    <row r="995">
      <c r="D995" s="103"/>
      <c r="F995" s="104"/>
    </row>
  </sheetData>
  <mergeCells count="3">
    <mergeCell ref="A1:B1"/>
    <mergeCell ref="C1:D1"/>
    <mergeCell ref="A2:B18"/>
  </mergeCells>
  <conditionalFormatting sqref="C3:C7 E3:E7">
    <cfRule type="notContainsBlanks" dxfId="2" priority="1">
      <formula>LEN(TRIM(C3))&gt;0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9.38"/>
    <col customWidth="1" min="3" max="3" width="11.88"/>
    <col customWidth="1" min="4" max="4" width="25.5"/>
    <col customWidth="1" min="5" max="5" width="8.25"/>
    <col customWidth="1" min="6" max="6" width="18.5"/>
    <col customWidth="1" min="7" max="7" width="19.25"/>
    <col customWidth="1" min="8" max="8" width="26.0"/>
    <col customWidth="1" min="9" max="9" width="5.25"/>
    <col customWidth="1" min="10" max="13" width="5.0"/>
    <col customWidth="1" min="14" max="14" width="7.13"/>
    <col customWidth="1" min="15" max="15" width="17.38"/>
    <col customWidth="1" min="16" max="20" width="5.0"/>
    <col customWidth="1" min="21" max="21" width="12.25"/>
    <col customWidth="1" min="22" max="22" width="17.38"/>
    <col customWidth="1" min="24" max="24" width="25.38"/>
    <col customWidth="1" min="25" max="25" width="30.5"/>
    <col customWidth="1" min="26" max="26" width="17.13"/>
  </cols>
  <sheetData>
    <row r="1" ht="51.0" customHeight="1">
      <c r="A1" s="105"/>
      <c r="B1" s="105"/>
      <c r="C1" s="105"/>
      <c r="D1" s="105"/>
      <c r="E1" s="105"/>
      <c r="F1" s="105"/>
      <c r="G1" s="105"/>
      <c r="H1" s="105"/>
      <c r="I1" s="106" t="s">
        <v>60</v>
      </c>
      <c r="P1" s="107" t="s">
        <v>62</v>
      </c>
      <c r="W1" s="105" t="s">
        <v>2422</v>
      </c>
      <c r="X1" s="108"/>
      <c r="Y1" s="108"/>
      <c r="Z1" s="105"/>
      <c r="AA1" s="105"/>
    </row>
    <row r="2" ht="51.0" customHeight="1">
      <c r="A2" s="101" t="s">
        <v>2423</v>
      </c>
      <c r="B2" s="109" t="s">
        <v>64</v>
      </c>
      <c r="C2" s="109" t="s">
        <v>65</v>
      </c>
      <c r="D2" s="109" t="s">
        <v>66</v>
      </c>
      <c r="E2" s="109" t="s">
        <v>67</v>
      </c>
      <c r="F2" s="109" t="s">
        <v>68</v>
      </c>
      <c r="G2" s="109" t="s">
        <v>69</v>
      </c>
      <c r="H2" s="109" t="s">
        <v>70</v>
      </c>
      <c r="I2" s="110" t="s">
        <v>2412</v>
      </c>
      <c r="J2" s="110" t="s">
        <v>2414</v>
      </c>
      <c r="K2" s="110" t="s">
        <v>2416</v>
      </c>
      <c r="L2" s="110" t="s">
        <v>2418</v>
      </c>
      <c r="M2" s="110" t="s">
        <v>2420</v>
      </c>
      <c r="N2" s="110" t="s">
        <v>2424</v>
      </c>
      <c r="O2" s="110" t="s">
        <v>71</v>
      </c>
      <c r="P2" s="110" t="s">
        <v>2412</v>
      </c>
      <c r="Q2" s="110" t="s">
        <v>2414</v>
      </c>
      <c r="R2" s="110" t="s">
        <v>2416</v>
      </c>
      <c r="S2" s="110" t="s">
        <v>2418</v>
      </c>
      <c r="T2" s="110" t="s">
        <v>2420</v>
      </c>
      <c r="U2" s="110" t="s">
        <v>2424</v>
      </c>
      <c r="V2" s="110" t="s">
        <v>72</v>
      </c>
      <c r="W2" s="101" t="s">
        <v>73</v>
      </c>
      <c r="X2" s="111" t="s">
        <v>74</v>
      </c>
      <c r="Y2" s="111" t="s">
        <v>75</v>
      </c>
      <c r="Z2" s="101" t="s">
        <v>76</v>
      </c>
      <c r="AA2" s="101" t="s">
        <v>77</v>
      </c>
    </row>
    <row r="3" ht="26.25" customHeight="1">
      <c r="B3" s="112" t="s">
        <v>46</v>
      </c>
      <c r="C3" s="112" t="s">
        <v>78</v>
      </c>
      <c r="D3" s="112" t="s">
        <v>79</v>
      </c>
      <c r="E3" s="112">
        <v>2020.0</v>
      </c>
      <c r="F3" s="113" t="s">
        <v>46</v>
      </c>
      <c r="G3" s="112" t="s">
        <v>80</v>
      </c>
      <c r="H3" s="114" t="s">
        <v>81</v>
      </c>
      <c r="I3" s="48">
        <v>1.0</v>
      </c>
      <c r="J3" s="48">
        <v>0.5</v>
      </c>
      <c r="K3" s="48">
        <v>1.0</v>
      </c>
      <c r="L3" s="48">
        <v>1.0</v>
      </c>
      <c r="M3" s="115">
        <v>0.5</v>
      </c>
      <c r="N3" s="104">
        <f t="shared" ref="N3:N151" si="1">SUM(I3:M3)</f>
        <v>4</v>
      </c>
      <c r="O3" s="115" t="str">
        <f t="shared" ref="O3:O701" si="2">IF(N3&gt;=2.5,"Sim","Não")</f>
        <v>Sim</v>
      </c>
      <c r="P3" s="115">
        <v>1.0</v>
      </c>
      <c r="Q3" s="115">
        <v>0.5</v>
      </c>
      <c r="R3" s="115">
        <v>1.0</v>
      </c>
      <c r="S3" s="115">
        <v>1.0</v>
      </c>
      <c r="T3" s="115">
        <v>0.5</v>
      </c>
      <c r="U3" s="104">
        <f t="shared" ref="U3:U701" si="3">SUM(O3:T3)</f>
        <v>4</v>
      </c>
      <c r="V3" s="115" t="str">
        <f t="shared" ref="V3:V701" si="4">IF(U3&gt;=2.5,"Sim","Não")</f>
        <v>Sim</v>
      </c>
      <c r="W3" s="116" t="str">
        <f t="shared" ref="W3:W701" si="5">IF(OR(O3="",V3=""),"",IF(O3=V3,"Igual","Diferente"))</f>
        <v>Igual</v>
      </c>
      <c r="X3" s="117" t="s">
        <v>2425</v>
      </c>
      <c r="Y3" s="117" t="s">
        <v>2426</v>
      </c>
      <c r="Z3" s="48" t="s">
        <v>555</v>
      </c>
      <c r="AA3" s="116" t="str">
        <f t="shared" ref="AA3:AA151" si="6">IF(OR(O3="",V3=""),"",IF(OR(AND(O3="Sim",V3="Sim"),O3&lt;&gt;V3),"Sim","Não"))</f>
        <v>Sim</v>
      </c>
    </row>
    <row r="4">
      <c r="B4" s="112" t="s">
        <v>46</v>
      </c>
      <c r="C4" s="112" t="s">
        <v>86</v>
      </c>
      <c r="D4" s="112" t="s">
        <v>87</v>
      </c>
      <c r="E4" s="112">
        <v>2020.0</v>
      </c>
      <c r="F4" s="113" t="s">
        <v>46</v>
      </c>
      <c r="G4" s="112" t="s">
        <v>88</v>
      </c>
      <c r="H4" s="114" t="s">
        <v>89</v>
      </c>
      <c r="I4" s="48">
        <v>1.0</v>
      </c>
      <c r="J4" s="48">
        <v>0.5</v>
      </c>
      <c r="K4" s="48">
        <v>1.0</v>
      </c>
      <c r="L4" s="48">
        <v>1.0</v>
      </c>
      <c r="M4" s="115">
        <v>1.0</v>
      </c>
      <c r="N4" s="104">
        <f t="shared" si="1"/>
        <v>4.5</v>
      </c>
      <c r="O4" s="115" t="str">
        <f t="shared" si="2"/>
        <v>Sim</v>
      </c>
      <c r="P4" s="115">
        <v>1.0</v>
      </c>
      <c r="Q4" s="115">
        <v>0.5</v>
      </c>
      <c r="R4" s="115">
        <v>1.0</v>
      </c>
      <c r="S4" s="115">
        <v>1.0</v>
      </c>
      <c r="T4" s="115">
        <v>1.0</v>
      </c>
      <c r="U4" s="104">
        <f t="shared" si="3"/>
        <v>4.5</v>
      </c>
      <c r="V4" s="115" t="str">
        <f t="shared" si="4"/>
        <v>Sim</v>
      </c>
      <c r="W4" s="116" t="str">
        <f t="shared" si="5"/>
        <v>Igual</v>
      </c>
      <c r="X4" s="117" t="s">
        <v>2427</v>
      </c>
      <c r="Y4" s="117" t="s">
        <v>2428</v>
      </c>
      <c r="Z4" s="48" t="s">
        <v>555</v>
      </c>
      <c r="AA4" s="116" t="str">
        <f t="shared" si="6"/>
        <v>Sim</v>
      </c>
    </row>
    <row r="5">
      <c r="B5" s="112" t="s">
        <v>46</v>
      </c>
      <c r="C5" s="112" t="s">
        <v>92</v>
      </c>
      <c r="D5" s="112" t="s">
        <v>93</v>
      </c>
      <c r="E5" s="112">
        <v>2025.0</v>
      </c>
      <c r="F5" s="113" t="s">
        <v>46</v>
      </c>
      <c r="G5" s="112" t="s">
        <v>94</v>
      </c>
      <c r="H5" s="114" t="s">
        <v>95</v>
      </c>
      <c r="I5" s="48">
        <v>1.0</v>
      </c>
      <c r="J5" s="48">
        <v>0.5</v>
      </c>
      <c r="K5" s="48">
        <v>1.0</v>
      </c>
      <c r="L5" s="48">
        <v>1.0</v>
      </c>
      <c r="M5" s="115">
        <v>1.0</v>
      </c>
      <c r="N5" s="104">
        <f t="shared" si="1"/>
        <v>4.5</v>
      </c>
      <c r="O5" s="115" t="str">
        <f t="shared" si="2"/>
        <v>Sim</v>
      </c>
      <c r="P5" s="115">
        <v>1.0</v>
      </c>
      <c r="Q5" s="115">
        <v>0.5</v>
      </c>
      <c r="R5" s="115">
        <v>1.0</v>
      </c>
      <c r="S5" s="115">
        <v>1.0</v>
      </c>
      <c r="T5" s="115">
        <v>1.0</v>
      </c>
      <c r="U5" s="104">
        <f t="shared" si="3"/>
        <v>4.5</v>
      </c>
      <c r="V5" s="115" t="str">
        <f t="shared" si="4"/>
        <v>Sim</v>
      </c>
      <c r="W5" s="116" t="str">
        <f t="shared" si="5"/>
        <v>Igual</v>
      </c>
      <c r="X5" s="117" t="s">
        <v>2429</v>
      </c>
      <c r="Y5" s="117" t="s">
        <v>2430</v>
      </c>
      <c r="Z5" s="48" t="s">
        <v>555</v>
      </c>
      <c r="AA5" s="116" t="str">
        <f t="shared" si="6"/>
        <v>Sim</v>
      </c>
    </row>
    <row r="6">
      <c r="B6" s="112" t="s">
        <v>46</v>
      </c>
      <c r="C6" s="112" t="s">
        <v>127</v>
      </c>
      <c r="D6" s="112" t="s">
        <v>128</v>
      </c>
      <c r="E6" s="112">
        <v>2024.0</v>
      </c>
      <c r="F6" s="112" t="s">
        <v>129</v>
      </c>
      <c r="G6" s="112" t="s">
        <v>130</v>
      </c>
      <c r="H6" s="112" t="s">
        <v>131</v>
      </c>
      <c r="I6" s="48">
        <v>1.0</v>
      </c>
      <c r="J6" s="48">
        <v>0.5</v>
      </c>
      <c r="K6" s="48">
        <v>1.0</v>
      </c>
      <c r="L6" s="48">
        <v>1.0</v>
      </c>
      <c r="M6" s="115">
        <v>1.0</v>
      </c>
      <c r="N6" s="104">
        <f t="shared" si="1"/>
        <v>4.5</v>
      </c>
      <c r="O6" s="115" t="str">
        <f t="shared" si="2"/>
        <v>Sim</v>
      </c>
      <c r="P6" s="115">
        <v>1.0</v>
      </c>
      <c r="Q6" s="115">
        <v>0.5</v>
      </c>
      <c r="R6" s="115">
        <v>1.0</v>
      </c>
      <c r="S6" s="115">
        <v>1.0</v>
      </c>
      <c r="T6" s="115">
        <v>0.5</v>
      </c>
      <c r="U6" s="104">
        <f t="shared" si="3"/>
        <v>4</v>
      </c>
      <c r="V6" s="115" t="str">
        <f t="shared" si="4"/>
        <v>Sim</v>
      </c>
      <c r="W6" s="116" t="str">
        <f t="shared" si="5"/>
        <v>Igual</v>
      </c>
      <c r="X6" s="117" t="s">
        <v>2431</v>
      </c>
      <c r="Y6" s="117" t="s">
        <v>2432</v>
      </c>
      <c r="Z6" s="48" t="s">
        <v>343</v>
      </c>
      <c r="AA6" s="116" t="str">
        <f t="shared" si="6"/>
        <v>Sim</v>
      </c>
    </row>
    <row r="7">
      <c r="B7" s="112" t="s">
        <v>46</v>
      </c>
      <c r="C7" s="112" t="s">
        <v>148</v>
      </c>
      <c r="D7" s="112" t="s">
        <v>149</v>
      </c>
      <c r="E7" s="112">
        <v>2023.0</v>
      </c>
      <c r="F7" s="112" t="s">
        <v>150</v>
      </c>
      <c r="G7" s="112" t="s">
        <v>151</v>
      </c>
      <c r="H7" s="112" t="s">
        <v>152</v>
      </c>
      <c r="I7" s="48">
        <v>1.0</v>
      </c>
      <c r="J7" s="48">
        <v>0.5</v>
      </c>
      <c r="K7" s="48">
        <v>1.0</v>
      </c>
      <c r="L7" s="48">
        <v>1.0</v>
      </c>
      <c r="M7" s="115">
        <v>0.5</v>
      </c>
      <c r="N7" s="104">
        <f t="shared" si="1"/>
        <v>4</v>
      </c>
      <c r="O7" s="115" t="str">
        <f t="shared" si="2"/>
        <v>Sim</v>
      </c>
      <c r="P7" s="115">
        <v>1.0</v>
      </c>
      <c r="Q7" s="115">
        <v>0.5</v>
      </c>
      <c r="R7" s="115">
        <v>1.0</v>
      </c>
      <c r="S7" s="115">
        <v>1.0</v>
      </c>
      <c r="T7" s="115">
        <v>0.0</v>
      </c>
      <c r="U7" s="104">
        <f t="shared" si="3"/>
        <v>3.5</v>
      </c>
      <c r="V7" s="115" t="str">
        <f t="shared" si="4"/>
        <v>Sim</v>
      </c>
      <c r="W7" s="116" t="str">
        <f t="shared" si="5"/>
        <v>Igual</v>
      </c>
      <c r="X7" s="117" t="s">
        <v>2433</v>
      </c>
      <c r="Y7" s="117" t="s">
        <v>2434</v>
      </c>
      <c r="Z7" s="48" t="s">
        <v>343</v>
      </c>
      <c r="AA7" s="116" t="str">
        <f t="shared" si="6"/>
        <v>Sim</v>
      </c>
    </row>
    <row r="8">
      <c r="B8" s="112" t="s">
        <v>46</v>
      </c>
      <c r="C8" s="112" t="s">
        <v>162</v>
      </c>
      <c r="D8" s="112" t="s">
        <v>163</v>
      </c>
      <c r="E8" s="112">
        <v>2025.0</v>
      </c>
      <c r="F8" s="112" t="s">
        <v>164</v>
      </c>
      <c r="G8" s="112" t="s">
        <v>165</v>
      </c>
      <c r="H8" s="112" t="s">
        <v>166</v>
      </c>
      <c r="I8" s="48">
        <v>1.0</v>
      </c>
      <c r="J8" s="48">
        <v>0.5</v>
      </c>
      <c r="K8" s="48">
        <v>1.0</v>
      </c>
      <c r="L8" s="48">
        <v>1.0</v>
      </c>
      <c r="M8" s="115">
        <v>0.5</v>
      </c>
      <c r="N8" s="104">
        <f t="shared" si="1"/>
        <v>4</v>
      </c>
      <c r="O8" s="115" t="str">
        <f t="shared" si="2"/>
        <v>Sim</v>
      </c>
      <c r="P8" s="48">
        <v>1.0</v>
      </c>
      <c r="Q8" s="48">
        <v>0.5</v>
      </c>
      <c r="R8" s="48">
        <v>1.0</v>
      </c>
      <c r="S8" s="48">
        <v>1.0</v>
      </c>
      <c r="T8" s="115">
        <v>0.5</v>
      </c>
      <c r="U8" s="104">
        <f t="shared" si="3"/>
        <v>4</v>
      </c>
      <c r="V8" s="115" t="str">
        <f t="shared" si="4"/>
        <v>Sim</v>
      </c>
      <c r="W8" s="116" t="str">
        <f t="shared" si="5"/>
        <v>Igual</v>
      </c>
      <c r="X8" s="117" t="s">
        <v>2435</v>
      </c>
      <c r="Y8" s="117" t="s">
        <v>2436</v>
      </c>
      <c r="Z8" s="48" t="s">
        <v>555</v>
      </c>
      <c r="AA8" s="116" t="str">
        <f t="shared" si="6"/>
        <v>Sim</v>
      </c>
    </row>
    <row r="9">
      <c r="B9" s="112" t="s">
        <v>46</v>
      </c>
      <c r="C9" s="112" t="s">
        <v>169</v>
      </c>
      <c r="D9" s="112" t="s">
        <v>170</v>
      </c>
      <c r="E9" s="112">
        <v>2024.0</v>
      </c>
      <c r="F9" s="112" t="s">
        <v>171</v>
      </c>
      <c r="G9" s="118" t="s">
        <v>172</v>
      </c>
      <c r="H9" s="112" t="s">
        <v>173</v>
      </c>
      <c r="I9" s="48">
        <v>1.0</v>
      </c>
      <c r="J9" s="48">
        <v>0.5</v>
      </c>
      <c r="K9" s="48">
        <v>1.0</v>
      </c>
      <c r="L9" s="48">
        <v>1.0</v>
      </c>
      <c r="M9" s="115">
        <v>1.0</v>
      </c>
      <c r="N9" s="104">
        <f t="shared" si="1"/>
        <v>4.5</v>
      </c>
      <c r="O9" s="115" t="str">
        <f t="shared" si="2"/>
        <v>Sim</v>
      </c>
      <c r="P9" s="48">
        <v>1.0</v>
      </c>
      <c r="Q9" s="48">
        <v>0.5</v>
      </c>
      <c r="R9" s="48">
        <v>1.0</v>
      </c>
      <c r="S9" s="48">
        <v>1.0</v>
      </c>
      <c r="T9" s="115">
        <v>0.5</v>
      </c>
      <c r="U9" s="104">
        <f t="shared" si="3"/>
        <v>4</v>
      </c>
      <c r="V9" s="115" t="str">
        <f t="shared" si="4"/>
        <v>Sim</v>
      </c>
      <c r="W9" s="116" t="str">
        <f t="shared" si="5"/>
        <v>Igual</v>
      </c>
      <c r="X9" s="117" t="s">
        <v>2437</v>
      </c>
      <c r="Y9" s="117" t="s">
        <v>2438</v>
      </c>
      <c r="Z9" s="48" t="s">
        <v>343</v>
      </c>
      <c r="AA9" s="116" t="str">
        <f t="shared" si="6"/>
        <v>Sim</v>
      </c>
    </row>
    <row r="10">
      <c r="B10" s="112" t="s">
        <v>46</v>
      </c>
      <c r="C10" s="112" t="s">
        <v>250</v>
      </c>
      <c r="D10" s="112" t="s">
        <v>251</v>
      </c>
      <c r="E10" s="112">
        <v>2023.0</v>
      </c>
      <c r="F10" s="112" t="s">
        <v>252</v>
      </c>
      <c r="G10" s="119" t="s">
        <v>253</v>
      </c>
      <c r="H10" s="112" t="s">
        <v>145</v>
      </c>
      <c r="I10" s="48">
        <v>1.0</v>
      </c>
      <c r="J10" s="48">
        <v>0.5</v>
      </c>
      <c r="K10" s="48">
        <v>1.0</v>
      </c>
      <c r="L10" s="48">
        <v>1.0</v>
      </c>
      <c r="M10" s="115">
        <v>1.0</v>
      </c>
      <c r="N10" s="104">
        <f t="shared" si="1"/>
        <v>4.5</v>
      </c>
      <c r="O10" s="115" t="str">
        <f t="shared" si="2"/>
        <v>Sim</v>
      </c>
      <c r="P10" s="48">
        <v>1.0</v>
      </c>
      <c r="Q10" s="48">
        <v>0.5</v>
      </c>
      <c r="R10" s="48">
        <v>1.0</v>
      </c>
      <c r="S10" s="48">
        <v>1.0</v>
      </c>
      <c r="T10" s="115">
        <v>0.5</v>
      </c>
      <c r="U10" s="104">
        <f t="shared" si="3"/>
        <v>4</v>
      </c>
      <c r="V10" s="115" t="str">
        <f t="shared" si="4"/>
        <v>Sim</v>
      </c>
      <c r="W10" s="116" t="str">
        <f t="shared" si="5"/>
        <v>Igual</v>
      </c>
      <c r="X10" s="117" t="s">
        <v>2439</v>
      </c>
      <c r="Y10" s="117" t="s">
        <v>2439</v>
      </c>
      <c r="Z10" s="48" t="s">
        <v>555</v>
      </c>
      <c r="AA10" s="116" t="str">
        <f t="shared" si="6"/>
        <v>Sim</v>
      </c>
    </row>
    <row r="11">
      <c r="B11" s="112" t="s">
        <v>46</v>
      </c>
      <c r="C11" s="112" t="s">
        <v>277</v>
      </c>
      <c r="D11" s="112" t="s">
        <v>278</v>
      </c>
      <c r="E11" s="112">
        <v>2025.0</v>
      </c>
      <c r="F11" s="112" t="s">
        <v>279</v>
      </c>
      <c r="G11" s="112" t="s">
        <v>2440</v>
      </c>
      <c r="H11" s="112" t="s">
        <v>281</v>
      </c>
      <c r="I11" s="48">
        <v>1.0</v>
      </c>
      <c r="J11" s="48">
        <v>0.5</v>
      </c>
      <c r="K11" s="48">
        <v>1.0</v>
      </c>
      <c r="L11" s="48">
        <v>1.0</v>
      </c>
      <c r="M11" s="115">
        <v>0.5</v>
      </c>
      <c r="N11" s="104">
        <f t="shared" si="1"/>
        <v>4</v>
      </c>
      <c r="O11" s="115" t="str">
        <f t="shared" si="2"/>
        <v>Sim</v>
      </c>
      <c r="P11" s="48">
        <v>1.0</v>
      </c>
      <c r="Q11" s="48">
        <v>0.5</v>
      </c>
      <c r="R11" s="48">
        <v>1.0</v>
      </c>
      <c r="S11" s="48">
        <v>1.0</v>
      </c>
      <c r="T11" s="115">
        <v>0.5</v>
      </c>
      <c r="U11" s="104">
        <f t="shared" si="3"/>
        <v>4</v>
      </c>
      <c r="V11" s="115" t="str">
        <f t="shared" si="4"/>
        <v>Sim</v>
      </c>
      <c r="W11" s="116" t="str">
        <f t="shared" si="5"/>
        <v>Igual</v>
      </c>
      <c r="X11" s="117" t="s">
        <v>2441</v>
      </c>
      <c r="Y11" s="117" t="s">
        <v>2439</v>
      </c>
      <c r="Z11" s="48" t="s">
        <v>343</v>
      </c>
      <c r="AA11" s="116" t="str">
        <f t="shared" si="6"/>
        <v>Sim</v>
      </c>
    </row>
    <row r="12">
      <c r="B12" s="48" t="s">
        <v>49</v>
      </c>
      <c r="C12" s="49" t="s">
        <v>321</v>
      </c>
      <c r="D12" s="49" t="s">
        <v>79</v>
      </c>
      <c r="E12" s="49" t="s">
        <v>322</v>
      </c>
      <c r="F12" s="49" t="s">
        <v>323</v>
      </c>
      <c r="G12" s="49" t="s">
        <v>324</v>
      </c>
      <c r="H12" s="49" t="s">
        <v>325</v>
      </c>
      <c r="I12" s="115">
        <v>1.0</v>
      </c>
      <c r="J12" s="115">
        <v>0.5</v>
      </c>
      <c r="K12" s="115">
        <v>1.0</v>
      </c>
      <c r="L12" s="115">
        <v>1.0</v>
      </c>
      <c r="M12" s="115">
        <v>0.5</v>
      </c>
      <c r="N12" s="104">
        <f t="shared" si="1"/>
        <v>4</v>
      </c>
      <c r="O12" s="115" t="str">
        <f t="shared" si="2"/>
        <v>Sim</v>
      </c>
      <c r="P12" s="115">
        <v>1.0</v>
      </c>
      <c r="Q12" s="115">
        <v>1.0</v>
      </c>
      <c r="R12" s="115">
        <v>1.0</v>
      </c>
      <c r="S12" s="115">
        <v>1.0</v>
      </c>
      <c r="T12" s="115">
        <v>1.0</v>
      </c>
      <c r="U12" s="104">
        <f t="shared" si="3"/>
        <v>5</v>
      </c>
      <c r="V12" s="115" t="str">
        <f t="shared" si="4"/>
        <v>Sim</v>
      </c>
      <c r="W12" s="116" t="str">
        <f t="shared" si="5"/>
        <v>Igual</v>
      </c>
      <c r="X12" s="117" t="s">
        <v>2442</v>
      </c>
      <c r="Y12" s="117" t="s">
        <v>2443</v>
      </c>
      <c r="Z12" s="48" t="s">
        <v>343</v>
      </c>
      <c r="AA12" s="116" t="str">
        <f t="shared" si="6"/>
        <v>Sim</v>
      </c>
    </row>
    <row r="13">
      <c r="B13" s="48" t="s">
        <v>49</v>
      </c>
      <c r="C13" s="49" t="s">
        <v>336</v>
      </c>
      <c r="D13" s="49" t="s">
        <v>337</v>
      </c>
      <c r="E13" s="49" t="s">
        <v>322</v>
      </c>
      <c r="F13" s="49" t="s">
        <v>338</v>
      </c>
      <c r="G13" s="49" t="s">
        <v>339</v>
      </c>
      <c r="H13" s="49" t="s">
        <v>340</v>
      </c>
      <c r="I13" s="115">
        <v>1.0</v>
      </c>
      <c r="J13" s="115">
        <v>0.5</v>
      </c>
      <c r="K13" s="115">
        <v>1.0</v>
      </c>
      <c r="L13" s="115">
        <v>1.0</v>
      </c>
      <c r="M13" s="115">
        <v>0.5</v>
      </c>
      <c r="N13" s="104">
        <f t="shared" si="1"/>
        <v>4</v>
      </c>
      <c r="O13" s="115" t="str">
        <f t="shared" si="2"/>
        <v>Sim</v>
      </c>
      <c r="P13" s="48">
        <v>1.0</v>
      </c>
      <c r="Q13" s="48">
        <v>1.0</v>
      </c>
      <c r="R13" s="48">
        <v>0.5</v>
      </c>
      <c r="S13" s="48">
        <v>0.5</v>
      </c>
      <c r="T13" s="115">
        <v>1.0</v>
      </c>
      <c r="U13" s="104">
        <f t="shared" si="3"/>
        <v>4</v>
      </c>
      <c r="V13" s="115" t="str">
        <f t="shared" si="4"/>
        <v>Sim</v>
      </c>
      <c r="W13" s="116" t="str">
        <f t="shared" si="5"/>
        <v>Igual</v>
      </c>
      <c r="X13" s="117" t="s">
        <v>2444</v>
      </c>
      <c r="Y13" s="117" t="s">
        <v>2445</v>
      </c>
      <c r="Z13" s="48" t="s">
        <v>343</v>
      </c>
      <c r="AA13" s="116" t="str">
        <f t="shared" si="6"/>
        <v>Sim</v>
      </c>
    </row>
    <row r="14" hidden="1">
      <c r="B14" s="48" t="s">
        <v>49</v>
      </c>
      <c r="C14" s="49" t="s">
        <v>351</v>
      </c>
      <c r="D14" s="49" t="s">
        <v>352</v>
      </c>
      <c r="E14" s="49" t="s">
        <v>330</v>
      </c>
      <c r="F14" s="49" t="s">
        <v>353</v>
      </c>
      <c r="G14" s="49" t="s">
        <v>354</v>
      </c>
      <c r="H14" s="49" t="s">
        <v>355</v>
      </c>
      <c r="I14" s="48">
        <v>1.0</v>
      </c>
      <c r="J14" s="48">
        <v>0.0</v>
      </c>
      <c r="K14" s="48">
        <v>0.5</v>
      </c>
      <c r="L14" s="48">
        <v>0.5</v>
      </c>
      <c r="M14" s="115">
        <v>0.0</v>
      </c>
      <c r="N14" s="104">
        <f t="shared" si="1"/>
        <v>2</v>
      </c>
      <c r="O14" s="115" t="str">
        <f t="shared" si="2"/>
        <v>Não</v>
      </c>
      <c r="P14" s="48">
        <v>0.0</v>
      </c>
      <c r="Q14" s="48">
        <v>0.5</v>
      </c>
      <c r="R14" s="48">
        <v>0.0</v>
      </c>
      <c r="S14" s="48">
        <v>0.0</v>
      </c>
      <c r="T14" s="115">
        <v>0.5</v>
      </c>
      <c r="U14" s="104">
        <f t="shared" si="3"/>
        <v>1</v>
      </c>
      <c r="V14" s="115" t="str">
        <f t="shared" si="4"/>
        <v>Não</v>
      </c>
      <c r="W14" s="116" t="str">
        <f t="shared" si="5"/>
        <v>Igual</v>
      </c>
      <c r="X14" s="117" t="s">
        <v>2446</v>
      </c>
      <c r="Y14" s="117" t="s">
        <v>2447</v>
      </c>
      <c r="Z14" s="48" t="s">
        <v>555</v>
      </c>
      <c r="AA14" s="116" t="str">
        <f t="shared" si="6"/>
        <v>Não</v>
      </c>
    </row>
    <row r="15">
      <c r="B15" s="48" t="s">
        <v>49</v>
      </c>
      <c r="C15" s="49" t="s">
        <v>358</v>
      </c>
      <c r="D15" s="49" t="s">
        <v>359</v>
      </c>
      <c r="E15" s="49" t="s">
        <v>360</v>
      </c>
      <c r="F15" s="49" t="s">
        <v>361</v>
      </c>
      <c r="G15" s="49" t="s">
        <v>362</v>
      </c>
      <c r="H15" s="49" t="s">
        <v>363</v>
      </c>
      <c r="I15" s="48">
        <v>1.0</v>
      </c>
      <c r="J15" s="48">
        <v>1.0</v>
      </c>
      <c r="K15" s="48">
        <v>1.0</v>
      </c>
      <c r="L15" s="48">
        <v>1.0</v>
      </c>
      <c r="M15" s="115">
        <v>0.5</v>
      </c>
      <c r="N15" s="104">
        <f t="shared" si="1"/>
        <v>4.5</v>
      </c>
      <c r="O15" s="115" t="str">
        <f t="shared" si="2"/>
        <v>Sim</v>
      </c>
      <c r="P15" s="48">
        <v>1.0</v>
      </c>
      <c r="Q15" s="48">
        <v>1.0</v>
      </c>
      <c r="R15" s="48">
        <v>0.5</v>
      </c>
      <c r="S15" s="48">
        <v>1.0</v>
      </c>
      <c r="T15" s="115">
        <v>0.5</v>
      </c>
      <c r="U15" s="104">
        <f t="shared" si="3"/>
        <v>4</v>
      </c>
      <c r="V15" s="115" t="str">
        <f t="shared" si="4"/>
        <v>Sim</v>
      </c>
      <c r="W15" s="116" t="str">
        <f t="shared" si="5"/>
        <v>Igual</v>
      </c>
      <c r="X15" s="117" t="s">
        <v>2448</v>
      </c>
      <c r="Y15" s="117" t="s">
        <v>2449</v>
      </c>
      <c r="Z15" s="48" t="s">
        <v>555</v>
      </c>
      <c r="AA15" s="116" t="str">
        <f t="shared" si="6"/>
        <v>Sim</v>
      </c>
    </row>
    <row r="16">
      <c r="B16" s="48" t="s">
        <v>49</v>
      </c>
      <c r="C16" s="49" t="s">
        <v>366</v>
      </c>
      <c r="D16" s="49" t="s">
        <v>367</v>
      </c>
      <c r="E16" s="49" t="s">
        <v>368</v>
      </c>
      <c r="F16" s="49" t="s">
        <v>369</v>
      </c>
      <c r="G16" s="49" t="s">
        <v>370</v>
      </c>
      <c r="H16" s="49" t="s">
        <v>371</v>
      </c>
      <c r="I16" s="48">
        <v>1.0</v>
      </c>
      <c r="J16" s="48">
        <v>0.0</v>
      </c>
      <c r="K16" s="48">
        <v>1.0</v>
      </c>
      <c r="L16" s="48">
        <v>1.0</v>
      </c>
      <c r="M16" s="115">
        <v>1.0</v>
      </c>
      <c r="N16" s="104">
        <f t="shared" si="1"/>
        <v>4</v>
      </c>
      <c r="O16" s="115" t="str">
        <f t="shared" si="2"/>
        <v>Sim</v>
      </c>
      <c r="P16" s="115">
        <v>0.5</v>
      </c>
      <c r="Q16" s="115">
        <v>1.0</v>
      </c>
      <c r="R16" s="115">
        <v>1.0</v>
      </c>
      <c r="S16" s="115">
        <v>1.0</v>
      </c>
      <c r="T16" s="115">
        <v>1.0</v>
      </c>
      <c r="U16" s="104">
        <f t="shared" si="3"/>
        <v>4.5</v>
      </c>
      <c r="V16" s="115" t="str">
        <f t="shared" si="4"/>
        <v>Sim</v>
      </c>
      <c r="W16" s="116" t="str">
        <f t="shared" si="5"/>
        <v>Igual</v>
      </c>
      <c r="X16" s="117" t="s">
        <v>2450</v>
      </c>
      <c r="Y16" s="117" t="s">
        <v>2451</v>
      </c>
      <c r="Z16" s="48" t="s">
        <v>555</v>
      </c>
      <c r="AA16" s="116" t="str">
        <f t="shared" si="6"/>
        <v>Sim</v>
      </c>
    </row>
    <row r="17">
      <c r="B17" s="48" t="s">
        <v>49</v>
      </c>
      <c r="C17" s="49" t="s">
        <v>374</v>
      </c>
      <c r="D17" s="49" t="s">
        <v>375</v>
      </c>
      <c r="E17" s="49" t="s">
        <v>376</v>
      </c>
      <c r="F17" s="49" t="s">
        <v>377</v>
      </c>
      <c r="G17" s="49" t="s">
        <v>378</v>
      </c>
      <c r="H17" s="49" t="s">
        <v>379</v>
      </c>
      <c r="I17" s="48">
        <v>1.0</v>
      </c>
      <c r="J17" s="48">
        <v>1.0</v>
      </c>
      <c r="K17" s="48">
        <v>1.0</v>
      </c>
      <c r="L17" s="48">
        <v>1.0</v>
      </c>
      <c r="M17" s="115">
        <v>0.5</v>
      </c>
      <c r="N17" s="104">
        <f t="shared" si="1"/>
        <v>4.5</v>
      </c>
      <c r="O17" s="115" t="str">
        <f t="shared" si="2"/>
        <v>Sim</v>
      </c>
      <c r="P17" s="115">
        <v>1.0</v>
      </c>
      <c r="Q17" s="115">
        <v>1.0</v>
      </c>
      <c r="R17" s="115">
        <v>1.0</v>
      </c>
      <c r="S17" s="115">
        <v>1.0</v>
      </c>
      <c r="T17" s="115">
        <v>1.0</v>
      </c>
      <c r="U17" s="104">
        <f t="shared" si="3"/>
        <v>5</v>
      </c>
      <c r="V17" s="115" t="str">
        <f t="shared" si="4"/>
        <v>Sim</v>
      </c>
      <c r="W17" s="116" t="str">
        <f t="shared" si="5"/>
        <v>Igual</v>
      </c>
      <c r="X17" s="117" t="s">
        <v>2452</v>
      </c>
      <c r="Y17" s="117" t="s">
        <v>2453</v>
      </c>
      <c r="Z17" s="48" t="s">
        <v>555</v>
      </c>
      <c r="AA17" s="116" t="str">
        <f t="shared" si="6"/>
        <v>Sim</v>
      </c>
    </row>
    <row r="18" hidden="1">
      <c r="B18" s="48" t="s">
        <v>49</v>
      </c>
      <c r="C18" s="49" t="s">
        <v>389</v>
      </c>
      <c r="D18" s="49" t="s">
        <v>390</v>
      </c>
      <c r="E18" s="49" t="s">
        <v>360</v>
      </c>
      <c r="F18" s="49" t="s">
        <v>391</v>
      </c>
      <c r="G18" s="49" t="s">
        <v>392</v>
      </c>
      <c r="H18" s="49" t="s">
        <v>393</v>
      </c>
      <c r="I18" s="48">
        <v>1.0</v>
      </c>
      <c r="J18" s="48">
        <v>0.0</v>
      </c>
      <c r="K18" s="48">
        <v>0.5</v>
      </c>
      <c r="L18" s="48">
        <v>0.5</v>
      </c>
      <c r="M18" s="115">
        <v>0.0</v>
      </c>
      <c r="N18" s="104">
        <f t="shared" si="1"/>
        <v>2</v>
      </c>
      <c r="O18" s="115" t="str">
        <f t="shared" si="2"/>
        <v>Não</v>
      </c>
      <c r="P18" s="48">
        <v>0.5</v>
      </c>
      <c r="Q18" s="48">
        <v>0.5</v>
      </c>
      <c r="R18" s="48">
        <v>0.5</v>
      </c>
      <c r="S18" s="48">
        <v>0.5</v>
      </c>
      <c r="T18" s="115">
        <v>0.0</v>
      </c>
      <c r="U18" s="104">
        <f t="shared" si="3"/>
        <v>2</v>
      </c>
      <c r="V18" s="115" t="str">
        <f t="shared" si="4"/>
        <v>Não</v>
      </c>
      <c r="W18" s="116" t="str">
        <f t="shared" si="5"/>
        <v>Igual</v>
      </c>
      <c r="X18" s="117" t="s">
        <v>2454</v>
      </c>
      <c r="Y18" s="117" t="s">
        <v>2455</v>
      </c>
      <c r="Z18" s="48" t="s">
        <v>555</v>
      </c>
      <c r="AA18" s="116" t="str">
        <f t="shared" si="6"/>
        <v>Não</v>
      </c>
    </row>
    <row r="19">
      <c r="B19" s="48" t="s">
        <v>49</v>
      </c>
      <c r="C19" s="49" t="s">
        <v>401</v>
      </c>
      <c r="D19" s="49" t="s">
        <v>402</v>
      </c>
      <c r="E19" s="49" t="s">
        <v>376</v>
      </c>
      <c r="F19" s="49" t="s">
        <v>403</v>
      </c>
      <c r="G19" s="49" t="s">
        <v>404</v>
      </c>
      <c r="H19" s="49" t="s">
        <v>405</v>
      </c>
      <c r="I19" s="48">
        <v>1.0</v>
      </c>
      <c r="J19" s="48">
        <v>1.0</v>
      </c>
      <c r="K19" s="48">
        <v>0.5</v>
      </c>
      <c r="L19" s="48">
        <v>1.0</v>
      </c>
      <c r="M19" s="115">
        <v>0.5</v>
      </c>
      <c r="N19" s="104">
        <f t="shared" si="1"/>
        <v>4</v>
      </c>
      <c r="O19" s="115" t="str">
        <f t="shared" si="2"/>
        <v>Sim</v>
      </c>
      <c r="P19" s="48">
        <v>1.0</v>
      </c>
      <c r="Q19" s="48">
        <v>1.0</v>
      </c>
      <c r="R19" s="48">
        <v>0.5</v>
      </c>
      <c r="S19" s="48">
        <v>0.5</v>
      </c>
      <c r="T19" s="115">
        <v>0.5</v>
      </c>
      <c r="U19" s="104">
        <f t="shared" si="3"/>
        <v>3.5</v>
      </c>
      <c r="V19" s="115" t="str">
        <f t="shared" si="4"/>
        <v>Sim</v>
      </c>
      <c r="W19" s="116" t="str">
        <f t="shared" si="5"/>
        <v>Igual</v>
      </c>
      <c r="X19" s="117" t="s">
        <v>2456</v>
      </c>
      <c r="Y19" s="117" t="s">
        <v>2457</v>
      </c>
      <c r="Z19" s="48" t="s">
        <v>343</v>
      </c>
      <c r="AA19" s="116" t="str">
        <f t="shared" si="6"/>
        <v>Sim</v>
      </c>
    </row>
    <row r="20">
      <c r="B20" s="48" t="s">
        <v>49</v>
      </c>
      <c r="C20" s="49" t="s">
        <v>416</v>
      </c>
      <c r="D20" s="49" t="s">
        <v>417</v>
      </c>
      <c r="E20" s="49" t="s">
        <v>376</v>
      </c>
      <c r="F20" s="49" t="s">
        <v>418</v>
      </c>
      <c r="G20" s="49" t="s">
        <v>419</v>
      </c>
      <c r="H20" s="49" t="s">
        <v>420</v>
      </c>
      <c r="I20" s="48">
        <v>1.0</v>
      </c>
      <c r="J20" s="48">
        <v>0.0</v>
      </c>
      <c r="K20" s="48">
        <v>0.5</v>
      </c>
      <c r="L20" s="48">
        <v>1.0</v>
      </c>
      <c r="M20" s="115">
        <v>1.0</v>
      </c>
      <c r="N20" s="104">
        <f t="shared" si="1"/>
        <v>3.5</v>
      </c>
      <c r="O20" s="115" t="str">
        <f t="shared" si="2"/>
        <v>Sim</v>
      </c>
      <c r="P20" s="48">
        <v>1.0</v>
      </c>
      <c r="Q20" s="48">
        <v>1.0</v>
      </c>
      <c r="R20" s="48">
        <v>0.5</v>
      </c>
      <c r="S20" s="48">
        <v>0.5</v>
      </c>
      <c r="T20" s="115">
        <v>1.0</v>
      </c>
      <c r="U20" s="104">
        <f t="shared" si="3"/>
        <v>4</v>
      </c>
      <c r="V20" s="115" t="str">
        <f t="shared" si="4"/>
        <v>Sim</v>
      </c>
      <c r="W20" s="116" t="str">
        <f t="shared" si="5"/>
        <v>Igual</v>
      </c>
      <c r="X20" s="117" t="s">
        <v>2458</v>
      </c>
      <c r="Y20" s="117" t="s">
        <v>2459</v>
      </c>
      <c r="Z20" s="48" t="s">
        <v>555</v>
      </c>
      <c r="AA20" s="116" t="str">
        <f t="shared" si="6"/>
        <v>Sim</v>
      </c>
    </row>
    <row r="21">
      <c r="B21" s="48" t="s">
        <v>49</v>
      </c>
      <c r="C21" s="49" t="s">
        <v>423</v>
      </c>
      <c r="D21" s="49" t="s">
        <v>424</v>
      </c>
      <c r="E21" s="49" t="s">
        <v>410</v>
      </c>
      <c r="F21" s="49" t="s">
        <v>425</v>
      </c>
      <c r="G21" s="49" t="s">
        <v>426</v>
      </c>
      <c r="I21" s="48">
        <v>0.5</v>
      </c>
      <c r="J21" s="48">
        <v>0.5</v>
      </c>
      <c r="K21" s="48">
        <v>0.0</v>
      </c>
      <c r="L21" s="48">
        <v>0.0</v>
      </c>
      <c r="M21" s="115">
        <v>0.0</v>
      </c>
      <c r="N21" s="104">
        <f t="shared" si="1"/>
        <v>1</v>
      </c>
      <c r="O21" s="115" t="str">
        <f t="shared" si="2"/>
        <v>Não</v>
      </c>
      <c r="P21" s="48">
        <v>1.0</v>
      </c>
      <c r="Q21" s="48">
        <v>1.0</v>
      </c>
      <c r="R21" s="48">
        <v>0.5</v>
      </c>
      <c r="S21" s="48">
        <v>1.0</v>
      </c>
      <c r="T21" s="115">
        <v>1.0</v>
      </c>
      <c r="U21" s="104">
        <f t="shared" si="3"/>
        <v>4.5</v>
      </c>
      <c r="V21" s="115" t="str">
        <f t="shared" si="4"/>
        <v>Sim</v>
      </c>
      <c r="W21" s="116" t="str">
        <f t="shared" si="5"/>
        <v>Diferente</v>
      </c>
      <c r="X21" s="117" t="s">
        <v>2460</v>
      </c>
      <c r="Y21" s="117" t="s">
        <v>2461</v>
      </c>
      <c r="Z21" s="48" t="s">
        <v>555</v>
      </c>
      <c r="AA21" s="116" t="str">
        <f t="shared" si="6"/>
        <v>Sim</v>
      </c>
    </row>
    <row r="22">
      <c r="B22" s="48" t="s">
        <v>49</v>
      </c>
      <c r="C22" s="49" t="s">
        <v>442</v>
      </c>
      <c r="D22" s="49" t="s">
        <v>443</v>
      </c>
      <c r="E22" s="49" t="s">
        <v>330</v>
      </c>
      <c r="F22" s="49" t="s">
        <v>444</v>
      </c>
      <c r="G22" s="49" t="s">
        <v>445</v>
      </c>
      <c r="H22" s="49" t="s">
        <v>446</v>
      </c>
      <c r="I22" s="48">
        <v>1.0</v>
      </c>
      <c r="J22" s="48">
        <v>0.0</v>
      </c>
      <c r="K22" s="48">
        <v>1.0</v>
      </c>
      <c r="L22" s="48">
        <v>1.0</v>
      </c>
      <c r="M22" s="115">
        <v>0.5</v>
      </c>
      <c r="N22" s="104">
        <f t="shared" si="1"/>
        <v>3.5</v>
      </c>
      <c r="O22" s="115" t="str">
        <f t="shared" si="2"/>
        <v>Sim</v>
      </c>
      <c r="P22" s="48">
        <v>0.5</v>
      </c>
      <c r="Q22" s="48">
        <v>1.0</v>
      </c>
      <c r="R22" s="48">
        <v>0.5</v>
      </c>
      <c r="S22" s="48">
        <v>1.0</v>
      </c>
      <c r="T22" s="115">
        <v>0.5</v>
      </c>
      <c r="U22" s="104">
        <f t="shared" si="3"/>
        <v>3.5</v>
      </c>
      <c r="V22" s="115" t="str">
        <f t="shared" si="4"/>
        <v>Sim</v>
      </c>
      <c r="W22" s="116" t="str">
        <f t="shared" si="5"/>
        <v>Igual</v>
      </c>
      <c r="X22" s="117" t="s">
        <v>2462</v>
      </c>
      <c r="Y22" s="117" t="s">
        <v>2463</v>
      </c>
      <c r="Z22" s="48" t="s">
        <v>343</v>
      </c>
      <c r="AA22" s="116" t="str">
        <f t="shared" si="6"/>
        <v>Sim</v>
      </c>
    </row>
    <row r="23">
      <c r="B23" s="48" t="s">
        <v>49</v>
      </c>
      <c r="C23" s="49" t="s">
        <v>449</v>
      </c>
      <c r="D23" s="49" t="s">
        <v>450</v>
      </c>
      <c r="E23" s="49" t="s">
        <v>368</v>
      </c>
      <c r="F23" s="49" t="s">
        <v>451</v>
      </c>
      <c r="G23" s="49" t="s">
        <v>452</v>
      </c>
      <c r="H23" s="49" t="s">
        <v>453</v>
      </c>
      <c r="I23" s="48">
        <v>1.0</v>
      </c>
      <c r="J23" s="48">
        <v>0.0</v>
      </c>
      <c r="K23" s="48">
        <v>1.0</v>
      </c>
      <c r="L23" s="48">
        <v>1.0</v>
      </c>
      <c r="M23" s="115">
        <v>0.5</v>
      </c>
      <c r="N23" s="104">
        <f t="shared" si="1"/>
        <v>3.5</v>
      </c>
      <c r="O23" s="115" t="str">
        <f t="shared" si="2"/>
        <v>Sim</v>
      </c>
      <c r="P23" s="48">
        <v>0.5</v>
      </c>
      <c r="Q23" s="48">
        <v>0.5</v>
      </c>
      <c r="R23" s="48">
        <v>0.5</v>
      </c>
      <c r="S23" s="48">
        <v>0.5</v>
      </c>
      <c r="T23" s="48">
        <v>0.5</v>
      </c>
      <c r="U23" s="104">
        <f t="shared" si="3"/>
        <v>2.5</v>
      </c>
      <c r="V23" s="115" t="str">
        <f t="shared" si="4"/>
        <v>Sim</v>
      </c>
      <c r="W23" s="116" t="str">
        <f t="shared" si="5"/>
        <v>Igual</v>
      </c>
      <c r="X23" s="117" t="s">
        <v>2464</v>
      </c>
      <c r="Y23" s="117" t="s">
        <v>2465</v>
      </c>
      <c r="Z23" s="48" t="s">
        <v>555</v>
      </c>
      <c r="AA23" s="116" t="str">
        <f t="shared" si="6"/>
        <v>Sim</v>
      </c>
    </row>
    <row r="24">
      <c r="B24" s="48" t="s">
        <v>49</v>
      </c>
      <c r="C24" s="49" t="s">
        <v>456</v>
      </c>
      <c r="D24" s="49" t="s">
        <v>457</v>
      </c>
      <c r="E24" s="49" t="s">
        <v>376</v>
      </c>
      <c r="F24" s="49" t="s">
        <v>458</v>
      </c>
      <c r="G24" s="49" t="s">
        <v>459</v>
      </c>
      <c r="H24" s="49" t="s">
        <v>460</v>
      </c>
      <c r="I24" s="48">
        <v>1.0</v>
      </c>
      <c r="J24" s="48">
        <v>1.0</v>
      </c>
      <c r="K24" s="48">
        <v>1.0</v>
      </c>
      <c r="L24" s="48">
        <v>1.0</v>
      </c>
      <c r="M24" s="115">
        <v>0.5</v>
      </c>
      <c r="N24" s="104">
        <f t="shared" si="1"/>
        <v>4.5</v>
      </c>
      <c r="O24" s="115" t="str">
        <f t="shared" si="2"/>
        <v>Sim</v>
      </c>
      <c r="P24" s="115">
        <v>1.0</v>
      </c>
      <c r="Q24" s="115">
        <v>1.0</v>
      </c>
      <c r="R24" s="115">
        <v>1.0</v>
      </c>
      <c r="S24" s="115">
        <v>1.0</v>
      </c>
      <c r="T24" s="115">
        <v>1.0</v>
      </c>
      <c r="U24" s="104">
        <f t="shared" si="3"/>
        <v>5</v>
      </c>
      <c r="V24" s="115" t="str">
        <f t="shared" si="4"/>
        <v>Sim</v>
      </c>
      <c r="W24" s="116" t="str">
        <f t="shared" si="5"/>
        <v>Igual</v>
      </c>
      <c r="X24" s="117" t="s">
        <v>2466</v>
      </c>
      <c r="Y24" s="117" t="s">
        <v>2467</v>
      </c>
      <c r="Z24" s="48" t="s">
        <v>555</v>
      </c>
      <c r="AA24" s="116" t="str">
        <f t="shared" si="6"/>
        <v>Sim</v>
      </c>
    </row>
    <row r="25">
      <c r="B25" s="48" t="s">
        <v>49</v>
      </c>
      <c r="C25" s="49" t="s">
        <v>463</v>
      </c>
      <c r="D25" s="49" t="s">
        <v>464</v>
      </c>
      <c r="E25" s="49" t="s">
        <v>368</v>
      </c>
      <c r="F25" s="49" t="s">
        <v>465</v>
      </c>
      <c r="G25" s="49" t="s">
        <v>466</v>
      </c>
      <c r="H25" s="49" t="s">
        <v>467</v>
      </c>
      <c r="I25" s="48">
        <v>1.0</v>
      </c>
      <c r="J25" s="48">
        <v>1.0</v>
      </c>
      <c r="K25" s="48">
        <v>0.5</v>
      </c>
      <c r="L25" s="48">
        <v>1.0</v>
      </c>
      <c r="M25" s="115">
        <v>0.5</v>
      </c>
      <c r="N25" s="104">
        <f t="shared" si="1"/>
        <v>4</v>
      </c>
      <c r="O25" s="115" t="str">
        <f t="shared" si="2"/>
        <v>Sim</v>
      </c>
      <c r="P25" s="48">
        <v>1.0</v>
      </c>
      <c r="Q25" s="48">
        <v>1.0</v>
      </c>
      <c r="R25" s="48">
        <v>0.5</v>
      </c>
      <c r="S25" s="48">
        <v>1.0</v>
      </c>
      <c r="T25" s="115">
        <v>1.0</v>
      </c>
      <c r="U25" s="104">
        <f t="shared" si="3"/>
        <v>4.5</v>
      </c>
      <c r="V25" s="115" t="str">
        <f t="shared" si="4"/>
        <v>Sim</v>
      </c>
      <c r="W25" s="116" t="str">
        <f t="shared" si="5"/>
        <v>Igual</v>
      </c>
      <c r="X25" s="117" t="s">
        <v>2468</v>
      </c>
      <c r="Y25" s="117" t="s">
        <v>2469</v>
      </c>
      <c r="Z25" s="48" t="s">
        <v>555</v>
      </c>
      <c r="AA25" s="116" t="str">
        <f t="shared" si="6"/>
        <v>Sim</v>
      </c>
    </row>
    <row r="26">
      <c r="B26" s="48" t="s">
        <v>49</v>
      </c>
      <c r="C26" s="49" t="s">
        <v>470</v>
      </c>
      <c r="D26" s="49" t="s">
        <v>471</v>
      </c>
      <c r="E26" s="49" t="s">
        <v>376</v>
      </c>
      <c r="F26" s="49" t="s">
        <v>472</v>
      </c>
      <c r="G26" s="49" t="s">
        <v>473</v>
      </c>
      <c r="H26" s="49" t="s">
        <v>474</v>
      </c>
      <c r="I26" s="48">
        <v>1.0</v>
      </c>
      <c r="J26" s="48">
        <v>0.0</v>
      </c>
      <c r="K26" s="48">
        <v>0.5</v>
      </c>
      <c r="L26" s="48">
        <v>1.0</v>
      </c>
      <c r="M26" s="115">
        <v>0.5</v>
      </c>
      <c r="N26" s="104">
        <f t="shared" si="1"/>
        <v>3</v>
      </c>
      <c r="O26" s="115" t="str">
        <f t="shared" si="2"/>
        <v>Sim</v>
      </c>
      <c r="P26" s="48">
        <v>0.5</v>
      </c>
      <c r="Q26" s="48">
        <v>1.0</v>
      </c>
      <c r="R26" s="48">
        <v>0.5</v>
      </c>
      <c r="S26" s="48">
        <v>0.5</v>
      </c>
      <c r="T26" s="115">
        <v>0.5</v>
      </c>
      <c r="U26" s="104">
        <f t="shared" si="3"/>
        <v>3</v>
      </c>
      <c r="V26" s="115" t="str">
        <f t="shared" si="4"/>
        <v>Sim</v>
      </c>
      <c r="W26" s="116" t="str">
        <f t="shared" si="5"/>
        <v>Igual</v>
      </c>
      <c r="X26" s="117" t="s">
        <v>2470</v>
      </c>
      <c r="Y26" s="117" t="s">
        <v>2471</v>
      </c>
      <c r="Z26" s="48" t="s">
        <v>343</v>
      </c>
      <c r="AA26" s="116" t="str">
        <f t="shared" si="6"/>
        <v>Sim</v>
      </c>
    </row>
    <row r="27">
      <c r="B27" s="48" t="s">
        <v>49</v>
      </c>
      <c r="C27" s="49" t="s">
        <v>477</v>
      </c>
      <c r="D27" s="49" t="s">
        <v>478</v>
      </c>
      <c r="E27" s="49" t="s">
        <v>376</v>
      </c>
      <c r="F27" s="49" t="s">
        <v>479</v>
      </c>
      <c r="G27" s="49" t="s">
        <v>480</v>
      </c>
      <c r="H27" s="49" t="s">
        <v>481</v>
      </c>
      <c r="I27" s="48">
        <v>1.0</v>
      </c>
      <c r="J27" s="48">
        <v>0.0</v>
      </c>
      <c r="K27" s="48">
        <v>0.5</v>
      </c>
      <c r="L27" s="48">
        <v>1.0</v>
      </c>
      <c r="M27" s="115">
        <v>0.0</v>
      </c>
      <c r="N27" s="104">
        <f t="shared" si="1"/>
        <v>2.5</v>
      </c>
      <c r="O27" s="115" t="str">
        <f t="shared" si="2"/>
        <v>Sim</v>
      </c>
      <c r="P27" s="115">
        <v>0.5</v>
      </c>
      <c r="Q27" s="115">
        <v>1.0</v>
      </c>
      <c r="R27" s="115">
        <v>0.5</v>
      </c>
      <c r="S27" s="115">
        <v>1.0</v>
      </c>
      <c r="T27" s="115">
        <v>0.5</v>
      </c>
      <c r="U27" s="104">
        <f t="shared" si="3"/>
        <v>3.5</v>
      </c>
      <c r="V27" s="115" t="str">
        <f t="shared" si="4"/>
        <v>Sim</v>
      </c>
      <c r="W27" s="116" t="str">
        <f t="shared" si="5"/>
        <v>Igual</v>
      </c>
      <c r="X27" s="117" t="s">
        <v>2472</v>
      </c>
      <c r="Y27" s="117" t="s">
        <v>2473</v>
      </c>
      <c r="Z27" s="48" t="s">
        <v>343</v>
      </c>
      <c r="AA27" s="116" t="str">
        <f t="shared" si="6"/>
        <v>Sim</v>
      </c>
    </row>
    <row r="28">
      <c r="B28" s="48" t="s">
        <v>49</v>
      </c>
      <c r="C28" s="49" t="s">
        <v>498</v>
      </c>
      <c r="D28" s="49" t="s">
        <v>499</v>
      </c>
      <c r="E28" s="49" t="s">
        <v>368</v>
      </c>
      <c r="F28" s="49" t="s">
        <v>500</v>
      </c>
      <c r="G28" s="49" t="s">
        <v>501</v>
      </c>
      <c r="H28" s="49" t="s">
        <v>502</v>
      </c>
      <c r="I28" s="48">
        <v>1.0</v>
      </c>
      <c r="J28" s="48">
        <v>0.5</v>
      </c>
      <c r="K28" s="48">
        <v>0.5</v>
      </c>
      <c r="L28" s="48">
        <v>1.0</v>
      </c>
      <c r="M28" s="115">
        <v>0.5</v>
      </c>
      <c r="N28" s="104">
        <f t="shared" si="1"/>
        <v>3.5</v>
      </c>
      <c r="O28" s="115" t="str">
        <f t="shared" si="2"/>
        <v>Sim</v>
      </c>
      <c r="P28" s="115">
        <v>1.0</v>
      </c>
      <c r="Q28" s="115">
        <v>1.0</v>
      </c>
      <c r="R28" s="115">
        <v>0.5</v>
      </c>
      <c r="S28" s="115">
        <v>0.5</v>
      </c>
      <c r="T28" s="115">
        <v>0.5</v>
      </c>
      <c r="U28" s="104">
        <f t="shared" si="3"/>
        <v>3.5</v>
      </c>
      <c r="V28" s="115" t="str">
        <f t="shared" si="4"/>
        <v>Sim</v>
      </c>
      <c r="W28" s="116" t="str">
        <f t="shared" si="5"/>
        <v>Igual</v>
      </c>
      <c r="X28" s="117" t="s">
        <v>2474</v>
      </c>
      <c r="Y28" s="117" t="s">
        <v>2475</v>
      </c>
      <c r="Z28" s="48" t="s">
        <v>343</v>
      </c>
      <c r="AA28" s="116" t="str">
        <f t="shared" si="6"/>
        <v>Sim</v>
      </c>
    </row>
    <row r="29">
      <c r="B29" s="48" t="s">
        <v>49</v>
      </c>
      <c r="C29" s="49" t="s">
        <v>515</v>
      </c>
      <c r="D29" s="49" t="s">
        <v>516</v>
      </c>
      <c r="E29" s="49" t="s">
        <v>368</v>
      </c>
      <c r="F29" s="49" t="s">
        <v>517</v>
      </c>
      <c r="G29" s="49" t="s">
        <v>518</v>
      </c>
      <c r="H29" s="49" t="s">
        <v>519</v>
      </c>
      <c r="I29" s="48">
        <v>1.0</v>
      </c>
      <c r="J29" s="48">
        <v>0.0</v>
      </c>
      <c r="K29" s="48">
        <v>1.0</v>
      </c>
      <c r="L29" s="48">
        <v>1.0</v>
      </c>
      <c r="M29" s="115">
        <v>0.5</v>
      </c>
      <c r="N29" s="104">
        <f t="shared" si="1"/>
        <v>3.5</v>
      </c>
      <c r="O29" s="115" t="str">
        <f t="shared" si="2"/>
        <v>Sim</v>
      </c>
      <c r="P29" s="48">
        <v>0.5</v>
      </c>
      <c r="Q29" s="48">
        <v>0.5</v>
      </c>
      <c r="R29" s="48">
        <v>1.0</v>
      </c>
      <c r="S29" s="48">
        <v>1.0</v>
      </c>
      <c r="T29" s="48">
        <v>1.0</v>
      </c>
      <c r="U29" s="104">
        <f t="shared" si="3"/>
        <v>4</v>
      </c>
      <c r="V29" s="115" t="str">
        <f t="shared" si="4"/>
        <v>Sim</v>
      </c>
      <c r="W29" s="116" t="str">
        <f t="shared" si="5"/>
        <v>Igual</v>
      </c>
      <c r="X29" s="117" t="s">
        <v>2476</v>
      </c>
      <c r="Y29" s="117" t="s">
        <v>2477</v>
      </c>
      <c r="Z29" s="48" t="s">
        <v>555</v>
      </c>
      <c r="AA29" s="116" t="str">
        <f t="shared" si="6"/>
        <v>Sim</v>
      </c>
    </row>
    <row r="30">
      <c r="B30" s="48" t="s">
        <v>49</v>
      </c>
      <c r="C30" s="49" t="s">
        <v>522</v>
      </c>
      <c r="D30" s="49" t="s">
        <v>163</v>
      </c>
      <c r="E30" s="49" t="s">
        <v>330</v>
      </c>
      <c r="F30" s="49" t="s">
        <v>523</v>
      </c>
      <c r="G30" s="49" t="s">
        <v>524</v>
      </c>
      <c r="H30" s="49" t="s">
        <v>525</v>
      </c>
      <c r="I30" s="48">
        <v>1.0</v>
      </c>
      <c r="J30" s="48">
        <v>1.0</v>
      </c>
      <c r="K30" s="48">
        <v>1.0</v>
      </c>
      <c r="L30" s="48">
        <v>1.0</v>
      </c>
      <c r="M30" s="115">
        <v>0.5</v>
      </c>
      <c r="N30" s="104">
        <f t="shared" si="1"/>
        <v>4.5</v>
      </c>
      <c r="O30" s="115" t="str">
        <f t="shared" si="2"/>
        <v>Sim</v>
      </c>
      <c r="P30" s="48">
        <v>0.5</v>
      </c>
      <c r="Q30" s="48">
        <v>1.0</v>
      </c>
      <c r="R30" s="48">
        <v>0.5</v>
      </c>
      <c r="S30" s="48">
        <v>1.0</v>
      </c>
      <c r="T30" s="115">
        <v>0.5</v>
      </c>
      <c r="U30" s="104">
        <f t="shared" si="3"/>
        <v>3.5</v>
      </c>
      <c r="V30" s="115" t="str">
        <f t="shared" si="4"/>
        <v>Sim</v>
      </c>
      <c r="W30" s="116" t="str">
        <f t="shared" si="5"/>
        <v>Igual</v>
      </c>
      <c r="X30" s="117" t="s">
        <v>2478</v>
      </c>
      <c r="Y30" s="117" t="s">
        <v>2479</v>
      </c>
      <c r="Z30" s="48" t="s">
        <v>555</v>
      </c>
      <c r="AA30" s="116" t="str">
        <f t="shared" si="6"/>
        <v>Sim</v>
      </c>
    </row>
    <row r="31" hidden="1">
      <c r="B31" s="48" t="s">
        <v>49</v>
      </c>
      <c r="C31" s="49" t="s">
        <v>528</v>
      </c>
      <c r="D31" s="49" t="s">
        <v>529</v>
      </c>
      <c r="E31" s="49" t="s">
        <v>368</v>
      </c>
      <c r="F31" s="49" t="s">
        <v>530</v>
      </c>
      <c r="G31" s="49" t="s">
        <v>531</v>
      </c>
      <c r="H31" s="49" t="s">
        <v>532</v>
      </c>
      <c r="I31" s="48">
        <v>1.0</v>
      </c>
      <c r="J31" s="48">
        <v>0.0</v>
      </c>
      <c r="K31" s="48">
        <v>0.0</v>
      </c>
      <c r="L31" s="48">
        <v>0.5</v>
      </c>
      <c r="M31" s="48">
        <v>0.5</v>
      </c>
      <c r="N31" s="104">
        <f t="shared" si="1"/>
        <v>2</v>
      </c>
      <c r="O31" s="115" t="str">
        <f t="shared" si="2"/>
        <v>Não</v>
      </c>
      <c r="P31" s="48">
        <v>0.5</v>
      </c>
      <c r="Q31" s="48">
        <v>0.5</v>
      </c>
      <c r="R31" s="48">
        <v>0.0</v>
      </c>
      <c r="S31" s="48">
        <v>0.0</v>
      </c>
      <c r="T31" s="115">
        <v>0.0</v>
      </c>
      <c r="U31" s="104">
        <f t="shared" si="3"/>
        <v>1</v>
      </c>
      <c r="V31" s="115" t="str">
        <f t="shared" si="4"/>
        <v>Não</v>
      </c>
      <c r="W31" s="116" t="str">
        <f t="shared" si="5"/>
        <v>Igual</v>
      </c>
      <c r="X31" s="117" t="s">
        <v>2480</v>
      </c>
      <c r="Y31" s="117" t="s">
        <v>2481</v>
      </c>
      <c r="Z31" s="48" t="s">
        <v>555</v>
      </c>
      <c r="AA31" s="116" t="str">
        <f t="shared" si="6"/>
        <v>Não</v>
      </c>
    </row>
    <row r="32" ht="21.0" customHeight="1">
      <c r="A32" s="48">
        <v>0.0</v>
      </c>
      <c r="B32" s="118" t="s">
        <v>548</v>
      </c>
      <c r="C32" s="112" t="s">
        <v>2482</v>
      </c>
      <c r="D32" s="112" t="s">
        <v>607</v>
      </c>
      <c r="E32" s="112">
        <v>2020.0</v>
      </c>
      <c r="F32" s="113" t="s">
        <v>2483</v>
      </c>
      <c r="G32" s="112" t="s">
        <v>609</v>
      </c>
      <c r="H32" s="114" t="s">
        <v>2484</v>
      </c>
      <c r="I32" s="48">
        <v>0.0</v>
      </c>
      <c r="J32" s="48">
        <v>1.0</v>
      </c>
      <c r="K32" s="48">
        <v>0.0</v>
      </c>
      <c r="L32" s="48">
        <v>1.0</v>
      </c>
      <c r="M32" s="115">
        <v>0.5</v>
      </c>
      <c r="N32" s="104">
        <f t="shared" si="1"/>
        <v>2.5</v>
      </c>
      <c r="O32" s="115" t="str">
        <f t="shared" si="2"/>
        <v>Sim</v>
      </c>
      <c r="P32" s="115">
        <v>0.0</v>
      </c>
      <c r="Q32" s="115">
        <v>0.0</v>
      </c>
      <c r="R32" s="115">
        <v>1.0</v>
      </c>
      <c r="S32" s="115">
        <v>1.0</v>
      </c>
      <c r="T32" s="115">
        <v>0.5</v>
      </c>
      <c r="U32" s="104">
        <f t="shared" si="3"/>
        <v>2.5</v>
      </c>
      <c r="V32" s="115" t="str">
        <f t="shared" si="4"/>
        <v>Sim</v>
      </c>
      <c r="W32" s="116" t="str">
        <f t="shared" si="5"/>
        <v>Igual</v>
      </c>
      <c r="X32" s="120"/>
      <c r="Y32" s="120"/>
      <c r="Z32" s="48" t="s">
        <v>85</v>
      </c>
      <c r="AA32" s="116" t="str">
        <f t="shared" si="6"/>
        <v>Sim</v>
      </c>
    </row>
    <row r="33">
      <c r="B33" s="112" t="s">
        <v>548</v>
      </c>
      <c r="C33" s="112" t="s">
        <v>556</v>
      </c>
      <c r="D33" s="112" t="s">
        <v>557</v>
      </c>
      <c r="E33" s="112">
        <v>2024.0</v>
      </c>
      <c r="F33" s="113" t="s">
        <v>558</v>
      </c>
      <c r="G33" s="121" t="s">
        <v>559</v>
      </c>
      <c r="H33" s="112" t="s">
        <v>560</v>
      </c>
      <c r="I33" s="48">
        <v>0.0</v>
      </c>
      <c r="J33" s="48">
        <v>1.0</v>
      </c>
      <c r="K33" s="48">
        <v>0.0</v>
      </c>
      <c r="L33" s="48">
        <v>1.0</v>
      </c>
      <c r="M33" s="115">
        <v>0.5</v>
      </c>
      <c r="N33" s="104">
        <f t="shared" si="1"/>
        <v>2.5</v>
      </c>
      <c r="O33" s="115" t="str">
        <f t="shared" si="2"/>
        <v>Sim</v>
      </c>
      <c r="P33" s="115">
        <v>0.0</v>
      </c>
      <c r="Q33" s="115">
        <v>0.0</v>
      </c>
      <c r="R33" s="115">
        <v>0.0</v>
      </c>
      <c r="S33" s="115">
        <v>0.5</v>
      </c>
      <c r="T33" s="115">
        <v>0.5</v>
      </c>
      <c r="U33" s="104">
        <f t="shared" si="3"/>
        <v>1</v>
      </c>
      <c r="V33" s="115" t="str">
        <f t="shared" si="4"/>
        <v>Não</v>
      </c>
      <c r="W33" s="116" t="str">
        <f t="shared" si="5"/>
        <v>Diferente</v>
      </c>
      <c r="X33" s="120"/>
      <c r="Y33" s="120"/>
      <c r="Z33" s="48" t="s">
        <v>343</v>
      </c>
      <c r="AA33" s="116" t="str">
        <f t="shared" si="6"/>
        <v>Sim</v>
      </c>
    </row>
    <row r="34" ht="21.75" customHeight="1">
      <c r="B34" s="112" t="s">
        <v>548</v>
      </c>
      <c r="C34" s="112" t="s">
        <v>578</v>
      </c>
      <c r="D34" s="112" t="s">
        <v>579</v>
      </c>
      <c r="E34" s="112">
        <v>2025.0</v>
      </c>
      <c r="F34" s="113" t="s">
        <v>580</v>
      </c>
      <c r="G34" s="112" t="s">
        <v>581</v>
      </c>
      <c r="H34" s="118" t="s">
        <v>582</v>
      </c>
      <c r="I34" s="48">
        <v>0.0</v>
      </c>
      <c r="J34" s="48">
        <v>0.0</v>
      </c>
      <c r="K34" s="48">
        <v>0.0</v>
      </c>
      <c r="L34" s="48">
        <v>1.0</v>
      </c>
      <c r="M34" s="115">
        <v>0.0</v>
      </c>
      <c r="N34" s="104">
        <f t="shared" si="1"/>
        <v>1</v>
      </c>
      <c r="O34" s="115" t="str">
        <f t="shared" si="2"/>
        <v>Não</v>
      </c>
      <c r="P34" s="115">
        <v>1.0</v>
      </c>
      <c r="Q34" s="115">
        <v>0.5</v>
      </c>
      <c r="R34" s="115">
        <v>1.0</v>
      </c>
      <c r="S34" s="115">
        <v>1.0</v>
      </c>
      <c r="T34" s="115">
        <v>1.0</v>
      </c>
      <c r="U34" s="104">
        <f t="shared" si="3"/>
        <v>4.5</v>
      </c>
      <c r="V34" s="115" t="str">
        <f t="shared" si="4"/>
        <v>Sim</v>
      </c>
      <c r="W34" s="116" t="str">
        <f t="shared" si="5"/>
        <v>Diferente</v>
      </c>
      <c r="X34" s="120"/>
      <c r="Y34" s="120"/>
      <c r="Z34" s="48" t="s">
        <v>343</v>
      </c>
      <c r="AA34" s="116" t="str">
        <f t="shared" si="6"/>
        <v>Sim</v>
      </c>
    </row>
    <row r="35">
      <c r="B35" s="112" t="s">
        <v>548</v>
      </c>
      <c r="C35" s="112" t="s">
        <v>585</v>
      </c>
      <c r="D35" s="112" t="s">
        <v>586</v>
      </c>
      <c r="E35" s="112">
        <v>2021.0</v>
      </c>
      <c r="F35" s="113" t="s">
        <v>587</v>
      </c>
      <c r="G35" s="112" t="s">
        <v>588</v>
      </c>
      <c r="H35" s="122" t="s">
        <v>589</v>
      </c>
      <c r="I35" s="48">
        <v>0.0</v>
      </c>
      <c r="J35" s="48">
        <v>1.0</v>
      </c>
      <c r="K35" s="48">
        <v>0.0</v>
      </c>
      <c r="L35" s="48">
        <v>1.0</v>
      </c>
      <c r="M35" s="115">
        <v>0.5</v>
      </c>
      <c r="N35" s="104">
        <f t="shared" si="1"/>
        <v>2.5</v>
      </c>
      <c r="O35" s="115" t="str">
        <f t="shared" si="2"/>
        <v>Sim</v>
      </c>
      <c r="P35" s="115">
        <v>1.0</v>
      </c>
      <c r="Q35" s="115">
        <v>0.5</v>
      </c>
      <c r="R35" s="115">
        <v>1.0</v>
      </c>
      <c r="S35" s="115">
        <v>1.0</v>
      </c>
      <c r="T35" s="115">
        <v>1.0</v>
      </c>
      <c r="U35" s="104">
        <f t="shared" si="3"/>
        <v>4.5</v>
      </c>
      <c r="V35" s="115" t="str">
        <f t="shared" si="4"/>
        <v>Sim</v>
      </c>
      <c r="W35" s="116" t="str">
        <f t="shared" si="5"/>
        <v>Igual</v>
      </c>
      <c r="X35" s="120"/>
      <c r="Y35" s="120"/>
      <c r="Z35" s="48" t="s">
        <v>85</v>
      </c>
      <c r="AA35" s="116" t="str">
        <f t="shared" si="6"/>
        <v>Sim</v>
      </c>
    </row>
    <row r="36">
      <c r="B36" s="112" t="s">
        <v>548</v>
      </c>
      <c r="C36" s="112" t="s">
        <v>592</v>
      </c>
      <c r="D36" s="112" t="s">
        <v>593</v>
      </c>
      <c r="E36" s="112">
        <v>2025.0</v>
      </c>
      <c r="F36" s="113" t="s">
        <v>594</v>
      </c>
      <c r="G36" s="112" t="s">
        <v>595</v>
      </c>
      <c r="H36" s="112" t="s">
        <v>596</v>
      </c>
      <c r="I36" s="48">
        <v>0.0</v>
      </c>
      <c r="J36" s="48">
        <v>0.0</v>
      </c>
      <c r="K36" s="48">
        <v>0.0</v>
      </c>
      <c r="L36" s="48">
        <v>0.0</v>
      </c>
      <c r="M36" s="115">
        <v>0.0</v>
      </c>
      <c r="N36" s="104">
        <f t="shared" si="1"/>
        <v>0</v>
      </c>
      <c r="O36" s="115" t="str">
        <f t="shared" si="2"/>
        <v>Não</v>
      </c>
      <c r="P36" s="115">
        <v>1.0</v>
      </c>
      <c r="Q36" s="115">
        <v>0.5</v>
      </c>
      <c r="R36" s="115">
        <v>1.0</v>
      </c>
      <c r="S36" s="115">
        <v>1.0</v>
      </c>
      <c r="T36" s="115">
        <v>1.0</v>
      </c>
      <c r="U36" s="104">
        <f t="shared" si="3"/>
        <v>4.5</v>
      </c>
      <c r="V36" s="115" t="str">
        <f t="shared" si="4"/>
        <v>Sim</v>
      </c>
      <c r="W36" s="116" t="str">
        <f t="shared" si="5"/>
        <v>Diferente</v>
      </c>
      <c r="X36" s="120"/>
      <c r="Y36" s="120"/>
      <c r="Z36" s="48" t="s">
        <v>343</v>
      </c>
      <c r="AA36" s="116" t="str">
        <f t="shared" si="6"/>
        <v>Sim</v>
      </c>
    </row>
    <row r="37">
      <c r="B37" s="112" t="s">
        <v>548</v>
      </c>
      <c r="C37" s="112" t="s">
        <v>599</v>
      </c>
      <c r="D37" s="112" t="s">
        <v>600</v>
      </c>
      <c r="E37" s="112">
        <v>2025.0</v>
      </c>
      <c r="F37" s="113" t="s">
        <v>601</v>
      </c>
      <c r="G37" s="112" t="s">
        <v>602</v>
      </c>
      <c r="H37" s="112" t="s">
        <v>603</v>
      </c>
      <c r="I37" s="48">
        <v>0.0</v>
      </c>
      <c r="J37" s="48">
        <v>1.0</v>
      </c>
      <c r="K37" s="48">
        <v>0.0</v>
      </c>
      <c r="L37" s="48">
        <v>1.0</v>
      </c>
      <c r="M37" s="115">
        <v>0.5</v>
      </c>
      <c r="N37" s="104">
        <f t="shared" si="1"/>
        <v>2.5</v>
      </c>
      <c r="O37" s="115" t="str">
        <f t="shared" si="2"/>
        <v>Sim</v>
      </c>
      <c r="P37" s="115">
        <v>1.0</v>
      </c>
      <c r="Q37" s="115">
        <v>0.5</v>
      </c>
      <c r="R37" s="115">
        <v>1.0</v>
      </c>
      <c r="S37" s="115">
        <v>1.0</v>
      </c>
      <c r="T37" s="115">
        <v>1.0</v>
      </c>
      <c r="U37" s="104">
        <f t="shared" si="3"/>
        <v>4.5</v>
      </c>
      <c r="V37" s="115" t="str">
        <f t="shared" si="4"/>
        <v>Sim</v>
      </c>
      <c r="W37" s="116" t="str">
        <f t="shared" si="5"/>
        <v>Igual</v>
      </c>
      <c r="X37" s="120"/>
      <c r="Y37" s="120"/>
      <c r="Z37" s="48" t="s">
        <v>343</v>
      </c>
      <c r="AA37" s="116" t="str">
        <f t="shared" si="6"/>
        <v>Sim</v>
      </c>
    </row>
    <row r="38" hidden="1">
      <c r="B38" s="112" t="s">
        <v>548</v>
      </c>
      <c r="C38" s="112" t="s">
        <v>613</v>
      </c>
      <c r="D38" s="112" t="s">
        <v>614</v>
      </c>
      <c r="E38" s="112">
        <v>2023.0</v>
      </c>
      <c r="F38" s="113" t="s">
        <v>615</v>
      </c>
      <c r="G38" s="112" t="s">
        <v>616</v>
      </c>
      <c r="H38" s="112" t="s">
        <v>617</v>
      </c>
      <c r="I38" s="48">
        <v>0.0</v>
      </c>
      <c r="J38" s="48">
        <v>0.0</v>
      </c>
      <c r="K38" s="48">
        <v>0.0</v>
      </c>
      <c r="L38" s="48">
        <v>1.0</v>
      </c>
      <c r="M38" s="115">
        <v>0.0</v>
      </c>
      <c r="N38" s="104">
        <f t="shared" si="1"/>
        <v>1</v>
      </c>
      <c r="O38" s="115" t="str">
        <f t="shared" si="2"/>
        <v>Não</v>
      </c>
      <c r="P38" s="115">
        <v>0.5</v>
      </c>
      <c r="Q38" s="115">
        <v>0.0</v>
      </c>
      <c r="R38" s="115">
        <v>0.0</v>
      </c>
      <c r="S38" s="115">
        <v>0.0</v>
      </c>
      <c r="T38" s="115">
        <v>0.5</v>
      </c>
      <c r="U38" s="104">
        <f t="shared" si="3"/>
        <v>1</v>
      </c>
      <c r="V38" s="115" t="str">
        <f t="shared" si="4"/>
        <v>Não</v>
      </c>
      <c r="W38" s="116" t="str">
        <f t="shared" si="5"/>
        <v>Igual</v>
      </c>
      <c r="X38" s="120"/>
      <c r="Y38" s="120"/>
      <c r="Z38" s="48" t="s">
        <v>555</v>
      </c>
      <c r="AA38" s="116" t="str">
        <f t="shared" si="6"/>
        <v>Não</v>
      </c>
    </row>
    <row r="39">
      <c r="B39" s="112" t="s">
        <v>548</v>
      </c>
      <c r="C39" s="112" t="s">
        <v>620</v>
      </c>
      <c r="D39" s="112" t="s">
        <v>557</v>
      </c>
      <c r="E39" s="112">
        <v>2024.0</v>
      </c>
      <c r="F39" s="113" t="s">
        <v>621</v>
      </c>
      <c r="G39" s="112" t="s">
        <v>559</v>
      </c>
      <c r="H39" s="112" t="s">
        <v>622</v>
      </c>
      <c r="I39" s="48">
        <v>0.0</v>
      </c>
      <c r="J39" s="48">
        <v>1.0</v>
      </c>
      <c r="K39" s="48">
        <v>0.0</v>
      </c>
      <c r="L39" s="48">
        <v>1.0</v>
      </c>
      <c r="M39" s="115">
        <v>0.5</v>
      </c>
      <c r="N39" s="104">
        <f t="shared" si="1"/>
        <v>2.5</v>
      </c>
      <c r="O39" s="115" t="str">
        <f t="shared" si="2"/>
        <v>Sim</v>
      </c>
      <c r="P39" s="115">
        <v>1.0</v>
      </c>
      <c r="Q39" s="115">
        <v>1.0</v>
      </c>
      <c r="R39" s="115">
        <v>1.0</v>
      </c>
      <c r="S39" s="115">
        <v>1.0</v>
      </c>
      <c r="T39" s="115">
        <v>1.0</v>
      </c>
      <c r="U39" s="104">
        <f t="shared" si="3"/>
        <v>5</v>
      </c>
      <c r="V39" s="115" t="str">
        <f t="shared" si="4"/>
        <v>Sim</v>
      </c>
      <c r="W39" s="116" t="str">
        <f t="shared" si="5"/>
        <v>Igual</v>
      </c>
      <c r="X39" s="120"/>
      <c r="Y39" s="120"/>
      <c r="Z39" s="48" t="s">
        <v>555</v>
      </c>
      <c r="AA39" s="116" t="str">
        <f t="shared" si="6"/>
        <v>Sim</v>
      </c>
    </row>
    <row r="40">
      <c r="B40" s="112" t="s">
        <v>548</v>
      </c>
      <c r="C40" s="112" t="s">
        <v>630</v>
      </c>
      <c r="D40" s="112" t="s">
        <v>631</v>
      </c>
      <c r="E40" s="112">
        <v>2024.0</v>
      </c>
      <c r="F40" s="113" t="s">
        <v>632</v>
      </c>
      <c r="G40" s="112" t="s">
        <v>633</v>
      </c>
      <c r="H40" s="112" t="s">
        <v>634</v>
      </c>
      <c r="I40" s="48">
        <v>0.0</v>
      </c>
      <c r="J40" s="48">
        <v>1.0</v>
      </c>
      <c r="K40" s="48">
        <v>0.0</v>
      </c>
      <c r="L40" s="48">
        <v>1.0</v>
      </c>
      <c r="M40" s="115">
        <v>0.5</v>
      </c>
      <c r="N40" s="104">
        <f t="shared" si="1"/>
        <v>2.5</v>
      </c>
      <c r="O40" s="115" t="str">
        <f t="shared" si="2"/>
        <v>Sim</v>
      </c>
      <c r="P40" s="115">
        <v>0.0</v>
      </c>
      <c r="Q40" s="115">
        <v>0.0</v>
      </c>
      <c r="R40" s="115">
        <v>0.0</v>
      </c>
      <c r="S40" s="115">
        <v>0.0</v>
      </c>
      <c r="T40" s="115">
        <v>0.5</v>
      </c>
      <c r="U40" s="104">
        <f t="shared" si="3"/>
        <v>0.5</v>
      </c>
      <c r="V40" s="115" t="str">
        <f t="shared" si="4"/>
        <v>Não</v>
      </c>
      <c r="W40" s="116" t="str">
        <f t="shared" si="5"/>
        <v>Diferente</v>
      </c>
      <c r="X40" s="120"/>
      <c r="Y40" s="120"/>
      <c r="Z40" s="48" t="s">
        <v>85</v>
      </c>
      <c r="AA40" s="116" t="str">
        <f t="shared" si="6"/>
        <v>Sim</v>
      </c>
    </row>
    <row r="41">
      <c r="B41" s="112" t="s">
        <v>548</v>
      </c>
      <c r="C41" s="112" t="s">
        <v>637</v>
      </c>
      <c r="D41" s="112" t="s">
        <v>579</v>
      </c>
      <c r="E41" s="112">
        <v>2025.0</v>
      </c>
      <c r="F41" s="113" t="s">
        <v>638</v>
      </c>
      <c r="G41" s="112" t="s">
        <v>581</v>
      </c>
      <c r="H41" s="112" t="s">
        <v>639</v>
      </c>
      <c r="I41" s="48">
        <v>0.0</v>
      </c>
      <c r="J41" s="48">
        <v>0.0</v>
      </c>
      <c r="K41" s="48">
        <v>0.0</v>
      </c>
      <c r="L41" s="48">
        <v>1.0</v>
      </c>
      <c r="M41" s="115">
        <v>0.0</v>
      </c>
      <c r="N41" s="104">
        <f t="shared" si="1"/>
        <v>1</v>
      </c>
      <c r="O41" s="115" t="str">
        <f t="shared" si="2"/>
        <v>Não</v>
      </c>
      <c r="P41" s="115">
        <v>1.0</v>
      </c>
      <c r="Q41" s="115">
        <v>0.5</v>
      </c>
      <c r="R41" s="115">
        <v>0.5</v>
      </c>
      <c r="S41" s="115">
        <v>0.5</v>
      </c>
      <c r="T41" s="115">
        <v>0.5</v>
      </c>
      <c r="U41" s="104">
        <f t="shared" si="3"/>
        <v>3</v>
      </c>
      <c r="V41" s="115" t="str">
        <f t="shared" si="4"/>
        <v>Sim</v>
      </c>
      <c r="W41" s="116" t="str">
        <f t="shared" si="5"/>
        <v>Diferente</v>
      </c>
      <c r="X41" s="120"/>
      <c r="Y41" s="120"/>
      <c r="Z41" s="48" t="s">
        <v>85</v>
      </c>
      <c r="AA41" s="116" t="str">
        <f t="shared" si="6"/>
        <v>Sim</v>
      </c>
    </row>
    <row r="42">
      <c r="B42" s="112" t="s">
        <v>548</v>
      </c>
      <c r="C42" s="112" t="s">
        <v>642</v>
      </c>
      <c r="D42" s="112" t="s">
        <v>643</v>
      </c>
      <c r="E42" s="112">
        <v>2025.0</v>
      </c>
      <c r="F42" s="113" t="s">
        <v>644</v>
      </c>
      <c r="G42" s="112" t="s">
        <v>645</v>
      </c>
      <c r="H42" s="112" t="s">
        <v>646</v>
      </c>
      <c r="I42" s="48">
        <v>1.0</v>
      </c>
      <c r="J42" s="48">
        <v>1.0</v>
      </c>
      <c r="K42" s="48">
        <v>0.0</v>
      </c>
      <c r="L42" s="48">
        <v>1.0</v>
      </c>
      <c r="M42" s="115">
        <v>1.0</v>
      </c>
      <c r="N42" s="104">
        <f t="shared" si="1"/>
        <v>4</v>
      </c>
      <c r="O42" s="115" t="str">
        <f t="shared" si="2"/>
        <v>Sim</v>
      </c>
      <c r="P42" s="115">
        <v>1.0</v>
      </c>
      <c r="Q42" s="115">
        <v>1.0</v>
      </c>
      <c r="R42" s="115">
        <v>1.0</v>
      </c>
      <c r="S42" s="115">
        <v>1.0</v>
      </c>
      <c r="T42" s="115">
        <v>1.0</v>
      </c>
      <c r="U42" s="104">
        <f t="shared" si="3"/>
        <v>5</v>
      </c>
      <c r="V42" s="115" t="str">
        <f t="shared" si="4"/>
        <v>Sim</v>
      </c>
      <c r="W42" s="116" t="str">
        <f t="shared" si="5"/>
        <v>Igual</v>
      </c>
      <c r="X42" s="120"/>
      <c r="Y42" s="120"/>
      <c r="Z42" s="48" t="s">
        <v>555</v>
      </c>
      <c r="AA42" s="116" t="str">
        <f t="shared" si="6"/>
        <v>Sim</v>
      </c>
    </row>
    <row r="43" hidden="1">
      <c r="B43" s="112" t="s">
        <v>548</v>
      </c>
      <c r="C43" s="112" t="s">
        <v>649</v>
      </c>
      <c r="D43" s="112" t="s">
        <v>650</v>
      </c>
      <c r="E43" s="112">
        <v>2024.0</v>
      </c>
      <c r="F43" s="113" t="s">
        <v>651</v>
      </c>
      <c r="G43" s="112" t="s">
        <v>652</v>
      </c>
      <c r="H43" s="112" t="s">
        <v>653</v>
      </c>
      <c r="I43" s="48">
        <v>0.0</v>
      </c>
      <c r="J43" s="48">
        <v>0.0</v>
      </c>
      <c r="K43" s="48">
        <v>0.0</v>
      </c>
      <c r="L43" s="48">
        <v>0.0</v>
      </c>
      <c r="M43" s="115">
        <v>0.0</v>
      </c>
      <c r="N43" s="104">
        <f t="shared" si="1"/>
        <v>0</v>
      </c>
      <c r="O43" s="115" t="str">
        <f t="shared" si="2"/>
        <v>Não</v>
      </c>
      <c r="P43" s="115">
        <v>0.0</v>
      </c>
      <c r="Q43" s="115">
        <v>0.0</v>
      </c>
      <c r="R43" s="115">
        <v>0.5</v>
      </c>
      <c r="S43" s="115">
        <v>0.5</v>
      </c>
      <c r="T43" s="115">
        <v>0.5</v>
      </c>
      <c r="U43" s="104">
        <f t="shared" si="3"/>
        <v>1.5</v>
      </c>
      <c r="V43" s="115" t="str">
        <f t="shared" si="4"/>
        <v>Não</v>
      </c>
      <c r="W43" s="116" t="str">
        <f t="shared" si="5"/>
        <v>Igual</v>
      </c>
      <c r="X43" s="120"/>
      <c r="Y43" s="120"/>
      <c r="Z43" s="48" t="s">
        <v>555</v>
      </c>
      <c r="AA43" s="116" t="str">
        <f t="shared" si="6"/>
        <v>Não</v>
      </c>
    </row>
    <row r="44" hidden="1">
      <c r="B44" s="112" t="s">
        <v>548</v>
      </c>
      <c r="C44" s="112" t="s">
        <v>670</v>
      </c>
      <c r="D44" s="112" t="s">
        <v>671</v>
      </c>
      <c r="E44" s="112">
        <v>2020.0</v>
      </c>
      <c r="F44" s="113" t="s">
        <v>672</v>
      </c>
      <c r="G44" s="112" t="s">
        <v>673</v>
      </c>
      <c r="H44" s="112" t="s">
        <v>674</v>
      </c>
      <c r="I44" s="48">
        <v>1.0</v>
      </c>
      <c r="J44" s="48">
        <v>0.5</v>
      </c>
      <c r="K44" s="48">
        <v>0.0</v>
      </c>
      <c r="L44" s="48">
        <v>0.0</v>
      </c>
      <c r="M44" s="115">
        <v>0.5</v>
      </c>
      <c r="N44" s="104">
        <f t="shared" si="1"/>
        <v>2</v>
      </c>
      <c r="O44" s="115" t="str">
        <f t="shared" si="2"/>
        <v>Não</v>
      </c>
      <c r="P44" s="115">
        <v>0.0</v>
      </c>
      <c r="Q44" s="115">
        <v>0.0</v>
      </c>
      <c r="R44" s="115">
        <v>0.0</v>
      </c>
      <c r="S44" s="115">
        <v>0.0</v>
      </c>
      <c r="T44" s="115">
        <v>0.5</v>
      </c>
      <c r="U44" s="104">
        <f t="shared" si="3"/>
        <v>0.5</v>
      </c>
      <c r="V44" s="115" t="str">
        <f t="shared" si="4"/>
        <v>Não</v>
      </c>
      <c r="W44" s="116" t="str">
        <f t="shared" si="5"/>
        <v>Igual</v>
      </c>
      <c r="X44" s="120"/>
      <c r="Y44" s="120"/>
      <c r="Z44" s="48" t="s">
        <v>555</v>
      </c>
      <c r="AA44" s="116" t="str">
        <f t="shared" si="6"/>
        <v>Não</v>
      </c>
    </row>
    <row r="45">
      <c r="B45" s="112" t="s">
        <v>548</v>
      </c>
      <c r="C45" s="112" t="s">
        <v>677</v>
      </c>
      <c r="D45" s="112" t="s">
        <v>678</v>
      </c>
      <c r="E45" s="112">
        <v>2024.0</v>
      </c>
      <c r="F45" s="113" t="s">
        <v>679</v>
      </c>
      <c r="G45" s="112" t="s">
        <v>680</v>
      </c>
      <c r="H45" s="112" t="s">
        <v>681</v>
      </c>
      <c r="I45" s="48">
        <v>1.0</v>
      </c>
      <c r="J45" s="48">
        <v>1.0</v>
      </c>
      <c r="K45" s="48">
        <v>0.0</v>
      </c>
      <c r="L45" s="48">
        <v>1.0</v>
      </c>
      <c r="M45" s="115">
        <v>1.0</v>
      </c>
      <c r="N45" s="104">
        <f t="shared" si="1"/>
        <v>4</v>
      </c>
      <c r="O45" s="115" t="str">
        <f t="shared" si="2"/>
        <v>Sim</v>
      </c>
      <c r="P45" s="115">
        <v>0.5</v>
      </c>
      <c r="Q45" s="115">
        <v>0.5</v>
      </c>
      <c r="R45" s="115">
        <v>0.0</v>
      </c>
      <c r="S45" s="115">
        <v>0.5</v>
      </c>
      <c r="T45" s="115">
        <v>0.5</v>
      </c>
      <c r="U45" s="104">
        <f t="shared" si="3"/>
        <v>2</v>
      </c>
      <c r="V45" s="115" t="str">
        <f t="shared" si="4"/>
        <v>Não</v>
      </c>
      <c r="W45" s="116" t="str">
        <f t="shared" si="5"/>
        <v>Diferente</v>
      </c>
      <c r="X45" s="120"/>
      <c r="Y45" s="120"/>
      <c r="Z45" s="48" t="s">
        <v>555</v>
      </c>
      <c r="AA45" s="116" t="str">
        <f t="shared" si="6"/>
        <v>Sim</v>
      </c>
    </row>
    <row r="46">
      <c r="B46" s="112" t="s">
        <v>548</v>
      </c>
      <c r="C46" s="112" t="s">
        <v>684</v>
      </c>
      <c r="D46" s="112" t="s">
        <v>685</v>
      </c>
      <c r="E46" s="112">
        <v>2021.0</v>
      </c>
      <c r="F46" s="113" t="s">
        <v>686</v>
      </c>
      <c r="G46" s="112" t="s">
        <v>687</v>
      </c>
      <c r="H46" s="112" t="s">
        <v>688</v>
      </c>
      <c r="I46" s="48">
        <v>1.0</v>
      </c>
      <c r="J46" s="48">
        <v>0.0</v>
      </c>
      <c r="K46" s="48">
        <v>0.0</v>
      </c>
      <c r="L46" s="48">
        <v>1.0</v>
      </c>
      <c r="M46" s="115">
        <v>0.5</v>
      </c>
      <c r="N46" s="104">
        <f t="shared" si="1"/>
        <v>2.5</v>
      </c>
      <c r="O46" s="115" t="str">
        <f t="shared" si="2"/>
        <v>Sim</v>
      </c>
      <c r="P46" s="115">
        <v>0.0</v>
      </c>
      <c r="Q46" s="115">
        <v>0.0</v>
      </c>
      <c r="R46" s="115">
        <v>0.0</v>
      </c>
      <c r="S46" s="115">
        <v>0.5</v>
      </c>
      <c r="T46" s="115">
        <v>0.5</v>
      </c>
      <c r="U46" s="104">
        <f t="shared" si="3"/>
        <v>1</v>
      </c>
      <c r="V46" s="115" t="str">
        <f t="shared" si="4"/>
        <v>Não</v>
      </c>
      <c r="W46" s="116" t="str">
        <f t="shared" si="5"/>
        <v>Diferente</v>
      </c>
      <c r="X46" s="120"/>
      <c r="Y46" s="120"/>
      <c r="Z46" s="48" t="s">
        <v>555</v>
      </c>
      <c r="AA46" s="116" t="str">
        <f t="shared" si="6"/>
        <v>Sim</v>
      </c>
    </row>
    <row r="47">
      <c r="B47" s="112" t="s">
        <v>548</v>
      </c>
      <c r="C47" s="112" t="s">
        <v>691</v>
      </c>
      <c r="D47" s="112" t="s">
        <v>692</v>
      </c>
      <c r="E47" s="112">
        <v>2024.0</v>
      </c>
      <c r="F47" s="113" t="s">
        <v>693</v>
      </c>
      <c r="G47" s="112" t="s">
        <v>694</v>
      </c>
      <c r="H47" s="112" t="s">
        <v>695</v>
      </c>
      <c r="I47" s="48">
        <v>0.0</v>
      </c>
      <c r="J47" s="48">
        <v>0.0</v>
      </c>
      <c r="K47" s="48">
        <v>0.0</v>
      </c>
      <c r="L47" s="48">
        <v>1.0</v>
      </c>
      <c r="M47" s="115">
        <v>0.0</v>
      </c>
      <c r="N47" s="104">
        <f t="shared" si="1"/>
        <v>1</v>
      </c>
      <c r="O47" s="115" t="str">
        <f t="shared" si="2"/>
        <v>Não</v>
      </c>
      <c r="P47" s="115">
        <v>1.0</v>
      </c>
      <c r="Q47" s="115">
        <v>0.5</v>
      </c>
      <c r="R47" s="115">
        <v>0.5</v>
      </c>
      <c r="S47" s="115">
        <v>0.5</v>
      </c>
      <c r="T47" s="115">
        <v>1.0</v>
      </c>
      <c r="U47" s="104">
        <f t="shared" si="3"/>
        <v>3.5</v>
      </c>
      <c r="V47" s="115" t="str">
        <f t="shared" si="4"/>
        <v>Sim</v>
      </c>
      <c r="W47" s="116" t="str">
        <f t="shared" si="5"/>
        <v>Diferente</v>
      </c>
      <c r="X47" s="120"/>
      <c r="Y47" s="120"/>
      <c r="Z47" s="48" t="s">
        <v>555</v>
      </c>
      <c r="AA47" s="116" t="str">
        <f t="shared" si="6"/>
        <v>Sim</v>
      </c>
    </row>
    <row r="48">
      <c r="B48" s="112" t="s">
        <v>548</v>
      </c>
      <c r="C48" s="112" t="s">
        <v>698</v>
      </c>
      <c r="D48" s="112" t="s">
        <v>699</v>
      </c>
      <c r="E48" s="112">
        <v>2023.0</v>
      </c>
      <c r="F48" s="113" t="s">
        <v>700</v>
      </c>
      <c r="G48" s="112" t="s">
        <v>701</v>
      </c>
      <c r="H48" s="112" t="s">
        <v>702</v>
      </c>
      <c r="I48" s="48">
        <v>0.0</v>
      </c>
      <c r="J48" s="48">
        <v>1.0</v>
      </c>
      <c r="K48" s="48">
        <v>0.0</v>
      </c>
      <c r="L48" s="48">
        <v>1.0</v>
      </c>
      <c r="M48" s="115">
        <v>0.5</v>
      </c>
      <c r="N48" s="104">
        <f t="shared" si="1"/>
        <v>2.5</v>
      </c>
      <c r="O48" s="115" t="str">
        <f t="shared" si="2"/>
        <v>Sim</v>
      </c>
      <c r="P48" s="115">
        <v>0.0</v>
      </c>
      <c r="Q48" s="115">
        <v>0.0</v>
      </c>
      <c r="R48" s="115">
        <v>0.0</v>
      </c>
      <c r="S48" s="115">
        <v>0.5</v>
      </c>
      <c r="T48" s="115">
        <v>0.5</v>
      </c>
      <c r="U48" s="104">
        <f t="shared" si="3"/>
        <v>1</v>
      </c>
      <c r="V48" s="115" t="str">
        <f t="shared" si="4"/>
        <v>Não</v>
      </c>
      <c r="W48" s="116" t="str">
        <f t="shared" si="5"/>
        <v>Diferente</v>
      </c>
      <c r="X48" s="120"/>
      <c r="Y48" s="120"/>
      <c r="Z48" s="48" t="s">
        <v>555</v>
      </c>
      <c r="AA48" s="116" t="str">
        <f t="shared" si="6"/>
        <v>Sim</v>
      </c>
    </row>
    <row r="49">
      <c r="B49" s="112" t="s">
        <v>548</v>
      </c>
      <c r="C49" s="112" t="s">
        <v>705</v>
      </c>
      <c r="D49" s="112" t="s">
        <v>706</v>
      </c>
      <c r="E49" s="112">
        <v>2025.0</v>
      </c>
      <c r="F49" s="113" t="s">
        <v>707</v>
      </c>
      <c r="G49" s="112" t="s">
        <v>708</v>
      </c>
      <c r="H49" s="112" t="s">
        <v>709</v>
      </c>
      <c r="I49" s="48">
        <v>1.0</v>
      </c>
      <c r="J49" s="48">
        <v>1.0</v>
      </c>
      <c r="K49" s="48">
        <v>0.0</v>
      </c>
      <c r="L49" s="48">
        <v>1.0</v>
      </c>
      <c r="M49" s="115">
        <v>1.0</v>
      </c>
      <c r="N49" s="104">
        <f t="shared" si="1"/>
        <v>4</v>
      </c>
      <c r="O49" s="115" t="str">
        <f t="shared" si="2"/>
        <v>Sim</v>
      </c>
      <c r="P49" s="115">
        <v>0.0</v>
      </c>
      <c r="Q49" s="115">
        <v>0.0</v>
      </c>
      <c r="R49" s="115">
        <v>0.0</v>
      </c>
      <c r="S49" s="115">
        <v>0.5</v>
      </c>
      <c r="T49" s="115">
        <v>0.5</v>
      </c>
      <c r="U49" s="104">
        <f t="shared" si="3"/>
        <v>1</v>
      </c>
      <c r="V49" s="115" t="str">
        <f t="shared" si="4"/>
        <v>Não</v>
      </c>
      <c r="W49" s="116" t="str">
        <f t="shared" si="5"/>
        <v>Diferente</v>
      </c>
      <c r="X49" s="120"/>
      <c r="Y49" s="120"/>
      <c r="Z49" s="48" t="s">
        <v>555</v>
      </c>
      <c r="AA49" s="116" t="str">
        <f t="shared" si="6"/>
        <v>Sim</v>
      </c>
    </row>
    <row r="50">
      <c r="B50" s="112" t="s">
        <v>548</v>
      </c>
      <c r="C50" s="112" t="s">
        <v>712</v>
      </c>
      <c r="D50" s="112" t="s">
        <v>713</v>
      </c>
      <c r="E50" s="112">
        <v>2024.0</v>
      </c>
      <c r="F50" s="113" t="s">
        <v>714</v>
      </c>
      <c r="G50" s="112" t="s">
        <v>715</v>
      </c>
      <c r="H50" s="112" t="s">
        <v>716</v>
      </c>
      <c r="I50" s="48">
        <v>0.0</v>
      </c>
      <c r="J50" s="48">
        <v>1.0</v>
      </c>
      <c r="K50" s="48">
        <v>0.0</v>
      </c>
      <c r="L50" s="48">
        <v>1.0</v>
      </c>
      <c r="M50" s="115">
        <v>0.5</v>
      </c>
      <c r="N50" s="104">
        <f t="shared" si="1"/>
        <v>2.5</v>
      </c>
      <c r="O50" s="115" t="str">
        <f t="shared" si="2"/>
        <v>Sim</v>
      </c>
      <c r="P50" s="115">
        <v>0.0</v>
      </c>
      <c r="Q50" s="115">
        <v>0.0</v>
      </c>
      <c r="R50" s="115">
        <v>0.0</v>
      </c>
      <c r="S50" s="115">
        <v>0.0</v>
      </c>
      <c r="T50" s="115">
        <v>0.0</v>
      </c>
      <c r="U50" s="104">
        <f t="shared" si="3"/>
        <v>0</v>
      </c>
      <c r="V50" s="115" t="str">
        <f t="shared" si="4"/>
        <v>Não</v>
      </c>
      <c r="W50" s="116" t="str">
        <f t="shared" si="5"/>
        <v>Diferente</v>
      </c>
      <c r="X50" s="120"/>
      <c r="Y50" s="120"/>
      <c r="Z50" s="48" t="s">
        <v>555</v>
      </c>
      <c r="AA50" s="116" t="str">
        <f t="shared" si="6"/>
        <v>Sim</v>
      </c>
    </row>
    <row r="51">
      <c r="B51" s="112" t="s">
        <v>548</v>
      </c>
      <c r="C51" s="112" t="s">
        <v>726</v>
      </c>
      <c r="D51" s="112" t="s">
        <v>727</v>
      </c>
      <c r="E51" s="112">
        <v>2024.0</v>
      </c>
      <c r="F51" s="113" t="s">
        <v>728</v>
      </c>
      <c r="G51" s="112" t="s">
        <v>729</v>
      </c>
      <c r="H51" s="112" t="s">
        <v>730</v>
      </c>
      <c r="I51" s="48">
        <v>1.0</v>
      </c>
      <c r="J51" s="48">
        <v>1.0</v>
      </c>
      <c r="K51" s="48">
        <v>0.0</v>
      </c>
      <c r="L51" s="48">
        <v>1.0</v>
      </c>
      <c r="M51" s="115">
        <v>1.0</v>
      </c>
      <c r="N51" s="104">
        <f t="shared" si="1"/>
        <v>4</v>
      </c>
      <c r="O51" s="115" t="str">
        <f t="shared" si="2"/>
        <v>Sim</v>
      </c>
      <c r="P51" s="115">
        <v>0.0</v>
      </c>
      <c r="Q51" s="115">
        <v>0.0</v>
      </c>
      <c r="R51" s="115">
        <v>0.0</v>
      </c>
      <c r="S51" s="115">
        <v>0.5</v>
      </c>
      <c r="T51" s="115">
        <v>0.5</v>
      </c>
      <c r="U51" s="104">
        <f t="shared" si="3"/>
        <v>1</v>
      </c>
      <c r="V51" s="115" t="str">
        <f t="shared" si="4"/>
        <v>Não</v>
      </c>
      <c r="W51" s="116" t="str">
        <f t="shared" si="5"/>
        <v>Diferente</v>
      </c>
      <c r="X51" s="120"/>
      <c r="Y51" s="120"/>
      <c r="Z51" s="48" t="s">
        <v>343</v>
      </c>
      <c r="AA51" s="116" t="str">
        <f t="shared" si="6"/>
        <v>Sim</v>
      </c>
    </row>
    <row r="52">
      <c r="B52" s="112" t="s">
        <v>548</v>
      </c>
      <c r="C52" s="112" t="s">
        <v>733</v>
      </c>
      <c r="D52" s="112" t="s">
        <v>734</v>
      </c>
      <c r="E52" s="112">
        <v>2023.0</v>
      </c>
      <c r="F52" s="113" t="s">
        <v>735</v>
      </c>
      <c r="G52" s="112" t="s">
        <v>736</v>
      </c>
      <c r="H52" s="112" t="s">
        <v>737</v>
      </c>
      <c r="I52" s="48">
        <v>0.0</v>
      </c>
      <c r="J52" s="48">
        <v>1.0</v>
      </c>
      <c r="K52" s="48">
        <v>0.0</v>
      </c>
      <c r="L52" s="48">
        <v>1.0</v>
      </c>
      <c r="M52" s="115">
        <v>0.5</v>
      </c>
      <c r="N52" s="104">
        <f t="shared" si="1"/>
        <v>2.5</v>
      </c>
      <c r="O52" s="115" t="str">
        <f t="shared" si="2"/>
        <v>Sim</v>
      </c>
      <c r="P52" s="115">
        <v>1.0</v>
      </c>
      <c r="Q52" s="115">
        <v>0.0</v>
      </c>
      <c r="R52" s="115">
        <v>0.0</v>
      </c>
      <c r="S52" s="115">
        <v>0.5</v>
      </c>
      <c r="T52" s="115">
        <v>0.5</v>
      </c>
      <c r="U52" s="104">
        <f t="shared" si="3"/>
        <v>2</v>
      </c>
      <c r="V52" s="115" t="str">
        <f t="shared" si="4"/>
        <v>Não</v>
      </c>
      <c r="W52" s="116" t="str">
        <f t="shared" si="5"/>
        <v>Diferente</v>
      </c>
      <c r="X52" s="120"/>
      <c r="Y52" s="120"/>
      <c r="Z52" s="48" t="s">
        <v>343</v>
      </c>
      <c r="AA52" s="116" t="str">
        <f t="shared" si="6"/>
        <v>Sim</v>
      </c>
    </row>
    <row r="53">
      <c r="B53" s="112" t="s">
        <v>548</v>
      </c>
      <c r="C53" s="112" t="s">
        <v>740</v>
      </c>
      <c r="D53" s="112" t="s">
        <v>741</v>
      </c>
      <c r="E53" s="112">
        <v>2025.0</v>
      </c>
      <c r="F53" s="113" t="s">
        <v>742</v>
      </c>
      <c r="G53" s="112" t="s">
        <v>743</v>
      </c>
      <c r="H53" s="112" t="s">
        <v>744</v>
      </c>
      <c r="I53" s="48">
        <v>1.0</v>
      </c>
      <c r="J53" s="48">
        <v>1.0</v>
      </c>
      <c r="K53" s="48">
        <v>0.0</v>
      </c>
      <c r="L53" s="48">
        <v>0.0</v>
      </c>
      <c r="M53" s="115">
        <v>0.5</v>
      </c>
      <c r="N53" s="104">
        <f t="shared" si="1"/>
        <v>2.5</v>
      </c>
      <c r="O53" s="115" t="str">
        <f t="shared" si="2"/>
        <v>Sim</v>
      </c>
      <c r="P53" s="115">
        <v>0.0</v>
      </c>
      <c r="Q53" s="115">
        <v>0.0</v>
      </c>
      <c r="R53" s="115">
        <v>0.0</v>
      </c>
      <c r="S53" s="115">
        <v>0.5</v>
      </c>
      <c r="T53" s="115">
        <v>0.5</v>
      </c>
      <c r="U53" s="104">
        <f t="shared" si="3"/>
        <v>1</v>
      </c>
      <c r="V53" s="115" t="str">
        <f t="shared" si="4"/>
        <v>Não</v>
      </c>
      <c r="W53" s="116" t="str">
        <f t="shared" si="5"/>
        <v>Diferente</v>
      </c>
      <c r="X53" s="120"/>
      <c r="Y53" s="120"/>
      <c r="Z53" s="48" t="s">
        <v>343</v>
      </c>
      <c r="AA53" s="116" t="str">
        <f t="shared" si="6"/>
        <v>Sim</v>
      </c>
    </row>
    <row r="54">
      <c r="B54" s="112" t="s">
        <v>548</v>
      </c>
      <c r="C54" s="112" t="s">
        <v>747</v>
      </c>
      <c r="D54" s="112" t="s">
        <v>748</v>
      </c>
      <c r="E54" s="112">
        <v>2021.0</v>
      </c>
      <c r="F54" s="113" t="s">
        <v>749</v>
      </c>
      <c r="G54" s="112" t="s">
        <v>750</v>
      </c>
      <c r="H54" s="112"/>
      <c r="I54" s="48">
        <v>0.0</v>
      </c>
      <c r="J54" s="48">
        <v>0.0</v>
      </c>
      <c r="K54" s="48">
        <v>0.0</v>
      </c>
      <c r="L54" s="48">
        <v>1.0</v>
      </c>
      <c r="M54" s="115">
        <v>0.0</v>
      </c>
      <c r="N54" s="104">
        <f t="shared" si="1"/>
        <v>1</v>
      </c>
      <c r="O54" s="115" t="str">
        <f t="shared" si="2"/>
        <v>Não</v>
      </c>
      <c r="P54" s="115">
        <v>1.0</v>
      </c>
      <c r="Q54" s="115">
        <v>0.5</v>
      </c>
      <c r="R54" s="115">
        <v>0.5</v>
      </c>
      <c r="S54" s="115">
        <v>0.5</v>
      </c>
      <c r="T54" s="115">
        <v>1.0</v>
      </c>
      <c r="U54" s="104">
        <f t="shared" si="3"/>
        <v>3.5</v>
      </c>
      <c r="V54" s="115" t="str">
        <f t="shared" si="4"/>
        <v>Sim</v>
      </c>
      <c r="W54" s="116" t="str">
        <f t="shared" si="5"/>
        <v>Diferente</v>
      </c>
      <c r="X54" s="120"/>
      <c r="Y54" s="120"/>
      <c r="Z54" s="48" t="s">
        <v>555</v>
      </c>
      <c r="AA54" s="116" t="str">
        <f t="shared" si="6"/>
        <v>Sim</v>
      </c>
    </row>
    <row r="55">
      <c r="B55" s="112" t="s">
        <v>548</v>
      </c>
      <c r="C55" s="112" t="s">
        <v>753</v>
      </c>
      <c r="D55" s="112" t="s">
        <v>754</v>
      </c>
      <c r="E55" s="112">
        <v>2023.0</v>
      </c>
      <c r="F55" s="113" t="s">
        <v>755</v>
      </c>
      <c r="G55" s="112" t="s">
        <v>756</v>
      </c>
      <c r="H55" s="112" t="s">
        <v>757</v>
      </c>
      <c r="I55" s="48">
        <v>0.0</v>
      </c>
      <c r="J55" s="48">
        <v>0.5</v>
      </c>
      <c r="K55" s="48">
        <v>0.0</v>
      </c>
      <c r="L55" s="48">
        <v>1.0</v>
      </c>
      <c r="M55" s="115">
        <v>0.5</v>
      </c>
      <c r="N55" s="104">
        <f t="shared" si="1"/>
        <v>2</v>
      </c>
      <c r="O55" s="115" t="str">
        <f t="shared" si="2"/>
        <v>Não</v>
      </c>
      <c r="P55" s="115">
        <v>1.0</v>
      </c>
      <c r="Q55" s="115">
        <v>0.5</v>
      </c>
      <c r="R55" s="115">
        <v>1.0</v>
      </c>
      <c r="S55" s="115">
        <v>1.0</v>
      </c>
      <c r="T55" s="115">
        <v>1.0</v>
      </c>
      <c r="U55" s="104">
        <f t="shared" si="3"/>
        <v>4.5</v>
      </c>
      <c r="V55" s="115" t="str">
        <f t="shared" si="4"/>
        <v>Sim</v>
      </c>
      <c r="W55" s="116" t="str">
        <f t="shared" si="5"/>
        <v>Diferente</v>
      </c>
      <c r="X55" s="120"/>
      <c r="Y55" s="120"/>
      <c r="Z55" s="48" t="s">
        <v>555</v>
      </c>
      <c r="AA55" s="116" t="str">
        <f t="shared" si="6"/>
        <v>Sim</v>
      </c>
    </row>
    <row r="56" hidden="1">
      <c r="B56" s="112" t="s">
        <v>548</v>
      </c>
      <c r="C56" s="112" t="s">
        <v>760</v>
      </c>
      <c r="D56" s="112" t="s">
        <v>761</v>
      </c>
      <c r="E56" s="112">
        <v>2025.0</v>
      </c>
      <c r="F56" s="113" t="s">
        <v>762</v>
      </c>
      <c r="G56" s="112" t="s">
        <v>763</v>
      </c>
      <c r="H56" s="112" t="s">
        <v>764</v>
      </c>
      <c r="I56" s="48">
        <v>0.0</v>
      </c>
      <c r="J56" s="48">
        <v>0.5</v>
      </c>
      <c r="K56" s="48">
        <v>0.0</v>
      </c>
      <c r="L56" s="48">
        <v>1.0</v>
      </c>
      <c r="M56" s="115">
        <v>0.5</v>
      </c>
      <c r="N56" s="104">
        <f t="shared" si="1"/>
        <v>2</v>
      </c>
      <c r="O56" s="115" t="str">
        <f t="shared" si="2"/>
        <v>Não</v>
      </c>
      <c r="P56" s="115">
        <v>0.5</v>
      </c>
      <c r="Q56" s="115">
        <v>0.5</v>
      </c>
      <c r="R56" s="115">
        <v>0.0</v>
      </c>
      <c r="S56" s="115">
        <v>0.0</v>
      </c>
      <c r="T56" s="115">
        <v>0.0</v>
      </c>
      <c r="U56" s="104">
        <f t="shared" si="3"/>
        <v>1</v>
      </c>
      <c r="V56" s="115" t="str">
        <f t="shared" si="4"/>
        <v>Não</v>
      </c>
      <c r="W56" s="116" t="str">
        <f t="shared" si="5"/>
        <v>Igual</v>
      </c>
      <c r="X56" s="120"/>
      <c r="Y56" s="120"/>
      <c r="Z56" s="48" t="s">
        <v>555</v>
      </c>
      <c r="AA56" s="116" t="str">
        <f t="shared" si="6"/>
        <v>Não</v>
      </c>
    </row>
    <row r="57">
      <c r="B57" s="112" t="s">
        <v>548</v>
      </c>
      <c r="C57" s="112" t="s">
        <v>774</v>
      </c>
      <c r="D57" s="112" t="s">
        <v>775</v>
      </c>
      <c r="E57" s="112">
        <v>2023.0</v>
      </c>
      <c r="F57" s="113" t="s">
        <v>776</v>
      </c>
      <c r="G57" s="112" t="s">
        <v>777</v>
      </c>
      <c r="H57" s="112" t="s">
        <v>778</v>
      </c>
      <c r="I57" s="48">
        <v>0.0</v>
      </c>
      <c r="J57" s="48">
        <v>0.0</v>
      </c>
      <c r="K57" s="48">
        <v>0.0</v>
      </c>
      <c r="L57" s="48">
        <v>1.0</v>
      </c>
      <c r="M57" s="115">
        <v>0.0</v>
      </c>
      <c r="N57" s="104">
        <f t="shared" si="1"/>
        <v>1</v>
      </c>
      <c r="O57" s="115" t="str">
        <f t="shared" si="2"/>
        <v>Não</v>
      </c>
      <c r="P57" s="115">
        <v>1.0</v>
      </c>
      <c r="Q57" s="115">
        <v>0.5</v>
      </c>
      <c r="R57" s="115">
        <v>0.5</v>
      </c>
      <c r="S57" s="115">
        <v>1.0</v>
      </c>
      <c r="T57" s="115">
        <v>0.5</v>
      </c>
      <c r="U57" s="104">
        <f t="shared" si="3"/>
        <v>3.5</v>
      </c>
      <c r="V57" s="115" t="str">
        <f t="shared" si="4"/>
        <v>Sim</v>
      </c>
      <c r="W57" s="116" t="str">
        <f t="shared" si="5"/>
        <v>Diferente</v>
      </c>
      <c r="X57" s="120"/>
      <c r="Y57" s="120"/>
      <c r="Z57" s="48" t="s">
        <v>555</v>
      </c>
      <c r="AA57" s="116" t="str">
        <f t="shared" si="6"/>
        <v>Sim</v>
      </c>
    </row>
    <row r="58" hidden="1">
      <c r="B58" s="112" t="s">
        <v>548</v>
      </c>
      <c r="C58" s="112" t="s">
        <v>781</v>
      </c>
      <c r="D58" s="112" t="s">
        <v>782</v>
      </c>
      <c r="E58" s="112">
        <v>2023.0</v>
      </c>
      <c r="F58" s="113" t="s">
        <v>783</v>
      </c>
      <c r="G58" s="112" t="s">
        <v>784</v>
      </c>
      <c r="H58" s="112" t="s">
        <v>785</v>
      </c>
      <c r="I58" s="48">
        <v>1.0</v>
      </c>
      <c r="J58" s="48">
        <v>0.0</v>
      </c>
      <c r="K58" s="48">
        <v>0.0</v>
      </c>
      <c r="L58" s="48">
        <v>0.0</v>
      </c>
      <c r="M58" s="115">
        <v>0.0</v>
      </c>
      <c r="N58" s="104">
        <f t="shared" si="1"/>
        <v>1</v>
      </c>
      <c r="O58" s="115" t="str">
        <f t="shared" si="2"/>
        <v>Não</v>
      </c>
      <c r="P58" s="115">
        <v>0.0</v>
      </c>
      <c r="Q58" s="115">
        <v>0.0</v>
      </c>
      <c r="R58" s="115">
        <v>0.0</v>
      </c>
      <c r="S58" s="115">
        <v>0.5</v>
      </c>
      <c r="T58" s="115">
        <v>0.5</v>
      </c>
      <c r="U58" s="104">
        <f t="shared" si="3"/>
        <v>1</v>
      </c>
      <c r="V58" s="115" t="str">
        <f t="shared" si="4"/>
        <v>Não</v>
      </c>
      <c r="W58" s="116" t="str">
        <f t="shared" si="5"/>
        <v>Igual</v>
      </c>
      <c r="X58" s="120"/>
      <c r="Y58" s="120"/>
      <c r="Z58" s="48" t="s">
        <v>555</v>
      </c>
      <c r="AA58" s="116" t="str">
        <f t="shared" si="6"/>
        <v>Não</v>
      </c>
    </row>
    <row r="59" hidden="1">
      <c r="B59" s="112" t="s">
        <v>548</v>
      </c>
      <c r="C59" s="112" t="s">
        <v>795</v>
      </c>
      <c r="D59" s="112" t="s">
        <v>796</v>
      </c>
      <c r="E59" s="112">
        <v>2025.0</v>
      </c>
      <c r="F59" s="113" t="s">
        <v>797</v>
      </c>
      <c r="G59" s="112" t="s">
        <v>798</v>
      </c>
      <c r="H59" s="112" t="s">
        <v>799</v>
      </c>
      <c r="I59" s="48">
        <v>0.0</v>
      </c>
      <c r="J59" s="48">
        <v>0.0</v>
      </c>
      <c r="K59" s="48">
        <v>0.0</v>
      </c>
      <c r="L59" s="48">
        <v>1.0</v>
      </c>
      <c r="M59" s="115">
        <v>0.0</v>
      </c>
      <c r="N59" s="104">
        <f t="shared" si="1"/>
        <v>1</v>
      </c>
      <c r="O59" s="115" t="str">
        <f t="shared" si="2"/>
        <v>Não</v>
      </c>
      <c r="P59" s="115">
        <v>0.0</v>
      </c>
      <c r="Q59" s="115">
        <v>0.0</v>
      </c>
      <c r="R59" s="115">
        <v>0.0</v>
      </c>
      <c r="S59" s="115">
        <v>0.0</v>
      </c>
      <c r="T59" s="115">
        <v>0.5</v>
      </c>
      <c r="U59" s="104">
        <f t="shared" si="3"/>
        <v>0.5</v>
      </c>
      <c r="V59" s="115" t="str">
        <f t="shared" si="4"/>
        <v>Não</v>
      </c>
      <c r="W59" s="116" t="str">
        <f t="shared" si="5"/>
        <v>Igual</v>
      </c>
      <c r="X59" s="120"/>
      <c r="Y59" s="120"/>
      <c r="Z59" s="48" t="s">
        <v>555</v>
      </c>
      <c r="AA59" s="116" t="str">
        <f t="shared" si="6"/>
        <v>Não</v>
      </c>
    </row>
    <row r="60" hidden="1">
      <c r="B60" s="112" t="s">
        <v>548</v>
      </c>
      <c r="C60" s="112" t="s">
        <v>809</v>
      </c>
      <c r="D60" s="112" t="s">
        <v>810</v>
      </c>
      <c r="E60" s="112">
        <v>2020.0</v>
      </c>
      <c r="F60" s="113" t="s">
        <v>811</v>
      </c>
      <c r="G60" s="112" t="s">
        <v>812</v>
      </c>
      <c r="H60" s="112" t="s">
        <v>813</v>
      </c>
      <c r="I60" s="48">
        <v>0.0</v>
      </c>
      <c r="J60" s="48">
        <v>1.0</v>
      </c>
      <c r="K60" s="48">
        <v>0.0</v>
      </c>
      <c r="L60" s="48">
        <v>0.0</v>
      </c>
      <c r="M60" s="115">
        <v>0.0</v>
      </c>
      <c r="N60" s="104">
        <f t="shared" si="1"/>
        <v>1</v>
      </c>
      <c r="O60" s="115" t="str">
        <f t="shared" si="2"/>
        <v>Não</v>
      </c>
      <c r="P60" s="115">
        <v>0.0</v>
      </c>
      <c r="Q60" s="115">
        <v>0.0</v>
      </c>
      <c r="R60" s="115">
        <v>0.0</v>
      </c>
      <c r="S60" s="115">
        <v>0.5</v>
      </c>
      <c r="T60" s="115">
        <v>0.5</v>
      </c>
      <c r="U60" s="104">
        <f t="shared" si="3"/>
        <v>1</v>
      </c>
      <c r="V60" s="115" t="str">
        <f t="shared" si="4"/>
        <v>Não</v>
      </c>
      <c r="W60" s="116" t="str">
        <f t="shared" si="5"/>
        <v>Igual</v>
      </c>
      <c r="X60" s="120"/>
      <c r="Y60" s="120"/>
      <c r="Z60" s="48" t="s">
        <v>555</v>
      </c>
      <c r="AA60" s="116" t="str">
        <f t="shared" si="6"/>
        <v>Não</v>
      </c>
    </row>
    <row r="61">
      <c r="B61" s="112" t="s">
        <v>548</v>
      </c>
      <c r="C61" s="112" t="s">
        <v>816</v>
      </c>
      <c r="D61" s="112" t="s">
        <v>817</v>
      </c>
      <c r="E61" s="112">
        <v>2023.0</v>
      </c>
      <c r="F61" s="113" t="s">
        <v>818</v>
      </c>
      <c r="G61" s="112" t="s">
        <v>819</v>
      </c>
      <c r="H61" s="112" t="s">
        <v>820</v>
      </c>
      <c r="I61" s="48">
        <v>0.5</v>
      </c>
      <c r="J61" s="48">
        <v>0.0</v>
      </c>
      <c r="K61" s="48">
        <v>0.0</v>
      </c>
      <c r="L61" s="48">
        <v>1.0</v>
      </c>
      <c r="M61" s="115">
        <v>0.5</v>
      </c>
      <c r="N61" s="104">
        <f t="shared" si="1"/>
        <v>2</v>
      </c>
      <c r="O61" s="115" t="str">
        <f t="shared" si="2"/>
        <v>Não</v>
      </c>
      <c r="P61" s="115">
        <v>1.0</v>
      </c>
      <c r="Q61" s="115">
        <v>0.5</v>
      </c>
      <c r="R61" s="115">
        <v>1.0</v>
      </c>
      <c r="S61" s="115">
        <v>1.0</v>
      </c>
      <c r="T61" s="115">
        <v>1.0</v>
      </c>
      <c r="U61" s="104">
        <f t="shared" si="3"/>
        <v>4.5</v>
      </c>
      <c r="V61" s="115" t="str">
        <f t="shared" si="4"/>
        <v>Sim</v>
      </c>
      <c r="W61" s="116" t="str">
        <f t="shared" si="5"/>
        <v>Diferente</v>
      </c>
      <c r="X61" s="120"/>
      <c r="Y61" s="120"/>
      <c r="Z61" s="48" t="s">
        <v>343</v>
      </c>
      <c r="AA61" s="116" t="str">
        <f t="shared" si="6"/>
        <v>Sim</v>
      </c>
    </row>
    <row r="62">
      <c r="B62" s="112" t="s">
        <v>548</v>
      </c>
      <c r="C62" s="112" t="s">
        <v>823</v>
      </c>
      <c r="D62" s="112" t="s">
        <v>824</v>
      </c>
      <c r="E62" s="112">
        <v>2023.0</v>
      </c>
      <c r="F62" s="113" t="s">
        <v>825</v>
      </c>
      <c r="G62" s="112" t="s">
        <v>826</v>
      </c>
      <c r="H62" s="112" t="s">
        <v>827</v>
      </c>
      <c r="I62" s="48">
        <v>0.0</v>
      </c>
      <c r="J62" s="48">
        <v>0.0</v>
      </c>
      <c r="K62" s="48">
        <v>0.0</v>
      </c>
      <c r="L62" s="48">
        <v>1.0</v>
      </c>
      <c r="M62" s="115">
        <v>0.0</v>
      </c>
      <c r="N62" s="104">
        <f t="shared" si="1"/>
        <v>1</v>
      </c>
      <c r="O62" s="115" t="str">
        <f t="shared" si="2"/>
        <v>Não</v>
      </c>
      <c r="P62" s="115">
        <v>1.0</v>
      </c>
      <c r="Q62" s="115">
        <v>0.5</v>
      </c>
      <c r="R62" s="115">
        <v>1.0</v>
      </c>
      <c r="S62" s="115">
        <v>1.0</v>
      </c>
      <c r="T62" s="115">
        <v>1.0</v>
      </c>
      <c r="U62" s="104">
        <f t="shared" si="3"/>
        <v>4.5</v>
      </c>
      <c r="V62" s="115" t="str">
        <f t="shared" si="4"/>
        <v>Sim</v>
      </c>
      <c r="W62" s="116" t="str">
        <f t="shared" si="5"/>
        <v>Diferente</v>
      </c>
      <c r="X62" s="120"/>
      <c r="Y62" s="120"/>
      <c r="Z62" s="48" t="s">
        <v>343</v>
      </c>
      <c r="AA62" s="116" t="str">
        <f t="shared" si="6"/>
        <v>Sim</v>
      </c>
    </row>
    <row r="63">
      <c r="B63" s="112" t="s">
        <v>548</v>
      </c>
      <c r="C63" s="112" t="s">
        <v>830</v>
      </c>
      <c r="D63" s="112" t="s">
        <v>831</v>
      </c>
      <c r="E63" s="112">
        <v>2024.0</v>
      </c>
      <c r="F63" s="113" t="s">
        <v>832</v>
      </c>
      <c r="G63" s="112" t="s">
        <v>833</v>
      </c>
      <c r="H63" s="112" t="s">
        <v>834</v>
      </c>
      <c r="I63" s="48">
        <v>0.0</v>
      </c>
      <c r="J63" s="48">
        <v>1.0</v>
      </c>
      <c r="K63" s="48">
        <v>0.0</v>
      </c>
      <c r="L63" s="48">
        <v>1.0</v>
      </c>
      <c r="M63" s="115">
        <v>0.5</v>
      </c>
      <c r="N63" s="104">
        <f t="shared" si="1"/>
        <v>2.5</v>
      </c>
      <c r="O63" s="115" t="str">
        <f t="shared" si="2"/>
        <v>Sim</v>
      </c>
      <c r="P63" s="115">
        <v>1.0</v>
      </c>
      <c r="Q63" s="115">
        <v>0.5</v>
      </c>
      <c r="R63" s="115">
        <v>1.0</v>
      </c>
      <c r="S63" s="115">
        <v>1.0</v>
      </c>
      <c r="T63" s="115">
        <v>1.0</v>
      </c>
      <c r="U63" s="104">
        <f t="shared" si="3"/>
        <v>4.5</v>
      </c>
      <c r="V63" s="115" t="str">
        <f t="shared" si="4"/>
        <v>Sim</v>
      </c>
      <c r="W63" s="116" t="str">
        <f t="shared" si="5"/>
        <v>Igual</v>
      </c>
      <c r="X63" s="120"/>
      <c r="Y63" s="120"/>
      <c r="Z63" s="48" t="s">
        <v>343</v>
      </c>
      <c r="AA63" s="116" t="str">
        <f t="shared" si="6"/>
        <v>Sim</v>
      </c>
    </row>
    <row r="64">
      <c r="B64" s="112" t="s">
        <v>548</v>
      </c>
      <c r="C64" s="112" t="s">
        <v>837</v>
      </c>
      <c r="D64" s="112" t="s">
        <v>838</v>
      </c>
      <c r="E64" s="112">
        <v>2024.0</v>
      </c>
      <c r="F64" s="113" t="s">
        <v>839</v>
      </c>
      <c r="G64" s="112" t="s">
        <v>840</v>
      </c>
      <c r="H64" s="112" t="s">
        <v>841</v>
      </c>
      <c r="I64" s="48">
        <v>0.0</v>
      </c>
      <c r="J64" s="48">
        <v>0.0</v>
      </c>
      <c r="K64" s="48">
        <v>0.5</v>
      </c>
      <c r="L64" s="48">
        <v>0.0</v>
      </c>
      <c r="M64" s="115">
        <v>0.0</v>
      </c>
      <c r="N64" s="104">
        <f t="shared" si="1"/>
        <v>0.5</v>
      </c>
      <c r="O64" s="115" t="str">
        <f t="shared" si="2"/>
        <v>Não</v>
      </c>
      <c r="P64" s="115">
        <v>1.0</v>
      </c>
      <c r="Q64" s="115">
        <v>0.5</v>
      </c>
      <c r="R64" s="115">
        <v>1.0</v>
      </c>
      <c r="S64" s="115">
        <v>1.0</v>
      </c>
      <c r="T64" s="115">
        <v>1.0</v>
      </c>
      <c r="U64" s="104">
        <f t="shared" si="3"/>
        <v>4.5</v>
      </c>
      <c r="V64" s="115" t="str">
        <f t="shared" si="4"/>
        <v>Sim</v>
      </c>
      <c r="W64" s="116" t="str">
        <f t="shared" si="5"/>
        <v>Diferente</v>
      </c>
      <c r="X64" s="120"/>
      <c r="Y64" s="120"/>
      <c r="Z64" s="48" t="s">
        <v>343</v>
      </c>
      <c r="AA64" s="116" t="str">
        <f t="shared" si="6"/>
        <v>Sim</v>
      </c>
    </row>
    <row r="65">
      <c r="B65" s="112" t="s">
        <v>548</v>
      </c>
      <c r="C65" s="112" t="s">
        <v>844</v>
      </c>
      <c r="D65" s="112" t="s">
        <v>845</v>
      </c>
      <c r="E65" s="112">
        <v>2024.0</v>
      </c>
      <c r="F65" s="113" t="s">
        <v>846</v>
      </c>
      <c r="G65" s="112" t="s">
        <v>847</v>
      </c>
      <c r="H65" s="112"/>
      <c r="I65" s="48">
        <v>0.0</v>
      </c>
      <c r="J65" s="48">
        <v>1.0</v>
      </c>
      <c r="K65" s="48">
        <v>0.0</v>
      </c>
      <c r="L65" s="48">
        <v>1.0</v>
      </c>
      <c r="M65" s="115">
        <v>0.5</v>
      </c>
      <c r="N65" s="104">
        <f t="shared" si="1"/>
        <v>2.5</v>
      </c>
      <c r="O65" s="115" t="str">
        <f t="shared" si="2"/>
        <v>Sim</v>
      </c>
      <c r="P65" s="115">
        <v>0.5</v>
      </c>
      <c r="Q65" s="115">
        <v>0.0</v>
      </c>
      <c r="R65" s="115">
        <v>0.0</v>
      </c>
      <c r="S65" s="115">
        <v>0.0</v>
      </c>
      <c r="T65" s="115">
        <v>0.5</v>
      </c>
      <c r="U65" s="104">
        <f t="shared" si="3"/>
        <v>1</v>
      </c>
      <c r="V65" s="115" t="str">
        <f t="shared" si="4"/>
        <v>Não</v>
      </c>
      <c r="W65" s="116" t="str">
        <f t="shared" si="5"/>
        <v>Diferente</v>
      </c>
      <c r="X65" s="120"/>
      <c r="Y65" s="120"/>
      <c r="Z65" s="48" t="s">
        <v>343</v>
      </c>
      <c r="AA65" s="116" t="str">
        <f t="shared" si="6"/>
        <v>Sim</v>
      </c>
    </row>
    <row r="66">
      <c r="B66" s="112" t="s">
        <v>548</v>
      </c>
      <c r="C66" s="112" t="s">
        <v>857</v>
      </c>
      <c r="D66" s="112" t="s">
        <v>858</v>
      </c>
      <c r="E66" s="112">
        <v>2023.0</v>
      </c>
      <c r="F66" s="113" t="s">
        <v>859</v>
      </c>
      <c r="G66" s="112" t="s">
        <v>860</v>
      </c>
      <c r="H66" s="112" t="s">
        <v>861</v>
      </c>
      <c r="I66" s="48">
        <v>1.0</v>
      </c>
      <c r="J66" s="48">
        <v>1.0</v>
      </c>
      <c r="K66" s="48">
        <v>0.0</v>
      </c>
      <c r="L66" s="48">
        <v>1.0</v>
      </c>
      <c r="M66" s="115">
        <v>1.0</v>
      </c>
      <c r="N66" s="104">
        <f t="shared" si="1"/>
        <v>4</v>
      </c>
      <c r="O66" s="115" t="str">
        <f t="shared" si="2"/>
        <v>Sim</v>
      </c>
      <c r="P66" s="115">
        <v>1.0</v>
      </c>
      <c r="Q66" s="115">
        <v>1.0</v>
      </c>
      <c r="R66" s="115">
        <v>1.0</v>
      </c>
      <c r="S66" s="115">
        <v>1.0</v>
      </c>
      <c r="T66" s="115">
        <v>1.0</v>
      </c>
      <c r="U66" s="104">
        <f t="shared" si="3"/>
        <v>5</v>
      </c>
      <c r="V66" s="115" t="str">
        <f t="shared" si="4"/>
        <v>Sim</v>
      </c>
      <c r="W66" s="116" t="str">
        <f t="shared" si="5"/>
        <v>Igual</v>
      </c>
      <c r="X66" s="120"/>
      <c r="Y66" s="120"/>
      <c r="Z66" s="48" t="s">
        <v>343</v>
      </c>
      <c r="AA66" s="116" t="str">
        <f t="shared" si="6"/>
        <v>Sim</v>
      </c>
    </row>
    <row r="67">
      <c r="B67" s="112" t="s">
        <v>548</v>
      </c>
      <c r="C67" s="112" t="s">
        <v>871</v>
      </c>
      <c r="D67" s="112" t="s">
        <v>872</v>
      </c>
      <c r="E67" s="112">
        <v>2024.0</v>
      </c>
      <c r="F67" s="113" t="s">
        <v>873</v>
      </c>
      <c r="G67" s="112" t="s">
        <v>874</v>
      </c>
      <c r="H67" s="112" t="s">
        <v>875</v>
      </c>
      <c r="I67" s="48">
        <v>1.0</v>
      </c>
      <c r="J67" s="48">
        <v>1.0</v>
      </c>
      <c r="K67" s="48">
        <v>0.0</v>
      </c>
      <c r="L67" s="48">
        <v>0.0</v>
      </c>
      <c r="M67" s="115">
        <v>0.5</v>
      </c>
      <c r="N67" s="104">
        <f t="shared" si="1"/>
        <v>2.5</v>
      </c>
      <c r="O67" s="115" t="str">
        <f t="shared" si="2"/>
        <v>Sim</v>
      </c>
      <c r="P67" s="115">
        <v>0.0</v>
      </c>
      <c r="Q67" s="115">
        <v>0.0</v>
      </c>
      <c r="R67" s="115">
        <v>0.0</v>
      </c>
      <c r="S67" s="115">
        <v>0.0</v>
      </c>
      <c r="T67" s="115">
        <v>0.5</v>
      </c>
      <c r="U67" s="104">
        <f t="shared" si="3"/>
        <v>0.5</v>
      </c>
      <c r="V67" s="115" t="str">
        <f t="shared" si="4"/>
        <v>Não</v>
      </c>
      <c r="W67" s="116" t="str">
        <f t="shared" si="5"/>
        <v>Diferente</v>
      </c>
      <c r="X67" s="120"/>
      <c r="Y67" s="120"/>
      <c r="Z67" s="48" t="s">
        <v>343</v>
      </c>
      <c r="AA67" s="116" t="str">
        <f t="shared" si="6"/>
        <v>Sim</v>
      </c>
    </row>
    <row r="68">
      <c r="B68" s="112" t="s">
        <v>548</v>
      </c>
      <c r="C68" s="112" t="s">
        <v>878</v>
      </c>
      <c r="D68" s="112" t="s">
        <v>879</v>
      </c>
      <c r="E68" s="112">
        <v>2022.0</v>
      </c>
      <c r="F68" s="113" t="s">
        <v>880</v>
      </c>
      <c r="G68" s="112" t="s">
        <v>881</v>
      </c>
      <c r="H68" s="112" t="s">
        <v>882</v>
      </c>
      <c r="I68" s="48">
        <v>1.0</v>
      </c>
      <c r="J68" s="48">
        <v>0.5</v>
      </c>
      <c r="K68" s="48">
        <v>0.0</v>
      </c>
      <c r="L68" s="48">
        <v>1.0</v>
      </c>
      <c r="M68" s="115">
        <v>0.5</v>
      </c>
      <c r="N68" s="104">
        <f t="shared" si="1"/>
        <v>3</v>
      </c>
      <c r="O68" s="115" t="str">
        <f t="shared" si="2"/>
        <v>Sim</v>
      </c>
      <c r="P68" s="115">
        <v>1.0</v>
      </c>
      <c r="Q68" s="115">
        <v>0.5</v>
      </c>
      <c r="R68" s="115">
        <v>0.5</v>
      </c>
      <c r="S68" s="115">
        <v>0.5</v>
      </c>
      <c r="T68" s="115">
        <v>0.5</v>
      </c>
      <c r="U68" s="104">
        <f t="shared" si="3"/>
        <v>3</v>
      </c>
      <c r="V68" s="115" t="str">
        <f t="shared" si="4"/>
        <v>Sim</v>
      </c>
      <c r="W68" s="116" t="str">
        <f t="shared" si="5"/>
        <v>Igual</v>
      </c>
      <c r="X68" s="120"/>
      <c r="Y68" s="120"/>
      <c r="Z68" s="48" t="s">
        <v>343</v>
      </c>
      <c r="AA68" s="116" t="str">
        <f t="shared" si="6"/>
        <v>Sim</v>
      </c>
    </row>
    <row r="69">
      <c r="B69" s="112" t="s">
        <v>548</v>
      </c>
      <c r="C69" s="112" t="s">
        <v>885</v>
      </c>
      <c r="D69" s="112" t="s">
        <v>886</v>
      </c>
      <c r="E69" s="112">
        <v>2023.0</v>
      </c>
      <c r="F69" s="113" t="s">
        <v>887</v>
      </c>
      <c r="G69" s="112" t="s">
        <v>888</v>
      </c>
      <c r="H69" s="112"/>
      <c r="I69" s="48">
        <v>0.0</v>
      </c>
      <c r="J69" s="48">
        <v>0.0</v>
      </c>
      <c r="K69" s="48">
        <v>0.0</v>
      </c>
      <c r="L69" s="48">
        <v>1.0</v>
      </c>
      <c r="M69" s="115">
        <v>0.0</v>
      </c>
      <c r="N69" s="104">
        <f t="shared" si="1"/>
        <v>1</v>
      </c>
      <c r="O69" s="115" t="str">
        <f t="shared" si="2"/>
        <v>Não</v>
      </c>
      <c r="P69" s="115">
        <v>1.0</v>
      </c>
      <c r="Q69" s="115">
        <v>1.0</v>
      </c>
      <c r="R69" s="115">
        <v>1.0</v>
      </c>
      <c r="S69" s="115">
        <v>1.0</v>
      </c>
      <c r="T69" s="115">
        <v>1.0</v>
      </c>
      <c r="U69" s="104">
        <f t="shared" si="3"/>
        <v>5</v>
      </c>
      <c r="V69" s="115" t="str">
        <f t="shared" si="4"/>
        <v>Sim</v>
      </c>
      <c r="W69" s="116" t="str">
        <f t="shared" si="5"/>
        <v>Diferente</v>
      </c>
      <c r="X69" s="120"/>
      <c r="Y69" s="120"/>
      <c r="Z69" s="48" t="s">
        <v>343</v>
      </c>
      <c r="AA69" s="116" t="str">
        <f t="shared" si="6"/>
        <v>Sim</v>
      </c>
    </row>
    <row r="70">
      <c r="B70" s="112" t="s">
        <v>548</v>
      </c>
      <c r="C70" s="112" t="s">
        <v>891</v>
      </c>
      <c r="D70" s="112" t="s">
        <v>892</v>
      </c>
      <c r="E70" s="112">
        <v>2021.0</v>
      </c>
      <c r="F70" s="113" t="s">
        <v>893</v>
      </c>
      <c r="G70" s="112" t="s">
        <v>894</v>
      </c>
      <c r="H70" s="112" t="s">
        <v>895</v>
      </c>
      <c r="I70" s="48">
        <v>0.0</v>
      </c>
      <c r="J70" s="48">
        <v>1.0</v>
      </c>
      <c r="K70" s="48">
        <v>0.0</v>
      </c>
      <c r="L70" s="48">
        <v>1.0</v>
      </c>
      <c r="M70" s="115">
        <v>0.5</v>
      </c>
      <c r="N70" s="104">
        <f t="shared" si="1"/>
        <v>2.5</v>
      </c>
      <c r="O70" s="115" t="str">
        <f t="shared" si="2"/>
        <v>Sim</v>
      </c>
      <c r="P70" s="115">
        <v>0.0</v>
      </c>
      <c r="Q70" s="115">
        <v>0.0</v>
      </c>
      <c r="R70" s="115">
        <v>0.5</v>
      </c>
      <c r="S70" s="115">
        <v>0.5</v>
      </c>
      <c r="T70" s="115">
        <v>0.5</v>
      </c>
      <c r="U70" s="104">
        <f t="shared" si="3"/>
        <v>1.5</v>
      </c>
      <c r="V70" s="115" t="str">
        <f t="shared" si="4"/>
        <v>Não</v>
      </c>
      <c r="W70" s="116" t="str">
        <f t="shared" si="5"/>
        <v>Diferente</v>
      </c>
      <c r="X70" s="120"/>
      <c r="Y70" s="120"/>
      <c r="Z70" s="48" t="s">
        <v>343</v>
      </c>
      <c r="AA70" s="116" t="str">
        <f t="shared" si="6"/>
        <v>Sim</v>
      </c>
    </row>
    <row r="71" hidden="1">
      <c r="B71" s="112" t="s">
        <v>548</v>
      </c>
      <c r="C71" s="112" t="s">
        <v>898</v>
      </c>
      <c r="D71" s="112" t="s">
        <v>899</v>
      </c>
      <c r="E71" s="112">
        <v>2025.0</v>
      </c>
      <c r="F71" s="113" t="s">
        <v>900</v>
      </c>
      <c r="G71" s="112" t="s">
        <v>901</v>
      </c>
      <c r="H71" s="112" t="s">
        <v>902</v>
      </c>
      <c r="I71" s="48">
        <v>0.5</v>
      </c>
      <c r="J71" s="48">
        <v>0.0</v>
      </c>
      <c r="K71" s="48">
        <v>0.0</v>
      </c>
      <c r="L71" s="48">
        <v>0.0</v>
      </c>
      <c r="M71" s="115">
        <v>0.0</v>
      </c>
      <c r="N71" s="104">
        <f t="shared" si="1"/>
        <v>0.5</v>
      </c>
      <c r="O71" s="115" t="str">
        <f t="shared" si="2"/>
        <v>Não</v>
      </c>
      <c r="P71" s="115">
        <v>0.0</v>
      </c>
      <c r="Q71" s="115">
        <v>0.0</v>
      </c>
      <c r="R71" s="115">
        <v>0.0</v>
      </c>
      <c r="S71" s="115">
        <v>0.0</v>
      </c>
      <c r="T71" s="115">
        <v>0.5</v>
      </c>
      <c r="U71" s="104">
        <f t="shared" si="3"/>
        <v>0.5</v>
      </c>
      <c r="V71" s="115" t="str">
        <f t="shared" si="4"/>
        <v>Não</v>
      </c>
      <c r="W71" s="116" t="str">
        <f t="shared" si="5"/>
        <v>Igual</v>
      </c>
      <c r="X71" s="120"/>
      <c r="Y71" s="120"/>
      <c r="Z71" s="48" t="s">
        <v>343</v>
      </c>
      <c r="AA71" s="116" t="str">
        <f t="shared" si="6"/>
        <v>Não</v>
      </c>
    </row>
    <row r="72" hidden="1">
      <c r="B72" s="112" t="s">
        <v>548</v>
      </c>
      <c r="C72" s="112" t="s">
        <v>912</v>
      </c>
      <c r="D72" s="112" t="s">
        <v>913</v>
      </c>
      <c r="E72" s="112">
        <v>2024.0</v>
      </c>
      <c r="F72" s="113" t="s">
        <v>914</v>
      </c>
      <c r="G72" s="112" t="s">
        <v>915</v>
      </c>
      <c r="H72" s="112" t="s">
        <v>916</v>
      </c>
      <c r="I72" s="48">
        <v>0.0</v>
      </c>
      <c r="J72" s="48">
        <v>0.0</v>
      </c>
      <c r="K72" s="48">
        <v>0.0</v>
      </c>
      <c r="L72" s="48">
        <v>1.0</v>
      </c>
      <c r="M72" s="115">
        <v>0.0</v>
      </c>
      <c r="N72" s="104">
        <f t="shared" si="1"/>
        <v>1</v>
      </c>
      <c r="O72" s="115" t="str">
        <f t="shared" si="2"/>
        <v>Não</v>
      </c>
      <c r="P72" s="115">
        <v>0.5</v>
      </c>
      <c r="Q72" s="115">
        <v>0.5</v>
      </c>
      <c r="R72" s="115">
        <v>0.0</v>
      </c>
      <c r="S72" s="115">
        <v>0.5</v>
      </c>
      <c r="T72" s="115">
        <v>0.5</v>
      </c>
      <c r="U72" s="104">
        <f t="shared" si="3"/>
        <v>2</v>
      </c>
      <c r="V72" s="115" t="str">
        <f t="shared" si="4"/>
        <v>Não</v>
      </c>
      <c r="W72" s="116" t="str">
        <f t="shared" si="5"/>
        <v>Igual</v>
      </c>
      <c r="X72" s="120"/>
      <c r="Y72" s="120"/>
      <c r="Z72" s="48" t="s">
        <v>555</v>
      </c>
      <c r="AA72" s="116" t="str">
        <f t="shared" si="6"/>
        <v>Não</v>
      </c>
    </row>
    <row r="73">
      <c r="B73" s="112" t="s">
        <v>548</v>
      </c>
      <c r="C73" s="112" t="s">
        <v>919</v>
      </c>
      <c r="D73" s="112" t="s">
        <v>920</v>
      </c>
      <c r="E73" s="112">
        <v>2022.0</v>
      </c>
      <c r="F73" s="113" t="s">
        <v>921</v>
      </c>
      <c r="G73" s="112" t="s">
        <v>922</v>
      </c>
      <c r="H73" s="112" t="s">
        <v>923</v>
      </c>
      <c r="I73" s="48">
        <v>0.0</v>
      </c>
      <c r="J73" s="48">
        <v>1.0</v>
      </c>
      <c r="K73" s="48">
        <v>0.0</v>
      </c>
      <c r="L73" s="48">
        <v>1.0</v>
      </c>
      <c r="M73" s="115">
        <v>0.5</v>
      </c>
      <c r="N73" s="104">
        <f t="shared" si="1"/>
        <v>2.5</v>
      </c>
      <c r="O73" s="115" t="str">
        <f t="shared" si="2"/>
        <v>Sim</v>
      </c>
      <c r="P73" s="115">
        <v>0.0</v>
      </c>
      <c r="Q73" s="115">
        <v>0.0</v>
      </c>
      <c r="R73" s="115">
        <v>0.0</v>
      </c>
      <c r="S73" s="115">
        <v>0.5</v>
      </c>
      <c r="T73" s="115">
        <v>0.5</v>
      </c>
      <c r="U73" s="104">
        <f t="shared" si="3"/>
        <v>1</v>
      </c>
      <c r="V73" s="115" t="str">
        <f t="shared" si="4"/>
        <v>Não</v>
      </c>
      <c r="W73" s="116" t="str">
        <f t="shared" si="5"/>
        <v>Diferente</v>
      </c>
      <c r="X73" s="120"/>
      <c r="Y73" s="120"/>
      <c r="Z73" s="48" t="s">
        <v>555</v>
      </c>
      <c r="AA73" s="116" t="str">
        <f t="shared" si="6"/>
        <v>Sim</v>
      </c>
    </row>
    <row r="74">
      <c r="B74" s="112" t="s">
        <v>548</v>
      </c>
      <c r="C74" s="112" t="s">
        <v>926</v>
      </c>
      <c r="D74" s="112" t="s">
        <v>927</v>
      </c>
      <c r="E74" s="112">
        <v>2024.0</v>
      </c>
      <c r="F74" s="113" t="s">
        <v>928</v>
      </c>
      <c r="G74" s="112" t="s">
        <v>929</v>
      </c>
      <c r="H74" s="112" t="s">
        <v>930</v>
      </c>
      <c r="I74" s="48">
        <v>0.0</v>
      </c>
      <c r="J74" s="48">
        <v>1.0</v>
      </c>
      <c r="K74" s="48">
        <v>0.0</v>
      </c>
      <c r="L74" s="48">
        <v>1.0</v>
      </c>
      <c r="M74" s="115">
        <v>0.5</v>
      </c>
      <c r="N74" s="104">
        <f t="shared" si="1"/>
        <v>2.5</v>
      </c>
      <c r="O74" s="115" t="str">
        <f t="shared" si="2"/>
        <v>Sim</v>
      </c>
      <c r="P74" s="115">
        <v>1.0</v>
      </c>
      <c r="Q74" s="115">
        <v>0.5</v>
      </c>
      <c r="R74" s="115">
        <v>0.5</v>
      </c>
      <c r="S74" s="115">
        <v>0.5</v>
      </c>
      <c r="T74" s="115">
        <v>1.0</v>
      </c>
      <c r="U74" s="104">
        <f t="shared" si="3"/>
        <v>3.5</v>
      </c>
      <c r="V74" s="115" t="str">
        <f t="shared" si="4"/>
        <v>Sim</v>
      </c>
      <c r="W74" s="116" t="str">
        <f t="shared" si="5"/>
        <v>Igual</v>
      </c>
      <c r="X74" s="120"/>
      <c r="Y74" s="120"/>
      <c r="Z74" s="48" t="s">
        <v>555</v>
      </c>
      <c r="AA74" s="116" t="str">
        <f t="shared" si="6"/>
        <v>Sim</v>
      </c>
    </row>
    <row r="75">
      <c r="B75" s="112" t="s">
        <v>548</v>
      </c>
      <c r="C75" s="112" t="s">
        <v>933</v>
      </c>
      <c r="D75" s="112" t="s">
        <v>934</v>
      </c>
      <c r="E75" s="112">
        <v>2024.0</v>
      </c>
      <c r="F75" s="113" t="s">
        <v>935</v>
      </c>
      <c r="G75" s="112" t="s">
        <v>936</v>
      </c>
      <c r="H75" s="112" t="s">
        <v>937</v>
      </c>
      <c r="I75" s="48">
        <v>0.0</v>
      </c>
      <c r="J75" s="48">
        <v>1.0</v>
      </c>
      <c r="K75" s="48">
        <v>0.0</v>
      </c>
      <c r="L75" s="48">
        <v>1.0</v>
      </c>
      <c r="M75" s="115">
        <v>0.5</v>
      </c>
      <c r="N75" s="104">
        <f t="shared" si="1"/>
        <v>2.5</v>
      </c>
      <c r="O75" s="115" t="str">
        <f t="shared" si="2"/>
        <v>Sim</v>
      </c>
      <c r="P75" s="115">
        <v>0.0</v>
      </c>
      <c r="Q75" s="115">
        <v>0.0</v>
      </c>
      <c r="R75" s="115">
        <v>0.0</v>
      </c>
      <c r="S75" s="115">
        <v>0.5</v>
      </c>
      <c r="T75" s="115">
        <v>0.5</v>
      </c>
      <c r="U75" s="104">
        <f t="shared" si="3"/>
        <v>1</v>
      </c>
      <c r="V75" s="115" t="str">
        <f t="shared" si="4"/>
        <v>Não</v>
      </c>
      <c r="W75" s="116" t="str">
        <f t="shared" si="5"/>
        <v>Diferente</v>
      </c>
      <c r="X75" s="120"/>
      <c r="Y75" s="120"/>
      <c r="Z75" s="48" t="s">
        <v>555</v>
      </c>
      <c r="AA75" s="116" t="str">
        <f t="shared" si="6"/>
        <v>Sim</v>
      </c>
    </row>
    <row r="76">
      <c r="B76" s="112" t="s">
        <v>548</v>
      </c>
      <c r="C76" s="112" t="s">
        <v>940</v>
      </c>
      <c r="D76" s="112" t="s">
        <v>941</v>
      </c>
      <c r="E76" s="112">
        <v>2024.0</v>
      </c>
      <c r="F76" s="113" t="s">
        <v>942</v>
      </c>
      <c r="G76" s="112" t="s">
        <v>943</v>
      </c>
      <c r="H76" s="112" t="s">
        <v>944</v>
      </c>
      <c r="I76" s="48">
        <v>1.0</v>
      </c>
      <c r="J76" s="48">
        <v>1.0</v>
      </c>
      <c r="K76" s="48">
        <v>0.0</v>
      </c>
      <c r="L76" s="48">
        <v>1.0</v>
      </c>
      <c r="M76" s="115">
        <v>1.0</v>
      </c>
      <c r="N76" s="104">
        <f t="shared" si="1"/>
        <v>4</v>
      </c>
      <c r="O76" s="115" t="str">
        <f t="shared" si="2"/>
        <v>Sim</v>
      </c>
      <c r="P76" s="115">
        <v>0.0</v>
      </c>
      <c r="Q76" s="115">
        <v>0.0</v>
      </c>
      <c r="R76" s="115">
        <v>0.0</v>
      </c>
      <c r="S76" s="115">
        <v>0.5</v>
      </c>
      <c r="T76" s="115">
        <v>0.5</v>
      </c>
      <c r="U76" s="104">
        <f t="shared" si="3"/>
        <v>1</v>
      </c>
      <c r="V76" s="115" t="str">
        <f t="shared" si="4"/>
        <v>Não</v>
      </c>
      <c r="W76" s="116" t="str">
        <f t="shared" si="5"/>
        <v>Diferente</v>
      </c>
      <c r="X76" s="120"/>
      <c r="Y76" s="120"/>
      <c r="Z76" s="48" t="s">
        <v>85</v>
      </c>
      <c r="AA76" s="116" t="str">
        <f t="shared" si="6"/>
        <v>Sim</v>
      </c>
    </row>
    <row r="77">
      <c r="B77" s="112" t="s">
        <v>548</v>
      </c>
      <c r="C77" s="112" t="s">
        <v>954</v>
      </c>
      <c r="D77" s="112" t="s">
        <v>955</v>
      </c>
      <c r="E77" s="112">
        <v>2022.0</v>
      </c>
      <c r="F77" s="113" t="s">
        <v>956</v>
      </c>
      <c r="G77" s="112" t="s">
        <v>957</v>
      </c>
      <c r="H77" s="112" t="s">
        <v>958</v>
      </c>
      <c r="I77" s="48">
        <v>1.0</v>
      </c>
      <c r="J77" s="48">
        <v>0.5</v>
      </c>
      <c r="K77" s="48">
        <v>0.0</v>
      </c>
      <c r="L77" s="48">
        <v>1.0</v>
      </c>
      <c r="M77" s="115">
        <v>0.5</v>
      </c>
      <c r="N77" s="104">
        <f t="shared" si="1"/>
        <v>3</v>
      </c>
      <c r="O77" s="115" t="str">
        <f t="shared" si="2"/>
        <v>Sim</v>
      </c>
      <c r="P77" s="115">
        <v>0.0</v>
      </c>
      <c r="Q77" s="115">
        <v>0.0</v>
      </c>
      <c r="R77" s="115">
        <v>0.0</v>
      </c>
      <c r="S77" s="115">
        <v>0.0</v>
      </c>
      <c r="T77" s="115">
        <v>0.0</v>
      </c>
      <c r="U77" s="104">
        <f t="shared" si="3"/>
        <v>0</v>
      </c>
      <c r="V77" s="115" t="str">
        <f t="shared" si="4"/>
        <v>Não</v>
      </c>
      <c r="W77" s="116" t="str">
        <f t="shared" si="5"/>
        <v>Diferente</v>
      </c>
      <c r="X77" s="120"/>
      <c r="Y77" s="120"/>
      <c r="Z77" s="48" t="s">
        <v>85</v>
      </c>
      <c r="AA77" s="116" t="str">
        <f t="shared" si="6"/>
        <v>Sim</v>
      </c>
    </row>
    <row r="78">
      <c r="B78" s="112" t="s">
        <v>548</v>
      </c>
      <c r="C78" s="112" t="s">
        <v>961</v>
      </c>
      <c r="D78" s="112" t="s">
        <v>962</v>
      </c>
      <c r="E78" s="112">
        <v>2025.0</v>
      </c>
      <c r="F78" s="113" t="s">
        <v>963</v>
      </c>
      <c r="G78" s="112" t="s">
        <v>964</v>
      </c>
      <c r="H78" s="112" t="s">
        <v>965</v>
      </c>
      <c r="I78" s="48">
        <v>0.0</v>
      </c>
      <c r="J78" s="48">
        <v>1.0</v>
      </c>
      <c r="K78" s="48">
        <v>0.0</v>
      </c>
      <c r="L78" s="48">
        <v>1.0</v>
      </c>
      <c r="M78" s="115">
        <v>0.5</v>
      </c>
      <c r="N78" s="104">
        <f t="shared" si="1"/>
        <v>2.5</v>
      </c>
      <c r="O78" s="115" t="str">
        <f t="shared" si="2"/>
        <v>Sim</v>
      </c>
      <c r="P78" s="115">
        <v>0.0</v>
      </c>
      <c r="Q78" s="115">
        <v>0.0</v>
      </c>
      <c r="R78" s="115">
        <v>0.0</v>
      </c>
      <c r="S78" s="115">
        <v>0.5</v>
      </c>
      <c r="T78" s="115">
        <v>0.5</v>
      </c>
      <c r="U78" s="104">
        <f t="shared" si="3"/>
        <v>1</v>
      </c>
      <c r="V78" s="115" t="str">
        <f t="shared" si="4"/>
        <v>Não</v>
      </c>
      <c r="W78" s="116" t="str">
        <f t="shared" si="5"/>
        <v>Diferente</v>
      </c>
      <c r="X78" s="120"/>
      <c r="Y78" s="120"/>
      <c r="Z78" s="48" t="s">
        <v>85</v>
      </c>
      <c r="AA78" s="116" t="str">
        <f t="shared" si="6"/>
        <v>Sim</v>
      </c>
    </row>
    <row r="79">
      <c r="B79" s="112" t="s">
        <v>548</v>
      </c>
      <c r="C79" s="112" t="s">
        <v>968</v>
      </c>
      <c r="D79" s="112" t="s">
        <v>969</v>
      </c>
      <c r="E79" s="112">
        <v>2025.0</v>
      </c>
      <c r="F79" s="113" t="s">
        <v>970</v>
      </c>
      <c r="G79" s="112" t="s">
        <v>971</v>
      </c>
      <c r="H79" s="112" t="s">
        <v>972</v>
      </c>
      <c r="I79" s="48">
        <v>1.0</v>
      </c>
      <c r="J79" s="48">
        <v>0.5</v>
      </c>
      <c r="K79" s="48">
        <v>0.0</v>
      </c>
      <c r="L79" s="48">
        <v>1.0</v>
      </c>
      <c r="M79" s="115">
        <v>0.5</v>
      </c>
      <c r="N79" s="104">
        <f t="shared" si="1"/>
        <v>3</v>
      </c>
      <c r="O79" s="115" t="str">
        <f t="shared" si="2"/>
        <v>Sim</v>
      </c>
      <c r="P79" s="115">
        <v>1.0</v>
      </c>
      <c r="Q79" s="115">
        <v>0.0</v>
      </c>
      <c r="R79" s="115">
        <v>0.0</v>
      </c>
      <c r="S79" s="115">
        <v>0.5</v>
      </c>
      <c r="T79" s="115">
        <v>0.5</v>
      </c>
      <c r="U79" s="104">
        <f t="shared" si="3"/>
        <v>2</v>
      </c>
      <c r="V79" s="115" t="str">
        <f t="shared" si="4"/>
        <v>Não</v>
      </c>
      <c r="W79" s="116" t="str">
        <f t="shared" si="5"/>
        <v>Diferente</v>
      </c>
      <c r="X79" s="120"/>
      <c r="Y79" s="120"/>
      <c r="Z79" s="48" t="s">
        <v>555</v>
      </c>
      <c r="AA79" s="116" t="str">
        <f t="shared" si="6"/>
        <v>Sim</v>
      </c>
    </row>
    <row r="80">
      <c r="B80" s="112" t="s">
        <v>548</v>
      </c>
      <c r="C80" s="112" t="s">
        <v>975</v>
      </c>
      <c r="D80" s="112" t="s">
        <v>976</v>
      </c>
      <c r="E80" s="112">
        <v>2024.0</v>
      </c>
      <c r="F80" s="113" t="s">
        <v>977</v>
      </c>
      <c r="G80" s="112" t="s">
        <v>978</v>
      </c>
      <c r="H80" s="112" t="s">
        <v>979</v>
      </c>
      <c r="I80" s="48">
        <v>0.0</v>
      </c>
      <c r="J80" s="48">
        <v>1.0</v>
      </c>
      <c r="K80" s="48">
        <v>0.5</v>
      </c>
      <c r="L80" s="48">
        <v>1.0</v>
      </c>
      <c r="M80" s="115">
        <v>0.5</v>
      </c>
      <c r="N80" s="104">
        <f t="shared" si="1"/>
        <v>3</v>
      </c>
      <c r="O80" s="115" t="str">
        <f t="shared" si="2"/>
        <v>Sim</v>
      </c>
      <c r="P80" s="115">
        <v>0.0</v>
      </c>
      <c r="Q80" s="115">
        <v>0.0</v>
      </c>
      <c r="R80" s="115">
        <v>0.0</v>
      </c>
      <c r="S80" s="115">
        <v>0.5</v>
      </c>
      <c r="T80" s="115">
        <v>0.5</v>
      </c>
      <c r="U80" s="104">
        <f t="shared" si="3"/>
        <v>1</v>
      </c>
      <c r="V80" s="115" t="str">
        <f t="shared" si="4"/>
        <v>Não</v>
      </c>
      <c r="W80" s="116" t="str">
        <f t="shared" si="5"/>
        <v>Diferente</v>
      </c>
      <c r="X80" s="120"/>
      <c r="Y80" s="120"/>
      <c r="Z80" s="48" t="s">
        <v>555</v>
      </c>
      <c r="AA80" s="116" t="str">
        <f t="shared" si="6"/>
        <v>Sim</v>
      </c>
    </row>
    <row r="81">
      <c r="B81" s="112" t="s">
        <v>548</v>
      </c>
      <c r="C81" s="112" t="s">
        <v>982</v>
      </c>
      <c r="D81" s="112" t="s">
        <v>983</v>
      </c>
      <c r="E81" s="112">
        <v>2025.0</v>
      </c>
      <c r="F81" s="113" t="s">
        <v>984</v>
      </c>
      <c r="G81" s="112" t="s">
        <v>985</v>
      </c>
      <c r="H81" s="112" t="s">
        <v>986</v>
      </c>
      <c r="I81" s="48">
        <v>1.0</v>
      </c>
      <c r="J81" s="48">
        <v>1.0</v>
      </c>
      <c r="K81" s="48">
        <v>0.0</v>
      </c>
      <c r="L81" s="48">
        <v>0.0</v>
      </c>
      <c r="M81" s="115">
        <v>0.5</v>
      </c>
      <c r="N81" s="104">
        <f t="shared" si="1"/>
        <v>2.5</v>
      </c>
      <c r="O81" s="115" t="str">
        <f t="shared" si="2"/>
        <v>Sim</v>
      </c>
      <c r="P81" s="115">
        <v>1.0</v>
      </c>
      <c r="Q81" s="115">
        <v>0.5</v>
      </c>
      <c r="R81" s="115">
        <v>0.5</v>
      </c>
      <c r="S81" s="115">
        <v>0.5</v>
      </c>
      <c r="T81" s="115">
        <v>1.0</v>
      </c>
      <c r="U81" s="104">
        <f t="shared" si="3"/>
        <v>3.5</v>
      </c>
      <c r="V81" s="115" t="str">
        <f t="shared" si="4"/>
        <v>Sim</v>
      </c>
      <c r="W81" s="116" t="str">
        <f t="shared" si="5"/>
        <v>Igual</v>
      </c>
      <c r="X81" s="120"/>
      <c r="Y81" s="120"/>
      <c r="Z81" s="48" t="s">
        <v>555</v>
      </c>
      <c r="AA81" s="116" t="str">
        <f t="shared" si="6"/>
        <v>Sim</v>
      </c>
    </row>
    <row r="82">
      <c r="B82" s="112" t="s">
        <v>548</v>
      </c>
      <c r="C82" s="112" t="s">
        <v>988</v>
      </c>
      <c r="D82" s="112" t="s">
        <v>989</v>
      </c>
      <c r="E82" s="112">
        <v>2024.0</v>
      </c>
      <c r="F82" s="113" t="s">
        <v>990</v>
      </c>
      <c r="G82" s="112" t="s">
        <v>991</v>
      </c>
      <c r="H82" s="112" t="s">
        <v>992</v>
      </c>
      <c r="I82" s="48">
        <v>0.5</v>
      </c>
      <c r="J82" s="48">
        <v>1.0</v>
      </c>
      <c r="K82" s="48">
        <v>0.0</v>
      </c>
      <c r="L82" s="48">
        <v>1.0</v>
      </c>
      <c r="M82" s="115">
        <v>0.5</v>
      </c>
      <c r="N82" s="104">
        <f t="shared" si="1"/>
        <v>3</v>
      </c>
      <c r="O82" s="115" t="str">
        <f t="shared" si="2"/>
        <v>Sim</v>
      </c>
      <c r="P82" s="115">
        <v>1.0</v>
      </c>
      <c r="Q82" s="115">
        <v>0.5</v>
      </c>
      <c r="R82" s="115">
        <v>1.0</v>
      </c>
      <c r="S82" s="115">
        <v>1.0</v>
      </c>
      <c r="T82" s="115">
        <v>1.0</v>
      </c>
      <c r="U82" s="104">
        <f t="shared" si="3"/>
        <v>4.5</v>
      </c>
      <c r="V82" s="115" t="str">
        <f t="shared" si="4"/>
        <v>Sim</v>
      </c>
      <c r="W82" s="116" t="str">
        <f t="shared" si="5"/>
        <v>Igual</v>
      </c>
      <c r="X82" s="120"/>
      <c r="Y82" s="120"/>
      <c r="Z82" s="48" t="s">
        <v>555</v>
      </c>
      <c r="AA82" s="116" t="str">
        <f t="shared" si="6"/>
        <v>Sim</v>
      </c>
    </row>
    <row r="83">
      <c r="B83" s="112" t="s">
        <v>548</v>
      </c>
      <c r="C83" s="112" t="s">
        <v>994</v>
      </c>
      <c r="D83" s="112" t="s">
        <v>995</v>
      </c>
      <c r="E83" s="112">
        <v>2025.0</v>
      </c>
      <c r="F83" s="113" t="s">
        <v>996</v>
      </c>
      <c r="G83" s="112" t="s">
        <v>997</v>
      </c>
      <c r="H83" s="112" t="s">
        <v>998</v>
      </c>
      <c r="I83" s="48">
        <v>0.0</v>
      </c>
      <c r="J83" s="48">
        <v>1.0</v>
      </c>
      <c r="K83" s="48">
        <v>0.0</v>
      </c>
      <c r="L83" s="48">
        <v>1.0</v>
      </c>
      <c r="M83" s="115">
        <v>0.5</v>
      </c>
      <c r="N83" s="104">
        <f t="shared" si="1"/>
        <v>2.5</v>
      </c>
      <c r="O83" s="115" t="str">
        <f t="shared" si="2"/>
        <v>Sim</v>
      </c>
      <c r="P83" s="115">
        <v>0.5</v>
      </c>
      <c r="Q83" s="115">
        <v>0.5</v>
      </c>
      <c r="R83" s="115">
        <v>0.0</v>
      </c>
      <c r="S83" s="115">
        <v>0.0</v>
      </c>
      <c r="T83" s="115">
        <v>0.0</v>
      </c>
      <c r="U83" s="104">
        <f t="shared" si="3"/>
        <v>1</v>
      </c>
      <c r="V83" s="115" t="str">
        <f t="shared" si="4"/>
        <v>Não</v>
      </c>
      <c r="W83" s="116" t="str">
        <f t="shared" si="5"/>
        <v>Diferente</v>
      </c>
      <c r="X83" s="120"/>
      <c r="Y83" s="120"/>
      <c r="Z83" s="48" t="s">
        <v>343</v>
      </c>
      <c r="AA83" s="116" t="str">
        <f t="shared" si="6"/>
        <v>Sim</v>
      </c>
    </row>
    <row r="84">
      <c r="B84" s="112" t="s">
        <v>548</v>
      </c>
      <c r="C84" s="112" t="s">
        <v>1000</v>
      </c>
      <c r="D84" s="112" t="s">
        <v>1001</v>
      </c>
      <c r="E84" s="112">
        <v>2025.0</v>
      </c>
      <c r="F84" s="113" t="s">
        <v>1002</v>
      </c>
      <c r="G84" s="112" t="s">
        <v>1003</v>
      </c>
      <c r="H84" s="112" t="s">
        <v>1004</v>
      </c>
      <c r="I84" s="48">
        <v>0.0</v>
      </c>
      <c r="J84" s="48">
        <v>1.0</v>
      </c>
      <c r="K84" s="48">
        <v>0.0</v>
      </c>
      <c r="L84" s="48">
        <v>1.0</v>
      </c>
      <c r="M84" s="115">
        <v>0.5</v>
      </c>
      <c r="N84" s="104">
        <f t="shared" si="1"/>
        <v>2.5</v>
      </c>
      <c r="O84" s="115" t="str">
        <f t="shared" si="2"/>
        <v>Sim</v>
      </c>
      <c r="P84" s="115">
        <v>1.0</v>
      </c>
      <c r="Q84" s="115">
        <v>0.5</v>
      </c>
      <c r="R84" s="115">
        <v>0.5</v>
      </c>
      <c r="S84" s="115">
        <v>1.0</v>
      </c>
      <c r="T84" s="115">
        <v>0.5</v>
      </c>
      <c r="U84" s="104">
        <f t="shared" si="3"/>
        <v>3.5</v>
      </c>
      <c r="V84" s="115" t="str">
        <f t="shared" si="4"/>
        <v>Sim</v>
      </c>
      <c r="W84" s="116" t="str">
        <f t="shared" si="5"/>
        <v>Igual</v>
      </c>
      <c r="X84" s="120"/>
      <c r="Y84" s="120"/>
      <c r="Z84" s="48" t="s">
        <v>343</v>
      </c>
      <c r="AA84" s="116" t="str">
        <f t="shared" si="6"/>
        <v>Sim</v>
      </c>
    </row>
    <row r="85">
      <c r="B85" s="112" t="s">
        <v>548</v>
      </c>
      <c r="C85" s="112" t="s">
        <v>1006</v>
      </c>
      <c r="D85" s="112" t="s">
        <v>1007</v>
      </c>
      <c r="E85" s="112">
        <v>2024.0</v>
      </c>
      <c r="F85" s="113" t="s">
        <v>1008</v>
      </c>
      <c r="G85" s="112" t="s">
        <v>1009</v>
      </c>
      <c r="H85" s="112" t="s">
        <v>1010</v>
      </c>
      <c r="I85" s="48">
        <v>1.0</v>
      </c>
      <c r="J85" s="48">
        <v>0.0</v>
      </c>
      <c r="K85" s="48">
        <v>0.0</v>
      </c>
      <c r="L85" s="48">
        <v>1.0</v>
      </c>
      <c r="M85" s="115">
        <v>0.5</v>
      </c>
      <c r="N85" s="104">
        <f t="shared" si="1"/>
        <v>2.5</v>
      </c>
      <c r="O85" s="115" t="str">
        <f t="shared" si="2"/>
        <v>Sim</v>
      </c>
      <c r="P85" s="115">
        <v>0.0</v>
      </c>
      <c r="Q85" s="115">
        <v>0.0</v>
      </c>
      <c r="R85" s="115">
        <v>0.0</v>
      </c>
      <c r="S85" s="115">
        <v>0.5</v>
      </c>
      <c r="T85" s="115">
        <v>0.5</v>
      </c>
      <c r="U85" s="104">
        <f t="shared" si="3"/>
        <v>1</v>
      </c>
      <c r="V85" s="115" t="str">
        <f t="shared" si="4"/>
        <v>Não</v>
      </c>
      <c r="W85" s="116" t="str">
        <f t="shared" si="5"/>
        <v>Diferente</v>
      </c>
      <c r="X85" s="120"/>
      <c r="Y85" s="120"/>
      <c r="Z85" s="48" t="s">
        <v>343</v>
      </c>
      <c r="AA85" s="116" t="str">
        <f t="shared" si="6"/>
        <v>Sim</v>
      </c>
    </row>
    <row r="86">
      <c r="B86" s="112" t="s">
        <v>548</v>
      </c>
      <c r="C86" s="112" t="s">
        <v>1012</v>
      </c>
      <c r="D86" s="112" t="s">
        <v>1013</v>
      </c>
      <c r="E86" s="112">
        <v>2025.0</v>
      </c>
      <c r="F86" s="113" t="s">
        <v>1014</v>
      </c>
      <c r="G86" s="112" t="s">
        <v>1015</v>
      </c>
      <c r="H86" s="112" t="s">
        <v>1016</v>
      </c>
      <c r="I86" s="48">
        <v>1.0</v>
      </c>
      <c r="J86" s="48">
        <v>0.0</v>
      </c>
      <c r="K86" s="48">
        <v>0.0</v>
      </c>
      <c r="L86" s="48">
        <v>1.0</v>
      </c>
      <c r="M86" s="115">
        <v>0.5</v>
      </c>
      <c r="N86" s="104">
        <f t="shared" si="1"/>
        <v>2.5</v>
      </c>
      <c r="O86" s="115" t="str">
        <f t="shared" si="2"/>
        <v>Sim</v>
      </c>
      <c r="P86" s="115">
        <v>0.0</v>
      </c>
      <c r="Q86" s="115">
        <v>0.0</v>
      </c>
      <c r="R86" s="115">
        <v>0.0</v>
      </c>
      <c r="S86" s="115">
        <v>0.0</v>
      </c>
      <c r="T86" s="115">
        <v>0.5</v>
      </c>
      <c r="U86" s="104">
        <f t="shared" si="3"/>
        <v>0.5</v>
      </c>
      <c r="V86" s="115" t="str">
        <f t="shared" si="4"/>
        <v>Não</v>
      </c>
      <c r="W86" s="116" t="str">
        <f t="shared" si="5"/>
        <v>Diferente</v>
      </c>
      <c r="X86" s="120"/>
      <c r="Y86" s="120"/>
      <c r="Z86" s="48" t="s">
        <v>343</v>
      </c>
      <c r="AA86" s="116" t="str">
        <f t="shared" si="6"/>
        <v>Sim</v>
      </c>
    </row>
    <row r="87">
      <c r="B87" s="112" t="s">
        <v>548</v>
      </c>
      <c r="C87" s="112" t="s">
        <v>1018</v>
      </c>
      <c r="D87" s="112" t="s">
        <v>1019</v>
      </c>
      <c r="E87" s="112">
        <v>2024.0</v>
      </c>
      <c r="F87" s="113" t="s">
        <v>1020</v>
      </c>
      <c r="G87" s="112" t="s">
        <v>1021</v>
      </c>
      <c r="H87" s="112" t="s">
        <v>1022</v>
      </c>
      <c r="I87" s="48">
        <v>0.0</v>
      </c>
      <c r="J87" s="48">
        <v>1.0</v>
      </c>
      <c r="K87" s="48">
        <v>0.0</v>
      </c>
      <c r="L87" s="48">
        <v>1.0</v>
      </c>
      <c r="M87" s="115">
        <v>0.5</v>
      </c>
      <c r="N87" s="104">
        <f t="shared" si="1"/>
        <v>2.5</v>
      </c>
      <c r="O87" s="115" t="str">
        <f t="shared" si="2"/>
        <v>Sim</v>
      </c>
      <c r="P87" s="48">
        <v>1.0</v>
      </c>
      <c r="Q87" s="48">
        <v>1.0</v>
      </c>
      <c r="R87" s="48">
        <v>0.0</v>
      </c>
      <c r="S87" s="48">
        <v>1.0</v>
      </c>
      <c r="T87" s="115">
        <v>1.0</v>
      </c>
      <c r="U87" s="104">
        <f t="shared" si="3"/>
        <v>4</v>
      </c>
      <c r="V87" s="115" t="str">
        <f t="shared" si="4"/>
        <v>Sim</v>
      </c>
      <c r="W87" s="116" t="str">
        <f t="shared" si="5"/>
        <v>Igual</v>
      </c>
      <c r="X87" s="120"/>
      <c r="Y87" s="120"/>
      <c r="Z87" s="48" t="s">
        <v>343</v>
      </c>
      <c r="AA87" s="116" t="str">
        <f t="shared" si="6"/>
        <v>Sim</v>
      </c>
    </row>
    <row r="88">
      <c r="B88" s="112" t="s">
        <v>548</v>
      </c>
      <c r="C88" s="112" t="s">
        <v>1030</v>
      </c>
      <c r="D88" s="112" t="s">
        <v>1031</v>
      </c>
      <c r="E88" s="112">
        <v>2023.0</v>
      </c>
      <c r="F88" s="113" t="s">
        <v>1032</v>
      </c>
      <c r="G88" s="112" t="s">
        <v>1033</v>
      </c>
      <c r="H88" s="112"/>
      <c r="I88" s="48">
        <v>0.0</v>
      </c>
      <c r="J88" s="48">
        <v>1.0</v>
      </c>
      <c r="K88" s="48">
        <v>0.0</v>
      </c>
      <c r="L88" s="48">
        <v>1.0</v>
      </c>
      <c r="M88" s="115">
        <v>0.5</v>
      </c>
      <c r="N88" s="104">
        <f t="shared" si="1"/>
        <v>2.5</v>
      </c>
      <c r="O88" s="115" t="str">
        <f t="shared" si="2"/>
        <v>Sim</v>
      </c>
      <c r="P88" s="48">
        <v>1.0</v>
      </c>
      <c r="Q88" s="48">
        <v>1.0</v>
      </c>
      <c r="R88" s="48">
        <v>0.0</v>
      </c>
      <c r="S88" s="48">
        <v>0.0</v>
      </c>
      <c r="T88" s="115">
        <v>0.5</v>
      </c>
      <c r="U88" s="104">
        <f t="shared" si="3"/>
        <v>2.5</v>
      </c>
      <c r="V88" s="115" t="str">
        <f t="shared" si="4"/>
        <v>Sim</v>
      </c>
      <c r="W88" s="116" t="str">
        <f t="shared" si="5"/>
        <v>Igual</v>
      </c>
      <c r="X88" s="120"/>
      <c r="Y88" s="120"/>
      <c r="Z88" s="48" t="s">
        <v>555</v>
      </c>
      <c r="AA88" s="116" t="str">
        <f t="shared" si="6"/>
        <v>Sim</v>
      </c>
    </row>
    <row r="89">
      <c r="B89" s="112" t="s">
        <v>548</v>
      </c>
      <c r="C89" s="112" t="s">
        <v>1041</v>
      </c>
      <c r="D89" s="112" t="s">
        <v>1042</v>
      </c>
      <c r="E89" s="112">
        <v>2024.0</v>
      </c>
      <c r="F89" s="113" t="s">
        <v>1043</v>
      </c>
      <c r="G89" s="112" t="s">
        <v>1044</v>
      </c>
      <c r="H89" s="112" t="s">
        <v>1045</v>
      </c>
      <c r="I89" s="48">
        <v>0.0</v>
      </c>
      <c r="J89" s="48">
        <v>1.0</v>
      </c>
      <c r="K89" s="48">
        <v>0.0</v>
      </c>
      <c r="L89" s="48">
        <v>1.0</v>
      </c>
      <c r="M89" s="115">
        <v>0.5</v>
      </c>
      <c r="N89" s="104">
        <f t="shared" si="1"/>
        <v>2.5</v>
      </c>
      <c r="O89" s="115" t="str">
        <f t="shared" si="2"/>
        <v>Sim</v>
      </c>
      <c r="P89" s="48">
        <v>1.0</v>
      </c>
      <c r="Q89" s="48">
        <v>0.5</v>
      </c>
      <c r="R89" s="48">
        <v>0.0</v>
      </c>
      <c r="S89" s="48">
        <v>1.0</v>
      </c>
      <c r="T89" s="115">
        <v>0.5</v>
      </c>
      <c r="U89" s="104">
        <f t="shared" si="3"/>
        <v>3</v>
      </c>
      <c r="V89" s="115" t="str">
        <f t="shared" si="4"/>
        <v>Sim</v>
      </c>
      <c r="W89" s="116" t="str">
        <f t="shared" si="5"/>
        <v>Igual</v>
      </c>
      <c r="X89" s="120"/>
      <c r="Y89" s="120"/>
      <c r="Z89" s="48" t="s">
        <v>343</v>
      </c>
      <c r="AA89" s="116" t="str">
        <f t="shared" si="6"/>
        <v>Sim</v>
      </c>
    </row>
    <row r="90" hidden="1">
      <c r="B90" s="112" t="s">
        <v>548</v>
      </c>
      <c r="C90" s="112" t="s">
        <v>1047</v>
      </c>
      <c r="D90" s="112" t="s">
        <v>1048</v>
      </c>
      <c r="E90" s="112">
        <v>2021.0</v>
      </c>
      <c r="F90" s="113" t="s">
        <v>1049</v>
      </c>
      <c r="G90" s="112" t="s">
        <v>1050</v>
      </c>
      <c r="H90" s="112" t="s">
        <v>1051</v>
      </c>
      <c r="I90" s="48">
        <v>0.0</v>
      </c>
      <c r="J90" s="48">
        <v>0.0</v>
      </c>
      <c r="K90" s="48">
        <v>0.0</v>
      </c>
      <c r="L90" s="48">
        <v>1.0</v>
      </c>
      <c r="M90" s="115">
        <v>0.0</v>
      </c>
      <c r="N90" s="104">
        <f t="shared" si="1"/>
        <v>1</v>
      </c>
      <c r="O90" s="115" t="str">
        <f t="shared" si="2"/>
        <v>Não</v>
      </c>
      <c r="P90" s="48">
        <v>0.0</v>
      </c>
      <c r="Q90" s="48">
        <v>0.0</v>
      </c>
      <c r="R90" s="48">
        <v>0.0</v>
      </c>
      <c r="S90" s="48">
        <v>1.0</v>
      </c>
      <c r="T90" s="115">
        <v>0.0</v>
      </c>
      <c r="U90" s="104">
        <f t="shared" si="3"/>
        <v>1</v>
      </c>
      <c r="V90" s="115" t="str">
        <f t="shared" si="4"/>
        <v>Não</v>
      </c>
      <c r="W90" s="116" t="str">
        <f t="shared" si="5"/>
        <v>Igual</v>
      </c>
      <c r="X90" s="120"/>
      <c r="Y90" s="120"/>
      <c r="Z90" s="48" t="s">
        <v>555</v>
      </c>
      <c r="AA90" s="116" t="str">
        <f t="shared" si="6"/>
        <v>Não</v>
      </c>
    </row>
    <row r="91">
      <c r="B91" s="112" t="s">
        <v>548</v>
      </c>
      <c r="C91" s="112" t="s">
        <v>1053</v>
      </c>
      <c r="D91" s="112" t="s">
        <v>1054</v>
      </c>
      <c r="E91" s="112">
        <v>2023.0</v>
      </c>
      <c r="F91" s="113" t="s">
        <v>1055</v>
      </c>
      <c r="G91" s="112" t="s">
        <v>1056</v>
      </c>
      <c r="H91" s="112" t="s">
        <v>1057</v>
      </c>
      <c r="I91" s="48">
        <v>0.5</v>
      </c>
      <c r="J91" s="48">
        <v>1.0</v>
      </c>
      <c r="K91" s="48">
        <v>0.0</v>
      </c>
      <c r="L91" s="48">
        <v>0.0</v>
      </c>
      <c r="M91" s="115">
        <v>0.5</v>
      </c>
      <c r="N91" s="104">
        <f t="shared" si="1"/>
        <v>2</v>
      </c>
      <c r="O91" s="115" t="str">
        <f t="shared" si="2"/>
        <v>Não</v>
      </c>
      <c r="P91" s="48">
        <v>0.0</v>
      </c>
      <c r="Q91" s="48">
        <v>1.0</v>
      </c>
      <c r="R91" s="48">
        <v>0.0</v>
      </c>
      <c r="S91" s="48">
        <v>1.0</v>
      </c>
      <c r="T91" s="115">
        <v>0.5</v>
      </c>
      <c r="U91" s="104">
        <f t="shared" si="3"/>
        <v>2.5</v>
      </c>
      <c r="V91" s="115" t="str">
        <f t="shared" si="4"/>
        <v>Sim</v>
      </c>
      <c r="W91" s="116" t="str">
        <f t="shared" si="5"/>
        <v>Diferente</v>
      </c>
      <c r="X91" s="120"/>
      <c r="Y91" s="120"/>
      <c r="Z91" s="48" t="s">
        <v>343</v>
      </c>
      <c r="AA91" s="116" t="str">
        <f t="shared" si="6"/>
        <v>Sim</v>
      </c>
    </row>
    <row r="92" hidden="1">
      <c r="B92" s="112" t="s">
        <v>548</v>
      </c>
      <c r="C92" s="112" t="s">
        <v>1059</v>
      </c>
      <c r="D92" s="112" t="s">
        <v>1060</v>
      </c>
      <c r="E92" s="112">
        <v>2020.0</v>
      </c>
      <c r="F92" s="113" t="s">
        <v>1061</v>
      </c>
      <c r="G92" s="112" t="s">
        <v>1062</v>
      </c>
      <c r="H92" s="112"/>
      <c r="I92" s="48">
        <v>0.0</v>
      </c>
      <c r="J92" s="48">
        <v>1.0</v>
      </c>
      <c r="K92" s="48">
        <v>0.0</v>
      </c>
      <c r="L92" s="48">
        <v>0.0</v>
      </c>
      <c r="M92" s="115">
        <v>0.0</v>
      </c>
      <c r="N92" s="104">
        <f t="shared" si="1"/>
        <v>1</v>
      </c>
      <c r="O92" s="115" t="str">
        <f t="shared" si="2"/>
        <v>Não</v>
      </c>
      <c r="P92" s="48">
        <v>0.5</v>
      </c>
      <c r="Q92" s="48">
        <v>0.0</v>
      </c>
      <c r="R92" s="48">
        <v>0.0</v>
      </c>
      <c r="S92" s="48">
        <v>0.0</v>
      </c>
      <c r="T92" s="115">
        <v>0.0</v>
      </c>
      <c r="U92" s="104">
        <f t="shared" si="3"/>
        <v>0.5</v>
      </c>
      <c r="V92" s="115" t="str">
        <f t="shared" si="4"/>
        <v>Não</v>
      </c>
      <c r="W92" s="116" t="str">
        <f t="shared" si="5"/>
        <v>Igual</v>
      </c>
      <c r="X92" s="120"/>
      <c r="Y92" s="120"/>
      <c r="Z92" s="48" t="s">
        <v>555</v>
      </c>
      <c r="AA92" s="116" t="str">
        <f t="shared" si="6"/>
        <v>Não</v>
      </c>
    </row>
    <row r="93" hidden="1">
      <c r="B93" s="112" t="s">
        <v>548</v>
      </c>
      <c r="C93" s="112" t="s">
        <v>1064</v>
      </c>
      <c r="D93" s="112" t="s">
        <v>1065</v>
      </c>
      <c r="E93" s="112">
        <v>2020.0</v>
      </c>
      <c r="F93" s="113" t="s">
        <v>1066</v>
      </c>
      <c r="G93" s="112" t="s">
        <v>1067</v>
      </c>
      <c r="H93" s="112" t="s">
        <v>1068</v>
      </c>
      <c r="I93" s="48">
        <v>1.0</v>
      </c>
      <c r="J93" s="48">
        <v>0.0</v>
      </c>
      <c r="K93" s="48">
        <v>0.0</v>
      </c>
      <c r="L93" s="48">
        <v>0.0</v>
      </c>
      <c r="M93" s="115">
        <v>0.0</v>
      </c>
      <c r="N93" s="104">
        <f t="shared" si="1"/>
        <v>1</v>
      </c>
      <c r="O93" s="115" t="str">
        <f t="shared" si="2"/>
        <v>Não</v>
      </c>
      <c r="P93" s="48">
        <v>0.0</v>
      </c>
      <c r="Q93" s="48">
        <v>0.0</v>
      </c>
      <c r="R93" s="48">
        <v>0.0</v>
      </c>
      <c r="S93" s="48">
        <v>1.0</v>
      </c>
      <c r="T93" s="115">
        <v>0.0</v>
      </c>
      <c r="U93" s="104">
        <f t="shared" si="3"/>
        <v>1</v>
      </c>
      <c r="V93" s="115" t="str">
        <f t="shared" si="4"/>
        <v>Não</v>
      </c>
      <c r="W93" s="116" t="str">
        <f t="shared" si="5"/>
        <v>Igual</v>
      </c>
      <c r="X93" s="120"/>
      <c r="Y93" s="120"/>
      <c r="Z93" s="48" t="s">
        <v>555</v>
      </c>
      <c r="AA93" s="116" t="str">
        <f t="shared" si="6"/>
        <v>Não</v>
      </c>
    </row>
    <row r="94">
      <c r="B94" s="112" t="s">
        <v>548</v>
      </c>
      <c r="C94" s="112" t="s">
        <v>1071</v>
      </c>
      <c r="D94" s="112" t="s">
        <v>1072</v>
      </c>
      <c r="E94" s="112">
        <v>2025.0</v>
      </c>
      <c r="F94" s="113" t="s">
        <v>1073</v>
      </c>
      <c r="G94" s="112" t="s">
        <v>1074</v>
      </c>
      <c r="H94" s="112" t="s">
        <v>1075</v>
      </c>
      <c r="I94" s="48">
        <v>0.0</v>
      </c>
      <c r="J94" s="48">
        <v>0.0</v>
      </c>
      <c r="K94" s="48">
        <v>0.0</v>
      </c>
      <c r="L94" s="48">
        <v>1.0</v>
      </c>
      <c r="M94" s="115">
        <v>0.0</v>
      </c>
      <c r="N94" s="104">
        <f t="shared" si="1"/>
        <v>1</v>
      </c>
      <c r="O94" s="115" t="str">
        <f t="shared" si="2"/>
        <v>Não</v>
      </c>
      <c r="P94" s="48">
        <v>0.0</v>
      </c>
      <c r="Q94" s="48">
        <v>1.0</v>
      </c>
      <c r="R94" s="48">
        <v>0.0</v>
      </c>
      <c r="S94" s="48">
        <v>1.0</v>
      </c>
      <c r="T94" s="115">
        <v>0.5</v>
      </c>
      <c r="U94" s="104">
        <f t="shared" si="3"/>
        <v>2.5</v>
      </c>
      <c r="V94" s="115" t="str">
        <f t="shared" si="4"/>
        <v>Sim</v>
      </c>
      <c r="W94" s="116" t="str">
        <f t="shared" si="5"/>
        <v>Diferente</v>
      </c>
      <c r="X94" s="120"/>
      <c r="Y94" s="120"/>
      <c r="Z94" s="48" t="s">
        <v>555</v>
      </c>
      <c r="AA94" s="116" t="str">
        <f t="shared" si="6"/>
        <v>Sim</v>
      </c>
    </row>
    <row r="95">
      <c r="B95" s="112" t="s">
        <v>548</v>
      </c>
      <c r="C95" s="112" t="s">
        <v>1077</v>
      </c>
      <c r="D95" s="112" t="s">
        <v>1078</v>
      </c>
      <c r="E95" s="112">
        <v>2025.0</v>
      </c>
      <c r="F95" s="113" t="s">
        <v>1079</v>
      </c>
      <c r="G95" s="112" t="s">
        <v>1080</v>
      </c>
      <c r="H95" s="112" t="s">
        <v>1081</v>
      </c>
      <c r="I95" s="48">
        <v>1.0</v>
      </c>
      <c r="J95" s="48">
        <v>0.0</v>
      </c>
      <c r="K95" s="48">
        <v>0.0</v>
      </c>
      <c r="L95" s="48">
        <v>1.0</v>
      </c>
      <c r="M95" s="115">
        <v>0.5</v>
      </c>
      <c r="N95" s="104">
        <f t="shared" si="1"/>
        <v>2.5</v>
      </c>
      <c r="O95" s="115" t="str">
        <f t="shared" si="2"/>
        <v>Sim</v>
      </c>
      <c r="P95" s="48">
        <v>0.0</v>
      </c>
      <c r="Q95" s="48">
        <v>1.0</v>
      </c>
      <c r="R95" s="48">
        <v>0.0</v>
      </c>
      <c r="S95" s="48">
        <v>1.0</v>
      </c>
      <c r="T95" s="115">
        <v>0.5</v>
      </c>
      <c r="U95" s="104">
        <f t="shared" si="3"/>
        <v>2.5</v>
      </c>
      <c r="V95" s="115" t="str">
        <f t="shared" si="4"/>
        <v>Sim</v>
      </c>
      <c r="W95" s="116" t="str">
        <f t="shared" si="5"/>
        <v>Igual</v>
      </c>
      <c r="X95" s="120"/>
      <c r="Y95" s="120"/>
      <c r="Z95" s="48" t="s">
        <v>555</v>
      </c>
      <c r="AA95" s="116" t="str">
        <f t="shared" si="6"/>
        <v>Sim</v>
      </c>
    </row>
    <row r="96">
      <c r="B96" s="112" t="s">
        <v>548</v>
      </c>
      <c r="C96" s="112" t="s">
        <v>1089</v>
      </c>
      <c r="D96" s="112" t="s">
        <v>1090</v>
      </c>
      <c r="E96" s="112">
        <v>2025.0</v>
      </c>
      <c r="F96" s="113" t="s">
        <v>1091</v>
      </c>
      <c r="G96" s="112" t="s">
        <v>1092</v>
      </c>
      <c r="H96" s="112" t="s">
        <v>1093</v>
      </c>
      <c r="I96" s="48">
        <v>0.0</v>
      </c>
      <c r="J96" s="48">
        <v>0.5</v>
      </c>
      <c r="K96" s="48">
        <v>0.0</v>
      </c>
      <c r="L96" s="48">
        <v>1.0</v>
      </c>
      <c r="M96" s="115">
        <v>0.5</v>
      </c>
      <c r="N96" s="104">
        <f t="shared" si="1"/>
        <v>2</v>
      </c>
      <c r="O96" s="115" t="str">
        <f t="shared" si="2"/>
        <v>Não</v>
      </c>
      <c r="P96" s="48">
        <v>0.0</v>
      </c>
      <c r="Q96" s="48">
        <v>1.0</v>
      </c>
      <c r="R96" s="48">
        <v>0.0</v>
      </c>
      <c r="S96" s="48">
        <v>1.0</v>
      </c>
      <c r="T96" s="115">
        <v>0.5</v>
      </c>
      <c r="U96" s="104">
        <f t="shared" si="3"/>
        <v>2.5</v>
      </c>
      <c r="V96" s="115" t="str">
        <f t="shared" si="4"/>
        <v>Sim</v>
      </c>
      <c r="W96" s="116" t="str">
        <f t="shared" si="5"/>
        <v>Diferente</v>
      </c>
      <c r="X96" s="120"/>
      <c r="Y96" s="120"/>
      <c r="Z96" s="48" t="s">
        <v>555</v>
      </c>
      <c r="AA96" s="116" t="str">
        <f t="shared" si="6"/>
        <v>Sim</v>
      </c>
    </row>
    <row r="97">
      <c r="B97" s="112" t="s">
        <v>548</v>
      </c>
      <c r="C97" s="112" t="s">
        <v>1095</v>
      </c>
      <c r="D97" s="112" t="s">
        <v>1096</v>
      </c>
      <c r="E97" s="112">
        <v>2023.0</v>
      </c>
      <c r="F97" s="113" t="s">
        <v>1097</v>
      </c>
      <c r="G97" s="112" t="s">
        <v>1098</v>
      </c>
      <c r="H97" s="112" t="s">
        <v>1099</v>
      </c>
      <c r="I97" s="48">
        <v>0.0</v>
      </c>
      <c r="J97" s="48">
        <v>0.0</v>
      </c>
      <c r="K97" s="48">
        <v>0.0</v>
      </c>
      <c r="L97" s="48">
        <v>1.0</v>
      </c>
      <c r="M97" s="115">
        <v>0.0</v>
      </c>
      <c r="N97" s="104">
        <f t="shared" si="1"/>
        <v>1</v>
      </c>
      <c r="O97" s="115" t="str">
        <f t="shared" si="2"/>
        <v>Não</v>
      </c>
      <c r="P97" s="48">
        <v>1.0</v>
      </c>
      <c r="Q97" s="48">
        <v>1.0</v>
      </c>
      <c r="R97" s="48">
        <v>0.0</v>
      </c>
      <c r="S97" s="48">
        <v>1.0</v>
      </c>
      <c r="T97" s="115">
        <v>1.0</v>
      </c>
      <c r="U97" s="104">
        <f t="shared" si="3"/>
        <v>4</v>
      </c>
      <c r="V97" s="115" t="str">
        <f t="shared" si="4"/>
        <v>Sim</v>
      </c>
      <c r="W97" s="116" t="str">
        <f t="shared" si="5"/>
        <v>Diferente</v>
      </c>
      <c r="X97" s="120"/>
      <c r="Y97" s="120"/>
      <c r="Z97" s="48" t="s">
        <v>85</v>
      </c>
      <c r="AA97" s="116" t="str">
        <f t="shared" si="6"/>
        <v>Sim</v>
      </c>
    </row>
    <row r="98">
      <c r="B98" s="112" t="s">
        <v>548</v>
      </c>
      <c r="C98" s="112" t="s">
        <v>1101</v>
      </c>
      <c r="D98" s="112" t="s">
        <v>1102</v>
      </c>
      <c r="E98" s="112">
        <v>2025.0</v>
      </c>
      <c r="F98" s="123" t="s">
        <v>1103</v>
      </c>
      <c r="G98" s="112" t="s">
        <v>1104</v>
      </c>
      <c r="H98" s="114" t="s">
        <v>1105</v>
      </c>
      <c r="I98" s="48">
        <v>0.0</v>
      </c>
      <c r="J98" s="48">
        <v>1.0</v>
      </c>
      <c r="K98" s="48">
        <v>0.0</v>
      </c>
      <c r="L98" s="48">
        <v>1.0</v>
      </c>
      <c r="M98" s="115">
        <v>0.5</v>
      </c>
      <c r="N98" s="104">
        <f t="shared" si="1"/>
        <v>2.5</v>
      </c>
      <c r="O98" s="115" t="str">
        <f t="shared" si="2"/>
        <v>Sim</v>
      </c>
      <c r="P98" s="48">
        <v>1.0</v>
      </c>
      <c r="Q98" s="48">
        <v>0.5</v>
      </c>
      <c r="R98" s="48">
        <v>0.0</v>
      </c>
      <c r="S98" s="48">
        <v>1.0</v>
      </c>
      <c r="T98" s="115">
        <v>0.5</v>
      </c>
      <c r="U98" s="104">
        <f t="shared" si="3"/>
        <v>3</v>
      </c>
      <c r="V98" s="115" t="str">
        <f t="shared" si="4"/>
        <v>Sim</v>
      </c>
      <c r="W98" s="116" t="str">
        <f t="shared" si="5"/>
        <v>Igual</v>
      </c>
      <c r="X98" s="120"/>
      <c r="Y98" s="120"/>
      <c r="Z98" s="48" t="s">
        <v>85</v>
      </c>
      <c r="AA98" s="116" t="str">
        <f t="shared" si="6"/>
        <v>Sim</v>
      </c>
    </row>
    <row r="99">
      <c r="B99" s="112" t="s">
        <v>548</v>
      </c>
      <c r="C99" s="112" t="s">
        <v>1108</v>
      </c>
      <c r="D99" s="112" t="s">
        <v>1109</v>
      </c>
      <c r="E99" s="112">
        <v>2023.0</v>
      </c>
      <c r="F99" s="113" t="s">
        <v>1110</v>
      </c>
      <c r="G99" s="112" t="s">
        <v>1111</v>
      </c>
      <c r="H99" s="114" t="s">
        <v>1112</v>
      </c>
      <c r="I99" s="48">
        <v>0.5</v>
      </c>
      <c r="J99" s="48">
        <v>0.0</v>
      </c>
      <c r="K99" s="48">
        <v>0.0</v>
      </c>
      <c r="L99" s="48">
        <v>1.0</v>
      </c>
      <c r="M99" s="115">
        <v>0.5</v>
      </c>
      <c r="N99" s="104">
        <f t="shared" si="1"/>
        <v>2</v>
      </c>
      <c r="O99" s="115" t="str">
        <f t="shared" si="2"/>
        <v>Não</v>
      </c>
      <c r="P99" s="48">
        <v>0.0</v>
      </c>
      <c r="Q99" s="48">
        <v>1.0</v>
      </c>
      <c r="R99" s="48">
        <v>0.0</v>
      </c>
      <c r="S99" s="48">
        <v>1.0</v>
      </c>
      <c r="T99" s="115">
        <v>0.5</v>
      </c>
      <c r="U99" s="104">
        <f t="shared" si="3"/>
        <v>2.5</v>
      </c>
      <c r="V99" s="115" t="str">
        <f t="shared" si="4"/>
        <v>Sim</v>
      </c>
      <c r="W99" s="116" t="str">
        <f t="shared" si="5"/>
        <v>Diferente</v>
      </c>
      <c r="X99" s="120"/>
      <c r="Y99" s="120"/>
      <c r="Z99" s="48" t="s">
        <v>85</v>
      </c>
      <c r="AA99" s="116" t="str">
        <f t="shared" si="6"/>
        <v>Sim</v>
      </c>
    </row>
    <row r="100">
      <c r="B100" s="112" t="s">
        <v>548</v>
      </c>
      <c r="C100" s="112" t="s">
        <v>1115</v>
      </c>
      <c r="D100" s="112" t="s">
        <v>1116</v>
      </c>
      <c r="E100" s="112">
        <v>2024.0</v>
      </c>
      <c r="F100" s="113" t="s">
        <v>1117</v>
      </c>
      <c r="G100" s="112" t="s">
        <v>1118</v>
      </c>
      <c r="H100" s="114" t="s">
        <v>1119</v>
      </c>
      <c r="I100" s="48">
        <v>1.0</v>
      </c>
      <c r="J100" s="48">
        <v>1.0</v>
      </c>
      <c r="K100" s="48">
        <v>0.0</v>
      </c>
      <c r="L100" s="48">
        <v>1.0</v>
      </c>
      <c r="M100" s="115">
        <v>1.0</v>
      </c>
      <c r="N100" s="104">
        <f t="shared" si="1"/>
        <v>4</v>
      </c>
      <c r="O100" s="115" t="str">
        <f t="shared" si="2"/>
        <v>Sim</v>
      </c>
      <c r="P100" s="48">
        <v>1.0</v>
      </c>
      <c r="Q100" s="48">
        <v>0.5</v>
      </c>
      <c r="R100" s="48">
        <v>0.0</v>
      </c>
      <c r="S100" s="48">
        <v>1.0</v>
      </c>
      <c r="T100" s="115">
        <v>0.5</v>
      </c>
      <c r="U100" s="104">
        <f t="shared" si="3"/>
        <v>3</v>
      </c>
      <c r="V100" s="115" t="str">
        <f t="shared" si="4"/>
        <v>Sim</v>
      </c>
      <c r="W100" s="116" t="str">
        <f t="shared" si="5"/>
        <v>Igual</v>
      </c>
      <c r="X100" s="120"/>
      <c r="Y100" s="120"/>
      <c r="Z100" s="48" t="s">
        <v>555</v>
      </c>
      <c r="AA100" s="116" t="str">
        <f t="shared" si="6"/>
        <v>Sim</v>
      </c>
    </row>
    <row r="101">
      <c r="B101" s="112" t="s">
        <v>43</v>
      </c>
      <c r="C101" s="112" t="s">
        <v>1860</v>
      </c>
      <c r="D101" s="112" t="s">
        <v>1861</v>
      </c>
      <c r="E101" s="124" t="s">
        <v>330</v>
      </c>
      <c r="F101" s="113" t="s">
        <v>1862</v>
      </c>
      <c r="G101" s="112" t="s">
        <v>1863</v>
      </c>
      <c r="H101" s="112" t="s">
        <v>1864</v>
      </c>
      <c r="I101" s="48">
        <v>0.0</v>
      </c>
      <c r="J101" s="48">
        <v>0.0</v>
      </c>
      <c r="K101" s="48">
        <v>0.0</v>
      </c>
      <c r="L101" s="48">
        <v>0.0</v>
      </c>
      <c r="M101" s="115">
        <v>0.0</v>
      </c>
      <c r="N101" s="104">
        <f t="shared" si="1"/>
        <v>0</v>
      </c>
      <c r="O101" s="115" t="str">
        <f t="shared" si="2"/>
        <v>Não</v>
      </c>
      <c r="P101" s="48">
        <v>0.0</v>
      </c>
      <c r="Q101" s="48">
        <v>1.0</v>
      </c>
      <c r="R101" s="48">
        <v>0.5</v>
      </c>
      <c r="S101" s="48">
        <v>1.0</v>
      </c>
      <c r="T101" s="115">
        <v>0.5</v>
      </c>
      <c r="U101" s="104">
        <f t="shared" si="3"/>
        <v>3</v>
      </c>
      <c r="V101" s="115" t="str">
        <f t="shared" si="4"/>
        <v>Sim</v>
      </c>
      <c r="W101" s="116" t="str">
        <f t="shared" si="5"/>
        <v>Diferente</v>
      </c>
      <c r="X101" s="120"/>
      <c r="Y101" s="120"/>
      <c r="Z101" s="48" t="s">
        <v>555</v>
      </c>
      <c r="AA101" s="116" t="str">
        <f t="shared" si="6"/>
        <v>Sim</v>
      </c>
    </row>
    <row r="102">
      <c r="B102" s="112" t="s">
        <v>43</v>
      </c>
      <c r="C102" s="112" t="s">
        <v>1867</v>
      </c>
      <c r="D102" s="112" t="s">
        <v>1868</v>
      </c>
      <c r="E102" s="124" t="s">
        <v>330</v>
      </c>
      <c r="F102" s="123" t="s">
        <v>1869</v>
      </c>
      <c r="G102" s="112" t="s">
        <v>1870</v>
      </c>
      <c r="H102" s="112"/>
      <c r="I102" s="48">
        <v>0.0</v>
      </c>
      <c r="J102" s="48">
        <v>1.0</v>
      </c>
      <c r="K102" s="48">
        <v>0.0</v>
      </c>
      <c r="L102" s="48">
        <v>1.0</v>
      </c>
      <c r="M102" s="115">
        <v>0.5</v>
      </c>
      <c r="N102" s="104">
        <f t="shared" si="1"/>
        <v>2.5</v>
      </c>
      <c r="O102" s="115" t="str">
        <f t="shared" si="2"/>
        <v>Sim</v>
      </c>
      <c r="P102" s="48">
        <v>1.0</v>
      </c>
      <c r="Q102" s="48">
        <v>1.0</v>
      </c>
      <c r="R102" s="48">
        <v>0.0</v>
      </c>
      <c r="S102" s="48">
        <v>0.0</v>
      </c>
      <c r="T102" s="115">
        <v>0.5</v>
      </c>
      <c r="U102" s="104">
        <f t="shared" si="3"/>
        <v>2.5</v>
      </c>
      <c r="V102" s="115" t="str">
        <f t="shared" si="4"/>
        <v>Sim</v>
      </c>
      <c r="W102" s="116" t="str">
        <f t="shared" si="5"/>
        <v>Igual</v>
      </c>
      <c r="X102" s="120"/>
      <c r="Y102" s="120"/>
      <c r="Z102" s="48" t="s">
        <v>85</v>
      </c>
      <c r="AA102" s="116" t="str">
        <f t="shared" si="6"/>
        <v>Sim</v>
      </c>
    </row>
    <row r="103">
      <c r="B103" s="118" t="s">
        <v>43</v>
      </c>
      <c r="C103" s="43" t="s">
        <v>1872</v>
      </c>
      <c r="D103" s="43" t="s">
        <v>1873</v>
      </c>
      <c r="E103" s="125" t="s">
        <v>330</v>
      </c>
      <c r="F103" s="126" t="s">
        <v>1874</v>
      </c>
      <c r="G103" s="43" t="s">
        <v>1875</v>
      </c>
      <c r="H103" s="43" t="s">
        <v>1876</v>
      </c>
      <c r="I103" s="48">
        <v>1.0</v>
      </c>
      <c r="J103" s="48">
        <v>0.0</v>
      </c>
      <c r="K103" s="48">
        <v>0.5</v>
      </c>
      <c r="L103" s="48">
        <v>0.5</v>
      </c>
      <c r="M103" s="115">
        <v>1.0</v>
      </c>
      <c r="N103" s="104">
        <f t="shared" si="1"/>
        <v>3</v>
      </c>
      <c r="O103" s="115" t="str">
        <f t="shared" si="2"/>
        <v>Sim</v>
      </c>
      <c r="P103" s="115">
        <v>0.5</v>
      </c>
      <c r="Q103" s="115">
        <v>1.0</v>
      </c>
      <c r="R103" s="115">
        <v>0.5</v>
      </c>
      <c r="S103" s="115">
        <v>1.0</v>
      </c>
      <c r="T103" s="115">
        <v>0.5</v>
      </c>
      <c r="U103" s="104">
        <f t="shared" si="3"/>
        <v>3.5</v>
      </c>
      <c r="V103" s="115" t="str">
        <f t="shared" si="4"/>
        <v>Sim</v>
      </c>
      <c r="W103" s="116" t="str">
        <f t="shared" si="5"/>
        <v>Igual</v>
      </c>
      <c r="X103" s="117" t="s">
        <v>2485</v>
      </c>
      <c r="Y103" s="117" t="s">
        <v>2486</v>
      </c>
      <c r="Z103" s="48" t="s">
        <v>85</v>
      </c>
      <c r="AA103" s="116" t="str">
        <f t="shared" si="6"/>
        <v>Sim</v>
      </c>
      <c r="AB103" s="127"/>
    </row>
    <row r="104" hidden="1">
      <c r="B104" s="43" t="s">
        <v>47</v>
      </c>
      <c r="C104" s="43" t="s">
        <v>1884</v>
      </c>
      <c r="D104" s="43" t="s">
        <v>163</v>
      </c>
      <c r="E104" s="125" t="s">
        <v>330</v>
      </c>
      <c r="F104" s="126" t="s">
        <v>1885</v>
      </c>
      <c r="G104" s="43" t="s">
        <v>1886</v>
      </c>
      <c r="H104" s="43" t="s">
        <v>1887</v>
      </c>
      <c r="I104" s="48">
        <v>1.0</v>
      </c>
      <c r="J104" s="48">
        <v>0.0</v>
      </c>
      <c r="K104" s="48">
        <v>0.5</v>
      </c>
      <c r="L104" s="48">
        <v>0.0</v>
      </c>
      <c r="M104" s="115">
        <v>0.0</v>
      </c>
      <c r="N104" s="104">
        <f t="shared" si="1"/>
        <v>1.5</v>
      </c>
      <c r="O104" s="115" t="str">
        <f t="shared" si="2"/>
        <v>Não</v>
      </c>
      <c r="P104" s="115">
        <v>0.0</v>
      </c>
      <c r="Q104" s="115">
        <v>0.5</v>
      </c>
      <c r="R104" s="115">
        <v>0.0</v>
      </c>
      <c r="S104" s="115">
        <v>0.5</v>
      </c>
      <c r="T104" s="115">
        <v>0.0</v>
      </c>
      <c r="U104" s="104">
        <f t="shared" si="3"/>
        <v>1</v>
      </c>
      <c r="V104" s="115" t="str">
        <f t="shared" si="4"/>
        <v>Não</v>
      </c>
      <c r="W104" s="116" t="str">
        <f t="shared" si="5"/>
        <v>Igual</v>
      </c>
      <c r="X104" s="120"/>
      <c r="Y104" s="120"/>
      <c r="Z104" s="48" t="s">
        <v>85</v>
      </c>
      <c r="AA104" s="116" t="str">
        <f t="shared" si="6"/>
        <v>Não</v>
      </c>
      <c r="AB104" s="127"/>
    </row>
    <row r="105" hidden="1">
      <c r="B105" s="43" t="s">
        <v>47</v>
      </c>
      <c r="C105" s="43" t="s">
        <v>1889</v>
      </c>
      <c r="D105" s="43" t="s">
        <v>1890</v>
      </c>
      <c r="E105" s="125" t="s">
        <v>330</v>
      </c>
      <c r="F105" s="126" t="s">
        <v>1891</v>
      </c>
      <c r="G105" s="43" t="s">
        <v>1892</v>
      </c>
      <c r="H105" s="43" t="s">
        <v>1893</v>
      </c>
      <c r="I105" s="48">
        <v>1.0</v>
      </c>
      <c r="J105" s="48">
        <v>0.0</v>
      </c>
      <c r="K105" s="48">
        <v>0.5</v>
      </c>
      <c r="L105" s="48">
        <v>0.0</v>
      </c>
      <c r="M105" s="115">
        <v>0.0</v>
      </c>
      <c r="N105" s="104">
        <f t="shared" si="1"/>
        <v>1.5</v>
      </c>
      <c r="O105" s="115" t="str">
        <f t="shared" si="2"/>
        <v>Não</v>
      </c>
      <c r="P105" s="115">
        <v>0.0</v>
      </c>
      <c r="Q105" s="115">
        <v>0.5</v>
      </c>
      <c r="R105" s="115">
        <v>0.0</v>
      </c>
      <c r="S105" s="115">
        <v>0.5</v>
      </c>
      <c r="T105" s="115">
        <v>0.0</v>
      </c>
      <c r="U105" s="104">
        <f t="shared" si="3"/>
        <v>1</v>
      </c>
      <c r="V105" s="115" t="str">
        <f t="shared" si="4"/>
        <v>Não</v>
      </c>
      <c r="W105" s="116" t="str">
        <f t="shared" si="5"/>
        <v>Igual</v>
      </c>
      <c r="X105" s="120"/>
      <c r="Y105" s="120"/>
      <c r="Z105" s="48" t="s">
        <v>85</v>
      </c>
      <c r="AA105" s="116" t="str">
        <f t="shared" si="6"/>
        <v>Não</v>
      </c>
      <c r="AB105" s="127"/>
    </row>
    <row r="106" hidden="1">
      <c r="B106" s="43" t="s">
        <v>47</v>
      </c>
      <c r="C106" s="43" t="s">
        <v>1895</v>
      </c>
      <c r="D106" s="43" t="s">
        <v>1896</v>
      </c>
      <c r="E106" s="125" t="s">
        <v>330</v>
      </c>
      <c r="F106" s="126" t="s">
        <v>1897</v>
      </c>
      <c r="G106" s="43" t="s">
        <v>1898</v>
      </c>
      <c r="H106" s="43" t="s">
        <v>1899</v>
      </c>
      <c r="I106" s="48">
        <v>1.0</v>
      </c>
      <c r="J106" s="48">
        <v>0.0</v>
      </c>
      <c r="K106" s="48">
        <v>0.5</v>
      </c>
      <c r="L106" s="48">
        <v>0.0</v>
      </c>
      <c r="M106" s="115">
        <v>0.0</v>
      </c>
      <c r="N106" s="104">
        <f t="shared" si="1"/>
        <v>1.5</v>
      </c>
      <c r="O106" s="115" t="str">
        <f t="shared" si="2"/>
        <v>Não</v>
      </c>
      <c r="P106" s="115">
        <v>0.0</v>
      </c>
      <c r="Q106" s="115">
        <v>0.5</v>
      </c>
      <c r="R106" s="115">
        <v>0.0</v>
      </c>
      <c r="S106" s="115">
        <v>0.5</v>
      </c>
      <c r="T106" s="115">
        <v>0.0</v>
      </c>
      <c r="U106" s="104">
        <f t="shared" si="3"/>
        <v>1</v>
      </c>
      <c r="V106" s="115" t="str">
        <f t="shared" si="4"/>
        <v>Não</v>
      </c>
      <c r="W106" s="116" t="str">
        <f t="shared" si="5"/>
        <v>Igual</v>
      </c>
      <c r="X106" s="120"/>
      <c r="Y106" s="120"/>
      <c r="Z106" s="48" t="s">
        <v>85</v>
      </c>
      <c r="AA106" s="116" t="str">
        <f t="shared" si="6"/>
        <v>Não</v>
      </c>
      <c r="AB106" s="127"/>
    </row>
    <row r="107" hidden="1">
      <c r="B107" s="43" t="s">
        <v>47</v>
      </c>
      <c r="C107" s="43" t="s">
        <v>1901</v>
      </c>
      <c r="D107" s="43" t="s">
        <v>1902</v>
      </c>
      <c r="E107" s="125" t="s">
        <v>330</v>
      </c>
      <c r="F107" s="126" t="s">
        <v>1903</v>
      </c>
      <c r="G107" s="43" t="s">
        <v>1904</v>
      </c>
      <c r="H107" s="43" t="s">
        <v>1905</v>
      </c>
      <c r="I107" s="48">
        <v>1.0</v>
      </c>
      <c r="J107" s="48">
        <v>0.0</v>
      </c>
      <c r="K107" s="48">
        <v>0.5</v>
      </c>
      <c r="L107" s="48">
        <v>0.0</v>
      </c>
      <c r="M107" s="115">
        <v>0.0</v>
      </c>
      <c r="N107" s="104">
        <f t="shared" si="1"/>
        <v>1.5</v>
      </c>
      <c r="O107" s="115" t="str">
        <f t="shared" si="2"/>
        <v>Não</v>
      </c>
      <c r="P107" s="115">
        <v>0.0</v>
      </c>
      <c r="Q107" s="115">
        <v>0.5</v>
      </c>
      <c r="R107" s="115">
        <v>0.0</v>
      </c>
      <c r="S107" s="115">
        <v>0.5</v>
      </c>
      <c r="T107" s="115">
        <v>0.0</v>
      </c>
      <c r="U107" s="104">
        <f t="shared" si="3"/>
        <v>1</v>
      </c>
      <c r="V107" s="115" t="str">
        <f t="shared" si="4"/>
        <v>Não</v>
      </c>
      <c r="W107" s="116" t="str">
        <f t="shared" si="5"/>
        <v>Igual</v>
      </c>
      <c r="X107" s="120"/>
      <c r="Y107" s="120"/>
      <c r="Z107" s="48" t="s">
        <v>85</v>
      </c>
      <c r="AA107" s="116" t="str">
        <f t="shared" si="6"/>
        <v>Não</v>
      </c>
      <c r="AB107" s="127"/>
    </row>
    <row r="108" hidden="1">
      <c r="B108" s="43" t="s">
        <v>47</v>
      </c>
      <c r="C108" s="43" t="s">
        <v>1907</v>
      </c>
      <c r="D108" s="43" t="s">
        <v>1908</v>
      </c>
      <c r="E108" s="125" t="s">
        <v>330</v>
      </c>
      <c r="F108" s="126" t="s">
        <v>1909</v>
      </c>
      <c r="G108" s="43" t="s">
        <v>1910</v>
      </c>
      <c r="H108" s="43" t="s">
        <v>1911</v>
      </c>
      <c r="I108" s="48">
        <v>1.0</v>
      </c>
      <c r="J108" s="48">
        <v>0.0</v>
      </c>
      <c r="K108" s="48">
        <v>0.5</v>
      </c>
      <c r="L108" s="48">
        <v>0.0</v>
      </c>
      <c r="M108" s="115">
        <v>0.0</v>
      </c>
      <c r="N108" s="104">
        <f t="shared" si="1"/>
        <v>1.5</v>
      </c>
      <c r="O108" s="115" t="str">
        <f t="shared" si="2"/>
        <v>Não</v>
      </c>
      <c r="P108" s="115">
        <v>0.0</v>
      </c>
      <c r="Q108" s="115">
        <v>0.5</v>
      </c>
      <c r="R108" s="115">
        <v>0.0</v>
      </c>
      <c r="S108" s="115">
        <v>0.5</v>
      </c>
      <c r="T108" s="115">
        <v>0.0</v>
      </c>
      <c r="U108" s="104">
        <f t="shared" si="3"/>
        <v>1</v>
      </c>
      <c r="V108" s="115" t="str">
        <f t="shared" si="4"/>
        <v>Não</v>
      </c>
      <c r="W108" s="116" t="str">
        <f t="shared" si="5"/>
        <v>Igual</v>
      </c>
      <c r="X108" s="120"/>
      <c r="Y108" s="120"/>
      <c r="Z108" s="48" t="s">
        <v>85</v>
      </c>
      <c r="AA108" s="116" t="str">
        <f t="shared" si="6"/>
        <v>Não</v>
      </c>
      <c r="AB108" s="127"/>
    </row>
    <row r="109">
      <c r="B109" s="112" t="s">
        <v>47</v>
      </c>
      <c r="C109" s="112" t="s">
        <v>2050</v>
      </c>
      <c r="D109" s="112" t="s">
        <v>2051</v>
      </c>
      <c r="E109" s="124" t="s">
        <v>368</v>
      </c>
      <c r="F109" s="113" t="s">
        <v>2052</v>
      </c>
      <c r="G109" s="112" t="s">
        <v>2053</v>
      </c>
      <c r="H109" s="112" t="s">
        <v>2054</v>
      </c>
      <c r="I109" s="48">
        <v>1.0</v>
      </c>
      <c r="J109" s="48">
        <v>0.5</v>
      </c>
      <c r="K109" s="48">
        <v>0.0</v>
      </c>
      <c r="L109" s="48">
        <v>1.0</v>
      </c>
      <c r="M109" s="115">
        <v>0.0</v>
      </c>
      <c r="N109" s="104">
        <f t="shared" si="1"/>
        <v>2.5</v>
      </c>
      <c r="O109" s="115" t="str">
        <f t="shared" si="2"/>
        <v>Sim</v>
      </c>
      <c r="P109" s="115">
        <v>0.5</v>
      </c>
      <c r="Q109" s="115">
        <v>0.5</v>
      </c>
      <c r="R109" s="115">
        <v>0.0</v>
      </c>
      <c r="S109" s="115">
        <v>1.0</v>
      </c>
      <c r="T109" s="115">
        <v>0.0</v>
      </c>
      <c r="U109" s="104">
        <f t="shared" si="3"/>
        <v>2</v>
      </c>
      <c r="V109" s="115" t="str">
        <f t="shared" si="4"/>
        <v>Não</v>
      </c>
      <c r="W109" s="116" t="str">
        <f t="shared" si="5"/>
        <v>Diferente</v>
      </c>
      <c r="X109" s="120"/>
      <c r="Y109" s="120"/>
      <c r="Z109" s="48" t="s">
        <v>555</v>
      </c>
      <c r="AA109" s="116" t="str">
        <f t="shared" si="6"/>
        <v>Sim</v>
      </c>
      <c r="AB109" s="127"/>
    </row>
    <row r="110">
      <c r="B110" s="112" t="s">
        <v>47</v>
      </c>
      <c r="C110" s="112" t="s">
        <v>2056</v>
      </c>
      <c r="D110" s="112" t="s">
        <v>2057</v>
      </c>
      <c r="E110" s="124" t="s">
        <v>368</v>
      </c>
      <c r="F110" s="113" t="s">
        <v>2058</v>
      </c>
      <c r="G110" s="112" t="s">
        <v>2059</v>
      </c>
      <c r="H110" s="112"/>
      <c r="I110" s="48">
        <v>1.0</v>
      </c>
      <c r="J110" s="48">
        <v>1.0</v>
      </c>
      <c r="K110" s="48">
        <v>0.5</v>
      </c>
      <c r="L110" s="48">
        <v>0.5</v>
      </c>
      <c r="M110" s="115">
        <v>0.0</v>
      </c>
      <c r="N110" s="104">
        <f t="shared" si="1"/>
        <v>3</v>
      </c>
      <c r="O110" s="115" t="str">
        <f t="shared" si="2"/>
        <v>Sim</v>
      </c>
      <c r="P110" s="115">
        <v>0.0</v>
      </c>
      <c r="Q110" s="115">
        <v>0.5</v>
      </c>
      <c r="R110" s="115">
        <v>0.0</v>
      </c>
      <c r="S110" s="115">
        <v>0.5</v>
      </c>
      <c r="T110" s="115">
        <v>0.5</v>
      </c>
      <c r="U110" s="104">
        <f t="shared" si="3"/>
        <v>1.5</v>
      </c>
      <c r="V110" s="115" t="str">
        <f t="shared" si="4"/>
        <v>Não</v>
      </c>
      <c r="W110" s="116" t="str">
        <f t="shared" si="5"/>
        <v>Diferente</v>
      </c>
      <c r="X110" s="120"/>
      <c r="Y110" s="120"/>
      <c r="Z110" s="48" t="s">
        <v>555</v>
      </c>
      <c r="AA110" s="116" t="str">
        <f t="shared" si="6"/>
        <v>Sim</v>
      </c>
    </row>
    <row r="111">
      <c r="B111" s="112" t="s">
        <v>47</v>
      </c>
      <c r="C111" s="112" t="s">
        <v>2061</v>
      </c>
      <c r="D111" s="112" t="s">
        <v>2062</v>
      </c>
      <c r="E111" s="124" t="s">
        <v>368</v>
      </c>
      <c r="F111" s="113" t="s">
        <v>2063</v>
      </c>
      <c r="G111" s="112" t="s">
        <v>2064</v>
      </c>
      <c r="H111" s="112"/>
      <c r="I111" s="48">
        <v>0.5</v>
      </c>
      <c r="J111" s="48">
        <v>1.0</v>
      </c>
      <c r="K111" s="48">
        <v>0.0</v>
      </c>
      <c r="L111" s="48">
        <v>0.5</v>
      </c>
      <c r="M111" s="115">
        <v>0.5</v>
      </c>
      <c r="N111" s="104">
        <f t="shared" si="1"/>
        <v>2.5</v>
      </c>
      <c r="O111" s="115" t="str">
        <f t="shared" si="2"/>
        <v>Sim</v>
      </c>
      <c r="P111" s="115">
        <v>1.0</v>
      </c>
      <c r="Q111" s="115">
        <v>0.5</v>
      </c>
      <c r="R111" s="115">
        <v>1.0</v>
      </c>
      <c r="S111" s="115">
        <v>0.5</v>
      </c>
      <c r="T111" s="115">
        <v>1.0</v>
      </c>
      <c r="U111" s="104">
        <f t="shared" si="3"/>
        <v>4</v>
      </c>
      <c r="V111" s="115" t="str">
        <f t="shared" si="4"/>
        <v>Sim</v>
      </c>
      <c r="W111" s="116" t="str">
        <f t="shared" si="5"/>
        <v>Igual</v>
      </c>
      <c r="X111" s="120"/>
      <c r="Y111" s="120"/>
      <c r="Z111" s="48" t="s">
        <v>555</v>
      </c>
      <c r="AA111" s="116" t="str">
        <f t="shared" si="6"/>
        <v>Sim</v>
      </c>
    </row>
    <row r="112">
      <c r="B112" s="112" t="s">
        <v>47</v>
      </c>
      <c r="C112" s="112" t="s">
        <v>2066</v>
      </c>
      <c r="D112" s="112" t="s">
        <v>2067</v>
      </c>
      <c r="E112" s="124" t="s">
        <v>368</v>
      </c>
      <c r="F112" s="113" t="s">
        <v>2068</v>
      </c>
      <c r="G112" s="112" t="s">
        <v>2069</v>
      </c>
      <c r="H112" s="112"/>
      <c r="I112" s="128">
        <v>1.0</v>
      </c>
      <c r="J112" s="128">
        <v>1.0</v>
      </c>
      <c r="K112" s="128">
        <v>0.5</v>
      </c>
      <c r="L112" s="128">
        <v>0.5</v>
      </c>
      <c r="M112" s="128">
        <v>0.5</v>
      </c>
      <c r="N112" s="129">
        <f t="shared" si="1"/>
        <v>3.5</v>
      </c>
      <c r="O112" s="130" t="str">
        <f t="shared" si="2"/>
        <v>Sim</v>
      </c>
      <c r="P112" s="128">
        <v>1.0</v>
      </c>
      <c r="Q112" s="128">
        <v>0.5</v>
      </c>
      <c r="R112" s="128">
        <v>1.0</v>
      </c>
      <c r="S112" s="128">
        <v>1.0</v>
      </c>
      <c r="T112" s="128">
        <v>1.0</v>
      </c>
      <c r="U112" s="104">
        <f t="shared" si="3"/>
        <v>4.5</v>
      </c>
      <c r="V112" s="115" t="str">
        <f t="shared" si="4"/>
        <v>Sim</v>
      </c>
      <c r="W112" s="116" t="str">
        <f t="shared" si="5"/>
        <v>Igual</v>
      </c>
      <c r="X112" s="120"/>
      <c r="Y112" s="120"/>
      <c r="Z112" s="48" t="s">
        <v>555</v>
      </c>
      <c r="AA112" s="116" t="str">
        <f t="shared" si="6"/>
        <v>Sim</v>
      </c>
    </row>
    <row r="113">
      <c r="B113" s="112" t="s">
        <v>47</v>
      </c>
      <c r="C113" s="112" t="s">
        <v>2071</v>
      </c>
      <c r="D113" s="112" t="s">
        <v>2072</v>
      </c>
      <c r="E113" s="124" t="s">
        <v>368</v>
      </c>
      <c r="F113" s="113" t="s">
        <v>2073</v>
      </c>
      <c r="G113" s="112" t="s">
        <v>2074</v>
      </c>
      <c r="H113" s="112" t="s">
        <v>2075</v>
      </c>
      <c r="I113" s="128">
        <v>1.0</v>
      </c>
      <c r="J113" s="128">
        <v>1.0</v>
      </c>
      <c r="K113" s="128">
        <v>0.5</v>
      </c>
      <c r="L113" s="128">
        <v>0.5</v>
      </c>
      <c r="M113" s="128">
        <v>0.5</v>
      </c>
      <c r="N113" s="129">
        <f t="shared" si="1"/>
        <v>3.5</v>
      </c>
      <c r="O113" s="130" t="str">
        <f t="shared" si="2"/>
        <v>Sim</v>
      </c>
      <c r="P113" s="128">
        <v>1.0</v>
      </c>
      <c r="Q113" s="128">
        <v>0.5</v>
      </c>
      <c r="R113" s="128">
        <v>1.0</v>
      </c>
      <c r="S113" s="128">
        <v>1.0</v>
      </c>
      <c r="T113" s="128">
        <v>1.0</v>
      </c>
      <c r="U113" s="104">
        <f t="shared" si="3"/>
        <v>4.5</v>
      </c>
      <c r="V113" s="115" t="str">
        <f t="shared" si="4"/>
        <v>Sim</v>
      </c>
      <c r="W113" s="116" t="str">
        <f t="shared" si="5"/>
        <v>Igual</v>
      </c>
      <c r="X113" s="120"/>
      <c r="Y113" s="120"/>
      <c r="Z113" s="48" t="s">
        <v>555</v>
      </c>
      <c r="AA113" s="116" t="str">
        <f t="shared" si="6"/>
        <v>Sim</v>
      </c>
    </row>
    <row r="114">
      <c r="B114" s="112" t="s">
        <v>47</v>
      </c>
      <c r="C114" s="112" t="s">
        <v>2088</v>
      </c>
      <c r="D114" s="112" t="s">
        <v>2089</v>
      </c>
      <c r="E114" s="124" t="s">
        <v>368</v>
      </c>
      <c r="F114" s="113" t="s">
        <v>2090</v>
      </c>
      <c r="G114" s="112" t="s">
        <v>2091</v>
      </c>
      <c r="H114" s="112"/>
      <c r="I114" s="128">
        <v>1.0</v>
      </c>
      <c r="J114" s="128">
        <v>1.0</v>
      </c>
      <c r="K114" s="128">
        <v>0.5</v>
      </c>
      <c r="L114" s="128">
        <v>0.5</v>
      </c>
      <c r="M114" s="128">
        <v>0.5</v>
      </c>
      <c r="N114" s="129">
        <f t="shared" si="1"/>
        <v>3.5</v>
      </c>
      <c r="O114" s="130" t="str">
        <f t="shared" si="2"/>
        <v>Sim</v>
      </c>
      <c r="P114" s="128">
        <v>1.0</v>
      </c>
      <c r="Q114" s="128">
        <v>0.5</v>
      </c>
      <c r="R114" s="128">
        <v>1.0</v>
      </c>
      <c r="S114" s="128">
        <v>1.0</v>
      </c>
      <c r="T114" s="128">
        <v>1.0</v>
      </c>
      <c r="U114" s="104">
        <f t="shared" si="3"/>
        <v>4.5</v>
      </c>
      <c r="V114" s="115" t="str">
        <f t="shared" si="4"/>
        <v>Sim</v>
      </c>
      <c r="W114" s="116" t="str">
        <f t="shared" si="5"/>
        <v>Igual</v>
      </c>
      <c r="X114" s="120"/>
      <c r="Y114" s="120"/>
      <c r="Z114" s="48" t="s">
        <v>555</v>
      </c>
      <c r="AA114" s="116" t="str">
        <f t="shared" si="6"/>
        <v>Sim</v>
      </c>
    </row>
    <row r="115">
      <c r="B115" s="112" t="s">
        <v>47</v>
      </c>
      <c r="C115" s="112" t="s">
        <v>2093</v>
      </c>
      <c r="D115" s="112" t="s">
        <v>2094</v>
      </c>
      <c r="E115" s="124" t="s">
        <v>368</v>
      </c>
      <c r="F115" s="113" t="s">
        <v>2095</v>
      </c>
      <c r="G115" s="112" t="s">
        <v>2096</v>
      </c>
      <c r="H115" s="112" t="s">
        <v>2097</v>
      </c>
      <c r="I115" s="128">
        <v>1.0</v>
      </c>
      <c r="J115" s="128">
        <v>1.0</v>
      </c>
      <c r="K115" s="128">
        <v>0.5</v>
      </c>
      <c r="L115" s="128">
        <v>0.5</v>
      </c>
      <c r="M115" s="128">
        <v>0.5</v>
      </c>
      <c r="N115" s="129">
        <f t="shared" si="1"/>
        <v>3.5</v>
      </c>
      <c r="O115" s="130" t="str">
        <f t="shared" si="2"/>
        <v>Sim</v>
      </c>
      <c r="P115" s="128">
        <v>1.0</v>
      </c>
      <c r="Q115" s="128">
        <v>0.5</v>
      </c>
      <c r="R115" s="128">
        <v>1.0</v>
      </c>
      <c r="S115" s="128">
        <v>1.0</v>
      </c>
      <c r="T115" s="128">
        <v>1.0</v>
      </c>
      <c r="U115" s="104">
        <f t="shared" si="3"/>
        <v>4.5</v>
      </c>
      <c r="V115" s="115" t="str">
        <f t="shared" si="4"/>
        <v>Sim</v>
      </c>
      <c r="W115" s="116" t="str">
        <f t="shared" si="5"/>
        <v>Igual</v>
      </c>
      <c r="X115" s="120"/>
      <c r="Y115" s="120"/>
      <c r="Z115" s="48" t="s">
        <v>343</v>
      </c>
      <c r="AA115" s="116" t="str">
        <f t="shared" si="6"/>
        <v>Sim</v>
      </c>
    </row>
    <row r="116">
      <c r="B116" s="112" t="s">
        <v>47</v>
      </c>
      <c r="C116" s="112" t="s">
        <v>2099</v>
      </c>
      <c r="D116" s="112" t="s">
        <v>2100</v>
      </c>
      <c r="E116" s="124" t="s">
        <v>368</v>
      </c>
      <c r="F116" s="113" t="s">
        <v>2101</v>
      </c>
      <c r="G116" s="112" t="s">
        <v>2102</v>
      </c>
      <c r="H116" s="112" t="s">
        <v>2103</v>
      </c>
      <c r="I116" s="128">
        <v>1.0</v>
      </c>
      <c r="J116" s="128">
        <v>1.0</v>
      </c>
      <c r="K116" s="128">
        <v>0.5</v>
      </c>
      <c r="L116" s="128">
        <v>0.5</v>
      </c>
      <c r="M116" s="128">
        <v>0.5</v>
      </c>
      <c r="N116" s="129">
        <f t="shared" si="1"/>
        <v>3.5</v>
      </c>
      <c r="O116" s="130" t="str">
        <f t="shared" si="2"/>
        <v>Sim</v>
      </c>
      <c r="P116" s="128">
        <v>0.5</v>
      </c>
      <c r="Q116" s="128">
        <v>0.0</v>
      </c>
      <c r="R116" s="128">
        <v>0.0</v>
      </c>
      <c r="S116" s="128">
        <v>0.0</v>
      </c>
      <c r="T116" s="128">
        <v>0.5</v>
      </c>
      <c r="U116" s="104">
        <f t="shared" si="3"/>
        <v>1</v>
      </c>
      <c r="V116" s="115" t="str">
        <f t="shared" si="4"/>
        <v>Não</v>
      </c>
      <c r="W116" s="116" t="str">
        <f t="shared" si="5"/>
        <v>Diferente</v>
      </c>
      <c r="X116" s="120"/>
      <c r="Y116" s="120"/>
      <c r="Z116" s="48" t="s">
        <v>343</v>
      </c>
      <c r="AA116" s="116" t="str">
        <f t="shared" si="6"/>
        <v>Sim</v>
      </c>
    </row>
    <row r="117">
      <c r="B117" s="112" t="s">
        <v>47</v>
      </c>
      <c r="C117" s="112" t="s">
        <v>2112</v>
      </c>
      <c r="D117" s="112" t="s">
        <v>2113</v>
      </c>
      <c r="E117" s="124" t="s">
        <v>410</v>
      </c>
      <c r="F117" s="113" t="s">
        <v>2114</v>
      </c>
      <c r="G117" s="112" t="s">
        <v>2115</v>
      </c>
      <c r="H117" s="112" t="s">
        <v>2116</v>
      </c>
      <c r="I117" s="128">
        <v>1.0</v>
      </c>
      <c r="J117" s="128">
        <v>1.0</v>
      </c>
      <c r="K117" s="128">
        <v>1.0</v>
      </c>
      <c r="L117" s="128">
        <v>1.0</v>
      </c>
      <c r="M117" s="128">
        <v>0.5</v>
      </c>
      <c r="N117" s="129">
        <f t="shared" si="1"/>
        <v>4.5</v>
      </c>
      <c r="O117" s="130" t="str">
        <f t="shared" si="2"/>
        <v>Sim</v>
      </c>
      <c r="P117" s="128">
        <v>1.0</v>
      </c>
      <c r="Q117" s="128">
        <v>1.0</v>
      </c>
      <c r="R117" s="128">
        <v>1.0</v>
      </c>
      <c r="S117" s="128">
        <v>1.0</v>
      </c>
      <c r="T117" s="128">
        <v>1.0</v>
      </c>
      <c r="U117" s="104">
        <f t="shared" si="3"/>
        <v>5</v>
      </c>
      <c r="V117" s="115" t="str">
        <f t="shared" si="4"/>
        <v>Sim</v>
      </c>
      <c r="W117" s="116" t="str">
        <f t="shared" si="5"/>
        <v>Igual</v>
      </c>
      <c r="X117" s="120"/>
      <c r="Y117" s="120"/>
      <c r="Z117" s="48" t="s">
        <v>343</v>
      </c>
      <c r="AA117" s="116" t="str">
        <f t="shared" si="6"/>
        <v>Sim</v>
      </c>
    </row>
    <row r="118">
      <c r="B118" s="112" t="s">
        <v>47</v>
      </c>
      <c r="C118" s="112" t="s">
        <v>2119</v>
      </c>
      <c r="D118" s="112" t="s">
        <v>2120</v>
      </c>
      <c r="E118" s="124" t="s">
        <v>410</v>
      </c>
      <c r="F118" s="113" t="s">
        <v>2121</v>
      </c>
      <c r="G118" s="112" t="s">
        <v>2122</v>
      </c>
      <c r="H118" s="112" t="s">
        <v>2123</v>
      </c>
      <c r="I118" s="128">
        <v>1.0</v>
      </c>
      <c r="J118" s="128">
        <v>1.0</v>
      </c>
      <c r="K118" s="128">
        <v>0.5</v>
      </c>
      <c r="L118" s="128">
        <v>0.5</v>
      </c>
      <c r="M118" s="128">
        <v>0.5</v>
      </c>
      <c r="N118" s="129">
        <f t="shared" si="1"/>
        <v>3.5</v>
      </c>
      <c r="O118" s="130" t="str">
        <f t="shared" si="2"/>
        <v>Sim</v>
      </c>
      <c r="P118" s="128">
        <v>0.0</v>
      </c>
      <c r="Q118" s="128">
        <v>0.0</v>
      </c>
      <c r="R118" s="128">
        <v>0.0</v>
      </c>
      <c r="S118" s="128">
        <v>0.0</v>
      </c>
      <c r="T118" s="128">
        <v>0.5</v>
      </c>
      <c r="U118" s="104">
        <f t="shared" si="3"/>
        <v>0.5</v>
      </c>
      <c r="V118" s="115" t="str">
        <f t="shared" si="4"/>
        <v>Não</v>
      </c>
      <c r="W118" s="116" t="str">
        <f t="shared" si="5"/>
        <v>Diferente</v>
      </c>
      <c r="X118" s="120"/>
      <c r="Y118" s="120"/>
      <c r="Z118" s="48" t="s">
        <v>343</v>
      </c>
      <c r="AA118" s="116" t="str">
        <f t="shared" si="6"/>
        <v>Sim</v>
      </c>
    </row>
    <row r="119">
      <c r="B119" s="112" t="s">
        <v>47</v>
      </c>
      <c r="C119" s="112" t="s">
        <v>2125</v>
      </c>
      <c r="D119" s="112" t="s">
        <v>2126</v>
      </c>
      <c r="E119" s="124" t="s">
        <v>410</v>
      </c>
      <c r="F119" s="113" t="s">
        <v>2127</v>
      </c>
      <c r="G119" s="112" t="s">
        <v>2128</v>
      </c>
      <c r="H119" s="112" t="s">
        <v>2129</v>
      </c>
      <c r="I119" s="128">
        <v>1.0</v>
      </c>
      <c r="J119" s="128">
        <v>1.0</v>
      </c>
      <c r="K119" s="128">
        <v>0.5</v>
      </c>
      <c r="L119" s="128">
        <v>0.5</v>
      </c>
      <c r="M119" s="128">
        <v>0.5</v>
      </c>
      <c r="N119" s="129">
        <f t="shared" si="1"/>
        <v>3.5</v>
      </c>
      <c r="O119" s="130" t="str">
        <f t="shared" si="2"/>
        <v>Sim</v>
      </c>
      <c r="P119" s="128">
        <v>1.0</v>
      </c>
      <c r="Q119" s="128">
        <v>0.5</v>
      </c>
      <c r="R119" s="128">
        <v>0.5</v>
      </c>
      <c r="S119" s="128">
        <v>0.5</v>
      </c>
      <c r="T119" s="128">
        <v>0.5</v>
      </c>
      <c r="U119" s="104">
        <f t="shared" si="3"/>
        <v>3</v>
      </c>
      <c r="V119" s="115" t="str">
        <f t="shared" si="4"/>
        <v>Sim</v>
      </c>
      <c r="W119" s="116" t="str">
        <f t="shared" si="5"/>
        <v>Igual</v>
      </c>
      <c r="X119" s="120"/>
      <c r="Y119" s="120"/>
      <c r="Z119" s="48" t="s">
        <v>343</v>
      </c>
      <c r="AA119" s="116" t="str">
        <f t="shared" si="6"/>
        <v>Sim</v>
      </c>
    </row>
    <row r="120">
      <c r="B120" s="112" t="s">
        <v>47</v>
      </c>
      <c r="C120" s="112" t="s">
        <v>2132</v>
      </c>
      <c r="D120" s="112" t="s">
        <v>2133</v>
      </c>
      <c r="E120" s="124" t="s">
        <v>410</v>
      </c>
      <c r="F120" s="113" t="s">
        <v>2134</v>
      </c>
      <c r="G120" s="112" t="s">
        <v>2135</v>
      </c>
      <c r="H120" s="112" t="s">
        <v>2136</v>
      </c>
      <c r="I120" s="128">
        <v>1.0</v>
      </c>
      <c r="J120" s="128">
        <v>1.0</v>
      </c>
      <c r="K120" s="128">
        <v>0.5</v>
      </c>
      <c r="L120" s="128">
        <v>0.5</v>
      </c>
      <c r="M120" s="128">
        <v>0.5</v>
      </c>
      <c r="N120" s="129">
        <f t="shared" si="1"/>
        <v>3.5</v>
      </c>
      <c r="O120" s="130" t="str">
        <f t="shared" si="2"/>
        <v>Sim</v>
      </c>
      <c r="P120" s="128">
        <v>1.0</v>
      </c>
      <c r="Q120" s="128">
        <v>1.0</v>
      </c>
      <c r="R120" s="128">
        <v>1.0</v>
      </c>
      <c r="S120" s="128">
        <v>1.0</v>
      </c>
      <c r="T120" s="128">
        <v>1.0</v>
      </c>
      <c r="U120" s="104">
        <f t="shared" si="3"/>
        <v>5</v>
      </c>
      <c r="V120" s="115" t="str">
        <f t="shared" si="4"/>
        <v>Sim</v>
      </c>
      <c r="W120" s="116" t="str">
        <f t="shared" si="5"/>
        <v>Igual</v>
      </c>
      <c r="X120" s="120"/>
      <c r="Y120" s="120"/>
      <c r="Z120" s="48" t="s">
        <v>343</v>
      </c>
      <c r="AA120" s="116" t="str">
        <f t="shared" si="6"/>
        <v>Sim</v>
      </c>
    </row>
    <row r="121">
      <c r="B121" s="112" t="s">
        <v>47</v>
      </c>
      <c r="C121" s="112" t="s">
        <v>2138</v>
      </c>
      <c r="D121" s="112" t="s">
        <v>2139</v>
      </c>
      <c r="E121" s="124" t="s">
        <v>410</v>
      </c>
      <c r="F121" s="113" t="s">
        <v>2140</v>
      </c>
      <c r="G121" s="112" t="s">
        <v>2141</v>
      </c>
      <c r="H121" s="112"/>
      <c r="I121" s="128">
        <v>1.0</v>
      </c>
      <c r="J121" s="128">
        <v>1.0</v>
      </c>
      <c r="K121" s="128">
        <v>0.5</v>
      </c>
      <c r="L121" s="128">
        <v>0.5</v>
      </c>
      <c r="M121" s="128">
        <v>0.5</v>
      </c>
      <c r="N121" s="129">
        <f t="shared" si="1"/>
        <v>3.5</v>
      </c>
      <c r="O121" s="130" t="str">
        <f t="shared" si="2"/>
        <v>Sim</v>
      </c>
      <c r="P121" s="128">
        <v>0.0</v>
      </c>
      <c r="Q121" s="128">
        <v>0.0</v>
      </c>
      <c r="R121" s="128">
        <v>0.5</v>
      </c>
      <c r="S121" s="128">
        <v>0.5</v>
      </c>
      <c r="T121" s="128">
        <v>0.5</v>
      </c>
      <c r="U121" s="104">
        <f t="shared" si="3"/>
        <v>1.5</v>
      </c>
      <c r="V121" s="115" t="str">
        <f t="shared" si="4"/>
        <v>Não</v>
      </c>
      <c r="W121" s="116" t="str">
        <f t="shared" si="5"/>
        <v>Diferente</v>
      </c>
      <c r="X121" s="120"/>
      <c r="Y121" s="120"/>
      <c r="Z121" s="48" t="s">
        <v>555</v>
      </c>
      <c r="AA121" s="116" t="str">
        <f t="shared" si="6"/>
        <v>Sim</v>
      </c>
    </row>
    <row r="122" hidden="1">
      <c r="B122" s="112" t="s">
        <v>47</v>
      </c>
      <c r="C122" s="112" t="s">
        <v>2143</v>
      </c>
      <c r="D122" s="112" t="s">
        <v>2144</v>
      </c>
      <c r="E122" s="124" t="s">
        <v>410</v>
      </c>
      <c r="F122" s="113" t="s">
        <v>2145</v>
      </c>
      <c r="G122" s="112" t="s">
        <v>2146</v>
      </c>
      <c r="H122" s="112" t="s">
        <v>2147</v>
      </c>
      <c r="I122" s="128">
        <v>1.0</v>
      </c>
      <c r="J122" s="128">
        <v>0.0</v>
      </c>
      <c r="K122" s="128">
        <v>0.5</v>
      </c>
      <c r="L122" s="128">
        <v>0.0</v>
      </c>
      <c r="M122" s="128">
        <v>0.5</v>
      </c>
      <c r="N122" s="129">
        <f t="shared" si="1"/>
        <v>2</v>
      </c>
      <c r="O122" s="130" t="str">
        <f t="shared" si="2"/>
        <v>Não</v>
      </c>
      <c r="P122" s="128">
        <v>0.0</v>
      </c>
      <c r="Q122" s="128">
        <v>0.0</v>
      </c>
      <c r="R122" s="128">
        <v>0.0</v>
      </c>
      <c r="S122" s="128">
        <v>0.0</v>
      </c>
      <c r="T122" s="128">
        <v>0.5</v>
      </c>
      <c r="U122" s="104">
        <f t="shared" si="3"/>
        <v>0.5</v>
      </c>
      <c r="V122" s="115" t="str">
        <f t="shared" si="4"/>
        <v>Não</v>
      </c>
      <c r="W122" s="116" t="str">
        <f t="shared" si="5"/>
        <v>Igual</v>
      </c>
      <c r="X122" s="120"/>
      <c r="Y122" s="120"/>
      <c r="Z122" s="48" t="s">
        <v>555</v>
      </c>
      <c r="AA122" s="116" t="str">
        <f t="shared" si="6"/>
        <v>Não</v>
      </c>
    </row>
    <row r="123">
      <c r="B123" s="112" t="s">
        <v>47</v>
      </c>
      <c r="C123" s="112" t="s">
        <v>2155</v>
      </c>
      <c r="D123" s="112" t="s">
        <v>2156</v>
      </c>
      <c r="E123" s="124" t="s">
        <v>410</v>
      </c>
      <c r="F123" s="113" t="s">
        <v>2157</v>
      </c>
      <c r="G123" s="112" t="s">
        <v>2158</v>
      </c>
      <c r="H123" s="112" t="s">
        <v>2159</v>
      </c>
      <c r="I123" s="128">
        <v>1.0</v>
      </c>
      <c r="J123" s="128">
        <v>0.5</v>
      </c>
      <c r="K123" s="128">
        <v>0.5</v>
      </c>
      <c r="L123" s="128">
        <v>0.5</v>
      </c>
      <c r="M123" s="128">
        <v>0.5</v>
      </c>
      <c r="N123" s="129">
        <f t="shared" si="1"/>
        <v>3</v>
      </c>
      <c r="O123" s="130" t="str">
        <f t="shared" si="2"/>
        <v>Sim</v>
      </c>
      <c r="P123" s="128">
        <v>0.5</v>
      </c>
      <c r="Q123" s="128">
        <v>0.5</v>
      </c>
      <c r="R123" s="128">
        <v>0.0</v>
      </c>
      <c r="S123" s="128">
        <v>0.5</v>
      </c>
      <c r="T123" s="128">
        <v>0.5</v>
      </c>
      <c r="U123" s="104">
        <f t="shared" si="3"/>
        <v>2</v>
      </c>
      <c r="V123" s="115" t="str">
        <f t="shared" si="4"/>
        <v>Não</v>
      </c>
      <c r="W123" s="116" t="str">
        <f t="shared" si="5"/>
        <v>Diferente</v>
      </c>
      <c r="X123" s="120"/>
      <c r="Y123" s="120"/>
      <c r="Z123" s="48" t="s">
        <v>85</v>
      </c>
      <c r="AA123" s="116" t="str">
        <f t="shared" si="6"/>
        <v>Sim</v>
      </c>
    </row>
    <row r="124" hidden="1">
      <c r="B124" s="112" t="s">
        <v>47</v>
      </c>
      <c r="C124" s="112" t="s">
        <v>2172</v>
      </c>
      <c r="D124" s="112" t="s">
        <v>2173</v>
      </c>
      <c r="E124" s="124" t="s">
        <v>410</v>
      </c>
      <c r="F124" s="113" t="s">
        <v>2174</v>
      </c>
      <c r="G124" s="112" t="s">
        <v>2175</v>
      </c>
      <c r="H124" s="112" t="s">
        <v>2176</v>
      </c>
      <c r="I124" s="128">
        <v>1.0</v>
      </c>
      <c r="J124" s="128">
        <v>0.0</v>
      </c>
      <c r="K124" s="128">
        <v>0.0</v>
      </c>
      <c r="L124" s="128">
        <v>0.5</v>
      </c>
      <c r="M124" s="128">
        <v>0.5</v>
      </c>
      <c r="N124" s="129">
        <f t="shared" si="1"/>
        <v>2</v>
      </c>
      <c r="O124" s="130" t="str">
        <f t="shared" si="2"/>
        <v>Não</v>
      </c>
      <c r="P124" s="128">
        <v>0.0</v>
      </c>
      <c r="Q124" s="128">
        <v>0.0</v>
      </c>
      <c r="R124" s="128">
        <v>0.0</v>
      </c>
      <c r="S124" s="128">
        <v>0.5</v>
      </c>
      <c r="T124" s="128">
        <v>0.5</v>
      </c>
      <c r="U124" s="104">
        <f t="shared" si="3"/>
        <v>1</v>
      </c>
      <c r="V124" s="115" t="str">
        <f t="shared" si="4"/>
        <v>Não</v>
      </c>
      <c r="W124" s="116" t="str">
        <f t="shared" si="5"/>
        <v>Igual</v>
      </c>
      <c r="X124" s="120"/>
      <c r="Y124" s="120"/>
      <c r="Z124" s="48" t="s">
        <v>85</v>
      </c>
      <c r="AA124" s="116" t="str">
        <f t="shared" si="6"/>
        <v>Não</v>
      </c>
    </row>
    <row r="125" hidden="1">
      <c r="B125" s="112" t="s">
        <v>47</v>
      </c>
      <c r="C125" s="112" t="s">
        <v>2178</v>
      </c>
      <c r="D125" s="112" t="s">
        <v>2179</v>
      </c>
      <c r="E125" s="124" t="s">
        <v>410</v>
      </c>
      <c r="F125" s="113" t="s">
        <v>2180</v>
      </c>
      <c r="G125" s="112" t="s">
        <v>2181</v>
      </c>
      <c r="H125" s="112" t="s">
        <v>2182</v>
      </c>
      <c r="I125" s="128">
        <v>1.0</v>
      </c>
      <c r="J125" s="128">
        <v>0.0</v>
      </c>
      <c r="K125" s="128">
        <v>0.0</v>
      </c>
      <c r="L125" s="128">
        <v>0.0</v>
      </c>
      <c r="M125" s="128">
        <v>0.0</v>
      </c>
      <c r="N125" s="129">
        <f t="shared" si="1"/>
        <v>1</v>
      </c>
      <c r="O125" s="130" t="str">
        <f t="shared" si="2"/>
        <v>Não</v>
      </c>
      <c r="P125" s="128">
        <v>0.0</v>
      </c>
      <c r="Q125" s="128">
        <v>0.0</v>
      </c>
      <c r="R125" s="128">
        <v>0.0</v>
      </c>
      <c r="S125" s="128">
        <v>0.5</v>
      </c>
      <c r="T125" s="128">
        <v>0.5</v>
      </c>
      <c r="U125" s="104">
        <f t="shared" si="3"/>
        <v>1</v>
      </c>
      <c r="V125" s="115" t="str">
        <f t="shared" si="4"/>
        <v>Não</v>
      </c>
      <c r="W125" s="116" t="str">
        <f t="shared" si="5"/>
        <v>Igual</v>
      </c>
      <c r="X125" s="120"/>
      <c r="Y125" s="120"/>
      <c r="Z125" s="48" t="s">
        <v>85</v>
      </c>
      <c r="AA125" s="116" t="str">
        <f t="shared" si="6"/>
        <v>Não</v>
      </c>
    </row>
    <row r="126" hidden="1">
      <c r="B126" s="112" t="s">
        <v>47</v>
      </c>
      <c r="C126" s="112" t="s">
        <v>2184</v>
      </c>
      <c r="D126" s="112" t="s">
        <v>485</v>
      </c>
      <c r="E126" s="124" t="s">
        <v>410</v>
      </c>
      <c r="F126" s="113" t="s">
        <v>2185</v>
      </c>
      <c r="G126" s="112" t="s">
        <v>2186</v>
      </c>
      <c r="H126" s="112"/>
      <c r="I126" s="128">
        <v>0.0</v>
      </c>
      <c r="J126" s="128">
        <v>0.0</v>
      </c>
      <c r="K126" s="128">
        <v>0.0</v>
      </c>
      <c r="L126" s="128">
        <v>1.0</v>
      </c>
      <c r="M126" s="128">
        <v>0.0</v>
      </c>
      <c r="N126" s="129">
        <f t="shared" si="1"/>
        <v>1</v>
      </c>
      <c r="O126" s="130" t="str">
        <f t="shared" si="2"/>
        <v>Não</v>
      </c>
      <c r="P126" s="128">
        <v>0.0</v>
      </c>
      <c r="Q126" s="128">
        <v>0.0</v>
      </c>
      <c r="R126" s="128">
        <v>0.0</v>
      </c>
      <c r="S126" s="128">
        <v>0.0</v>
      </c>
      <c r="T126" s="128">
        <v>0.5</v>
      </c>
      <c r="U126" s="104">
        <f t="shared" si="3"/>
        <v>0.5</v>
      </c>
      <c r="V126" s="115" t="str">
        <f t="shared" si="4"/>
        <v>Não</v>
      </c>
      <c r="W126" s="116" t="str">
        <f t="shared" si="5"/>
        <v>Igual</v>
      </c>
      <c r="X126" s="120"/>
      <c r="Y126" s="120"/>
      <c r="Z126" s="48" t="s">
        <v>555</v>
      </c>
      <c r="AA126" s="116" t="str">
        <f t="shared" si="6"/>
        <v>Não</v>
      </c>
    </row>
    <row r="127" hidden="1">
      <c r="B127" s="112" t="s">
        <v>47</v>
      </c>
      <c r="C127" s="112" t="s">
        <v>2188</v>
      </c>
      <c r="D127" s="112" t="s">
        <v>135</v>
      </c>
      <c r="E127" s="124" t="s">
        <v>376</v>
      </c>
      <c r="F127" s="113" t="s">
        <v>2189</v>
      </c>
      <c r="G127" s="112" t="s">
        <v>2190</v>
      </c>
      <c r="H127" s="112" t="s">
        <v>2191</v>
      </c>
      <c r="I127" s="128">
        <v>0.0</v>
      </c>
      <c r="J127" s="128">
        <v>1.0</v>
      </c>
      <c r="K127" s="128">
        <v>0.0</v>
      </c>
      <c r="L127" s="128">
        <v>0.0</v>
      </c>
      <c r="M127" s="128">
        <v>0.0</v>
      </c>
      <c r="N127" s="129">
        <f t="shared" si="1"/>
        <v>1</v>
      </c>
      <c r="O127" s="130" t="str">
        <f t="shared" si="2"/>
        <v>Não</v>
      </c>
      <c r="P127" s="128">
        <v>0.0</v>
      </c>
      <c r="Q127" s="128">
        <v>0.0</v>
      </c>
      <c r="R127" s="128">
        <v>0.0</v>
      </c>
      <c r="S127" s="128">
        <v>0.5</v>
      </c>
      <c r="T127" s="128">
        <v>0.5</v>
      </c>
      <c r="U127" s="104">
        <f t="shared" si="3"/>
        <v>1</v>
      </c>
      <c r="V127" s="115" t="str">
        <f t="shared" si="4"/>
        <v>Não</v>
      </c>
      <c r="W127" s="116" t="str">
        <f t="shared" si="5"/>
        <v>Igual</v>
      </c>
      <c r="X127" s="120"/>
      <c r="Y127" s="120"/>
      <c r="Z127" s="48" t="s">
        <v>343</v>
      </c>
      <c r="AA127" s="116" t="str">
        <f t="shared" si="6"/>
        <v>Não</v>
      </c>
    </row>
    <row r="128">
      <c r="B128" s="112" t="s">
        <v>47</v>
      </c>
      <c r="C128" s="112" t="s">
        <v>2194</v>
      </c>
      <c r="D128" s="112" t="s">
        <v>2195</v>
      </c>
      <c r="E128" s="124" t="s">
        <v>376</v>
      </c>
      <c r="F128" s="113" t="s">
        <v>2196</v>
      </c>
      <c r="G128" s="112" t="s">
        <v>2197</v>
      </c>
      <c r="H128" s="112" t="s">
        <v>2198</v>
      </c>
      <c r="I128" s="128">
        <v>0.5</v>
      </c>
      <c r="J128" s="128">
        <v>0.0</v>
      </c>
      <c r="K128" s="128">
        <v>0.0</v>
      </c>
      <c r="L128" s="128">
        <v>1.0</v>
      </c>
      <c r="M128" s="128">
        <v>0.5</v>
      </c>
      <c r="N128" s="129">
        <f t="shared" si="1"/>
        <v>2</v>
      </c>
      <c r="O128" s="130" t="str">
        <f t="shared" si="2"/>
        <v>Não</v>
      </c>
      <c r="P128" s="128">
        <v>1.0</v>
      </c>
      <c r="Q128" s="128">
        <v>0.5</v>
      </c>
      <c r="R128" s="128">
        <v>1.0</v>
      </c>
      <c r="S128" s="128">
        <v>1.0</v>
      </c>
      <c r="T128" s="128">
        <v>1.0</v>
      </c>
      <c r="U128" s="104">
        <f t="shared" si="3"/>
        <v>4.5</v>
      </c>
      <c r="V128" s="115" t="str">
        <f t="shared" si="4"/>
        <v>Sim</v>
      </c>
      <c r="W128" s="116" t="str">
        <f t="shared" si="5"/>
        <v>Diferente</v>
      </c>
      <c r="X128" s="120"/>
      <c r="Y128" s="120"/>
      <c r="Z128" s="48" t="s">
        <v>343</v>
      </c>
      <c r="AA128" s="116" t="str">
        <f t="shared" si="6"/>
        <v>Sim</v>
      </c>
    </row>
    <row r="129">
      <c r="B129" s="112" t="s">
        <v>47</v>
      </c>
      <c r="C129" s="112" t="s">
        <v>2200</v>
      </c>
      <c r="D129" s="112" t="s">
        <v>2201</v>
      </c>
      <c r="E129" s="124" t="s">
        <v>376</v>
      </c>
      <c r="F129" s="113" t="s">
        <v>2202</v>
      </c>
      <c r="G129" s="112" t="s">
        <v>2203</v>
      </c>
      <c r="H129" s="112" t="s">
        <v>2204</v>
      </c>
      <c r="I129" s="128">
        <v>0.0</v>
      </c>
      <c r="J129" s="128">
        <v>0.0</v>
      </c>
      <c r="K129" s="128">
        <v>0.0</v>
      </c>
      <c r="L129" s="128">
        <v>1.0</v>
      </c>
      <c r="M129" s="128">
        <v>0.0</v>
      </c>
      <c r="N129" s="129">
        <f t="shared" si="1"/>
        <v>1</v>
      </c>
      <c r="O129" s="130" t="str">
        <f t="shared" si="2"/>
        <v>Não</v>
      </c>
      <c r="P129" s="128">
        <v>1.0</v>
      </c>
      <c r="Q129" s="128">
        <v>0.5</v>
      </c>
      <c r="R129" s="128">
        <v>1.0</v>
      </c>
      <c r="S129" s="128">
        <v>1.0</v>
      </c>
      <c r="T129" s="128">
        <v>1.0</v>
      </c>
      <c r="U129" s="104">
        <f t="shared" si="3"/>
        <v>4.5</v>
      </c>
      <c r="V129" s="115" t="str">
        <f t="shared" si="4"/>
        <v>Sim</v>
      </c>
      <c r="W129" s="116" t="str">
        <f t="shared" si="5"/>
        <v>Diferente</v>
      </c>
      <c r="X129" s="120"/>
      <c r="Y129" s="120"/>
      <c r="Z129" s="48" t="s">
        <v>343</v>
      </c>
      <c r="AA129" s="116" t="str">
        <f t="shared" si="6"/>
        <v>Sim</v>
      </c>
    </row>
    <row r="130">
      <c r="B130" s="112" t="s">
        <v>47</v>
      </c>
      <c r="C130" s="112" t="s">
        <v>2212</v>
      </c>
      <c r="D130" s="112" t="s">
        <v>2213</v>
      </c>
      <c r="E130" s="124" t="s">
        <v>376</v>
      </c>
      <c r="F130" s="113" t="s">
        <v>2214</v>
      </c>
      <c r="G130" s="112" t="s">
        <v>2215</v>
      </c>
      <c r="H130" s="112" t="s">
        <v>2216</v>
      </c>
      <c r="I130" s="128">
        <v>0.0</v>
      </c>
      <c r="J130" s="128">
        <v>1.0</v>
      </c>
      <c r="K130" s="128">
        <v>0.0</v>
      </c>
      <c r="L130" s="128">
        <v>1.0</v>
      </c>
      <c r="M130" s="128">
        <v>0.5</v>
      </c>
      <c r="N130" s="129">
        <f t="shared" si="1"/>
        <v>2.5</v>
      </c>
      <c r="O130" s="130" t="str">
        <f t="shared" si="2"/>
        <v>Sim</v>
      </c>
      <c r="P130" s="128">
        <v>1.0</v>
      </c>
      <c r="Q130" s="128">
        <v>0.5</v>
      </c>
      <c r="R130" s="128">
        <v>1.0</v>
      </c>
      <c r="S130" s="128">
        <v>1.0</v>
      </c>
      <c r="T130" s="128">
        <v>1.0</v>
      </c>
      <c r="U130" s="104">
        <f t="shared" si="3"/>
        <v>4.5</v>
      </c>
      <c r="V130" s="115" t="str">
        <f t="shared" si="4"/>
        <v>Sim</v>
      </c>
      <c r="W130" s="116" t="str">
        <f t="shared" si="5"/>
        <v>Igual</v>
      </c>
      <c r="X130" s="120"/>
      <c r="Y130" s="120"/>
      <c r="Z130" s="48" t="s">
        <v>555</v>
      </c>
      <c r="AA130" s="116" t="str">
        <f t="shared" si="6"/>
        <v>Sim</v>
      </c>
    </row>
    <row r="131">
      <c r="B131" s="112" t="s">
        <v>47</v>
      </c>
      <c r="C131" s="112" t="s">
        <v>2226</v>
      </c>
      <c r="D131" s="112" t="s">
        <v>2227</v>
      </c>
      <c r="E131" s="124" t="s">
        <v>376</v>
      </c>
      <c r="F131" s="113" t="s">
        <v>2228</v>
      </c>
      <c r="G131" s="112" t="s">
        <v>2229</v>
      </c>
      <c r="H131" s="112" t="s">
        <v>2230</v>
      </c>
      <c r="I131" s="128">
        <v>0.0</v>
      </c>
      <c r="J131" s="128">
        <v>0.0</v>
      </c>
      <c r="K131" s="128">
        <v>0.5</v>
      </c>
      <c r="L131" s="128">
        <v>0.0</v>
      </c>
      <c r="M131" s="128">
        <v>0.0</v>
      </c>
      <c r="N131" s="129">
        <f t="shared" si="1"/>
        <v>0.5</v>
      </c>
      <c r="O131" s="130" t="str">
        <f t="shared" si="2"/>
        <v>Não</v>
      </c>
      <c r="P131" s="128">
        <v>1.0</v>
      </c>
      <c r="Q131" s="128">
        <v>0.5</v>
      </c>
      <c r="R131" s="128">
        <v>1.0</v>
      </c>
      <c r="S131" s="128">
        <v>1.0</v>
      </c>
      <c r="T131" s="128">
        <v>1.0</v>
      </c>
      <c r="U131" s="104">
        <f t="shared" si="3"/>
        <v>4.5</v>
      </c>
      <c r="V131" s="115" t="str">
        <f t="shared" si="4"/>
        <v>Sim</v>
      </c>
      <c r="W131" s="116" t="str">
        <f t="shared" si="5"/>
        <v>Diferente</v>
      </c>
      <c r="X131" s="120"/>
      <c r="Y131" s="120"/>
      <c r="Z131" s="48" t="s">
        <v>555</v>
      </c>
      <c r="AA131" s="116" t="str">
        <f t="shared" si="6"/>
        <v>Sim</v>
      </c>
    </row>
    <row r="132">
      <c r="B132" s="112" t="s">
        <v>47</v>
      </c>
      <c r="C132" s="112" t="s">
        <v>2232</v>
      </c>
      <c r="D132" s="112" t="s">
        <v>2233</v>
      </c>
      <c r="E132" s="124" t="s">
        <v>376</v>
      </c>
      <c r="F132" s="113" t="s">
        <v>2234</v>
      </c>
      <c r="G132" s="112" t="s">
        <v>2235</v>
      </c>
      <c r="H132" s="112" t="s">
        <v>2236</v>
      </c>
      <c r="I132" s="48">
        <v>1.0</v>
      </c>
      <c r="J132" s="48">
        <v>0.0</v>
      </c>
      <c r="K132" s="48">
        <v>0.0</v>
      </c>
      <c r="L132" s="48">
        <v>1.0</v>
      </c>
      <c r="M132" s="115">
        <v>0.5</v>
      </c>
      <c r="N132" s="104">
        <f t="shared" si="1"/>
        <v>2.5</v>
      </c>
      <c r="O132" s="115" t="str">
        <f t="shared" si="2"/>
        <v>Sim</v>
      </c>
      <c r="P132" s="115">
        <v>0.0</v>
      </c>
      <c r="Q132" s="115">
        <v>0.0</v>
      </c>
      <c r="R132" s="115">
        <v>0.0</v>
      </c>
      <c r="S132" s="115">
        <v>0.5</v>
      </c>
      <c r="T132" s="115">
        <v>0.5</v>
      </c>
      <c r="U132" s="104">
        <f t="shared" si="3"/>
        <v>1</v>
      </c>
      <c r="V132" s="115" t="str">
        <f t="shared" si="4"/>
        <v>Não</v>
      </c>
      <c r="W132" s="116" t="str">
        <f t="shared" si="5"/>
        <v>Diferente</v>
      </c>
      <c r="X132" s="120"/>
      <c r="Y132" s="120"/>
      <c r="Z132" s="48" t="s">
        <v>343</v>
      </c>
      <c r="AA132" s="116" t="str">
        <f t="shared" si="6"/>
        <v>Sim</v>
      </c>
    </row>
    <row r="133">
      <c r="B133" s="112" t="s">
        <v>47</v>
      </c>
      <c r="C133" s="112" t="s">
        <v>2249</v>
      </c>
      <c r="D133" s="112" t="s">
        <v>2250</v>
      </c>
      <c r="E133" s="124" t="s">
        <v>376</v>
      </c>
      <c r="F133" s="113" t="s">
        <v>2251</v>
      </c>
      <c r="G133" s="112" t="s">
        <v>2252</v>
      </c>
      <c r="H133" s="112" t="s">
        <v>2253</v>
      </c>
      <c r="I133" s="48">
        <v>1.0</v>
      </c>
      <c r="J133" s="48">
        <v>0.0</v>
      </c>
      <c r="K133" s="48">
        <v>0.0</v>
      </c>
      <c r="L133" s="48">
        <v>1.0</v>
      </c>
      <c r="M133" s="115">
        <v>0.5</v>
      </c>
      <c r="N133" s="104">
        <f t="shared" si="1"/>
        <v>2.5</v>
      </c>
      <c r="O133" s="115" t="str">
        <f t="shared" si="2"/>
        <v>Sim</v>
      </c>
      <c r="P133" s="115">
        <v>0.0</v>
      </c>
      <c r="Q133" s="115">
        <v>0.0</v>
      </c>
      <c r="R133" s="115">
        <v>0.0</v>
      </c>
      <c r="S133" s="115">
        <v>0.0</v>
      </c>
      <c r="T133" s="115">
        <v>0.5</v>
      </c>
      <c r="U133" s="104">
        <f t="shared" si="3"/>
        <v>0.5</v>
      </c>
      <c r="V133" s="115" t="str">
        <f t="shared" si="4"/>
        <v>Não</v>
      </c>
      <c r="W133" s="116" t="str">
        <f t="shared" si="5"/>
        <v>Diferente</v>
      </c>
      <c r="X133" s="120"/>
      <c r="Y133" s="120"/>
      <c r="Z133" s="48" t="s">
        <v>343</v>
      </c>
      <c r="AA133" s="116" t="str">
        <f t="shared" si="6"/>
        <v>Sim</v>
      </c>
    </row>
    <row r="134">
      <c r="B134" s="112" t="s">
        <v>47</v>
      </c>
      <c r="C134" s="112" t="s">
        <v>2255</v>
      </c>
      <c r="D134" s="112" t="s">
        <v>2256</v>
      </c>
      <c r="E134" s="124" t="s">
        <v>376</v>
      </c>
      <c r="F134" s="113" t="s">
        <v>2257</v>
      </c>
      <c r="G134" s="112" t="s">
        <v>2258</v>
      </c>
      <c r="H134" s="112" t="s">
        <v>2259</v>
      </c>
      <c r="I134" s="48">
        <v>0.0</v>
      </c>
      <c r="J134" s="48">
        <v>1.0</v>
      </c>
      <c r="K134" s="48">
        <v>0.0</v>
      </c>
      <c r="L134" s="48">
        <v>1.0</v>
      </c>
      <c r="M134" s="115">
        <v>0.5</v>
      </c>
      <c r="N134" s="104">
        <f t="shared" si="1"/>
        <v>2.5</v>
      </c>
      <c r="O134" s="115" t="str">
        <f t="shared" si="2"/>
        <v>Sim</v>
      </c>
      <c r="P134" s="48">
        <v>1.0</v>
      </c>
      <c r="Q134" s="48">
        <v>1.0</v>
      </c>
      <c r="R134" s="48">
        <v>0.0</v>
      </c>
      <c r="S134" s="48">
        <v>1.0</v>
      </c>
      <c r="T134" s="115">
        <v>1.0</v>
      </c>
      <c r="U134" s="104">
        <f t="shared" si="3"/>
        <v>4</v>
      </c>
      <c r="V134" s="115" t="str">
        <f t="shared" si="4"/>
        <v>Sim</v>
      </c>
      <c r="W134" s="116" t="str">
        <f t="shared" si="5"/>
        <v>Igual</v>
      </c>
      <c r="X134" s="120"/>
      <c r="Y134" s="120"/>
      <c r="Z134" s="48" t="s">
        <v>555</v>
      </c>
      <c r="AA134" s="116" t="str">
        <f t="shared" si="6"/>
        <v>Sim</v>
      </c>
    </row>
    <row r="135">
      <c r="B135" s="112" t="s">
        <v>47</v>
      </c>
      <c r="C135" s="112" t="s">
        <v>2261</v>
      </c>
      <c r="D135" s="112" t="s">
        <v>2262</v>
      </c>
      <c r="E135" s="124" t="s">
        <v>376</v>
      </c>
      <c r="F135" s="113" t="s">
        <v>2263</v>
      </c>
      <c r="G135" s="112" t="s">
        <v>2264</v>
      </c>
      <c r="H135" s="112" t="s">
        <v>2265</v>
      </c>
      <c r="I135" s="48">
        <v>0.0</v>
      </c>
      <c r="J135" s="48">
        <v>1.0</v>
      </c>
      <c r="K135" s="48">
        <v>0.0</v>
      </c>
      <c r="L135" s="48">
        <v>1.0</v>
      </c>
      <c r="M135" s="115">
        <v>0.5</v>
      </c>
      <c r="N135" s="104">
        <f t="shared" si="1"/>
        <v>2.5</v>
      </c>
      <c r="O135" s="115" t="str">
        <f t="shared" si="2"/>
        <v>Sim</v>
      </c>
      <c r="P135" s="48">
        <v>1.0</v>
      </c>
      <c r="Q135" s="48">
        <v>1.0</v>
      </c>
      <c r="R135" s="48">
        <v>0.0</v>
      </c>
      <c r="S135" s="48">
        <v>0.0</v>
      </c>
      <c r="T135" s="115">
        <v>0.5</v>
      </c>
      <c r="U135" s="104">
        <f t="shared" si="3"/>
        <v>2.5</v>
      </c>
      <c r="V135" s="115" t="str">
        <f t="shared" si="4"/>
        <v>Sim</v>
      </c>
      <c r="W135" s="116" t="str">
        <f t="shared" si="5"/>
        <v>Igual</v>
      </c>
      <c r="X135" s="120"/>
      <c r="Y135" s="120"/>
      <c r="Z135" s="48" t="s">
        <v>343</v>
      </c>
      <c r="AA135" s="116" t="str">
        <f t="shared" si="6"/>
        <v>Sim</v>
      </c>
    </row>
    <row r="136">
      <c r="B136" s="112" t="s">
        <v>47</v>
      </c>
      <c r="C136" s="112" t="s">
        <v>2268</v>
      </c>
      <c r="D136" s="112" t="s">
        <v>2269</v>
      </c>
      <c r="E136" s="124" t="s">
        <v>376</v>
      </c>
      <c r="F136" s="113" t="s">
        <v>2270</v>
      </c>
      <c r="G136" s="112" t="s">
        <v>2271</v>
      </c>
      <c r="H136" s="112" t="s">
        <v>2272</v>
      </c>
      <c r="I136" s="48">
        <v>0.0</v>
      </c>
      <c r="J136" s="48">
        <v>1.0</v>
      </c>
      <c r="K136" s="48">
        <v>0.0</v>
      </c>
      <c r="L136" s="48">
        <v>1.0</v>
      </c>
      <c r="M136" s="115">
        <v>0.5</v>
      </c>
      <c r="N136" s="104">
        <f t="shared" si="1"/>
        <v>2.5</v>
      </c>
      <c r="O136" s="115" t="str">
        <f t="shared" si="2"/>
        <v>Sim</v>
      </c>
      <c r="P136" s="48">
        <v>1.0</v>
      </c>
      <c r="Q136" s="48">
        <v>0.5</v>
      </c>
      <c r="R136" s="48">
        <v>0.0</v>
      </c>
      <c r="S136" s="48">
        <v>1.0</v>
      </c>
      <c r="T136" s="115">
        <v>0.5</v>
      </c>
      <c r="U136" s="104">
        <f t="shared" si="3"/>
        <v>3</v>
      </c>
      <c r="V136" s="115" t="str">
        <f t="shared" si="4"/>
        <v>Sim</v>
      </c>
      <c r="W136" s="116" t="str">
        <f t="shared" si="5"/>
        <v>Igual</v>
      </c>
      <c r="X136" s="120"/>
      <c r="Y136" s="120"/>
      <c r="Z136" s="48" t="s">
        <v>555</v>
      </c>
      <c r="AA136" s="116" t="str">
        <f t="shared" si="6"/>
        <v>Sim</v>
      </c>
    </row>
    <row r="137" hidden="1">
      <c r="B137" s="112" t="s">
        <v>47</v>
      </c>
      <c r="C137" s="112" t="s">
        <v>2274</v>
      </c>
      <c r="D137" s="112" t="s">
        <v>2275</v>
      </c>
      <c r="E137" s="124" t="s">
        <v>376</v>
      </c>
      <c r="F137" s="113" t="s">
        <v>2276</v>
      </c>
      <c r="G137" s="112" t="s">
        <v>2277</v>
      </c>
      <c r="H137" s="112"/>
      <c r="I137" s="48">
        <v>0.0</v>
      </c>
      <c r="J137" s="48">
        <v>0.0</v>
      </c>
      <c r="K137" s="48">
        <v>0.0</v>
      </c>
      <c r="L137" s="48">
        <v>1.0</v>
      </c>
      <c r="M137" s="115">
        <v>0.0</v>
      </c>
      <c r="N137" s="104">
        <f t="shared" si="1"/>
        <v>1</v>
      </c>
      <c r="O137" s="115" t="str">
        <f t="shared" si="2"/>
        <v>Não</v>
      </c>
      <c r="P137" s="48">
        <v>0.0</v>
      </c>
      <c r="Q137" s="48">
        <v>0.0</v>
      </c>
      <c r="R137" s="48">
        <v>0.0</v>
      </c>
      <c r="S137" s="48">
        <v>1.0</v>
      </c>
      <c r="T137" s="115">
        <v>0.0</v>
      </c>
      <c r="U137" s="104">
        <f t="shared" si="3"/>
        <v>1</v>
      </c>
      <c r="V137" s="115" t="str">
        <f t="shared" si="4"/>
        <v>Não</v>
      </c>
      <c r="W137" s="116" t="str">
        <f t="shared" si="5"/>
        <v>Igual</v>
      </c>
      <c r="X137" s="120"/>
      <c r="Y137" s="120"/>
      <c r="Z137" s="48" t="s">
        <v>555</v>
      </c>
      <c r="AA137" s="116" t="str">
        <f t="shared" si="6"/>
        <v>Não</v>
      </c>
    </row>
    <row r="138">
      <c r="B138" s="112" t="s">
        <v>47</v>
      </c>
      <c r="C138" s="112" t="s">
        <v>2279</v>
      </c>
      <c r="D138" s="112" t="s">
        <v>2280</v>
      </c>
      <c r="E138" s="124" t="s">
        <v>376</v>
      </c>
      <c r="F138" s="113" t="s">
        <v>2281</v>
      </c>
      <c r="G138" s="112" t="s">
        <v>2282</v>
      </c>
      <c r="H138" s="112" t="s">
        <v>2283</v>
      </c>
      <c r="I138" s="48">
        <v>0.5</v>
      </c>
      <c r="J138" s="48">
        <v>1.0</v>
      </c>
      <c r="K138" s="48">
        <v>0.0</v>
      </c>
      <c r="L138" s="48">
        <v>0.0</v>
      </c>
      <c r="M138" s="115">
        <v>0.5</v>
      </c>
      <c r="N138" s="104">
        <f t="shared" si="1"/>
        <v>2</v>
      </c>
      <c r="O138" s="115" t="str">
        <f t="shared" si="2"/>
        <v>Não</v>
      </c>
      <c r="P138" s="48">
        <v>0.0</v>
      </c>
      <c r="Q138" s="48">
        <v>1.0</v>
      </c>
      <c r="R138" s="48">
        <v>0.0</v>
      </c>
      <c r="S138" s="48">
        <v>1.0</v>
      </c>
      <c r="T138" s="115">
        <v>0.5</v>
      </c>
      <c r="U138" s="104">
        <f t="shared" si="3"/>
        <v>2.5</v>
      </c>
      <c r="V138" s="115" t="str">
        <f t="shared" si="4"/>
        <v>Sim</v>
      </c>
      <c r="W138" s="116" t="str">
        <f t="shared" si="5"/>
        <v>Diferente</v>
      </c>
      <c r="X138" s="120"/>
      <c r="Y138" s="120"/>
      <c r="Z138" s="48" t="s">
        <v>555</v>
      </c>
      <c r="AA138" s="116" t="str">
        <f t="shared" si="6"/>
        <v>Sim</v>
      </c>
    </row>
    <row r="139">
      <c r="B139" s="112" t="s">
        <v>47</v>
      </c>
      <c r="C139" s="112" t="s">
        <v>2285</v>
      </c>
      <c r="D139" s="112" t="s">
        <v>2286</v>
      </c>
      <c r="E139" s="124" t="s">
        <v>376</v>
      </c>
      <c r="F139" s="113" t="s">
        <v>2287</v>
      </c>
      <c r="G139" s="112" t="s">
        <v>2288</v>
      </c>
      <c r="H139" s="112" t="s">
        <v>2289</v>
      </c>
      <c r="I139" s="48">
        <v>0.0</v>
      </c>
      <c r="J139" s="48">
        <v>1.0</v>
      </c>
      <c r="K139" s="48">
        <v>0.0</v>
      </c>
      <c r="L139" s="48">
        <v>1.0</v>
      </c>
      <c r="M139" s="115">
        <v>0.5</v>
      </c>
      <c r="N139" s="104">
        <f t="shared" si="1"/>
        <v>2.5</v>
      </c>
      <c r="O139" s="115" t="str">
        <f t="shared" si="2"/>
        <v>Sim</v>
      </c>
      <c r="P139" s="48">
        <v>1.0</v>
      </c>
      <c r="Q139" s="48">
        <v>1.0</v>
      </c>
      <c r="R139" s="48">
        <v>0.0</v>
      </c>
      <c r="S139" s="48">
        <v>1.0</v>
      </c>
      <c r="T139" s="115">
        <v>1.0</v>
      </c>
      <c r="U139" s="104">
        <f t="shared" si="3"/>
        <v>4</v>
      </c>
      <c r="V139" s="115" t="str">
        <f t="shared" si="4"/>
        <v>Sim</v>
      </c>
      <c r="W139" s="116" t="str">
        <f t="shared" si="5"/>
        <v>Igual</v>
      </c>
      <c r="X139" s="120"/>
      <c r="Y139" s="120"/>
      <c r="Z139" s="48" t="s">
        <v>555</v>
      </c>
      <c r="AA139" s="116" t="str">
        <f t="shared" si="6"/>
        <v>Sim</v>
      </c>
    </row>
    <row r="140">
      <c r="B140" s="112" t="s">
        <v>47</v>
      </c>
      <c r="C140" s="112" t="s">
        <v>2292</v>
      </c>
      <c r="D140" s="112" t="s">
        <v>2293</v>
      </c>
      <c r="E140" s="124" t="s">
        <v>360</v>
      </c>
      <c r="F140" s="113" t="s">
        <v>2294</v>
      </c>
      <c r="G140" s="112" t="s">
        <v>2295</v>
      </c>
      <c r="H140" s="112" t="s">
        <v>2296</v>
      </c>
      <c r="I140" s="48">
        <v>0.0</v>
      </c>
      <c r="J140" s="48">
        <v>1.0</v>
      </c>
      <c r="K140" s="48">
        <v>0.0</v>
      </c>
      <c r="L140" s="48">
        <v>1.0</v>
      </c>
      <c r="M140" s="115">
        <v>0.5</v>
      </c>
      <c r="N140" s="104">
        <f t="shared" si="1"/>
        <v>2.5</v>
      </c>
      <c r="O140" s="115" t="str">
        <f t="shared" si="2"/>
        <v>Sim</v>
      </c>
      <c r="P140" s="48">
        <v>1.0</v>
      </c>
      <c r="Q140" s="48">
        <v>1.0</v>
      </c>
      <c r="R140" s="48">
        <v>0.0</v>
      </c>
      <c r="S140" s="48">
        <v>0.0</v>
      </c>
      <c r="T140" s="115">
        <v>0.5</v>
      </c>
      <c r="U140" s="104">
        <f t="shared" si="3"/>
        <v>2.5</v>
      </c>
      <c r="V140" s="115" t="str">
        <f t="shared" si="4"/>
        <v>Sim</v>
      </c>
      <c r="W140" s="116" t="str">
        <f t="shared" si="5"/>
        <v>Igual</v>
      </c>
      <c r="X140" s="120"/>
      <c r="Y140" s="120"/>
      <c r="Z140" s="48" t="s">
        <v>555</v>
      </c>
      <c r="AA140" s="116" t="str">
        <f t="shared" si="6"/>
        <v>Sim</v>
      </c>
    </row>
    <row r="141">
      <c r="B141" s="112" t="s">
        <v>47</v>
      </c>
      <c r="C141" s="112" t="s">
        <v>2299</v>
      </c>
      <c r="D141" s="112" t="s">
        <v>2300</v>
      </c>
      <c r="E141" s="124" t="s">
        <v>360</v>
      </c>
      <c r="F141" s="113" t="s">
        <v>2301</v>
      </c>
      <c r="G141" s="112" t="s">
        <v>2302</v>
      </c>
      <c r="H141" s="112" t="s">
        <v>2303</v>
      </c>
      <c r="I141" s="48">
        <v>0.0</v>
      </c>
      <c r="J141" s="48">
        <v>1.0</v>
      </c>
      <c r="K141" s="48">
        <v>0.0</v>
      </c>
      <c r="L141" s="48">
        <v>1.0</v>
      </c>
      <c r="M141" s="115">
        <v>0.5</v>
      </c>
      <c r="N141" s="104">
        <f t="shared" si="1"/>
        <v>2.5</v>
      </c>
      <c r="O141" s="115" t="str">
        <f t="shared" si="2"/>
        <v>Sim</v>
      </c>
      <c r="P141" s="48">
        <v>1.0</v>
      </c>
      <c r="Q141" s="48">
        <v>0.5</v>
      </c>
      <c r="R141" s="48">
        <v>0.0</v>
      </c>
      <c r="S141" s="48">
        <v>1.0</v>
      </c>
      <c r="T141" s="115">
        <v>0.5</v>
      </c>
      <c r="U141" s="104">
        <f t="shared" si="3"/>
        <v>3</v>
      </c>
      <c r="V141" s="115" t="str">
        <f t="shared" si="4"/>
        <v>Sim</v>
      </c>
      <c r="W141" s="116" t="str">
        <f t="shared" si="5"/>
        <v>Igual</v>
      </c>
      <c r="X141" s="120"/>
      <c r="Y141" s="120"/>
      <c r="Z141" s="48" t="s">
        <v>555</v>
      </c>
      <c r="AA141" s="116" t="str">
        <f t="shared" si="6"/>
        <v>Sim</v>
      </c>
    </row>
    <row r="142" hidden="1">
      <c r="B142" s="112" t="s">
        <v>47</v>
      </c>
      <c r="C142" s="112" t="s">
        <v>2306</v>
      </c>
      <c r="D142" s="112" t="s">
        <v>2307</v>
      </c>
      <c r="E142" s="124" t="s">
        <v>360</v>
      </c>
      <c r="F142" s="113" t="s">
        <v>2308</v>
      </c>
      <c r="G142" s="112" t="s">
        <v>2309</v>
      </c>
      <c r="H142" s="112" t="s">
        <v>2310</v>
      </c>
      <c r="I142" s="48">
        <v>0.0</v>
      </c>
      <c r="J142" s="48">
        <v>0.0</v>
      </c>
      <c r="K142" s="48">
        <v>0.0</v>
      </c>
      <c r="L142" s="48">
        <v>1.0</v>
      </c>
      <c r="M142" s="115">
        <v>0.0</v>
      </c>
      <c r="N142" s="104">
        <f t="shared" si="1"/>
        <v>1</v>
      </c>
      <c r="O142" s="115" t="str">
        <f t="shared" si="2"/>
        <v>Não</v>
      </c>
      <c r="P142" s="48">
        <v>0.0</v>
      </c>
      <c r="Q142" s="48">
        <v>0.0</v>
      </c>
      <c r="R142" s="48">
        <v>0.0</v>
      </c>
      <c r="S142" s="48">
        <v>1.0</v>
      </c>
      <c r="T142" s="115">
        <v>0.0</v>
      </c>
      <c r="U142" s="104">
        <f t="shared" si="3"/>
        <v>1</v>
      </c>
      <c r="V142" s="115" t="str">
        <f t="shared" si="4"/>
        <v>Não</v>
      </c>
      <c r="W142" s="116" t="str">
        <f t="shared" si="5"/>
        <v>Igual</v>
      </c>
      <c r="X142" s="120"/>
      <c r="Y142" s="120"/>
      <c r="Z142" s="48" t="s">
        <v>85</v>
      </c>
      <c r="AA142" s="116" t="str">
        <f t="shared" si="6"/>
        <v>Não</v>
      </c>
    </row>
    <row r="143">
      <c r="B143" s="112" t="s">
        <v>47</v>
      </c>
      <c r="C143" s="112" t="s">
        <v>2312</v>
      </c>
      <c r="D143" s="112" t="s">
        <v>2313</v>
      </c>
      <c r="E143" s="124" t="s">
        <v>360</v>
      </c>
      <c r="F143" s="113" t="s">
        <v>2314</v>
      </c>
      <c r="G143" s="112" t="s">
        <v>2315</v>
      </c>
      <c r="H143" s="112" t="s">
        <v>2316</v>
      </c>
      <c r="I143" s="48">
        <v>0.5</v>
      </c>
      <c r="J143" s="48">
        <v>1.0</v>
      </c>
      <c r="K143" s="48">
        <v>0.0</v>
      </c>
      <c r="L143" s="48">
        <v>0.0</v>
      </c>
      <c r="M143" s="115">
        <v>0.5</v>
      </c>
      <c r="N143" s="104">
        <f t="shared" si="1"/>
        <v>2</v>
      </c>
      <c r="O143" s="115" t="str">
        <f t="shared" si="2"/>
        <v>Não</v>
      </c>
      <c r="P143" s="48">
        <v>0.0</v>
      </c>
      <c r="Q143" s="48">
        <v>1.0</v>
      </c>
      <c r="R143" s="48">
        <v>0.0</v>
      </c>
      <c r="S143" s="48">
        <v>1.0</v>
      </c>
      <c r="T143" s="115">
        <v>0.5</v>
      </c>
      <c r="U143" s="104">
        <f t="shared" si="3"/>
        <v>2.5</v>
      </c>
      <c r="V143" s="115" t="str">
        <f t="shared" si="4"/>
        <v>Sim</v>
      </c>
      <c r="W143" s="116" t="str">
        <f t="shared" si="5"/>
        <v>Diferente</v>
      </c>
      <c r="X143" s="120"/>
      <c r="Y143" s="120"/>
      <c r="Z143" s="48" t="s">
        <v>85</v>
      </c>
      <c r="AA143" s="116" t="str">
        <f t="shared" si="6"/>
        <v>Sim</v>
      </c>
    </row>
    <row r="144" hidden="1">
      <c r="B144" s="112" t="s">
        <v>47</v>
      </c>
      <c r="C144" s="112" t="s">
        <v>2331</v>
      </c>
      <c r="D144" s="112" t="s">
        <v>2332</v>
      </c>
      <c r="E144" s="124" t="s">
        <v>360</v>
      </c>
      <c r="F144" s="113" t="s">
        <v>2333</v>
      </c>
      <c r="G144" s="112" t="s">
        <v>2334</v>
      </c>
      <c r="H144" s="112"/>
      <c r="I144" s="48">
        <v>0.0</v>
      </c>
      <c r="J144" s="48">
        <v>1.0</v>
      </c>
      <c r="K144" s="48">
        <v>0.0</v>
      </c>
      <c r="L144" s="48">
        <v>0.0</v>
      </c>
      <c r="M144" s="115">
        <v>0.0</v>
      </c>
      <c r="N144" s="104">
        <f t="shared" si="1"/>
        <v>1</v>
      </c>
      <c r="O144" s="115" t="str">
        <f t="shared" si="2"/>
        <v>Não</v>
      </c>
      <c r="P144" s="48">
        <v>0.5</v>
      </c>
      <c r="Q144" s="48">
        <v>0.0</v>
      </c>
      <c r="R144" s="48">
        <v>0.0</v>
      </c>
      <c r="S144" s="48">
        <v>0.0</v>
      </c>
      <c r="T144" s="115">
        <v>0.0</v>
      </c>
      <c r="U144" s="104">
        <f t="shared" si="3"/>
        <v>0.5</v>
      </c>
      <c r="V144" s="115" t="str">
        <f t="shared" si="4"/>
        <v>Não</v>
      </c>
      <c r="W144" s="116" t="str">
        <f t="shared" si="5"/>
        <v>Igual</v>
      </c>
      <c r="X144" s="120"/>
      <c r="Y144" s="120"/>
      <c r="Z144" s="48" t="s">
        <v>85</v>
      </c>
      <c r="AA144" s="116" t="str">
        <f t="shared" si="6"/>
        <v>Não</v>
      </c>
    </row>
    <row r="145" hidden="1">
      <c r="B145" s="112" t="s">
        <v>47</v>
      </c>
      <c r="C145" s="112" t="s">
        <v>2349</v>
      </c>
      <c r="D145" s="112" t="s">
        <v>2350</v>
      </c>
      <c r="E145" s="124" t="s">
        <v>360</v>
      </c>
      <c r="F145" s="113" t="s">
        <v>2351</v>
      </c>
      <c r="G145" s="112" t="s">
        <v>2352</v>
      </c>
      <c r="H145" s="112" t="s">
        <v>2353</v>
      </c>
      <c r="I145" s="48">
        <v>1.0</v>
      </c>
      <c r="J145" s="48">
        <v>0.0</v>
      </c>
      <c r="K145" s="48">
        <v>0.0</v>
      </c>
      <c r="L145" s="48">
        <v>0.0</v>
      </c>
      <c r="M145" s="115">
        <v>0.0</v>
      </c>
      <c r="N145" s="104">
        <f t="shared" si="1"/>
        <v>1</v>
      </c>
      <c r="O145" s="115" t="str">
        <f t="shared" si="2"/>
        <v>Não</v>
      </c>
      <c r="P145" s="48">
        <v>0.0</v>
      </c>
      <c r="Q145" s="48">
        <v>0.0</v>
      </c>
      <c r="R145" s="48">
        <v>0.0</v>
      </c>
      <c r="S145" s="48">
        <v>1.0</v>
      </c>
      <c r="T145" s="115">
        <v>0.0</v>
      </c>
      <c r="U145" s="104">
        <f t="shared" si="3"/>
        <v>1</v>
      </c>
      <c r="V145" s="115" t="str">
        <f t="shared" si="4"/>
        <v>Não</v>
      </c>
      <c r="W145" s="116" t="str">
        <f t="shared" si="5"/>
        <v>Igual</v>
      </c>
      <c r="X145" s="120"/>
      <c r="Y145" s="120"/>
      <c r="Z145" s="48" t="s">
        <v>555</v>
      </c>
      <c r="AA145" s="116" t="str">
        <f t="shared" si="6"/>
        <v>Não</v>
      </c>
    </row>
    <row r="146">
      <c r="B146" s="112" t="s">
        <v>47</v>
      </c>
      <c r="C146" s="112" t="s">
        <v>2355</v>
      </c>
      <c r="D146" s="112" t="s">
        <v>359</v>
      </c>
      <c r="E146" s="124" t="s">
        <v>360</v>
      </c>
      <c r="F146" s="113" t="s">
        <v>2356</v>
      </c>
      <c r="G146" s="112" t="s">
        <v>2357</v>
      </c>
      <c r="H146" s="112" t="s">
        <v>2358</v>
      </c>
      <c r="I146" s="48">
        <v>0.0</v>
      </c>
      <c r="J146" s="48">
        <v>0.0</v>
      </c>
      <c r="K146" s="48">
        <v>0.0</v>
      </c>
      <c r="L146" s="48">
        <v>1.0</v>
      </c>
      <c r="M146" s="115">
        <v>0.0</v>
      </c>
      <c r="N146" s="104">
        <f t="shared" si="1"/>
        <v>1</v>
      </c>
      <c r="O146" s="115" t="str">
        <f t="shared" si="2"/>
        <v>Não</v>
      </c>
      <c r="P146" s="48">
        <v>0.0</v>
      </c>
      <c r="Q146" s="48">
        <v>1.0</v>
      </c>
      <c r="R146" s="48">
        <v>0.0</v>
      </c>
      <c r="S146" s="48">
        <v>1.0</v>
      </c>
      <c r="T146" s="115">
        <v>0.5</v>
      </c>
      <c r="U146" s="104">
        <f t="shared" si="3"/>
        <v>2.5</v>
      </c>
      <c r="V146" s="115" t="str">
        <f t="shared" si="4"/>
        <v>Sim</v>
      </c>
      <c r="W146" s="116" t="str">
        <f t="shared" si="5"/>
        <v>Diferente</v>
      </c>
      <c r="X146" s="120"/>
      <c r="Y146" s="120"/>
      <c r="Z146" s="48" t="s">
        <v>343</v>
      </c>
      <c r="AA146" s="116" t="str">
        <f t="shared" si="6"/>
        <v>Sim</v>
      </c>
    </row>
    <row r="147">
      <c r="B147" s="112" t="s">
        <v>47</v>
      </c>
      <c r="C147" s="112" t="s">
        <v>2366</v>
      </c>
      <c r="D147" s="112" t="s">
        <v>2367</v>
      </c>
      <c r="E147" s="124" t="s">
        <v>322</v>
      </c>
      <c r="F147" s="113" t="s">
        <v>2368</v>
      </c>
      <c r="G147" s="112" t="s">
        <v>2369</v>
      </c>
      <c r="H147" s="112" t="s">
        <v>2370</v>
      </c>
      <c r="I147" s="48">
        <v>1.0</v>
      </c>
      <c r="J147" s="48">
        <v>0.5</v>
      </c>
      <c r="K147" s="48">
        <v>0.5</v>
      </c>
      <c r="L147" s="48">
        <v>1.0</v>
      </c>
      <c r="M147" s="115">
        <v>1.0</v>
      </c>
      <c r="N147" s="104">
        <f t="shared" si="1"/>
        <v>4</v>
      </c>
      <c r="O147" s="115" t="str">
        <f t="shared" si="2"/>
        <v>Sim</v>
      </c>
      <c r="P147" s="115">
        <v>0.5</v>
      </c>
      <c r="Q147" s="115">
        <v>0.5</v>
      </c>
      <c r="R147" s="115">
        <v>0.5</v>
      </c>
      <c r="S147" s="115">
        <v>0.0</v>
      </c>
      <c r="T147" s="115">
        <v>0.0</v>
      </c>
      <c r="U147" s="104">
        <f t="shared" si="3"/>
        <v>1.5</v>
      </c>
      <c r="V147" s="115" t="str">
        <f t="shared" si="4"/>
        <v>Não</v>
      </c>
      <c r="W147" s="116" t="str">
        <f t="shared" si="5"/>
        <v>Diferente</v>
      </c>
      <c r="X147" s="120"/>
      <c r="Y147" s="120"/>
      <c r="Z147" s="48" t="s">
        <v>343</v>
      </c>
      <c r="AA147" s="116" t="str">
        <f t="shared" si="6"/>
        <v>Sim</v>
      </c>
    </row>
    <row r="148">
      <c r="B148" s="112" t="s">
        <v>47</v>
      </c>
      <c r="C148" s="112" t="s">
        <v>2373</v>
      </c>
      <c r="D148" s="112" t="s">
        <v>2374</v>
      </c>
      <c r="E148" s="124" t="s">
        <v>322</v>
      </c>
      <c r="F148" s="113" t="s">
        <v>2375</v>
      </c>
      <c r="G148" s="112" t="s">
        <v>2376</v>
      </c>
      <c r="H148" s="112" t="s">
        <v>2377</v>
      </c>
      <c r="I148" s="48">
        <v>0.5</v>
      </c>
      <c r="J148" s="48">
        <v>0.5</v>
      </c>
      <c r="K148" s="48">
        <v>0.0</v>
      </c>
      <c r="L148" s="48">
        <v>0.5</v>
      </c>
      <c r="M148" s="115">
        <v>1.0</v>
      </c>
      <c r="N148" s="104">
        <f t="shared" si="1"/>
        <v>2.5</v>
      </c>
      <c r="O148" s="115" t="str">
        <f t="shared" si="2"/>
        <v>Sim</v>
      </c>
      <c r="P148" s="115">
        <v>1.0</v>
      </c>
      <c r="Q148" s="115">
        <v>0.5</v>
      </c>
      <c r="R148" s="115">
        <v>1.0</v>
      </c>
      <c r="S148" s="115">
        <v>0.5</v>
      </c>
      <c r="T148" s="115">
        <v>1.0</v>
      </c>
      <c r="U148" s="104">
        <f t="shared" si="3"/>
        <v>4</v>
      </c>
      <c r="V148" s="115" t="str">
        <f t="shared" si="4"/>
        <v>Sim</v>
      </c>
      <c r="W148" s="116" t="str">
        <f t="shared" si="5"/>
        <v>Igual</v>
      </c>
      <c r="X148" s="120"/>
      <c r="Y148" s="120"/>
      <c r="Z148" s="48" t="s">
        <v>555</v>
      </c>
      <c r="AA148" s="116" t="str">
        <f t="shared" si="6"/>
        <v>Sim</v>
      </c>
    </row>
    <row r="149">
      <c r="B149" s="112" t="s">
        <v>47</v>
      </c>
      <c r="C149" s="112" t="s">
        <v>2387</v>
      </c>
      <c r="D149" s="112" t="s">
        <v>2388</v>
      </c>
      <c r="E149" s="124" t="s">
        <v>322</v>
      </c>
      <c r="F149" s="113" t="s">
        <v>2389</v>
      </c>
      <c r="G149" s="112" t="s">
        <v>2390</v>
      </c>
      <c r="H149" s="112" t="s">
        <v>2391</v>
      </c>
      <c r="I149" s="48">
        <v>0.0</v>
      </c>
      <c r="J149" s="48">
        <v>0.0</v>
      </c>
      <c r="K149" s="48">
        <v>0.5</v>
      </c>
      <c r="L149" s="48">
        <v>0.0</v>
      </c>
      <c r="M149" s="115">
        <v>0.0</v>
      </c>
      <c r="N149" s="104">
        <f t="shared" si="1"/>
        <v>0.5</v>
      </c>
      <c r="O149" s="115" t="str">
        <f t="shared" si="2"/>
        <v>Não</v>
      </c>
      <c r="P149" s="128">
        <v>1.0</v>
      </c>
      <c r="Q149" s="128">
        <v>0.5</v>
      </c>
      <c r="R149" s="128">
        <v>1.0</v>
      </c>
      <c r="S149" s="128">
        <v>1.0</v>
      </c>
      <c r="T149" s="128">
        <v>1.0</v>
      </c>
      <c r="U149" s="104">
        <f t="shared" si="3"/>
        <v>4.5</v>
      </c>
      <c r="V149" s="115" t="str">
        <f t="shared" si="4"/>
        <v>Sim</v>
      </c>
      <c r="W149" s="116" t="str">
        <f t="shared" si="5"/>
        <v>Diferente</v>
      </c>
      <c r="X149" s="120"/>
      <c r="Y149" s="120"/>
      <c r="Z149" s="48" t="s">
        <v>343</v>
      </c>
      <c r="AA149" s="116" t="str">
        <f t="shared" si="6"/>
        <v>Sim</v>
      </c>
    </row>
    <row r="150">
      <c r="B150" s="112" t="s">
        <v>47</v>
      </c>
      <c r="C150" s="112" t="s">
        <v>2393</v>
      </c>
      <c r="D150" s="112" t="s">
        <v>2394</v>
      </c>
      <c r="E150" s="124" t="s">
        <v>322</v>
      </c>
      <c r="F150" s="113" t="s">
        <v>2395</v>
      </c>
      <c r="G150" s="112" t="s">
        <v>2396</v>
      </c>
      <c r="H150" s="112" t="s">
        <v>2397</v>
      </c>
      <c r="I150" s="48">
        <v>0.5</v>
      </c>
      <c r="J150" s="48">
        <v>1.0</v>
      </c>
      <c r="K150" s="48">
        <v>1.0</v>
      </c>
      <c r="L150" s="48">
        <v>0.5</v>
      </c>
      <c r="M150" s="115">
        <v>0.0</v>
      </c>
      <c r="N150" s="104">
        <f t="shared" si="1"/>
        <v>3</v>
      </c>
      <c r="O150" s="115" t="str">
        <f t="shared" si="2"/>
        <v>Sim</v>
      </c>
      <c r="P150" s="128">
        <v>1.0</v>
      </c>
      <c r="Q150" s="128">
        <v>0.5</v>
      </c>
      <c r="R150" s="128">
        <v>1.0</v>
      </c>
      <c r="S150" s="128">
        <v>1.0</v>
      </c>
      <c r="T150" s="128">
        <v>1.0</v>
      </c>
      <c r="U150" s="104">
        <f t="shared" si="3"/>
        <v>4.5</v>
      </c>
      <c r="V150" s="115" t="str">
        <f t="shared" si="4"/>
        <v>Sim</v>
      </c>
      <c r="W150" s="116" t="str">
        <f t="shared" si="5"/>
        <v>Igual</v>
      </c>
      <c r="X150" s="120"/>
      <c r="Y150" s="120"/>
      <c r="Z150" s="48" t="s">
        <v>555</v>
      </c>
      <c r="AA150" s="116" t="str">
        <f t="shared" si="6"/>
        <v>Sim</v>
      </c>
    </row>
    <row r="151">
      <c r="B151" s="112" t="s">
        <v>47</v>
      </c>
      <c r="C151" s="112" t="s">
        <v>2399</v>
      </c>
      <c r="D151" s="112" t="s">
        <v>2400</v>
      </c>
      <c r="E151" s="124" t="s">
        <v>322</v>
      </c>
      <c r="F151" s="113" t="s">
        <v>2401</v>
      </c>
      <c r="G151" s="112" t="s">
        <v>2402</v>
      </c>
      <c r="H151" s="112" t="s">
        <v>2403</v>
      </c>
      <c r="I151" s="48">
        <v>0.5</v>
      </c>
      <c r="J151" s="48">
        <v>0.0</v>
      </c>
      <c r="K151" s="48">
        <v>1.0</v>
      </c>
      <c r="L151" s="48">
        <v>0.5</v>
      </c>
      <c r="M151" s="115">
        <v>1.0</v>
      </c>
      <c r="N151" s="104">
        <f t="shared" si="1"/>
        <v>3</v>
      </c>
      <c r="O151" s="115" t="str">
        <f t="shared" si="2"/>
        <v>Sim</v>
      </c>
      <c r="P151" s="115">
        <v>0.5</v>
      </c>
      <c r="Q151" s="115">
        <v>0.0</v>
      </c>
      <c r="R151" s="115">
        <v>0.5</v>
      </c>
      <c r="S151" s="115">
        <v>0.5</v>
      </c>
      <c r="T151" s="115">
        <v>0.0</v>
      </c>
      <c r="U151" s="104">
        <f t="shared" si="3"/>
        <v>1.5</v>
      </c>
      <c r="V151" s="115" t="str">
        <f t="shared" si="4"/>
        <v>Não</v>
      </c>
      <c r="W151" s="116" t="str">
        <f t="shared" si="5"/>
        <v>Diferente</v>
      </c>
      <c r="X151" s="120"/>
      <c r="Y151" s="120"/>
      <c r="Z151" s="48" t="s">
        <v>555</v>
      </c>
      <c r="AA151" s="116" t="str">
        <f t="shared" si="6"/>
        <v>Sim</v>
      </c>
    </row>
    <row r="152" hidden="1">
      <c r="I152" s="49"/>
      <c r="J152" s="49"/>
      <c r="K152" s="49"/>
      <c r="L152" s="49"/>
      <c r="M152" s="104"/>
      <c r="N152" s="104"/>
      <c r="O152" s="115" t="str">
        <f t="shared" si="2"/>
        <v>Não</v>
      </c>
      <c r="P152" s="104"/>
      <c r="Q152" s="104"/>
      <c r="R152" s="104"/>
      <c r="S152" s="104"/>
      <c r="T152" s="104"/>
      <c r="U152" s="104">
        <f t="shared" si="3"/>
        <v>0</v>
      </c>
      <c r="V152" s="115" t="str">
        <f t="shared" si="4"/>
        <v>Não</v>
      </c>
      <c r="W152" s="116" t="str">
        <f t="shared" si="5"/>
        <v>Igual</v>
      </c>
      <c r="X152" s="120"/>
      <c r="Y152" s="120"/>
      <c r="Z152" s="48"/>
      <c r="AA152" s="116" t="str">
        <f t="shared" ref="AA152:AA701" si="7">IF(OR(ISBLANK(#REF!),ISBLANK(#REF!)),"", IF(W152="Diferente","Sim",IF(#REF!="Sim","Sim","Não")))</f>
        <v>#REF!</v>
      </c>
    </row>
    <row r="153" hidden="1">
      <c r="I153" s="49"/>
      <c r="J153" s="49"/>
      <c r="K153" s="49"/>
      <c r="L153" s="49"/>
      <c r="M153" s="104"/>
      <c r="N153" s="104"/>
      <c r="O153" s="115" t="str">
        <f t="shared" si="2"/>
        <v>Não</v>
      </c>
      <c r="P153" s="104"/>
      <c r="Q153" s="104"/>
      <c r="R153" s="104"/>
      <c r="S153" s="104"/>
      <c r="T153" s="104"/>
      <c r="U153" s="104">
        <f t="shared" si="3"/>
        <v>0</v>
      </c>
      <c r="V153" s="115" t="str">
        <f t="shared" si="4"/>
        <v>Não</v>
      </c>
      <c r="W153" s="116" t="str">
        <f t="shared" si="5"/>
        <v>Igual</v>
      </c>
      <c r="X153" s="120"/>
      <c r="Y153" s="120"/>
      <c r="Z153" s="49"/>
      <c r="AA153" s="116" t="str">
        <f t="shared" si="7"/>
        <v>#REF!</v>
      </c>
    </row>
    <row r="154" hidden="1">
      <c r="I154" s="49"/>
      <c r="J154" s="49"/>
      <c r="K154" s="49"/>
      <c r="L154" s="49"/>
      <c r="M154" s="104"/>
      <c r="N154" s="104"/>
      <c r="O154" s="115" t="str">
        <f t="shared" si="2"/>
        <v>Não</v>
      </c>
      <c r="P154" s="104"/>
      <c r="Q154" s="104"/>
      <c r="R154" s="104"/>
      <c r="S154" s="104"/>
      <c r="T154" s="104"/>
      <c r="U154" s="104">
        <f t="shared" si="3"/>
        <v>0</v>
      </c>
      <c r="V154" s="115" t="str">
        <f t="shared" si="4"/>
        <v>Não</v>
      </c>
      <c r="W154" s="116" t="str">
        <f t="shared" si="5"/>
        <v>Igual</v>
      </c>
      <c r="X154" s="120"/>
      <c r="Y154" s="120"/>
      <c r="Z154" s="49"/>
      <c r="AA154" s="116" t="str">
        <f t="shared" si="7"/>
        <v>#REF!</v>
      </c>
    </row>
    <row r="155" hidden="1">
      <c r="I155" s="49"/>
      <c r="J155" s="49"/>
      <c r="K155" s="49"/>
      <c r="L155" s="49"/>
      <c r="M155" s="104"/>
      <c r="N155" s="104"/>
      <c r="O155" s="115" t="str">
        <f t="shared" si="2"/>
        <v>Não</v>
      </c>
      <c r="P155" s="104"/>
      <c r="Q155" s="104"/>
      <c r="R155" s="104"/>
      <c r="S155" s="104"/>
      <c r="T155" s="104"/>
      <c r="U155" s="104">
        <f t="shared" si="3"/>
        <v>0</v>
      </c>
      <c r="V155" s="115" t="str">
        <f t="shared" si="4"/>
        <v>Não</v>
      </c>
      <c r="W155" s="116" t="str">
        <f t="shared" si="5"/>
        <v>Igual</v>
      </c>
      <c r="X155" s="120"/>
      <c r="Y155" s="120"/>
      <c r="Z155" s="49"/>
      <c r="AA155" s="116" t="str">
        <f t="shared" si="7"/>
        <v>#REF!</v>
      </c>
    </row>
    <row r="156" hidden="1">
      <c r="I156" s="49"/>
      <c r="J156" s="49"/>
      <c r="K156" s="49"/>
      <c r="L156" s="49"/>
      <c r="M156" s="104"/>
      <c r="N156" s="104"/>
      <c r="O156" s="115" t="str">
        <f t="shared" si="2"/>
        <v>Não</v>
      </c>
      <c r="P156" s="104"/>
      <c r="Q156" s="104"/>
      <c r="R156" s="104"/>
      <c r="S156" s="104"/>
      <c r="T156" s="104"/>
      <c r="U156" s="104">
        <f t="shared" si="3"/>
        <v>0</v>
      </c>
      <c r="V156" s="115" t="str">
        <f t="shared" si="4"/>
        <v>Não</v>
      </c>
      <c r="W156" s="116" t="str">
        <f t="shared" si="5"/>
        <v>Igual</v>
      </c>
      <c r="X156" s="120"/>
      <c r="Y156" s="120"/>
      <c r="Z156" s="49"/>
      <c r="AA156" s="116" t="str">
        <f t="shared" si="7"/>
        <v>#REF!</v>
      </c>
    </row>
    <row r="157" hidden="1">
      <c r="I157" s="49"/>
      <c r="J157" s="49"/>
      <c r="K157" s="49"/>
      <c r="L157" s="49"/>
      <c r="M157" s="104"/>
      <c r="N157" s="104"/>
      <c r="O157" s="115" t="str">
        <f t="shared" si="2"/>
        <v>Não</v>
      </c>
      <c r="P157" s="104"/>
      <c r="Q157" s="104"/>
      <c r="R157" s="104"/>
      <c r="S157" s="104"/>
      <c r="T157" s="104"/>
      <c r="U157" s="104">
        <f t="shared" si="3"/>
        <v>0</v>
      </c>
      <c r="V157" s="115" t="str">
        <f t="shared" si="4"/>
        <v>Não</v>
      </c>
      <c r="W157" s="116" t="str">
        <f t="shared" si="5"/>
        <v>Igual</v>
      </c>
      <c r="X157" s="120"/>
      <c r="Y157" s="120"/>
      <c r="Z157" s="49"/>
      <c r="AA157" s="116" t="str">
        <f t="shared" si="7"/>
        <v>#REF!</v>
      </c>
    </row>
    <row r="158" hidden="1">
      <c r="I158" s="49"/>
      <c r="J158" s="49"/>
      <c r="K158" s="49"/>
      <c r="L158" s="49"/>
      <c r="M158" s="104"/>
      <c r="N158" s="104"/>
      <c r="O158" s="115" t="str">
        <f t="shared" si="2"/>
        <v>Não</v>
      </c>
      <c r="P158" s="104"/>
      <c r="Q158" s="104"/>
      <c r="R158" s="104"/>
      <c r="S158" s="104"/>
      <c r="T158" s="104"/>
      <c r="U158" s="104">
        <f t="shared" si="3"/>
        <v>0</v>
      </c>
      <c r="V158" s="115" t="str">
        <f t="shared" si="4"/>
        <v>Não</v>
      </c>
      <c r="W158" s="116" t="str">
        <f t="shared" si="5"/>
        <v>Igual</v>
      </c>
      <c r="X158" s="120"/>
      <c r="Y158" s="120"/>
      <c r="Z158" s="49"/>
      <c r="AA158" s="116" t="str">
        <f t="shared" si="7"/>
        <v>#REF!</v>
      </c>
    </row>
    <row r="159" hidden="1">
      <c r="I159" s="49"/>
      <c r="J159" s="49"/>
      <c r="K159" s="49"/>
      <c r="L159" s="49"/>
      <c r="M159" s="104"/>
      <c r="N159" s="104"/>
      <c r="O159" s="115" t="str">
        <f t="shared" si="2"/>
        <v>Não</v>
      </c>
      <c r="P159" s="104"/>
      <c r="Q159" s="104"/>
      <c r="R159" s="104"/>
      <c r="S159" s="104"/>
      <c r="T159" s="104"/>
      <c r="U159" s="104">
        <f t="shared" si="3"/>
        <v>0</v>
      </c>
      <c r="V159" s="115" t="str">
        <f t="shared" si="4"/>
        <v>Não</v>
      </c>
      <c r="W159" s="116" t="str">
        <f t="shared" si="5"/>
        <v>Igual</v>
      </c>
      <c r="X159" s="120"/>
      <c r="Y159" s="120"/>
      <c r="Z159" s="49"/>
      <c r="AA159" s="116" t="str">
        <f t="shared" si="7"/>
        <v>#REF!</v>
      </c>
    </row>
    <row r="160" hidden="1">
      <c r="I160" s="49"/>
      <c r="J160" s="49"/>
      <c r="K160" s="49"/>
      <c r="L160" s="49"/>
      <c r="M160" s="104"/>
      <c r="N160" s="104"/>
      <c r="O160" s="115" t="str">
        <f t="shared" si="2"/>
        <v>Não</v>
      </c>
      <c r="P160" s="104"/>
      <c r="Q160" s="104"/>
      <c r="R160" s="104"/>
      <c r="S160" s="104"/>
      <c r="T160" s="104"/>
      <c r="U160" s="104">
        <f t="shared" si="3"/>
        <v>0</v>
      </c>
      <c r="V160" s="115" t="str">
        <f t="shared" si="4"/>
        <v>Não</v>
      </c>
      <c r="W160" s="116" t="str">
        <f t="shared" si="5"/>
        <v>Igual</v>
      </c>
      <c r="X160" s="120"/>
      <c r="Y160" s="120"/>
      <c r="Z160" s="49"/>
      <c r="AA160" s="116" t="str">
        <f t="shared" si="7"/>
        <v>#REF!</v>
      </c>
    </row>
    <row r="161" hidden="1">
      <c r="I161" s="49"/>
      <c r="J161" s="49"/>
      <c r="K161" s="49"/>
      <c r="L161" s="49"/>
      <c r="M161" s="104"/>
      <c r="N161" s="104"/>
      <c r="O161" s="115" t="str">
        <f t="shared" si="2"/>
        <v>Não</v>
      </c>
      <c r="P161" s="104"/>
      <c r="Q161" s="104"/>
      <c r="R161" s="104"/>
      <c r="S161" s="104"/>
      <c r="T161" s="104"/>
      <c r="U161" s="104">
        <f t="shared" si="3"/>
        <v>0</v>
      </c>
      <c r="V161" s="115" t="str">
        <f t="shared" si="4"/>
        <v>Não</v>
      </c>
      <c r="W161" s="116" t="str">
        <f t="shared" si="5"/>
        <v>Igual</v>
      </c>
      <c r="X161" s="120"/>
      <c r="Y161" s="120"/>
      <c r="Z161" s="49"/>
      <c r="AA161" s="116" t="str">
        <f t="shared" si="7"/>
        <v>#REF!</v>
      </c>
    </row>
    <row r="162" hidden="1">
      <c r="I162" s="49"/>
      <c r="J162" s="49"/>
      <c r="K162" s="49"/>
      <c r="L162" s="49"/>
      <c r="M162" s="104"/>
      <c r="N162" s="104"/>
      <c r="O162" s="115" t="str">
        <f t="shared" si="2"/>
        <v>Não</v>
      </c>
      <c r="P162" s="104"/>
      <c r="Q162" s="104"/>
      <c r="R162" s="104"/>
      <c r="S162" s="104"/>
      <c r="T162" s="104"/>
      <c r="U162" s="104">
        <f t="shared" si="3"/>
        <v>0</v>
      </c>
      <c r="V162" s="115" t="str">
        <f t="shared" si="4"/>
        <v>Não</v>
      </c>
      <c r="W162" s="116" t="str">
        <f t="shared" si="5"/>
        <v>Igual</v>
      </c>
      <c r="X162" s="120"/>
      <c r="Y162" s="120"/>
      <c r="Z162" s="49"/>
      <c r="AA162" s="116" t="str">
        <f t="shared" si="7"/>
        <v>#REF!</v>
      </c>
    </row>
    <row r="163" hidden="1">
      <c r="I163" s="49"/>
      <c r="J163" s="49"/>
      <c r="K163" s="49"/>
      <c r="L163" s="49"/>
      <c r="M163" s="104"/>
      <c r="N163" s="104"/>
      <c r="O163" s="115" t="str">
        <f t="shared" si="2"/>
        <v>Não</v>
      </c>
      <c r="P163" s="104"/>
      <c r="Q163" s="104"/>
      <c r="R163" s="104"/>
      <c r="S163" s="104"/>
      <c r="T163" s="104"/>
      <c r="U163" s="104">
        <f t="shared" si="3"/>
        <v>0</v>
      </c>
      <c r="V163" s="115" t="str">
        <f t="shared" si="4"/>
        <v>Não</v>
      </c>
      <c r="W163" s="116" t="str">
        <f t="shared" si="5"/>
        <v>Igual</v>
      </c>
      <c r="X163" s="120"/>
      <c r="Y163" s="120"/>
      <c r="Z163" s="49"/>
      <c r="AA163" s="116" t="str">
        <f t="shared" si="7"/>
        <v>#REF!</v>
      </c>
    </row>
    <row r="164" hidden="1">
      <c r="I164" s="49"/>
      <c r="J164" s="49"/>
      <c r="K164" s="49"/>
      <c r="L164" s="49"/>
      <c r="M164" s="104"/>
      <c r="N164" s="104"/>
      <c r="O164" s="115" t="str">
        <f t="shared" si="2"/>
        <v>Não</v>
      </c>
      <c r="P164" s="104"/>
      <c r="Q164" s="104"/>
      <c r="R164" s="104"/>
      <c r="S164" s="104"/>
      <c r="T164" s="104"/>
      <c r="U164" s="104">
        <f t="shared" si="3"/>
        <v>0</v>
      </c>
      <c r="V164" s="115" t="str">
        <f t="shared" si="4"/>
        <v>Não</v>
      </c>
      <c r="W164" s="116" t="str">
        <f t="shared" si="5"/>
        <v>Igual</v>
      </c>
      <c r="X164" s="120"/>
      <c r="Y164" s="120"/>
      <c r="Z164" s="49"/>
      <c r="AA164" s="116" t="str">
        <f t="shared" si="7"/>
        <v>#REF!</v>
      </c>
    </row>
    <row r="165" hidden="1">
      <c r="I165" s="49"/>
      <c r="J165" s="49"/>
      <c r="K165" s="49"/>
      <c r="L165" s="49"/>
      <c r="M165" s="104"/>
      <c r="N165" s="104"/>
      <c r="O165" s="115" t="str">
        <f t="shared" si="2"/>
        <v>Não</v>
      </c>
      <c r="P165" s="104"/>
      <c r="Q165" s="104"/>
      <c r="R165" s="104"/>
      <c r="S165" s="104"/>
      <c r="T165" s="104"/>
      <c r="U165" s="104">
        <f t="shared" si="3"/>
        <v>0</v>
      </c>
      <c r="V165" s="115" t="str">
        <f t="shared" si="4"/>
        <v>Não</v>
      </c>
      <c r="W165" s="116" t="str">
        <f t="shared" si="5"/>
        <v>Igual</v>
      </c>
      <c r="X165" s="120"/>
      <c r="Y165" s="120"/>
      <c r="Z165" s="49"/>
      <c r="AA165" s="116" t="str">
        <f t="shared" si="7"/>
        <v>#REF!</v>
      </c>
    </row>
    <row r="166" hidden="1">
      <c r="I166" s="49"/>
      <c r="J166" s="49"/>
      <c r="K166" s="49"/>
      <c r="L166" s="49"/>
      <c r="M166" s="104"/>
      <c r="N166" s="104"/>
      <c r="O166" s="115" t="str">
        <f t="shared" si="2"/>
        <v>Não</v>
      </c>
      <c r="P166" s="104"/>
      <c r="Q166" s="104"/>
      <c r="R166" s="104"/>
      <c r="S166" s="104"/>
      <c r="T166" s="104"/>
      <c r="U166" s="104">
        <f t="shared" si="3"/>
        <v>0</v>
      </c>
      <c r="V166" s="115" t="str">
        <f t="shared" si="4"/>
        <v>Não</v>
      </c>
      <c r="W166" s="116" t="str">
        <f t="shared" si="5"/>
        <v>Igual</v>
      </c>
      <c r="X166" s="120"/>
      <c r="Y166" s="120"/>
      <c r="Z166" s="49"/>
      <c r="AA166" s="116" t="str">
        <f t="shared" si="7"/>
        <v>#REF!</v>
      </c>
    </row>
    <row r="167" hidden="1">
      <c r="I167" s="49"/>
      <c r="J167" s="49"/>
      <c r="K167" s="49"/>
      <c r="L167" s="49"/>
      <c r="M167" s="104"/>
      <c r="N167" s="104"/>
      <c r="O167" s="115" t="str">
        <f t="shared" si="2"/>
        <v>Não</v>
      </c>
      <c r="P167" s="104"/>
      <c r="Q167" s="104"/>
      <c r="R167" s="104"/>
      <c r="S167" s="104"/>
      <c r="T167" s="104"/>
      <c r="U167" s="104">
        <f t="shared" si="3"/>
        <v>0</v>
      </c>
      <c r="V167" s="115" t="str">
        <f t="shared" si="4"/>
        <v>Não</v>
      </c>
      <c r="W167" s="116" t="str">
        <f t="shared" si="5"/>
        <v>Igual</v>
      </c>
      <c r="X167" s="120"/>
      <c r="Y167" s="120"/>
      <c r="Z167" s="49"/>
      <c r="AA167" s="116" t="str">
        <f t="shared" si="7"/>
        <v>#REF!</v>
      </c>
    </row>
    <row r="168" hidden="1">
      <c r="I168" s="49"/>
      <c r="J168" s="49"/>
      <c r="K168" s="49"/>
      <c r="L168" s="49"/>
      <c r="M168" s="104"/>
      <c r="N168" s="104"/>
      <c r="O168" s="115" t="str">
        <f t="shared" si="2"/>
        <v>Não</v>
      </c>
      <c r="P168" s="104"/>
      <c r="Q168" s="104"/>
      <c r="R168" s="104"/>
      <c r="S168" s="104"/>
      <c r="T168" s="104"/>
      <c r="U168" s="104">
        <f t="shared" si="3"/>
        <v>0</v>
      </c>
      <c r="V168" s="115" t="str">
        <f t="shared" si="4"/>
        <v>Não</v>
      </c>
      <c r="W168" s="116" t="str">
        <f t="shared" si="5"/>
        <v>Igual</v>
      </c>
      <c r="X168" s="120"/>
      <c r="Y168" s="120"/>
      <c r="Z168" s="49"/>
      <c r="AA168" s="116" t="str">
        <f t="shared" si="7"/>
        <v>#REF!</v>
      </c>
    </row>
    <row r="169" hidden="1">
      <c r="I169" s="49"/>
      <c r="J169" s="49"/>
      <c r="K169" s="49"/>
      <c r="L169" s="49"/>
      <c r="M169" s="104"/>
      <c r="N169" s="104"/>
      <c r="O169" s="115" t="str">
        <f t="shared" si="2"/>
        <v>Não</v>
      </c>
      <c r="P169" s="104"/>
      <c r="Q169" s="104"/>
      <c r="R169" s="104"/>
      <c r="S169" s="104"/>
      <c r="T169" s="104"/>
      <c r="U169" s="104">
        <f t="shared" si="3"/>
        <v>0</v>
      </c>
      <c r="V169" s="115" t="str">
        <f t="shared" si="4"/>
        <v>Não</v>
      </c>
      <c r="W169" s="116" t="str">
        <f t="shared" si="5"/>
        <v>Igual</v>
      </c>
      <c r="X169" s="120"/>
      <c r="Y169" s="120"/>
      <c r="Z169" s="49"/>
      <c r="AA169" s="116" t="str">
        <f t="shared" si="7"/>
        <v>#REF!</v>
      </c>
    </row>
    <row r="170" hidden="1">
      <c r="I170" s="49"/>
      <c r="J170" s="49"/>
      <c r="K170" s="49"/>
      <c r="L170" s="49"/>
      <c r="M170" s="104"/>
      <c r="N170" s="104"/>
      <c r="O170" s="115" t="str">
        <f t="shared" si="2"/>
        <v>Não</v>
      </c>
      <c r="P170" s="104"/>
      <c r="Q170" s="104"/>
      <c r="R170" s="104"/>
      <c r="S170" s="104"/>
      <c r="T170" s="104"/>
      <c r="U170" s="104">
        <f t="shared" si="3"/>
        <v>0</v>
      </c>
      <c r="V170" s="115" t="str">
        <f t="shared" si="4"/>
        <v>Não</v>
      </c>
      <c r="W170" s="116" t="str">
        <f t="shared" si="5"/>
        <v>Igual</v>
      </c>
      <c r="X170" s="120"/>
      <c r="Y170" s="120"/>
      <c r="Z170" s="49"/>
      <c r="AA170" s="116" t="str">
        <f t="shared" si="7"/>
        <v>#REF!</v>
      </c>
    </row>
    <row r="171" hidden="1">
      <c r="I171" s="49"/>
      <c r="J171" s="49"/>
      <c r="K171" s="49"/>
      <c r="L171" s="49"/>
      <c r="M171" s="104"/>
      <c r="N171" s="104"/>
      <c r="O171" s="115" t="str">
        <f t="shared" si="2"/>
        <v>Não</v>
      </c>
      <c r="P171" s="104"/>
      <c r="Q171" s="104"/>
      <c r="R171" s="104"/>
      <c r="S171" s="104"/>
      <c r="T171" s="104"/>
      <c r="U171" s="104">
        <f t="shared" si="3"/>
        <v>0</v>
      </c>
      <c r="V171" s="115" t="str">
        <f t="shared" si="4"/>
        <v>Não</v>
      </c>
      <c r="W171" s="116" t="str">
        <f t="shared" si="5"/>
        <v>Igual</v>
      </c>
      <c r="X171" s="120"/>
      <c r="Y171" s="120"/>
      <c r="Z171" s="49"/>
      <c r="AA171" s="116" t="str">
        <f t="shared" si="7"/>
        <v>#REF!</v>
      </c>
    </row>
    <row r="172" hidden="1">
      <c r="I172" s="49"/>
      <c r="J172" s="49"/>
      <c r="K172" s="49"/>
      <c r="L172" s="49"/>
      <c r="M172" s="104"/>
      <c r="N172" s="104"/>
      <c r="O172" s="115" t="str">
        <f t="shared" si="2"/>
        <v>Não</v>
      </c>
      <c r="P172" s="104"/>
      <c r="Q172" s="104"/>
      <c r="R172" s="104"/>
      <c r="S172" s="104"/>
      <c r="T172" s="104"/>
      <c r="U172" s="104">
        <f t="shared" si="3"/>
        <v>0</v>
      </c>
      <c r="V172" s="115" t="str">
        <f t="shared" si="4"/>
        <v>Não</v>
      </c>
      <c r="W172" s="116" t="str">
        <f t="shared" si="5"/>
        <v>Igual</v>
      </c>
      <c r="X172" s="120"/>
      <c r="Y172" s="120"/>
      <c r="Z172" s="49"/>
      <c r="AA172" s="116" t="str">
        <f t="shared" si="7"/>
        <v>#REF!</v>
      </c>
    </row>
    <row r="173" hidden="1">
      <c r="I173" s="49"/>
      <c r="J173" s="49"/>
      <c r="K173" s="49"/>
      <c r="L173" s="49"/>
      <c r="M173" s="104"/>
      <c r="N173" s="104"/>
      <c r="O173" s="115" t="str">
        <f t="shared" si="2"/>
        <v>Não</v>
      </c>
      <c r="P173" s="104"/>
      <c r="Q173" s="104"/>
      <c r="R173" s="104"/>
      <c r="S173" s="104"/>
      <c r="T173" s="104"/>
      <c r="U173" s="104">
        <f t="shared" si="3"/>
        <v>0</v>
      </c>
      <c r="V173" s="115" t="str">
        <f t="shared" si="4"/>
        <v>Não</v>
      </c>
      <c r="W173" s="116" t="str">
        <f t="shared" si="5"/>
        <v>Igual</v>
      </c>
      <c r="X173" s="120"/>
      <c r="Y173" s="120"/>
      <c r="Z173" s="49"/>
      <c r="AA173" s="116" t="str">
        <f t="shared" si="7"/>
        <v>#REF!</v>
      </c>
    </row>
    <row r="174" hidden="1">
      <c r="I174" s="49"/>
      <c r="J174" s="49"/>
      <c r="K174" s="49"/>
      <c r="L174" s="49"/>
      <c r="M174" s="104"/>
      <c r="N174" s="104"/>
      <c r="O174" s="115" t="str">
        <f t="shared" si="2"/>
        <v>Não</v>
      </c>
      <c r="P174" s="104"/>
      <c r="Q174" s="104"/>
      <c r="R174" s="104"/>
      <c r="S174" s="104"/>
      <c r="T174" s="104"/>
      <c r="U174" s="104">
        <f t="shared" si="3"/>
        <v>0</v>
      </c>
      <c r="V174" s="115" t="str">
        <f t="shared" si="4"/>
        <v>Não</v>
      </c>
      <c r="W174" s="116" t="str">
        <f t="shared" si="5"/>
        <v>Igual</v>
      </c>
      <c r="X174" s="120"/>
      <c r="Y174" s="120"/>
      <c r="Z174" s="49"/>
      <c r="AA174" s="116" t="str">
        <f t="shared" si="7"/>
        <v>#REF!</v>
      </c>
    </row>
    <row r="175" hidden="1">
      <c r="I175" s="49"/>
      <c r="J175" s="49"/>
      <c r="K175" s="49"/>
      <c r="L175" s="49"/>
      <c r="M175" s="104"/>
      <c r="N175" s="104"/>
      <c r="O175" s="115" t="str">
        <f t="shared" si="2"/>
        <v>Não</v>
      </c>
      <c r="P175" s="104"/>
      <c r="Q175" s="104"/>
      <c r="R175" s="104"/>
      <c r="S175" s="104"/>
      <c r="T175" s="104"/>
      <c r="U175" s="104">
        <f t="shared" si="3"/>
        <v>0</v>
      </c>
      <c r="V175" s="115" t="str">
        <f t="shared" si="4"/>
        <v>Não</v>
      </c>
      <c r="W175" s="116" t="str">
        <f t="shared" si="5"/>
        <v>Igual</v>
      </c>
      <c r="X175" s="120"/>
      <c r="Y175" s="120"/>
      <c r="Z175" s="49"/>
      <c r="AA175" s="116" t="str">
        <f t="shared" si="7"/>
        <v>#REF!</v>
      </c>
    </row>
    <row r="176" hidden="1">
      <c r="I176" s="49"/>
      <c r="J176" s="49"/>
      <c r="K176" s="49"/>
      <c r="L176" s="49"/>
      <c r="M176" s="104"/>
      <c r="N176" s="104"/>
      <c r="O176" s="115" t="str">
        <f t="shared" si="2"/>
        <v>Não</v>
      </c>
      <c r="P176" s="104"/>
      <c r="Q176" s="104"/>
      <c r="R176" s="104"/>
      <c r="S176" s="104"/>
      <c r="T176" s="104"/>
      <c r="U176" s="104">
        <f t="shared" si="3"/>
        <v>0</v>
      </c>
      <c r="V176" s="115" t="str">
        <f t="shared" si="4"/>
        <v>Não</v>
      </c>
      <c r="W176" s="116" t="str">
        <f t="shared" si="5"/>
        <v>Igual</v>
      </c>
      <c r="X176" s="120"/>
      <c r="Y176" s="120"/>
      <c r="Z176" s="49"/>
      <c r="AA176" s="116" t="str">
        <f t="shared" si="7"/>
        <v>#REF!</v>
      </c>
    </row>
    <row r="177" hidden="1">
      <c r="I177" s="49"/>
      <c r="J177" s="49"/>
      <c r="K177" s="49"/>
      <c r="L177" s="49"/>
      <c r="M177" s="104"/>
      <c r="N177" s="104"/>
      <c r="O177" s="115" t="str">
        <f t="shared" si="2"/>
        <v>Não</v>
      </c>
      <c r="P177" s="104"/>
      <c r="Q177" s="104"/>
      <c r="R177" s="104"/>
      <c r="S177" s="104"/>
      <c r="T177" s="104"/>
      <c r="U177" s="104">
        <f t="shared" si="3"/>
        <v>0</v>
      </c>
      <c r="V177" s="115" t="str">
        <f t="shared" si="4"/>
        <v>Não</v>
      </c>
      <c r="W177" s="116" t="str">
        <f t="shared" si="5"/>
        <v>Igual</v>
      </c>
      <c r="X177" s="120"/>
      <c r="Y177" s="120"/>
      <c r="Z177" s="49"/>
      <c r="AA177" s="116" t="str">
        <f t="shared" si="7"/>
        <v>#REF!</v>
      </c>
    </row>
    <row r="178" hidden="1">
      <c r="I178" s="49"/>
      <c r="J178" s="49"/>
      <c r="K178" s="49"/>
      <c r="L178" s="49"/>
      <c r="M178" s="104"/>
      <c r="N178" s="104"/>
      <c r="O178" s="115" t="str">
        <f t="shared" si="2"/>
        <v>Não</v>
      </c>
      <c r="P178" s="104"/>
      <c r="Q178" s="104"/>
      <c r="R178" s="104"/>
      <c r="S178" s="104"/>
      <c r="T178" s="104"/>
      <c r="U178" s="104">
        <f t="shared" si="3"/>
        <v>0</v>
      </c>
      <c r="V178" s="115" t="str">
        <f t="shared" si="4"/>
        <v>Não</v>
      </c>
      <c r="W178" s="116" t="str">
        <f t="shared" si="5"/>
        <v>Igual</v>
      </c>
      <c r="X178" s="120"/>
      <c r="Y178" s="120"/>
      <c r="Z178" s="49"/>
      <c r="AA178" s="116" t="str">
        <f t="shared" si="7"/>
        <v>#REF!</v>
      </c>
    </row>
    <row r="179" hidden="1">
      <c r="I179" s="49"/>
      <c r="J179" s="49"/>
      <c r="K179" s="49"/>
      <c r="L179" s="49"/>
      <c r="M179" s="104"/>
      <c r="N179" s="104"/>
      <c r="O179" s="115" t="str">
        <f t="shared" si="2"/>
        <v>Não</v>
      </c>
      <c r="P179" s="104"/>
      <c r="Q179" s="104"/>
      <c r="R179" s="104"/>
      <c r="S179" s="104"/>
      <c r="T179" s="104"/>
      <c r="U179" s="104">
        <f t="shared" si="3"/>
        <v>0</v>
      </c>
      <c r="V179" s="115" t="str">
        <f t="shared" si="4"/>
        <v>Não</v>
      </c>
      <c r="W179" s="116" t="str">
        <f t="shared" si="5"/>
        <v>Igual</v>
      </c>
      <c r="X179" s="120"/>
      <c r="Y179" s="120"/>
      <c r="Z179" s="49"/>
      <c r="AA179" s="116" t="str">
        <f t="shared" si="7"/>
        <v>#REF!</v>
      </c>
    </row>
    <row r="180" hidden="1">
      <c r="I180" s="49"/>
      <c r="J180" s="49"/>
      <c r="K180" s="49"/>
      <c r="L180" s="49"/>
      <c r="M180" s="104"/>
      <c r="N180" s="104"/>
      <c r="O180" s="115" t="str">
        <f t="shared" si="2"/>
        <v>Não</v>
      </c>
      <c r="P180" s="104"/>
      <c r="Q180" s="104"/>
      <c r="R180" s="104"/>
      <c r="S180" s="104"/>
      <c r="T180" s="104"/>
      <c r="U180" s="104">
        <f t="shared" si="3"/>
        <v>0</v>
      </c>
      <c r="V180" s="115" t="str">
        <f t="shared" si="4"/>
        <v>Não</v>
      </c>
      <c r="W180" s="116" t="str">
        <f t="shared" si="5"/>
        <v>Igual</v>
      </c>
      <c r="X180" s="120"/>
      <c r="Y180" s="120"/>
      <c r="Z180" s="49"/>
      <c r="AA180" s="116" t="str">
        <f t="shared" si="7"/>
        <v>#REF!</v>
      </c>
    </row>
    <row r="181" hidden="1">
      <c r="I181" s="49"/>
      <c r="J181" s="49"/>
      <c r="K181" s="49"/>
      <c r="L181" s="49"/>
      <c r="M181" s="104"/>
      <c r="N181" s="104"/>
      <c r="O181" s="115" t="str">
        <f t="shared" si="2"/>
        <v>Não</v>
      </c>
      <c r="P181" s="104"/>
      <c r="Q181" s="104"/>
      <c r="R181" s="104"/>
      <c r="S181" s="104"/>
      <c r="T181" s="104"/>
      <c r="U181" s="104">
        <f t="shared" si="3"/>
        <v>0</v>
      </c>
      <c r="V181" s="115" t="str">
        <f t="shared" si="4"/>
        <v>Não</v>
      </c>
      <c r="W181" s="116" t="str">
        <f t="shared" si="5"/>
        <v>Igual</v>
      </c>
      <c r="X181" s="120"/>
      <c r="Y181" s="120"/>
      <c r="Z181" s="49"/>
      <c r="AA181" s="116" t="str">
        <f t="shared" si="7"/>
        <v>#REF!</v>
      </c>
    </row>
    <row r="182" hidden="1">
      <c r="I182" s="49"/>
      <c r="J182" s="49"/>
      <c r="K182" s="49"/>
      <c r="L182" s="49"/>
      <c r="M182" s="104"/>
      <c r="N182" s="104"/>
      <c r="O182" s="115" t="str">
        <f t="shared" si="2"/>
        <v>Não</v>
      </c>
      <c r="P182" s="104"/>
      <c r="Q182" s="104"/>
      <c r="R182" s="104"/>
      <c r="S182" s="104"/>
      <c r="T182" s="104"/>
      <c r="U182" s="104">
        <f t="shared" si="3"/>
        <v>0</v>
      </c>
      <c r="V182" s="115" t="str">
        <f t="shared" si="4"/>
        <v>Não</v>
      </c>
      <c r="W182" s="116" t="str">
        <f t="shared" si="5"/>
        <v>Igual</v>
      </c>
      <c r="X182" s="120"/>
      <c r="Y182" s="120"/>
      <c r="Z182" s="49"/>
      <c r="AA182" s="116" t="str">
        <f t="shared" si="7"/>
        <v>#REF!</v>
      </c>
    </row>
    <row r="183" hidden="1">
      <c r="I183" s="49"/>
      <c r="J183" s="49"/>
      <c r="K183" s="49"/>
      <c r="L183" s="49"/>
      <c r="M183" s="104"/>
      <c r="N183" s="104"/>
      <c r="O183" s="115" t="str">
        <f t="shared" si="2"/>
        <v>Não</v>
      </c>
      <c r="P183" s="104"/>
      <c r="Q183" s="104"/>
      <c r="R183" s="104"/>
      <c r="S183" s="104"/>
      <c r="T183" s="104"/>
      <c r="U183" s="104">
        <f t="shared" si="3"/>
        <v>0</v>
      </c>
      <c r="V183" s="115" t="str">
        <f t="shared" si="4"/>
        <v>Não</v>
      </c>
      <c r="W183" s="116" t="str">
        <f t="shared" si="5"/>
        <v>Igual</v>
      </c>
      <c r="X183" s="120"/>
      <c r="Y183" s="120"/>
      <c r="Z183" s="49"/>
      <c r="AA183" s="116" t="str">
        <f t="shared" si="7"/>
        <v>#REF!</v>
      </c>
    </row>
    <row r="184" hidden="1">
      <c r="I184" s="49"/>
      <c r="J184" s="49"/>
      <c r="K184" s="49"/>
      <c r="L184" s="49"/>
      <c r="M184" s="104"/>
      <c r="N184" s="104"/>
      <c r="O184" s="115" t="str">
        <f t="shared" si="2"/>
        <v>Não</v>
      </c>
      <c r="P184" s="104"/>
      <c r="Q184" s="104"/>
      <c r="R184" s="104"/>
      <c r="S184" s="104"/>
      <c r="T184" s="104"/>
      <c r="U184" s="104">
        <f t="shared" si="3"/>
        <v>0</v>
      </c>
      <c r="V184" s="115" t="str">
        <f t="shared" si="4"/>
        <v>Não</v>
      </c>
      <c r="W184" s="116" t="str">
        <f t="shared" si="5"/>
        <v>Igual</v>
      </c>
      <c r="X184" s="120"/>
      <c r="Y184" s="120"/>
      <c r="Z184" s="49"/>
      <c r="AA184" s="116" t="str">
        <f t="shared" si="7"/>
        <v>#REF!</v>
      </c>
    </row>
    <row r="185" hidden="1">
      <c r="I185" s="49"/>
      <c r="J185" s="49"/>
      <c r="K185" s="49"/>
      <c r="L185" s="49"/>
      <c r="M185" s="104"/>
      <c r="N185" s="104"/>
      <c r="O185" s="115" t="str">
        <f t="shared" si="2"/>
        <v>Não</v>
      </c>
      <c r="P185" s="104"/>
      <c r="Q185" s="104"/>
      <c r="R185" s="104"/>
      <c r="S185" s="104"/>
      <c r="T185" s="104"/>
      <c r="U185" s="104">
        <f t="shared" si="3"/>
        <v>0</v>
      </c>
      <c r="V185" s="115" t="str">
        <f t="shared" si="4"/>
        <v>Não</v>
      </c>
      <c r="W185" s="116" t="str">
        <f t="shared" si="5"/>
        <v>Igual</v>
      </c>
      <c r="X185" s="120"/>
      <c r="Y185" s="120"/>
      <c r="Z185" s="49"/>
      <c r="AA185" s="116" t="str">
        <f t="shared" si="7"/>
        <v>#REF!</v>
      </c>
    </row>
    <row r="186" hidden="1">
      <c r="I186" s="49"/>
      <c r="J186" s="49"/>
      <c r="K186" s="49"/>
      <c r="L186" s="49"/>
      <c r="M186" s="104"/>
      <c r="N186" s="104"/>
      <c r="O186" s="115" t="str">
        <f t="shared" si="2"/>
        <v>Não</v>
      </c>
      <c r="P186" s="104"/>
      <c r="Q186" s="104"/>
      <c r="R186" s="104"/>
      <c r="S186" s="104"/>
      <c r="T186" s="104"/>
      <c r="U186" s="104">
        <f t="shared" si="3"/>
        <v>0</v>
      </c>
      <c r="V186" s="115" t="str">
        <f t="shared" si="4"/>
        <v>Não</v>
      </c>
      <c r="W186" s="116" t="str">
        <f t="shared" si="5"/>
        <v>Igual</v>
      </c>
      <c r="X186" s="120"/>
      <c r="Y186" s="120"/>
      <c r="Z186" s="49"/>
      <c r="AA186" s="116" t="str">
        <f t="shared" si="7"/>
        <v>#REF!</v>
      </c>
    </row>
    <row r="187" hidden="1">
      <c r="I187" s="49"/>
      <c r="J187" s="49"/>
      <c r="K187" s="49"/>
      <c r="L187" s="49"/>
      <c r="M187" s="104"/>
      <c r="N187" s="104"/>
      <c r="O187" s="115" t="str">
        <f t="shared" si="2"/>
        <v>Não</v>
      </c>
      <c r="P187" s="104"/>
      <c r="Q187" s="104"/>
      <c r="R187" s="104"/>
      <c r="S187" s="104"/>
      <c r="T187" s="104"/>
      <c r="U187" s="104">
        <f t="shared" si="3"/>
        <v>0</v>
      </c>
      <c r="V187" s="115" t="str">
        <f t="shared" si="4"/>
        <v>Não</v>
      </c>
      <c r="W187" s="116" t="str">
        <f t="shared" si="5"/>
        <v>Igual</v>
      </c>
      <c r="X187" s="120"/>
      <c r="Y187" s="120"/>
      <c r="Z187" s="49"/>
      <c r="AA187" s="116" t="str">
        <f t="shared" si="7"/>
        <v>#REF!</v>
      </c>
    </row>
    <row r="188" hidden="1">
      <c r="I188" s="49"/>
      <c r="J188" s="49"/>
      <c r="K188" s="49"/>
      <c r="L188" s="49"/>
      <c r="M188" s="104"/>
      <c r="N188" s="104"/>
      <c r="O188" s="115" t="str">
        <f t="shared" si="2"/>
        <v>Não</v>
      </c>
      <c r="P188" s="104"/>
      <c r="Q188" s="104"/>
      <c r="R188" s="104"/>
      <c r="S188" s="104"/>
      <c r="T188" s="104"/>
      <c r="U188" s="104">
        <f t="shared" si="3"/>
        <v>0</v>
      </c>
      <c r="V188" s="115" t="str">
        <f t="shared" si="4"/>
        <v>Não</v>
      </c>
      <c r="W188" s="116" t="str">
        <f t="shared" si="5"/>
        <v>Igual</v>
      </c>
      <c r="X188" s="120"/>
      <c r="Y188" s="120"/>
      <c r="Z188" s="49"/>
      <c r="AA188" s="116" t="str">
        <f t="shared" si="7"/>
        <v>#REF!</v>
      </c>
    </row>
    <row r="189" hidden="1">
      <c r="I189" s="49"/>
      <c r="J189" s="49"/>
      <c r="K189" s="49"/>
      <c r="L189" s="49"/>
      <c r="M189" s="104"/>
      <c r="N189" s="104"/>
      <c r="O189" s="115" t="str">
        <f t="shared" si="2"/>
        <v>Não</v>
      </c>
      <c r="P189" s="104"/>
      <c r="Q189" s="104"/>
      <c r="R189" s="104"/>
      <c r="S189" s="104"/>
      <c r="T189" s="104"/>
      <c r="U189" s="104">
        <f t="shared" si="3"/>
        <v>0</v>
      </c>
      <c r="V189" s="115" t="str">
        <f t="shared" si="4"/>
        <v>Não</v>
      </c>
      <c r="W189" s="116" t="str">
        <f t="shared" si="5"/>
        <v>Igual</v>
      </c>
      <c r="X189" s="120"/>
      <c r="Y189" s="120"/>
      <c r="Z189" s="49"/>
      <c r="AA189" s="116" t="str">
        <f t="shared" si="7"/>
        <v>#REF!</v>
      </c>
    </row>
    <row r="190" hidden="1">
      <c r="I190" s="49"/>
      <c r="J190" s="49"/>
      <c r="K190" s="49"/>
      <c r="L190" s="49"/>
      <c r="M190" s="104"/>
      <c r="N190" s="104"/>
      <c r="O190" s="115" t="str">
        <f t="shared" si="2"/>
        <v>Não</v>
      </c>
      <c r="P190" s="104"/>
      <c r="Q190" s="104"/>
      <c r="R190" s="104"/>
      <c r="S190" s="104"/>
      <c r="T190" s="104"/>
      <c r="U190" s="104">
        <f t="shared" si="3"/>
        <v>0</v>
      </c>
      <c r="V190" s="115" t="str">
        <f t="shared" si="4"/>
        <v>Não</v>
      </c>
      <c r="W190" s="116" t="str">
        <f t="shared" si="5"/>
        <v>Igual</v>
      </c>
      <c r="X190" s="120"/>
      <c r="Y190" s="120"/>
      <c r="Z190" s="49"/>
      <c r="AA190" s="116" t="str">
        <f t="shared" si="7"/>
        <v>#REF!</v>
      </c>
    </row>
    <row r="191" hidden="1">
      <c r="I191" s="49"/>
      <c r="J191" s="49"/>
      <c r="K191" s="49"/>
      <c r="L191" s="49"/>
      <c r="M191" s="104"/>
      <c r="N191" s="104"/>
      <c r="O191" s="115" t="str">
        <f t="shared" si="2"/>
        <v>Não</v>
      </c>
      <c r="P191" s="104"/>
      <c r="Q191" s="104"/>
      <c r="R191" s="104"/>
      <c r="S191" s="104"/>
      <c r="T191" s="104"/>
      <c r="U191" s="104">
        <f t="shared" si="3"/>
        <v>0</v>
      </c>
      <c r="V191" s="115" t="str">
        <f t="shared" si="4"/>
        <v>Não</v>
      </c>
      <c r="W191" s="116" t="str">
        <f t="shared" si="5"/>
        <v>Igual</v>
      </c>
      <c r="X191" s="120"/>
      <c r="Y191" s="120"/>
      <c r="Z191" s="49"/>
      <c r="AA191" s="116" t="str">
        <f t="shared" si="7"/>
        <v>#REF!</v>
      </c>
    </row>
    <row r="192" hidden="1">
      <c r="I192" s="49"/>
      <c r="J192" s="49"/>
      <c r="K192" s="49"/>
      <c r="L192" s="49"/>
      <c r="M192" s="104"/>
      <c r="N192" s="104"/>
      <c r="O192" s="115" t="str">
        <f t="shared" si="2"/>
        <v>Não</v>
      </c>
      <c r="P192" s="104"/>
      <c r="Q192" s="104"/>
      <c r="R192" s="104"/>
      <c r="S192" s="104"/>
      <c r="T192" s="104"/>
      <c r="U192" s="104">
        <f t="shared" si="3"/>
        <v>0</v>
      </c>
      <c r="V192" s="115" t="str">
        <f t="shared" si="4"/>
        <v>Não</v>
      </c>
      <c r="W192" s="116" t="str">
        <f t="shared" si="5"/>
        <v>Igual</v>
      </c>
      <c r="X192" s="120"/>
      <c r="Y192" s="120"/>
      <c r="Z192" s="49"/>
      <c r="AA192" s="116" t="str">
        <f t="shared" si="7"/>
        <v>#REF!</v>
      </c>
    </row>
    <row r="193" hidden="1">
      <c r="I193" s="49"/>
      <c r="J193" s="49"/>
      <c r="K193" s="49"/>
      <c r="L193" s="49"/>
      <c r="M193" s="104"/>
      <c r="N193" s="104"/>
      <c r="O193" s="115" t="str">
        <f t="shared" si="2"/>
        <v>Não</v>
      </c>
      <c r="P193" s="104"/>
      <c r="Q193" s="104"/>
      <c r="R193" s="104"/>
      <c r="S193" s="104"/>
      <c r="T193" s="104"/>
      <c r="U193" s="104">
        <f t="shared" si="3"/>
        <v>0</v>
      </c>
      <c r="V193" s="115" t="str">
        <f t="shared" si="4"/>
        <v>Não</v>
      </c>
      <c r="W193" s="116" t="str">
        <f t="shared" si="5"/>
        <v>Igual</v>
      </c>
      <c r="X193" s="120"/>
      <c r="Y193" s="120"/>
      <c r="Z193" s="49"/>
      <c r="AA193" s="116" t="str">
        <f t="shared" si="7"/>
        <v>#REF!</v>
      </c>
    </row>
    <row r="194" hidden="1">
      <c r="I194" s="49"/>
      <c r="J194" s="49"/>
      <c r="K194" s="49"/>
      <c r="L194" s="49"/>
      <c r="M194" s="104"/>
      <c r="N194" s="104"/>
      <c r="O194" s="115" t="str">
        <f t="shared" si="2"/>
        <v>Não</v>
      </c>
      <c r="P194" s="104"/>
      <c r="Q194" s="104"/>
      <c r="R194" s="104"/>
      <c r="S194" s="104"/>
      <c r="T194" s="104"/>
      <c r="U194" s="104">
        <f t="shared" si="3"/>
        <v>0</v>
      </c>
      <c r="V194" s="115" t="str">
        <f t="shared" si="4"/>
        <v>Não</v>
      </c>
      <c r="W194" s="116" t="str">
        <f t="shared" si="5"/>
        <v>Igual</v>
      </c>
      <c r="X194" s="120"/>
      <c r="Y194" s="120"/>
      <c r="Z194" s="49"/>
      <c r="AA194" s="116" t="str">
        <f t="shared" si="7"/>
        <v>#REF!</v>
      </c>
    </row>
    <row r="195" hidden="1">
      <c r="I195" s="49"/>
      <c r="J195" s="49"/>
      <c r="K195" s="49"/>
      <c r="L195" s="49"/>
      <c r="M195" s="104"/>
      <c r="N195" s="104"/>
      <c r="O195" s="115" t="str">
        <f t="shared" si="2"/>
        <v>Não</v>
      </c>
      <c r="P195" s="104"/>
      <c r="Q195" s="104"/>
      <c r="R195" s="104"/>
      <c r="S195" s="104"/>
      <c r="T195" s="104"/>
      <c r="U195" s="104">
        <f t="shared" si="3"/>
        <v>0</v>
      </c>
      <c r="V195" s="115" t="str">
        <f t="shared" si="4"/>
        <v>Não</v>
      </c>
      <c r="W195" s="116" t="str">
        <f t="shared" si="5"/>
        <v>Igual</v>
      </c>
      <c r="X195" s="120"/>
      <c r="Y195" s="120"/>
      <c r="Z195" s="49"/>
      <c r="AA195" s="116" t="str">
        <f t="shared" si="7"/>
        <v>#REF!</v>
      </c>
    </row>
    <row r="196" hidden="1">
      <c r="I196" s="49"/>
      <c r="J196" s="49"/>
      <c r="K196" s="49"/>
      <c r="L196" s="49"/>
      <c r="M196" s="104"/>
      <c r="N196" s="104"/>
      <c r="O196" s="115" t="str">
        <f t="shared" si="2"/>
        <v>Não</v>
      </c>
      <c r="P196" s="104"/>
      <c r="Q196" s="104"/>
      <c r="R196" s="104"/>
      <c r="S196" s="104"/>
      <c r="T196" s="104"/>
      <c r="U196" s="104">
        <f t="shared" si="3"/>
        <v>0</v>
      </c>
      <c r="V196" s="115" t="str">
        <f t="shared" si="4"/>
        <v>Não</v>
      </c>
      <c r="W196" s="116" t="str">
        <f t="shared" si="5"/>
        <v>Igual</v>
      </c>
      <c r="X196" s="120"/>
      <c r="Y196" s="120"/>
      <c r="Z196" s="49"/>
      <c r="AA196" s="116" t="str">
        <f t="shared" si="7"/>
        <v>#REF!</v>
      </c>
    </row>
    <row r="197" hidden="1">
      <c r="I197" s="49"/>
      <c r="J197" s="49"/>
      <c r="K197" s="49"/>
      <c r="L197" s="49"/>
      <c r="M197" s="104"/>
      <c r="N197" s="104"/>
      <c r="O197" s="115" t="str">
        <f t="shared" si="2"/>
        <v>Não</v>
      </c>
      <c r="P197" s="104"/>
      <c r="Q197" s="104"/>
      <c r="R197" s="104"/>
      <c r="S197" s="104"/>
      <c r="T197" s="104"/>
      <c r="U197" s="104">
        <f t="shared" si="3"/>
        <v>0</v>
      </c>
      <c r="V197" s="115" t="str">
        <f t="shared" si="4"/>
        <v>Não</v>
      </c>
      <c r="W197" s="116" t="str">
        <f t="shared" si="5"/>
        <v>Igual</v>
      </c>
      <c r="X197" s="120"/>
      <c r="Y197" s="120"/>
      <c r="Z197" s="49"/>
      <c r="AA197" s="116" t="str">
        <f t="shared" si="7"/>
        <v>#REF!</v>
      </c>
    </row>
    <row r="198" hidden="1">
      <c r="I198" s="49"/>
      <c r="J198" s="49"/>
      <c r="K198" s="49"/>
      <c r="L198" s="49"/>
      <c r="M198" s="104"/>
      <c r="N198" s="104"/>
      <c r="O198" s="115" t="str">
        <f t="shared" si="2"/>
        <v>Não</v>
      </c>
      <c r="P198" s="104"/>
      <c r="Q198" s="104"/>
      <c r="R198" s="104"/>
      <c r="S198" s="104"/>
      <c r="T198" s="104"/>
      <c r="U198" s="104">
        <f t="shared" si="3"/>
        <v>0</v>
      </c>
      <c r="V198" s="115" t="str">
        <f t="shared" si="4"/>
        <v>Não</v>
      </c>
      <c r="W198" s="116" t="str">
        <f t="shared" si="5"/>
        <v>Igual</v>
      </c>
      <c r="X198" s="120"/>
      <c r="Y198" s="120"/>
      <c r="Z198" s="49"/>
      <c r="AA198" s="116" t="str">
        <f t="shared" si="7"/>
        <v>#REF!</v>
      </c>
    </row>
    <row r="199" hidden="1">
      <c r="I199" s="49"/>
      <c r="J199" s="49"/>
      <c r="K199" s="49"/>
      <c r="L199" s="49"/>
      <c r="M199" s="104"/>
      <c r="N199" s="104"/>
      <c r="O199" s="115" t="str">
        <f t="shared" si="2"/>
        <v>Não</v>
      </c>
      <c r="P199" s="104"/>
      <c r="Q199" s="104"/>
      <c r="R199" s="104"/>
      <c r="S199" s="104"/>
      <c r="T199" s="104"/>
      <c r="U199" s="104">
        <f t="shared" si="3"/>
        <v>0</v>
      </c>
      <c r="V199" s="115" t="str">
        <f t="shared" si="4"/>
        <v>Não</v>
      </c>
      <c r="W199" s="116" t="str">
        <f t="shared" si="5"/>
        <v>Igual</v>
      </c>
      <c r="X199" s="120"/>
      <c r="Y199" s="120"/>
      <c r="Z199" s="49"/>
      <c r="AA199" s="116" t="str">
        <f t="shared" si="7"/>
        <v>#REF!</v>
      </c>
    </row>
    <row r="200" hidden="1">
      <c r="I200" s="49"/>
      <c r="J200" s="49"/>
      <c r="K200" s="49"/>
      <c r="L200" s="49"/>
      <c r="M200" s="104"/>
      <c r="N200" s="104"/>
      <c r="O200" s="115" t="str">
        <f t="shared" si="2"/>
        <v>Não</v>
      </c>
      <c r="P200" s="104"/>
      <c r="Q200" s="104"/>
      <c r="R200" s="104"/>
      <c r="S200" s="104"/>
      <c r="T200" s="104"/>
      <c r="U200" s="104">
        <f t="shared" si="3"/>
        <v>0</v>
      </c>
      <c r="V200" s="115" t="str">
        <f t="shared" si="4"/>
        <v>Não</v>
      </c>
      <c r="W200" s="116" t="str">
        <f t="shared" si="5"/>
        <v>Igual</v>
      </c>
      <c r="X200" s="120"/>
      <c r="Y200" s="120"/>
      <c r="Z200" s="49"/>
      <c r="AA200" s="116" t="str">
        <f t="shared" si="7"/>
        <v>#REF!</v>
      </c>
    </row>
    <row r="201" hidden="1">
      <c r="I201" s="49"/>
      <c r="J201" s="49"/>
      <c r="K201" s="49"/>
      <c r="L201" s="49"/>
      <c r="M201" s="104"/>
      <c r="N201" s="104"/>
      <c r="O201" s="115" t="str">
        <f t="shared" si="2"/>
        <v>Não</v>
      </c>
      <c r="P201" s="104"/>
      <c r="Q201" s="104"/>
      <c r="R201" s="104"/>
      <c r="S201" s="104"/>
      <c r="T201" s="104"/>
      <c r="U201" s="104">
        <f t="shared" si="3"/>
        <v>0</v>
      </c>
      <c r="V201" s="115" t="str">
        <f t="shared" si="4"/>
        <v>Não</v>
      </c>
      <c r="W201" s="116" t="str">
        <f t="shared" si="5"/>
        <v>Igual</v>
      </c>
      <c r="X201" s="120"/>
      <c r="Y201" s="120"/>
      <c r="Z201" s="49"/>
      <c r="AA201" s="116" t="str">
        <f t="shared" si="7"/>
        <v>#REF!</v>
      </c>
    </row>
    <row r="202" hidden="1">
      <c r="I202" s="49"/>
      <c r="J202" s="49"/>
      <c r="K202" s="49"/>
      <c r="L202" s="49"/>
      <c r="M202" s="104"/>
      <c r="N202" s="104"/>
      <c r="O202" s="115" t="str">
        <f t="shared" si="2"/>
        <v>Não</v>
      </c>
      <c r="P202" s="104"/>
      <c r="Q202" s="104"/>
      <c r="R202" s="104"/>
      <c r="S202" s="104"/>
      <c r="T202" s="104"/>
      <c r="U202" s="104">
        <f t="shared" si="3"/>
        <v>0</v>
      </c>
      <c r="V202" s="115" t="str">
        <f t="shared" si="4"/>
        <v>Não</v>
      </c>
      <c r="W202" s="116" t="str">
        <f t="shared" si="5"/>
        <v>Igual</v>
      </c>
      <c r="X202" s="120"/>
      <c r="Y202" s="120"/>
      <c r="Z202" s="49"/>
      <c r="AA202" s="116" t="str">
        <f t="shared" si="7"/>
        <v>#REF!</v>
      </c>
    </row>
    <row r="203" hidden="1">
      <c r="I203" s="49"/>
      <c r="J203" s="49"/>
      <c r="K203" s="49"/>
      <c r="L203" s="49"/>
      <c r="M203" s="104"/>
      <c r="N203" s="104"/>
      <c r="O203" s="115" t="str">
        <f t="shared" si="2"/>
        <v>Não</v>
      </c>
      <c r="P203" s="104"/>
      <c r="Q203" s="104"/>
      <c r="R203" s="104"/>
      <c r="S203" s="104"/>
      <c r="T203" s="104"/>
      <c r="U203" s="104">
        <f t="shared" si="3"/>
        <v>0</v>
      </c>
      <c r="V203" s="115" t="str">
        <f t="shared" si="4"/>
        <v>Não</v>
      </c>
      <c r="W203" s="116" t="str">
        <f t="shared" si="5"/>
        <v>Igual</v>
      </c>
      <c r="X203" s="120"/>
      <c r="Y203" s="120"/>
      <c r="Z203" s="49"/>
      <c r="AA203" s="116" t="str">
        <f t="shared" si="7"/>
        <v>#REF!</v>
      </c>
    </row>
    <row r="204" hidden="1">
      <c r="I204" s="49"/>
      <c r="J204" s="49"/>
      <c r="K204" s="49"/>
      <c r="L204" s="49"/>
      <c r="M204" s="104"/>
      <c r="N204" s="104"/>
      <c r="O204" s="115" t="str">
        <f t="shared" si="2"/>
        <v>Não</v>
      </c>
      <c r="P204" s="104"/>
      <c r="Q204" s="104"/>
      <c r="R204" s="104"/>
      <c r="S204" s="104"/>
      <c r="T204" s="104"/>
      <c r="U204" s="104">
        <f t="shared" si="3"/>
        <v>0</v>
      </c>
      <c r="V204" s="115" t="str">
        <f t="shared" si="4"/>
        <v>Não</v>
      </c>
      <c r="W204" s="116" t="str">
        <f t="shared" si="5"/>
        <v>Igual</v>
      </c>
      <c r="X204" s="120"/>
      <c r="Y204" s="120"/>
      <c r="Z204" s="49"/>
      <c r="AA204" s="116" t="str">
        <f t="shared" si="7"/>
        <v>#REF!</v>
      </c>
    </row>
    <row r="205" hidden="1">
      <c r="I205" s="49"/>
      <c r="J205" s="49"/>
      <c r="K205" s="49"/>
      <c r="L205" s="49"/>
      <c r="M205" s="104"/>
      <c r="N205" s="104"/>
      <c r="O205" s="115" t="str">
        <f t="shared" si="2"/>
        <v>Não</v>
      </c>
      <c r="P205" s="104"/>
      <c r="Q205" s="104"/>
      <c r="R205" s="104"/>
      <c r="S205" s="104"/>
      <c r="T205" s="104"/>
      <c r="U205" s="104">
        <f t="shared" si="3"/>
        <v>0</v>
      </c>
      <c r="V205" s="115" t="str">
        <f t="shared" si="4"/>
        <v>Não</v>
      </c>
      <c r="W205" s="116" t="str">
        <f t="shared" si="5"/>
        <v>Igual</v>
      </c>
      <c r="X205" s="120"/>
      <c r="Y205" s="120"/>
      <c r="Z205" s="49"/>
      <c r="AA205" s="116" t="str">
        <f t="shared" si="7"/>
        <v>#REF!</v>
      </c>
    </row>
    <row r="206" hidden="1">
      <c r="I206" s="49"/>
      <c r="J206" s="49"/>
      <c r="K206" s="49"/>
      <c r="L206" s="49"/>
      <c r="M206" s="104"/>
      <c r="N206" s="104"/>
      <c r="O206" s="115" t="str">
        <f t="shared" si="2"/>
        <v>Não</v>
      </c>
      <c r="P206" s="104"/>
      <c r="Q206" s="104"/>
      <c r="R206" s="104"/>
      <c r="S206" s="104"/>
      <c r="T206" s="104"/>
      <c r="U206" s="104">
        <f t="shared" si="3"/>
        <v>0</v>
      </c>
      <c r="V206" s="115" t="str">
        <f t="shared" si="4"/>
        <v>Não</v>
      </c>
      <c r="W206" s="116" t="str">
        <f t="shared" si="5"/>
        <v>Igual</v>
      </c>
      <c r="X206" s="120"/>
      <c r="Y206" s="120"/>
      <c r="Z206" s="49"/>
      <c r="AA206" s="116" t="str">
        <f t="shared" si="7"/>
        <v>#REF!</v>
      </c>
    </row>
    <row r="207" hidden="1">
      <c r="I207" s="49"/>
      <c r="J207" s="49"/>
      <c r="K207" s="49"/>
      <c r="L207" s="49"/>
      <c r="M207" s="104"/>
      <c r="N207" s="104"/>
      <c r="O207" s="115" t="str">
        <f t="shared" si="2"/>
        <v>Não</v>
      </c>
      <c r="P207" s="104"/>
      <c r="Q207" s="104"/>
      <c r="R207" s="104"/>
      <c r="S207" s="104"/>
      <c r="T207" s="104"/>
      <c r="U207" s="104">
        <f t="shared" si="3"/>
        <v>0</v>
      </c>
      <c r="V207" s="115" t="str">
        <f t="shared" si="4"/>
        <v>Não</v>
      </c>
      <c r="W207" s="116" t="str">
        <f t="shared" si="5"/>
        <v>Igual</v>
      </c>
      <c r="X207" s="120"/>
      <c r="Y207" s="120"/>
      <c r="Z207" s="49"/>
      <c r="AA207" s="116" t="str">
        <f t="shared" si="7"/>
        <v>#REF!</v>
      </c>
    </row>
    <row r="208" hidden="1">
      <c r="I208" s="49"/>
      <c r="J208" s="49"/>
      <c r="K208" s="49"/>
      <c r="L208" s="49"/>
      <c r="M208" s="104"/>
      <c r="N208" s="104"/>
      <c r="O208" s="115" t="str">
        <f t="shared" si="2"/>
        <v>Não</v>
      </c>
      <c r="P208" s="104"/>
      <c r="Q208" s="104"/>
      <c r="R208" s="104"/>
      <c r="S208" s="104"/>
      <c r="T208" s="104"/>
      <c r="U208" s="104">
        <f t="shared" si="3"/>
        <v>0</v>
      </c>
      <c r="V208" s="115" t="str">
        <f t="shared" si="4"/>
        <v>Não</v>
      </c>
      <c r="W208" s="116" t="str">
        <f t="shared" si="5"/>
        <v>Igual</v>
      </c>
      <c r="X208" s="120"/>
      <c r="Y208" s="120"/>
      <c r="Z208" s="49"/>
      <c r="AA208" s="116" t="str">
        <f t="shared" si="7"/>
        <v>#REF!</v>
      </c>
    </row>
    <row r="209" hidden="1">
      <c r="I209" s="49"/>
      <c r="J209" s="49"/>
      <c r="K209" s="49"/>
      <c r="L209" s="49"/>
      <c r="M209" s="104"/>
      <c r="N209" s="104"/>
      <c r="O209" s="115" t="str">
        <f t="shared" si="2"/>
        <v>Não</v>
      </c>
      <c r="P209" s="104"/>
      <c r="Q209" s="104"/>
      <c r="R209" s="104"/>
      <c r="S209" s="104"/>
      <c r="T209" s="104"/>
      <c r="U209" s="104">
        <f t="shared" si="3"/>
        <v>0</v>
      </c>
      <c r="V209" s="115" t="str">
        <f t="shared" si="4"/>
        <v>Não</v>
      </c>
      <c r="W209" s="116" t="str">
        <f t="shared" si="5"/>
        <v>Igual</v>
      </c>
      <c r="X209" s="120"/>
      <c r="Y209" s="120"/>
      <c r="Z209" s="49"/>
      <c r="AA209" s="116" t="str">
        <f t="shared" si="7"/>
        <v>#REF!</v>
      </c>
    </row>
    <row r="210" hidden="1">
      <c r="I210" s="49"/>
      <c r="J210" s="49"/>
      <c r="K210" s="49"/>
      <c r="L210" s="49"/>
      <c r="M210" s="104"/>
      <c r="N210" s="104"/>
      <c r="O210" s="115" t="str">
        <f t="shared" si="2"/>
        <v>Não</v>
      </c>
      <c r="P210" s="104"/>
      <c r="Q210" s="104"/>
      <c r="R210" s="104"/>
      <c r="S210" s="104"/>
      <c r="T210" s="104"/>
      <c r="U210" s="104">
        <f t="shared" si="3"/>
        <v>0</v>
      </c>
      <c r="V210" s="115" t="str">
        <f t="shared" si="4"/>
        <v>Não</v>
      </c>
      <c r="W210" s="116" t="str">
        <f t="shared" si="5"/>
        <v>Igual</v>
      </c>
      <c r="X210" s="120"/>
      <c r="Y210" s="120"/>
      <c r="Z210" s="49"/>
      <c r="AA210" s="116" t="str">
        <f t="shared" si="7"/>
        <v>#REF!</v>
      </c>
    </row>
    <row r="211" hidden="1">
      <c r="I211" s="49"/>
      <c r="J211" s="49"/>
      <c r="K211" s="49"/>
      <c r="L211" s="49"/>
      <c r="M211" s="104"/>
      <c r="N211" s="104"/>
      <c r="O211" s="115" t="str">
        <f t="shared" si="2"/>
        <v>Não</v>
      </c>
      <c r="P211" s="104"/>
      <c r="Q211" s="104"/>
      <c r="R211" s="104"/>
      <c r="S211" s="104"/>
      <c r="T211" s="104"/>
      <c r="U211" s="104">
        <f t="shared" si="3"/>
        <v>0</v>
      </c>
      <c r="V211" s="115" t="str">
        <f t="shared" si="4"/>
        <v>Não</v>
      </c>
      <c r="W211" s="116" t="str">
        <f t="shared" si="5"/>
        <v>Igual</v>
      </c>
      <c r="X211" s="120"/>
      <c r="Y211" s="120"/>
      <c r="Z211" s="49"/>
      <c r="AA211" s="116" t="str">
        <f t="shared" si="7"/>
        <v>#REF!</v>
      </c>
    </row>
    <row r="212" hidden="1">
      <c r="I212" s="49"/>
      <c r="J212" s="49"/>
      <c r="K212" s="49"/>
      <c r="L212" s="49"/>
      <c r="M212" s="104"/>
      <c r="N212" s="104"/>
      <c r="O212" s="115" t="str">
        <f t="shared" si="2"/>
        <v>Não</v>
      </c>
      <c r="P212" s="104"/>
      <c r="Q212" s="104"/>
      <c r="R212" s="104"/>
      <c r="S212" s="104"/>
      <c r="T212" s="104"/>
      <c r="U212" s="104">
        <f t="shared" si="3"/>
        <v>0</v>
      </c>
      <c r="V212" s="115" t="str">
        <f t="shared" si="4"/>
        <v>Não</v>
      </c>
      <c r="W212" s="116" t="str">
        <f t="shared" si="5"/>
        <v>Igual</v>
      </c>
      <c r="X212" s="120"/>
      <c r="Y212" s="120"/>
      <c r="Z212" s="49"/>
      <c r="AA212" s="116" t="str">
        <f t="shared" si="7"/>
        <v>#REF!</v>
      </c>
    </row>
    <row r="213" hidden="1">
      <c r="I213" s="49"/>
      <c r="J213" s="49"/>
      <c r="K213" s="49"/>
      <c r="L213" s="49"/>
      <c r="M213" s="104"/>
      <c r="N213" s="104"/>
      <c r="O213" s="115" t="str">
        <f t="shared" si="2"/>
        <v>Não</v>
      </c>
      <c r="P213" s="104"/>
      <c r="Q213" s="104"/>
      <c r="R213" s="104"/>
      <c r="S213" s="104"/>
      <c r="T213" s="104"/>
      <c r="U213" s="104">
        <f t="shared" si="3"/>
        <v>0</v>
      </c>
      <c r="V213" s="115" t="str">
        <f t="shared" si="4"/>
        <v>Não</v>
      </c>
      <c r="W213" s="116" t="str">
        <f t="shared" si="5"/>
        <v>Igual</v>
      </c>
      <c r="X213" s="120"/>
      <c r="Y213" s="120"/>
      <c r="Z213" s="49"/>
      <c r="AA213" s="116" t="str">
        <f t="shared" si="7"/>
        <v>#REF!</v>
      </c>
    </row>
    <row r="214" hidden="1">
      <c r="I214" s="49"/>
      <c r="J214" s="49"/>
      <c r="K214" s="49"/>
      <c r="L214" s="49"/>
      <c r="M214" s="104"/>
      <c r="N214" s="104"/>
      <c r="O214" s="115" t="str">
        <f t="shared" si="2"/>
        <v>Não</v>
      </c>
      <c r="P214" s="104"/>
      <c r="Q214" s="104"/>
      <c r="R214" s="104"/>
      <c r="S214" s="104"/>
      <c r="T214" s="104"/>
      <c r="U214" s="104">
        <f t="shared" si="3"/>
        <v>0</v>
      </c>
      <c r="V214" s="115" t="str">
        <f t="shared" si="4"/>
        <v>Não</v>
      </c>
      <c r="W214" s="116" t="str">
        <f t="shared" si="5"/>
        <v>Igual</v>
      </c>
      <c r="X214" s="120"/>
      <c r="Y214" s="120"/>
      <c r="Z214" s="49"/>
      <c r="AA214" s="116" t="str">
        <f t="shared" si="7"/>
        <v>#REF!</v>
      </c>
    </row>
    <row r="215" hidden="1">
      <c r="I215" s="49"/>
      <c r="J215" s="49"/>
      <c r="K215" s="49"/>
      <c r="L215" s="49"/>
      <c r="M215" s="104"/>
      <c r="N215" s="104"/>
      <c r="O215" s="115" t="str">
        <f t="shared" si="2"/>
        <v>Não</v>
      </c>
      <c r="P215" s="104"/>
      <c r="Q215" s="104"/>
      <c r="R215" s="104"/>
      <c r="S215" s="104"/>
      <c r="T215" s="104"/>
      <c r="U215" s="104">
        <f t="shared" si="3"/>
        <v>0</v>
      </c>
      <c r="V215" s="115" t="str">
        <f t="shared" si="4"/>
        <v>Não</v>
      </c>
      <c r="W215" s="116" t="str">
        <f t="shared" si="5"/>
        <v>Igual</v>
      </c>
      <c r="X215" s="120"/>
      <c r="Y215" s="120"/>
      <c r="Z215" s="49"/>
      <c r="AA215" s="116" t="str">
        <f t="shared" si="7"/>
        <v>#REF!</v>
      </c>
    </row>
    <row r="216" hidden="1">
      <c r="I216" s="49"/>
      <c r="J216" s="49"/>
      <c r="K216" s="49"/>
      <c r="L216" s="49"/>
      <c r="M216" s="104"/>
      <c r="N216" s="104"/>
      <c r="O216" s="115" t="str">
        <f t="shared" si="2"/>
        <v>Não</v>
      </c>
      <c r="P216" s="104"/>
      <c r="Q216" s="104"/>
      <c r="R216" s="104"/>
      <c r="S216" s="104"/>
      <c r="T216" s="104"/>
      <c r="U216" s="104">
        <f t="shared" si="3"/>
        <v>0</v>
      </c>
      <c r="V216" s="115" t="str">
        <f t="shared" si="4"/>
        <v>Não</v>
      </c>
      <c r="W216" s="116" t="str">
        <f t="shared" si="5"/>
        <v>Igual</v>
      </c>
      <c r="X216" s="120"/>
      <c r="Y216" s="120"/>
      <c r="Z216" s="49"/>
      <c r="AA216" s="116" t="str">
        <f t="shared" si="7"/>
        <v>#REF!</v>
      </c>
    </row>
    <row r="217" hidden="1">
      <c r="I217" s="49"/>
      <c r="J217" s="49"/>
      <c r="K217" s="49"/>
      <c r="L217" s="49"/>
      <c r="M217" s="104"/>
      <c r="N217" s="104"/>
      <c r="O217" s="115" t="str">
        <f t="shared" si="2"/>
        <v>Não</v>
      </c>
      <c r="P217" s="104"/>
      <c r="Q217" s="104"/>
      <c r="R217" s="104"/>
      <c r="S217" s="104"/>
      <c r="T217" s="104"/>
      <c r="U217" s="104">
        <f t="shared" si="3"/>
        <v>0</v>
      </c>
      <c r="V217" s="115" t="str">
        <f t="shared" si="4"/>
        <v>Não</v>
      </c>
      <c r="W217" s="116" t="str">
        <f t="shared" si="5"/>
        <v>Igual</v>
      </c>
      <c r="X217" s="120"/>
      <c r="Y217" s="120"/>
      <c r="Z217" s="49"/>
      <c r="AA217" s="116" t="str">
        <f t="shared" si="7"/>
        <v>#REF!</v>
      </c>
    </row>
    <row r="218" hidden="1">
      <c r="I218" s="49"/>
      <c r="J218" s="49"/>
      <c r="K218" s="49"/>
      <c r="L218" s="49"/>
      <c r="M218" s="104"/>
      <c r="N218" s="104"/>
      <c r="O218" s="115" t="str">
        <f t="shared" si="2"/>
        <v>Não</v>
      </c>
      <c r="P218" s="104"/>
      <c r="Q218" s="104"/>
      <c r="R218" s="104"/>
      <c r="S218" s="104"/>
      <c r="T218" s="104"/>
      <c r="U218" s="104">
        <f t="shared" si="3"/>
        <v>0</v>
      </c>
      <c r="V218" s="115" t="str">
        <f t="shared" si="4"/>
        <v>Não</v>
      </c>
      <c r="W218" s="116" t="str">
        <f t="shared" si="5"/>
        <v>Igual</v>
      </c>
      <c r="X218" s="120"/>
      <c r="Y218" s="120"/>
      <c r="Z218" s="49"/>
      <c r="AA218" s="116" t="str">
        <f t="shared" si="7"/>
        <v>#REF!</v>
      </c>
    </row>
    <row r="219" hidden="1">
      <c r="I219" s="49"/>
      <c r="J219" s="49"/>
      <c r="K219" s="49"/>
      <c r="L219" s="49"/>
      <c r="M219" s="104"/>
      <c r="N219" s="104"/>
      <c r="O219" s="115" t="str">
        <f t="shared" si="2"/>
        <v>Não</v>
      </c>
      <c r="P219" s="104"/>
      <c r="Q219" s="104"/>
      <c r="R219" s="104"/>
      <c r="S219" s="104"/>
      <c r="T219" s="104"/>
      <c r="U219" s="104">
        <f t="shared" si="3"/>
        <v>0</v>
      </c>
      <c r="V219" s="115" t="str">
        <f t="shared" si="4"/>
        <v>Não</v>
      </c>
      <c r="W219" s="116" t="str">
        <f t="shared" si="5"/>
        <v>Igual</v>
      </c>
      <c r="X219" s="120"/>
      <c r="Y219" s="120"/>
      <c r="Z219" s="49"/>
      <c r="AA219" s="116" t="str">
        <f t="shared" si="7"/>
        <v>#REF!</v>
      </c>
    </row>
    <row r="220" hidden="1">
      <c r="I220" s="49"/>
      <c r="J220" s="49"/>
      <c r="K220" s="49"/>
      <c r="L220" s="49"/>
      <c r="M220" s="104"/>
      <c r="N220" s="104"/>
      <c r="O220" s="115" t="str">
        <f t="shared" si="2"/>
        <v>Não</v>
      </c>
      <c r="P220" s="104"/>
      <c r="Q220" s="104"/>
      <c r="R220" s="104"/>
      <c r="S220" s="104"/>
      <c r="T220" s="104"/>
      <c r="U220" s="104">
        <f t="shared" si="3"/>
        <v>0</v>
      </c>
      <c r="V220" s="115" t="str">
        <f t="shared" si="4"/>
        <v>Não</v>
      </c>
      <c r="W220" s="116" t="str">
        <f t="shared" si="5"/>
        <v>Igual</v>
      </c>
      <c r="X220" s="120"/>
      <c r="Y220" s="120"/>
      <c r="Z220" s="49"/>
      <c r="AA220" s="116" t="str">
        <f t="shared" si="7"/>
        <v>#REF!</v>
      </c>
    </row>
    <row r="221" hidden="1">
      <c r="I221" s="49"/>
      <c r="J221" s="49"/>
      <c r="K221" s="49"/>
      <c r="L221" s="49"/>
      <c r="M221" s="104"/>
      <c r="N221" s="104"/>
      <c r="O221" s="115" t="str">
        <f t="shared" si="2"/>
        <v>Não</v>
      </c>
      <c r="P221" s="104"/>
      <c r="Q221" s="104"/>
      <c r="R221" s="104"/>
      <c r="S221" s="104"/>
      <c r="T221" s="104"/>
      <c r="U221" s="104">
        <f t="shared" si="3"/>
        <v>0</v>
      </c>
      <c r="V221" s="115" t="str">
        <f t="shared" si="4"/>
        <v>Não</v>
      </c>
      <c r="W221" s="116" t="str">
        <f t="shared" si="5"/>
        <v>Igual</v>
      </c>
      <c r="X221" s="120"/>
      <c r="Y221" s="120"/>
      <c r="Z221" s="49"/>
      <c r="AA221" s="116" t="str">
        <f t="shared" si="7"/>
        <v>#REF!</v>
      </c>
    </row>
    <row r="222" hidden="1">
      <c r="I222" s="49"/>
      <c r="J222" s="49"/>
      <c r="K222" s="49"/>
      <c r="L222" s="49"/>
      <c r="M222" s="104"/>
      <c r="N222" s="104"/>
      <c r="O222" s="115" t="str">
        <f t="shared" si="2"/>
        <v>Não</v>
      </c>
      <c r="P222" s="104"/>
      <c r="Q222" s="104"/>
      <c r="R222" s="104"/>
      <c r="S222" s="104"/>
      <c r="T222" s="104"/>
      <c r="U222" s="104">
        <f t="shared" si="3"/>
        <v>0</v>
      </c>
      <c r="V222" s="115" t="str">
        <f t="shared" si="4"/>
        <v>Não</v>
      </c>
      <c r="W222" s="116" t="str">
        <f t="shared" si="5"/>
        <v>Igual</v>
      </c>
      <c r="X222" s="120"/>
      <c r="Y222" s="120"/>
      <c r="Z222" s="49"/>
      <c r="AA222" s="116" t="str">
        <f t="shared" si="7"/>
        <v>#REF!</v>
      </c>
    </row>
    <row r="223" hidden="1">
      <c r="I223" s="49"/>
      <c r="J223" s="49"/>
      <c r="K223" s="49"/>
      <c r="L223" s="49"/>
      <c r="M223" s="104"/>
      <c r="N223" s="104"/>
      <c r="O223" s="115" t="str">
        <f t="shared" si="2"/>
        <v>Não</v>
      </c>
      <c r="P223" s="104"/>
      <c r="Q223" s="104"/>
      <c r="R223" s="104"/>
      <c r="S223" s="104"/>
      <c r="T223" s="104"/>
      <c r="U223" s="104">
        <f t="shared" si="3"/>
        <v>0</v>
      </c>
      <c r="V223" s="115" t="str">
        <f t="shared" si="4"/>
        <v>Não</v>
      </c>
      <c r="W223" s="116" t="str">
        <f t="shared" si="5"/>
        <v>Igual</v>
      </c>
      <c r="X223" s="120"/>
      <c r="Y223" s="120"/>
      <c r="Z223" s="49"/>
      <c r="AA223" s="116" t="str">
        <f t="shared" si="7"/>
        <v>#REF!</v>
      </c>
    </row>
    <row r="224" hidden="1">
      <c r="I224" s="49"/>
      <c r="J224" s="49"/>
      <c r="K224" s="49"/>
      <c r="L224" s="49"/>
      <c r="M224" s="104"/>
      <c r="N224" s="104"/>
      <c r="O224" s="115" t="str">
        <f t="shared" si="2"/>
        <v>Não</v>
      </c>
      <c r="P224" s="104"/>
      <c r="Q224" s="104"/>
      <c r="R224" s="104"/>
      <c r="S224" s="104"/>
      <c r="T224" s="104"/>
      <c r="U224" s="104">
        <f t="shared" si="3"/>
        <v>0</v>
      </c>
      <c r="V224" s="115" t="str">
        <f t="shared" si="4"/>
        <v>Não</v>
      </c>
      <c r="W224" s="116" t="str">
        <f t="shared" si="5"/>
        <v>Igual</v>
      </c>
      <c r="X224" s="120"/>
      <c r="Y224" s="120"/>
      <c r="Z224" s="49"/>
      <c r="AA224" s="116" t="str">
        <f t="shared" si="7"/>
        <v>#REF!</v>
      </c>
    </row>
    <row r="225" hidden="1">
      <c r="I225" s="49"/>
      <c r="J225" s="49"/>
      <c r="K225" s="49"/>
      <c r="L225" s="49"/>
      <c r="M225" s="104"/>
      <c r="N225" s="104"/>
      <c r="O225" s="115" t="str">
        <f t="shared" si="2"/>
        <v>Não</v>
      </c>
      <c r="P225" s="104"/>
      <c r="Q225" s="104"/>
      <c r="R225" s="104"/>
      <c r="S225" s="104"/>
      <c r="T225" s="104"/>
      <c r="U225" s="104">
        <f t="shared" si="3"/>
        <v>0</v>
      </c>
      <c r="V225" s="115" t="str">
        <f t="shared" si="4"/>
        <v>Não</v>
      </c>
      <c r="W225" s="116" t="str">
        <f t="shared" si="5"/>
        <v>Igual</v>
      </c>
      <c r="X225" s="120"/>
      <c r="Y225" s="120"/>
      <c r="Z225" s="49"/>
      <c r="AA225" s="116" t="str">
        <f t="shared" si="7"/>
        <v>#REF!</v>
      </c>
    </row>
    <row r="226" hidden="1">
      <c r="I226" s="49"/>
      <c r="J226" s="49"/>
      <c r="K226" s="49"/>
      <c r="L226" s="49"/>
      <c r="M226" s="104"/>
      <c r="N226" s="104"/>
      <c r="O226" s="115" t="str">
        <f t="shared" si="2"/>
        <v>Não</v>
      </c>
      <c r="P226" s="104"/>
      <c r="Q226" s="104"/>
      <c r="R226" s="104"/>
      <c r="S226" s="104"/>
      <c r="T226" s="104"/>
      <c r="U226" s="104">
        <f t="shared" si="3"/>
        <v>0</v>
      </c>
      <c r="V226" s="115" t="str">
        <f t="shared" si="4"/>
        <v>Não</v>
      </c>
      <c r="W226" s="116" t="str">
        <f t="shared" si="5"/>
        <v>Igual</v>
      </c>
      <c r="X226" s="120"/>
      <c r="Y226" s="120"/>
      <c r="Z226" s="49"/>
      <c r="AA226" s="116" t="str">
        <f t="shared" si="7"/>
        <v>#REF!</v>
      </c>
    </row>
    <row r="227" hidden="1">
      <c r="I227" s="49"/>
      <c r="J227" s="49"/>
      <c r="K227" s="49"/>
      <c r="L227" s="49"/>
      <c r="M227" s="104"/>
      <c r="N227" s="104"/>
      <c r="O227" s="115" t="str">
        <f t="shared" si="2"/>
        <v>Não</v>
      </c>
      <c r="P227" s="104"/>
      <c r="Q227" s="104"/>
      <c r="R227" s="104"/>
      <c r="S227" s="104"/>
      <c r="T227" s="104"/>
      <c r="U227" s="104">
        <f t="shared" si="3"/>
        <v>0</v>
      </c>
      <c r="V227" s="115" t="str">
        <f t="shared" si="4"/>
        <v>Não</v>
      </c>
      <c r="W227" s="116" t="str">
        <f t="shared" si="5"/>
        <v>Igual</v>
      </c>
      <c r="X227" s="120"/>
      <c r="Y227" s="120"/>
      <c r="Z227" s="49"/>
      <c r="AA227" s="116" t="str">
        <f t="shared" si="7"/>
        <v>#REF!</v>
      </c>
    </row>
    <row r="228" hidden="1">
      <c r="I228" s="49"/>
      <c r="J228" s="49"/>
      <c r="K228" s="49"/>
      <c r="L228" s="49"/>
      <c r="M228" s="104"/>
      <c r="N228" s="104"/>
      <c r="O228" s="115" t="str">
        <f t="shared" si="2"/>
        <v>Não</v>
      </c>
      <c r="P228" s="104"/>
      <c r="Q228" s="104"/>
      <c r="R228" s="104"/>
      <c r="S228" s="104"/>
      <c r="T228" s="104"/>
      <c r="U228" s="104">
        <f t="shared" si="3"/>
        <v>0</v>
      </c>
      <c r="V228" s="115" t="str">
        <f t="shared" si="4"/>
        <v>Não</v>
      </c>
      <c r="W228" s="116" t="str">
        <f t="shared" si="5"/>
        <v>Igual</v>
      </c>
      <c r="X228" s="120"/>
      <c r="Y228" s="120"/>
      <c r="Z228" s="49"/>
      <c r="AA228" s="116" t="str">
        <f t="shared" si="7"/>
        <v>#REF!</v>
      </c>
    </row>
    <row r="229" hidden="1">
      <c r="I229" s="49"/>
      <c r="J229" s="49"/>
      <c r="K229" s="49"/>
      <c r="L229" s="49"/>
      <c r="M229" s="104"/>
      <c r="N229" s="104"/>
      <c r="O229" s="115" t="str">
        <f t="shared" si="2"/>
        <v>Não</v>
      </c>
      <c r="P229" s="104"/>
      <c r="Q229" s="104"/>
      <c r="R229" s="104"/>
      <c r="S229" s="104"/>
      <c r="T229" s="104"/>
      <c r="U229" s="104">
        <f t="shared" si="3"/>
        <v>0</v>
      </c>
      <c r="V229" s="115" t="str">
        <f t="shared" si="4"/>
        <v>Não</v>
      </c>
      <c r="W229" s="116" t="str">
        <f t="shared" si="5"/>
        <v>Igual</v>
      </c>
      <c r="X229" s="120"/>
      <c r="Y229" s="120"/>
      <c r="Z229" s="49"/>
      <c r="AA229" s="116" t="str">
        <f t="shared" si="7"/>
        <v>#REF!</v>
      </c>
    </row>
    <row r="230" hidden="1">
      <c r="I230" s="49"/>
      <c r="J230" s="49"/>
      <c r="K230" s="49"/>
      <c r="L230" s="49"/>
      <c r="M230" s="104"/>
      <c r="N230" s="104"/>
      <c r="O230" s="115" t="str">
        <f t="shared" si="2"/>
        <v>Não</v>
      </c>
      <c r="P230" s="104"/>
      <c r="Q230" s="104"/>
      <c r="R230" s="104"/>
      <c r="S230" s="104"/>
      <c r="T230" s="104"/>
      <c r="U230" s="104">
        <f t="shared" si="3"/>
        <v>0</v>
      </c>
      <c r="V230" s="115" t="str">
        <f t="shared" si="4"/>
        <v>Não</v>
      </c>
      <c r="W230" s="116" t="str">
        <f t="shared" si="5"/>
        <v>Igual</v>
      </c>
      <c r="X230" s="120"/>
      <c r="Y230" s="120"/>
      <c r="Z230" s="49"/>
      <c r="AA230" s="116" t="str">
        <f t="shared" si="7"/>
        <v>#REF!</v>
      </c>
    </row>
    <row r="231" hidden="1">
      <c r="I231" s="49"/>
      <c r="J231" s="49"/>
      <c r="K231" s="49"/>
      <c r="L231" s="49"/>
      <c r="M231" s="104"/>
      <c r="N231" s="104"/>
      <c r="O231" s="115" t="str">
        <f t="shared" si="2"/>
        <v>Não</v>
      </c>
      <c r="P231" s="104"/>
      <c r="Q231" s="104"/>
      <c r="R231" s="104"/>
      <c r="S231" s="104"/>
      <c r="T231" s="104"/>
      <c r="U231" s="104">
        <f t="shared" si="3"/>
        <v>0</v>
      </c>
      <c r="V231" s="115" t="str">
        <f t="shared" si="4"/>
        <v>Não</v>
      </c>
      <c r="W231" s="116" t="str">
        <f t="shared" si="5"/>
        <v>Igual</v>
      </c>
      <c r="X231" s="120"/>
      <c r="Y231" s="120"/>
      <c r="Z231" s="49"/>
      <c r="AA231" s="116" t="str">
        <f t="shared" si="7"/>
        <v>#REF!</v>
      </c>
    </row>
    <row r="232" hidden="1">
      <c r="I232" s="49"/>
      <c r="J232" s="49"/>
      <c r="K232" s="49"/>
      <c r="L232" s="49"/>
      <c r="M232" s="104"/>
      <c r="N232" s="104"/>
      <c r="O232" s="115" t="str">
        <f t="shared" si="2"/>
        <v>Não</v>
      </c>
      <c r="P232" s="104"/>
      <c r="Q232" s="104"/>
      <c r="R232" s="104"/>
      <c r="S232" s="104"/>
      <c r="T232" s="104"/>
      <c r="U232" s="104">
        <f t="shared" si="3"/>
        <v>0</v>
      </c>
      <c r="V232" s="115" t="str">
        <f t="shared" si="4"/>
        <v>Não</v>
      </c>
      <c r="W232" s="116" t="str">
        <f t="shared" si="5"/>
        <v>Igual</v>
      </c>
      <c r="X232" s="120"/>
      <c r="Y232" s="120"/>
      <c r="Z232" s="49"/>
      <c r="AA232" s="116" t="str">
        <f t="shared" si="7"/>
        <v>#REF!</v>
      </c>
    </row>
    <row r="233" hidden="1">
      <c r="I233" s="49"/>
      <c r="J233" s="49"/>
      <c r="K233" s="49"/>
      <c r="L233" s="49"/>
      <c r="M233" s="104"/>
      <c r="N233" s="104"/>
      <c r="O233" s="115" t="str">
        <f t="shared" si="2"/>
        <v>Não</v>
      </c>
      <c r="P233" s="104"/>
      <c r="Q233" s="104"/>
      <c r="R233" s="104"/>
      <c r="S233" s="104"/>
      <c r="T233" s="104"/>
      <c r="U233" s="104">
        <f t="shared" si="3"/>
        <v>0</v>
      </c>
      <c r="V233" s="115" t="str">
        <f t="shared" si="4"/>
        <v>Não</v>
      </c>
      <c r="W233" s="116" t="str">
        <f t="shared" si="5"/>
        <v>Igual</v>
      </c>
      <c r="X233" s="120"/>
      <c r="Y233" s="120"/>
      <c r="Z233" s="49"/>
      <c r="AA233" s="116" t="str">
        <f t="shared" si="7"/>
        <v>#REF!</v>
      </c>
    </row>
    <row r="234" hidden="1">
      <c r="I234" s="49"/>
      <c r="J234" s="49"/>
      <c r="K234" s="49"/>
      <c r="L234" s="49"/>
      <c r="M234" s="104"/>
      <c r="N234" s="104"/>
      <c r="O234" s="115" t="str">
        <f t="shared" si="2"/>
        <v>Não</v>
      </c>
      <c r="P234" s="104"/>
      <c r="Q234" s="104"/>
      <c r="R234" s="104"/>
      <c r="S234" s="104"/>
      <c r="T234" s="104"/>
      <c r="U234" s="104">
        <f t="shared" si="3"/>
        <v>0</v>
      </c>
      <c r="V234" s="115" t="str">
        <f t="shared" si="4"/>
        <v>Não</v>
      </c>
      <c r="W234" s="116" t="str">
        <f t="shared" si="5"/>
        <v>Igual</v>
      </c>
      <c r="X234" s="120"/>
      <c r="Y234" s="120"/>
      <c r="Z234" s="49"/>
      <c r="AA234" s="116" t="str">
        <f t="shared" si="7"/>
        <v>#REF!</v>
      </c>
    </row>
    <row r="235" hidden="1">
      <c r="I235" s="49"/>
      <c r="J235" s="49"/>
      <c r="K235" s="49"/>
      <c r="L235" s="49"/>
      <c r="M235" s="104"/>
      <c r="N235" s="104"/>
      <c r="O235" s="115" t="str">
        <f t="shared" si="2"/>
        <v>Não</v>
      </c>
      <c r="P235" s="104"/>
      <c r="Q235" s="104"/>
      <c r="R235" s="104"/>
      <c r="S235" s="104"/>
      <c r="T235" s="104"/>
      <c r="U235" s="104">
        <f t="shared" si="3"/>
        <v>0</v>
      </c>
      <c r="V235" s="115" t="str">
        <f t="shared" si="4"/>
        <v>Não</v>
      </c>
      <c r="W235" s="116" t="str">
        <f t="shared" si="5"/>
        <v>Igual</v>
      </c>
      <c r="X235" s="120"/>
      <c r="Y235" s="120"/>
      <c r="Z235" s="49"/>
      <c r="AA235" s="116" t="str">
        <f t="shared" si="7"/>
        <v>#REF!</v>
      </c>
    </row>
    <row r="236" hidden="1">
      <c r="I236" s="49"/>
      <c r="J236" s="49"/>
      <c r="K236" s="49"/>
      <c r="L236" s="49"/>
      <c r="M236" s="104"/>
      <c r="N236" s="104"/>
      <c r="O236" s="115" t="str">
        <f t="shared" si="2"/>
        <v>Não</v>
      </c>
      <c r="P236" s="104"/>
      <c r="Q236" s="104"/>
      <c r="R236" s="104"/>
      <c r="S236" s="104"/>
      <c r="T236" s="104"/>
      <c r="U236" s="104">
        <f t="shared" si="3"/>
        <v>0</v>
      </c>
      <c r="V236" s="115" t="str">
        <f t="shared" si="4"/>
        <v>Não</v>
      </c>
      <c r="W236" s="116" t="str">
        <f t="shared" si="5"/>
        <v>Igual</v>
      </c>
      <c r="X236" s="120"/>
      <c r="Y236" s="120"/>
      <c r="Z236" s="49"/>
      <c r="AA236" s="116" t="str">
        <f t="shared" si="7"/>
        <v>#REF!</v>
      </c>
    </row>
    <row r="237" hidden="1">
      <c r="I237" s="49"/>
      <c r="J237" s="49"/>
      <c r="K237" s="49"/>
      <c r="L237" s="49"/>
      <c r="M237" s="104"/>
      <c r="N237" s="104"/>
      <c r="O237" s="115" t="str">
        <f t="shared" si="2"/>
        <v>Não</v>
      </c>
      <c r="P237" s="104"/>
      <c r="Q237" s="104"/>
      <c r="R237" s="104"/>
      <c r="S237" s="104"/>
      <c r="T237" s="104"/>
      <c r="U237" s="104">
        <f t="shared" si="3"/>
        <v>0</v>
      </c>
      <c r="V237" s="115" t="str">
        <f t="shared" si="4"/>
        <v>Não</v>
      </c>
      <c r="W237" s="116" t="str">
        <f t="shared" si="5"/>
        <v>Igual</v>
      </c>
      <c r="X237" s="120"/>
      <c r="Y237" s="120"/>
      <c r="Z237" s="49"/>
      <c r="AA237" s="116" t="str">
        <f t="shared" si="7"/>
        <v>#REF!</v>
      </c>
    </row>
    <row r="238" hidden="1">
      <c r="I238" s="49"/>
      <c r="J238" s="49"/>
      <c r="K238" s="49"/>
      <c r="L238" s="49"/>
      <c r="M238" s="104"/>
      <c r="N238" s="104"/>
      <c r="O238" s="115" t="str">
        <f t="shared" si="2"/>
        <v>Não</v>
      </c>
      <c r="P238" s="104"/>
      <c r="Q238" s="104"/>
      <c r="R238" s="104"/>
      <c r="S238" s="104"/>
      <c r="T238" s="104"/>
      <c r="U238" s="104">
        <f t="shared" si="3"/>
        <v>0</v>
      </c>
      <c r="V238" s="115" t="str">
        <f t="shared" si="4"/>
        <v>Não</v>
      </c>
      <c r="W238" s="116" t="str">
        <f t="shared" si="5"/>
        <v>Igual</v>
      </c>
      <c r="X238" s="120"/>
      <c r="Y238" s="120"/>
      <c r="Z238" s="49"/>
      <c r="AA238" s="116" t="str">
        <f t="shared" si="7"/>
        <v>#REF!</v>
      </c>
    </row>
    <row r="239" hidden="1">
      <c r="I239" s="49"/>
      <c r="J239" s="49"/>
      <c r="K239" s="49"/>
      <c r="L239" s="49"/>
      <c r="M239" s="104"/>
      <c r="N239" s="104"/>
      <c r="O239" s="115" t="str">
        <f t="shared" si="2"/>
        <v>Não</v>
      </c>
      <c r="P239" s="104"/>
      <c r="Q239" s="104"/>
      <c r="R239" s="104"/>
      <c r="S239" s="104"/>
      <c r="T239" s="104"/>
      <c r="U239" s="104">
        <f t="shared" si="3"/>
        <v>0</v>
      </c>
      <c r="V239" s="115" t="str">
        <f t="shared" si="4"/>
        <v>Não</v>
      </c>
      <c r="W239" s="116" t="str">
        <f t="shared" si="5"/>
        <v>Igual</v>
      </c>
      <c r="X239" s="120"/>
      <c r="Y239" s="120"/>
      <c r="Z239" s="49"/>
      <c r="AA239" s="116" t="str">
        <f t="shared" si="7"/>
        <v>#REF!</v>
      </c>
    </row>
    <row r="240" hidden="1">
      <c r="I240" s="49"/>
      <c r="J240" s="49"/>
      <c r="K240" s="49"/>
      <c r="L240" s="49"/>
      <c r="M240" s="104"/>
      <c r="N240" s="104"/>
      <c r="O240" s="115" t="str">
        <f t="shared" si="2"/>
        <v>Não</v>
      </c>
      <c r="P240" s="104"/>
      <c r="Q240" s="104"/>
      <c r="R240" s="104"/>
      <c r="S240" s="104"/>
      <c r="T240" s="104"/>
      <c r="U240" s="104">
        <f t="shared" si="3"/>
        <v>0</v>
      </c>
      <c r="V240" s="115" t="str">
        <f t="shared" si="4"/>
        <v>Não</v>
      </c>
      <c r="W240" s="116" t="str">
        <f t="shared" si="5"/>
        <v>Igual</v>
      </c>
      <c r="X240" s="120"/>
      <c r="Y240" s="120"/>
      <c r="Z240" s="49"/>
      <c r="AA240" s="116" t="str">
        <f t="shared" si="7"/>
        <v>#REF!</v>
      </c>
    </row>
    <row r="241" hidden="1">
      <c r="I241" s="49"/>
      <c r="J241" s="49"/>
      <c r="K241" s="49"/>
      <c r="L241" s="49"/>
      <c r="M241" s="104"/>
      <c r="N241" s="104"/>
      <c r="O241" s="115" t="str">
        <f t="shared" si="2"/>
        <v>Não</v>
      </c>
      <c r="P241" s="104"/>
      <c r="Q241" s="104"/>
      <c r="R241" s="104"/>
      <c r="S241" s="104"/>
      <c r="T241" s="104"/>
      <c r="U241" s="104">
        <f t="shared" si="3"/>
        <v>0</v>
      </c>
      <c r="V241" s="115" t="str">
        <f t="shared" si="4"/>
        <v>Não</v>
      </c>
      <c r="W241" s="116" t="str">
        <f t="shared" si="5"/>
        <v>Igual</v>
      </c>
      <c r="X241" s="120"/>
      <c r="Y241" s="120"/>
      <c r="Z241" s="49"/>
      <c r="AA241" s="116" t="str">
        <f t="shared" si="7"/>
        <v>#REF!</v>
      </c>
    </row>
    <row r="242" hidden="1">
      <c r="I242" s="49"/>
      <c r="J242" s="49"/>
      <c r="K242" s="49"/>
      <c r="L242" s="49"/>
      <c r="M242" s="104"/>
      <c r="N242" s="104"/>
      <c r="O242" s="115" t="str">
        <f t="shared" si="2"/>
        <v>Não</v>
      </c>
      <c r="P242" s="104"/>
      <c r="Q242" s="104"/>
      <c r="R242" s="104"/>
      <c r="S242" s="104"/>
      <c r="T242" s="104"/>
      <c r="U242" s="104">
        <f t="shared" si="3"/>
        <v>0</v>
      </c>
      <c r="V242" s="115" t="str">
        <f t="shared" si="4"/>
        <v>Não</v>
      </c>
      <c r="W242" s="116" t="str">
        <f t="shared" si="5"/>
        <v>Igual</v>
      </c>
      <c r="X242" s="120"/>
      <c r="Y242" s="120"/>
      <c r="Z242" s="49"/>
      <c r="AA242" s="116" t="str">
        <f t="shared" si="7"/>
        <v>#REF!</v>
      </c>
    </row>
    <row r="243" hidden="1">
      <c r="I243" s="49"/>
      <c r="J243" s="49"/>
      <c r="K243" s="49"/>
      <c r="L243" s="49"/>
      <c r="M243" s="104"/>
      <c r="N243" s="104"/>
      <c r="O243" s="115" t="str">
        <f t="shared" si="2"/>
        <v>Não</v>
      </c>
      <c r="P243" s="104"/>
      <c r="Q243" s="104"/>
      <c r="R243" s="104"/>
      <c r="S243" s="104"/>
      <c r="T243" s="104"/>
      <c r="U243" s="104">
        <f t="shared" si="3"/>
        <v>0</v>
      </c>
      <c r="V243" s="115" t="str">
        <f t="shared" si="4"/>
        <v>Não</v>
      </c>
      <c r="W243" s="116" t="str">
        <f t="shared" si="5"/>
        <v>Igual</v>
      </c>
      <c r="X243" s="120"/>
      <c r="Y243" s="120"/>
      <c r="Z243" s="49"/>
      <c r="AA243" s="116" t="str">
        <f t="shared" si="7"/>
        <v>#REF!</v>
      </c>
    </row>
    <row r="244" hidden="1">
      <c r="I244" s="49"/>
      <c r="J244" s="49"/>
      <c r="K244" s="49"/>
      <c r="L244" s="49"/>
      <c r="M244" s="104"/>
      <c r="N244" s="104"/>
      <c r="O244" s="115" t="str">
        <f t="shared" si="2"/>
        <v>Não</v>
      </c>
      <c r="P244" s="104"/>
      <c r="Q244" s="104"/>
      <c r="R244" s="104"/>
      <c r="S244" s="104"/>
      <c r="T244" s="104"/>
      <c r="U244" s="104">
        <f t="shared" si="3"/>
        <v>0</v>
      </c>
      <c r="V244" s="115" t="str">
        <f t="shared" si="4"/>
        <v>Não</v>
      </c>
      <c r="W244" s="116" t="str">
        <f t="shared" si="5"/>
        <v>Igual</v>
      </c>
      <c r="X244" s="120"/>
      <c r="Y244" s="120"/>
      <c r="Z244" s="49"/>
      <c r="AA244" s="116" t="str">
        <f t="shared" si="7"/>
        <v>#REF!</v>
      </c>
    </row>
    <row r="245" hidden="1">
      <c r="I245" s="49"/>
      <c r="J245" s="49"/>
      <c r="K245" s="49"/>
      <c r="L245" s="49"/>
      <c r="M245" s="104"/>
      <c r="N245" s="104"/>
      <c r="O245" s="115" t="str">
        <f t="shared" si="2"/>
        <v>Não</v>
      </c>
      <c r="P245" s="104"/>
      <c r="Q245" s="104"/>
      <c r="R245" s="104"/>
      <c r="S245" s="104"/>
      <c r="T245" s="104"/>
      <c r="U245" s="104">
        <f t="shared" si="3"/>
        <v>0</v>
      </c>
      <c r="V245" s="115" t="str">
        <f t="shared" si="4"/>
        <v>Não</v>
      </c>
      <c r="W245" s="116" t="str">
        <f t="shared" si="5"/>
        <v>Igual</v>
      </c>
      <c r="X245" s="120"/>
      <c r="Y245" s="120"/>
      <c r="Z245" s="49"/>
      <c r="AA245" s="116" t="str">
        <f t="shared" si="7"/>
        <v>#REF!</v>
      </c>
    </row>
    <row r="246" hidden="1">
      <c r="I246" s="49"/>
      <c r="J246" s="49"/>
      <c r="K246" s="49"/>
      <c r="L246" s="49"/>
      <c r="M246" s="104"/>
      <c r="N246" s="104"/>
      <c r="O246" s="115" t="str">
        <f t="shared" si="2"/>
        <v>Não</v>
      </c>
      <c r="P246" s="104"/>
      <c r="Q246" s="104"/>
      <c r="R246" s="104"/>
      <c r="S246" s="104"/>
      <c r="T246" s="104"/>
      <c r="U246" s="104">
        <f t="shared" si="3"/>
        <v>0</v>
      </c>
      <c r="V246" s="115" t="str">
        <f t="shared" si="4"/>
        <v>Não</v>
      </c>
      <c r="W246" s="116" t="str">
        <f t="shared" si="5"/>
        <v>Igual</v>
      </c>
      <c r="X246" s="120"/>
      <c r="Y246" s="120"/>
      <c r="Z246" s="49"/>
      <c r="AA246" s="116" t="str">
        <f t="shared" si="7"/>
        <v>#REF!</v>
      </c>
    </row>
    <row r="247" hidden="1">
      <c r="I247" s="49"/>
      <c r="J247" s="49"/>
      <c r="K247" s="49"/>
      <c r="L247" s="49"/>
      <c r="M247" s="104"/>
      <c r="N247" s="104"/>
      <c r="O247" s="115" t="str">
        <f t="shared" si="2"/>
        <v>Não</v>
      </c>
      <c r="P247" s="104"/>
      <c r="Q247" s="104"/>
      <c r="R247" s="104"/>
      <c r="S247" s="104"/>
      <c r="T247" s="104"/>
      <c r="U247" s="104">
        <f t="shared" si="3"/>
        <v>0</v>
      </c>
      <c r="V247" s="115" t="str">
        <f t="shared" si="4"/>
        <v>Não</v>
      </c>
      <c r="W247" s="116" t="str">
        <f t="shared" si="5"/>
        <v>Igual</v>
      </c>
      <c r="X247" s="120"/>
      <c r="Y247" s="120"/>
      <c r="Z247" s="49"/>
      <c r="AA247" s="116" t="str">
        <f t="shared" si="7"/>
        <v>#REF!</v>
      </c>
    </row>
    <row r="248" hidden="1">
      <c r="I248" s="49"/>
      <c r="J248" s="49"/>
      <c r="K248" s="49"/>
      <c r="L248" s="49"/>
      <c r="M248" s="104"/>
      <c r="N248" s="104"/>
      <c r="O248" s="115" t="str">
        <f t="shared" si="2"/>
        <v>Não</v>
      </c>
      <c r="P248" s="104"/>
      <c r="Q248" s="104"/>
      <c r="R248" s="104"/>
      <c r="S248" s="104"/>
      <c r="T248" s="104"/>
      <c r="U248" s="104">
        <f t="shared" si="3"/>
        <v>0</v>
      </c>
      <c r="V248" s="115" t="str">
        <f t="shared" si="4"/>
        <v>Não</v>
      </c>
      <c r="W248" s="116" t="str">
        <f t="shared" si="5"/>
        <v>Igual</v>
      </c>
      <c r="X248" s="120"/>
      <c r="Y248" s="120"/>
      <c r="Z248" s="49"/>
      <c r="AA248" s="116" t="str">
        <f t="shared" si="7"/>
        <v>#REF!</v>
      </c>
    </row>
    <row r="249" hidden="1">
      <c r="I249" s="49"/>
      <c r="J249" s="49"/>
      <c r="K249" s="49"/>
      <c r="L249" s="49"/>
      <c r="M249" s="104"/>
      <c r="N249" s="104"/>
      <c r="O249" s="115" t="str">
        <f t="shared" si="2"/>
        <v>Não</v>
      </c>
      <c r="P249" s="104"/>
      <c r="Q249" s="104"/>
      <c r="R249" s="104"/>
      <c r="S249" s="104"/>
      <c r="T249" s="104"/>
      <c r="U249" s="104">
        <f t="shared" si="3"/>
        <v>0</v>
      </c>
      <c r="V249" s="115" t="str">
        <f t="shared" si="4"/>
        <v>Não</v>
      </c>
      <c r="W249" s="116" t="str">
        <f t="shared" si="5"/>
        <v>Igual</v>
      </c>
      <c r="X249" s="120"/>
      <c r="Y249" s="120"/>
      <c r="Z249" s="49"/>
      <c r="AA249" s="116" t="str">
        <f t="shared" si="7"/>
        <v>#REF!</v>
      </c>
    </row>
    <row r="250" hidden="1">
      <c r="I250" s="49"/>
      <c r="J250" s="49"/>
      <c r="K250" s="49"/>
      <c r="L250" s="49"/>
      <c r="M250" s="104"/>
      <c r="N250" s="104"/>
      <c r="O250" s="115" t="str">
        <f t="shared" si="2"/>
        <v>Não</v>
      </c>
      <c r="P250" s="104"/>
      <c r="Q250" s="104"/>
      <c r="R250" s="104"/>
      <c r="S250" s="104"/>
      <c r="T250" s="104"/>
      <c r="U250" s="104">
        <f t="shared" si="3"/>
        <v>0</v>
      </c>
      <c r="V250" s="115" t="str">
        <f t="shared" si="4"/>
        <v>Não</v>
      </c>
      <c r="W250" s="116" t="str">
        <f t="shared" si="5"/>
        <v>Igual</v>
      </c>
      <c r="X250" s="120"/>
      <c r="Y250" s="120"/>
      <c r="Z250" s="49"/>
      <c r="AA250" s="116" t="str">
        <f t="shared" si="7"/>
        <v>#REF!</v>
      </c>
    </row>
    <row r="251" hidden="1">
      <c r="I251" s="49"/>
      <c r="J251" s="49"/>
      <c r="K251" s="49"/>
      <c r="L251" s="49"/>
      <c r="M251" s="104"/>
      <c r="N251" s="104"/>
      <c r="O251" s="115" t="str">
        <f t="shared" si="2"/>
        <v>Não</v>
      </c>
      <c r="P251" s="104"/>
      <c r="Q251" s="104"/>
      <c r="R251" s="104"/>
      <c r="S251" s="104"/>
      <c r="T251" s="104"/>
      <c r="U251" s="104">
        <f t="shared" si="3"/>
        <v>0</v>
      </c>
      <c r="V251" s="115" t="str">
        <f t="shared" si="4"/>
        <v>Não</v>
      </c>
      <c r="W251" s="116" t="str">
        <f t="shared" si="5"/>
        <v>Igual</v>
      </c>
      <c r="X251" s="120"/>
      <c r="Y251" s="120"/>
      <c r="Z251" s="49"/>
      <c r="AA251" s="116" t="str">
        <f t="shared" si="7"/>
        <v>#REF!</v>
      </c>
    </row>
    <row r="252" hidden="1">
      <c r="I252" s="49"/>
      <c r="J252" s="49"/>
      <c r="K252" s="49"/>
      <c r="L252" s="49"/>
      <c r="M252" s="104"/>
      <c r="N252" s="104"/>
      <c r="O252" s="115" t="str">
        <f t="shared" si="2"/>
        <v>Não</v>
      </c>
      <c r="P252" s="104"/>
      <c r="Q252" s="104"/>
      <c r="R252" s="104"/>
      <c r="S252" s="104"/>
      <c r="T252" s="104"/>
      <c r="U252" s="104">
        <f t="shared" si="3"/>
        <v>0</v>
      </c>
      <c r="V252" s="115" t="str">
        <f t="shared" si="4"/>
        <v>Não</v>
      </c>
      <c r="W252" s="116" t="str">
        <f t="shared" si="5"/>
        <v>Igual</v>
      </c>
      <c r="X252" s="120"/>
      <c r="Y252" s="120"/>
      <c r="Z252" s="49"/>
      <c r="AA252" s="116" t="str">
        <f t="shared" si="7"/>
        <v>#REF!</v>
      </c>
    </row>
    <row r="253" hidden="1">
      <c r="I253" s="49"/>
      <c r="J253" s="49"/>
      <c r="K253" s="49"/>
      <c r="L253" s="49"/>
      <c r="M253" s="104"/>
      <c r="N253" s="104"/>
      <c r="O253" s="115" t="str">
        <f t="shared" si="2"/>
        <v>Não</v>
      </c>
      <c r="P253" s="104"/>
      <c r="Q253" s="104"/>
      <c r="R253" s="104"/>
      <c r="S253" s="104"/>
      <c r="T253" s="104"/>
      <c r="U253" s="104">
        <f t="shared" si="3"/>
        <v>0</v>
      </c>
      <c r="V253" s="115" t="str">
        <f t="shared" si="4"/>
        <v>Não</v>
      </c>
      <c r="W253" s="116" t="str">
        <f t="shared" si="5"/>
        <v>Igual</v>
      </c>
      <c r="X253" s="120"/>
      <c r="Y253" s="120"/>
      <c r="Z253" s="49"/>
      <c r="AA253" s="116" t="str">
        <f t="shared" si="7"/>
        <v>#REF!</v>
      </c>
    </row>
    <row r="254" hidden="1">
      <c r="I254" s="49"/>
      <c r="J254" s="49"/>
      <c r="K254" s="49"/>
      <c r="L254" s="49"/>
      <c r="M254" s="104"/>
      <c r="N254" s="104"/>
      <c r="O254" s="115" t="str">
        <f t="shared" si="2"/>
        <v>Não</v>
      </c>
      <c r="P254" s="104"/>
      <c r="Q254" s="104"/>
      <c r="R254" s="104"/>
      <c r="S254" s="104"/>
      <c r="T254" s="104"/>
      <c r="U254" s="104">
        <f t="shared" si="3"/>
        <v>0</v>
      </c>
      <c r="V254" s="115" t="str">
        <f t="shared" si="4"/>
        <v>Não</v>
      </c>
      <c r="W254" s="116" t="str">
        <f t="shared" si="5"/>
        <v>Igual</v>
      </c>
      <c r="X254" s="120"/>
      <c r="Y254" s="120"/>
      <c r="Z254" s="49"/>
      <c r="AA254" s="116" t="str">
        <f t="shared" si="7"/>
        <v>#REF!</v>
      </c>
    </row>
    <row r="255" hidden="1">
      <c r="I255" s="49"/>
      <c r="J255" s="49"/>
      <c r="K255" s="49"/>
      <c r="L255" s="49"/>
      <c r="M255" s="104"/>
      <c r="N255" s="104"/>
      <c r="O255" s="115" t="str">
        <f t="shared" si="2"/>
        <v>Não</v>
      </c>
      <c r="P255" s="104"/>
      <c r="Q255" s="104"/>
      <c r="R255" s="104"/>
      <c r="S255" s="104"/>
      <c r="T255" s="104"/>
      <c r="U255" s="104">
        <f t="shared" si="3"/>
        <v>0</v>
      </c>
      <c r="V255" s="115" t="str">
        <f t="shared" si="4"/>
        <v>Não</v>
      </c>
      <c r="W255" s="116" t="str">
        <f t="shared" si="5"/>
        <v>Igual</v>
      </c>
      <c r="X255" s="120"/>
      <c r="Y255" s="120"/>
      <c r="Z255" s="49"/>
      <c r="AA255" s="116" t="str">
        <f t="shared" si="7"/>
        <v>#REF!</v>
      </c>
    </row>
    <row r="256" hidden="1">
      <c r="I256" s="49"/>
      <c r="J256" s="49"/>
      <c r="K256" s="49"/>
      <c r="L256" s="49"/>
      <c r="M256" s="104"/>
      <c r="N256" s="104"/>
      <c r="O256" s="115" t="str">
        <f t="shared" si="2"/>
        <v>Não</v>
      </c>
      <c r="P256" s="104"/>
      <c r="Q256" s="104"/>
      <c r="R256" s="104"/>
      <c r="S256" s="104"/>
      <c r="T256" s="104"/>
      <c r="U256" s="104">
        <f t="shared" si="3"/>
        <v>0</v>
      </c>
      <c r="V256" s="115" t="str">
        <f t="shared" si="4"/>
        <v>Não</v>
      </c>
      <c r="W256" s="116" t="str">
        <f t="shared" si="5"/>
        <v>Igual</v>
      </c>
      <c r="X256" s="120"/>
      <c r="Y256" s="120"/>
      <c r="Z256" s="49"/>
      <c r="AA256" s="116" t="str">
        <f t="shared" si="7"/>
        <v>#REF!</v>
      </c>
    </row>
    <row r="257" hidden="1">
      <c r="I257" s="49"/>
      <c r="J257" s="49"/>
      <c r="K257" s="49"/>
      <c r="L257" s="49"/>
      <c r="M257" s="104"/>
      <c r="N257" s="104"/>
      <c r="O257" s="115" t="str">
        <f t="shared" si="2"/>
        <v>Não</v>
      </c>
      <c r="P257" s="104"/>
      <c r="Q257" s="104"/>
      <c r="R257" s="104"/>
      <c r="S257" s="104"/>
      <c r="T257" s="104"/>
      <c r="U257" s="104">
        <f t="shared" si="3"/>
        <v>0</v>
      </c>
      <c r="V257" s="115" t="str">
        <f t="shared" si="4"/>
        <v>Não</v>
      </c>
      <c r="W257" s="116" t="str">
        <f t="shared" si="5"/>
        <v>Igual</v>
      </c>
      <c r="X257" s="120"/>
      <c r="Y257" s="120"/>
      <c r="Z257" s="49"/>
      <c r="AA257" s="116" t="str">
        <f t="shared" si="7"/>
        <v>#REF!</v>
      </c>
    </row>
    <row r="258" hidden="1">
      <c r="I258" s="49"/>
      <c r="J258" s="49"/>
      <c r="K258" s="49"/>
      <c r="L258" s="49"/>
      <c r="M258" s="104"/>
      <c r="N258" s="104"/>
      <c r="O258" s="115" t="str">
        <f t="shared" si="2"/>
        <v>Não</v>
      </c>
      <c r="P258" s="104"/>
      <c r="Q258" s="104"/>
      <c r="R258" s="104"/>
      <c r="S258" s="104"/>
      <c r="T258" s="104"/>
      <c r="U258" s="104">
        <f t="shared" si="3"/>
        <v>0</v>
      </c>
      <c r="V258" s="115" t="str">
        <f t="shared" si="4"/>
        <v>Não</v>
      </c>
      <c r="W258" s="116" t="str">
        <f t="shared" si="5"/>
        <v>Igual</v>
      </c>
      <c r="X258" s="120"/>
      <c r="Y258" s="120"/>
      <c r="Z258" s="49"/>
      <c r="AA258" s="116" t="str">
        <f t="shared" si="7"/>
        <v>#REF!</v>
      </c>
    </row>
    <row r="259" hidden="1">
      <c r="I259" s="49"/>
      <c r="J259" s="49"/>
      <c r="K259" s="49"/>
      <c r="L259" s="49"/>
      <c r="M259" s="104"/>
      <c r="N259" s="104"/>
      <c r="O259" s="115" t="str">
        <f t="shared" si="2"/>
        <v>Não</v>
      </c>
      <c r="P259" s="104"/>
      <c r="Q259" s="104"/>
      <c r="R259" s="104"/>
      <c r="S259" s="104"/>
      <c r="T259" s="104"/>
      <c r="U259" s="104">
        <f t="shared" si="3"/>
        <v>0</v>
      </c>
      <c r="V259" s="115" t="str">
        <f t="shared" si="4"/>
        <v>Não</v>
      </c>
      <c r="W259" s="116" t="str">
        <f t="shared" si="5"/>
        <v>Igual</v>
      </c>
      <c r="X259" s="120"/>
      <c r="Y259" s="120"/>
      <c r="Z259" s="49"/>
      <c r="AA259" s="116" t="str">
        <f t="shared" si="7"/>
        <v>#REF!</v>
      </c>
    </row>
    <row r="260" hidden="1">
      <c r="I260" s="49"/>
      <c r="J260" s="49"/>
      <c r="K260" s="49"/>
      <c r="L260" s="49"/>
      <c r="M260" s="104"/>
      <c r="N260" s="104"/>
      <c r="O260" s="115" t="str">
        <f t="shared" si="2"/>
        <v>Não</v>
      </c>
      <c r="P260" s="104"/>
      <c r="Q260" s="104"/>
      <c r="R260" s="104"/>
      <c r="S260" s="104"/>
      <c r="T260" s="104"/>
      <c r="U260" s="104">
        <f t="shared" si="3"/>
        <v>0</v>
      </c>
      <c r="V260" s="115" t="str">
        <f t="shared" si="4"/>
        <v>Não</v>
      </c>
      <c r="W260" s="116" t="str">
        <f t="shared" si="5"/>
        <v>Igual</v>
      </c>
      <c r="X260" s="120"/>
      <c r="Y260" s="120"/>
      <c r="Z260" s="49"/>
      <c r="AA260" s="116" t="str">
        <f t="shared" si="7"/>
        <v>#REF!</v>
      </c>
    </row>
    <row r="261" hidden="1">
      <c r="I261" s="49"/>
      <c r="J261" s="49"/>
      <c r="K261" s="49"/>
      <c r="L261" s="49"/>
      <c r="M261" s="104"/>
      <c r="N261" s="104"/>
      <c r="O261" s="115" t="str">
        <f t="shared" si="2"/>
        <v>Não</v>
      </c>
      <c r="P261" s="104"/>
      <c r="Q261" s="104"/>
      <c r="R261" s="104"/>
      <c r="S261" s="104"/>
      <c r="T261" s="104"/>
      <c r="U261" s="104">
        <f t="shared" si="3"/>
        <v>0</v>
      </c>
      <c r="V261" s="115" t="str">
        <f t="shared" si="4"/>
        <v>Não</v>
      </c>
      <c r="W261" s="116" t="str">
        <f t="shared" si="5"/>
        <v>Igual</v>
      </c>
      <c r="X261" s="120"/>
      <c r="Y261" s="120"/>
      <c r="Z261" s="49"/>
      <c r="AA261" s="116" t="str">
        <f t="shared" si="7"/>
        <v>#REF!</v>
      </c>
    </row>
    <row r="262" hidden="1">
      <c r="I262" s="49"/>
      <c r="J262" s="49"/>
      <c r="K262" s="49"/>
      <c r="L262" s="49"/>
      <c r="M262" s="104"/>
      <c r="N262" s="104"/>
      <c r="O262" s="115" t="str">
        <f t="shared" si="2"/>
        <v>Não</v>
      </c>
      <c r="P262" s="104"/>
      <c r="Q262" s="104"/>
      <c r="R262" s="104"/>
      <c r="S262" s="104"/>
      <c r="T262" s="104"/>
      <c r="U262" s="104">
        <f t="shared" si="3"/>
        <v>0</v>
      </c>
      <c r="V262" s="115" t="str">
        <f t="shared" si="4"/>
        <v>Não</v>
      </c>
      <c r="W262" s="116" t="str">
        <f t="shared" si="5"/>
        <v>Igual</v>
      </c>
      <c r="X262" s="120"/>
      <c r="Y262" s="120"/>
      <c r="Z262" s="49"/>
      <c r="AA262" s="116" t="str">
        <f t="shared" si="7"/>
        <v>#REF!</v>
      </c>
    </row>
    <row r="263" hidden="1">
      <c r="I263" s="49"/>
      <c r="J263" s="49"/>
      <c r="K263" s="49"/>
      <c r="L263" s="49"/>
      <c r="M263" s="104"/>
      <c r="N263" s="104"/>
      <c r="O263" s="115" t="str">
        <f t="shared" si="2"/>
        <v>Não</v>
      </c>
      <c r="P263" s="104"/>
      <c r="Q263" s="104"/>
      <c r="R263" s="104"/>
      <c r="S263" s="104"/>
      <c r="T263" s="104"/>
      <c r="U263" s="104">
        <f t="shared" si="3"/>
        <v>0</v>
      </c>
      <c r="V263" s="115" t="str">
        <f t="shared" si="4"/>
        <v>Não</v>
      </c>
      <c r="W263" s="116" t="str">
        <f t="shared" si="5"/>
        <v>Igual</v>
      </c>
      <c r="X263" s="120"/>
      <c r="Y263" s="120"/>
      <c r="Z263" s="49"/>
      <c r="AA263" s="116" t="str">
        <f t="shared" si="7"/>
        <v>#REF!</v>
      </c>
    </row>
    <row r="264" hidden="1">
      <c r="I264" s="49"/>
      <c r="J264" s="49"/>
      <c r="K264" s="49"/>
      <c r="L264" s="49"/>
      <c r="M264" s="104"/>
      <c r="N264" s="104"/>
      <c r="O264" s="115" t="str">
        <f t="shared" si="2"/>
        <v>Não</v>
      </c>
      <c r="P264" s="104"/>
      <c r="Q264" s="104"/>
      <c r="R264" s="104"/>
      <c r="S264" s="104"/>
      <c r="T264" s="104"/>
      <c r="U264" s="104">
        <f t="shared" si="3"/>
        <v>0</v>
      </c>
      <c r="V264" s="115" t="str">
        <f t="shared" si="4"/>
        <v>Não</v>
      </c>
      <c r="W264" s="116" t="str">
        <f t="shared" si="5"/>
        <v>Igual</v>
      </c>
      <c r="X264" s="120"/>
      <c r="Y264" s="120"/>
      <c r="Z264" s="49"/>
      <c r="AA264" s="116" t="str">
        <f t="shared" si="7"/>
        <v>#REF!</v>
      </c>
    </row>
    <row r="265" hidden="1">
      <c r="I265" s="49"/>
      <c r="J265" s="49"/>
      <c r="K265" s="49"/>
      <c r="L265" s="49"/>
      <c r="M265" s="104"/>
      <c r="N265" s="104"/>
      <c r="O265" s="115" t="str">
        <f t="shared" si="2"/>
        <v>Não</v>
      </c>
      <c r="P265" s="104"/>
      <c r="Q265" s="104"/>
      <c r="R265" s="104"/>
      <c r="S265" s="104"/>
      <c r="T265" s="104"/>
      <c r="U265" s="104">
        <f t="shared" si="3"/>
        <v>0</v>
      </c>
      <c r="V265" s="115" t="str">
        <f t="shared" si="4"/>
        <v>Não</v>
      </c>
      <c r="W265" s="116" t="str">
        <f t="shared" si="5"/>
        <v>Igual</v>
      </c>
      <c r="X265" s="120"/>
      <c r="Y265" s="120"/>
      <c r="Z265" s="49"/>
      <c r="AA265" s="116" t="str">
        <f t="shared" si="7"/>
        <v>#REF!</v>
      </c>
    </row>
    <row r="266" hidden="1">
      <c r="I266" s="49"/>
      <c r="J266" s="49"/>
      <c r="K266" s="49"/>
      <c r="L266" s="49"/>
      <c r="M266" s="104"/>
      <c r="N266" s="104"/>
      <c r="O266" s="115" t="str">
        <f t="shared" si="2"/>
        <v>Não</v>
      </c>
      <c r="P266" s="104"/>
      <c r="Q266" s="104"/>
      <c r="R266" s="104"/>
      <c r="S266" s="104"/>
      <c r="T266" s="104"/>
      <c r="U266" s="104">
        <f t="shared" si="3"/>
        <v>0</v>
      </c>
      <c r="V266" s="115" t="str">
        <f t="shared" si="4"/>
        <v>Não</v>
      </c>
      <c r="W266" s="116" t="str">
        <f t="shared" si="5"/>
        <v>Igual</v>
      </c>
      <c r="X266" s="120"/>
      <c r="Y266" s="120"/>
      <c r="Z266" s="49"/>
      <c r="AA266" s="116" t="str">
        <f t="shared" si="7"/>
        <v>#REF!</v>
      </c>
    </row>
    <row r="267" hidden="1">
      <c r="I267" s="49"/>
      <c r="J267" s="49"/>
      <c r="K267" s="49"/>
      <c r="L267" s="49"/>
      <c r="M267" s="104"/>
      <c r="N267" s="104"/>
      <c r="O267" s="115" t="str">
        <f t="shared" si="2"/>
        <v>Não</v>
      </c>
      <c r="P267" s="104"/>
      <c r="Q267" s="104"/>
      <c r="R267" s="104"/>
      <c r="S267" s="104"/>
      <c r="T267" s="104"/>
      <c r="U267" s="104">
        <f t="shared" si="3"/>
        <v>0</v>
      </c>
      <c r="V267" s="115" t="str">
        <f t="shared" si="4"/>
        <v>Não</v>
      </c>
      <c r="W267" s="116" t="str">
        <f t="shared" si="5"/>
        <v>Igual</v>
      </c>
      <c r="X267" s="120"/>
      <c r="Y267" s="120"/>
      <c r="Z267" s="49"/>
      <c r="AA267" s="116" t="str">
        <f t="shared" si="7"/>
        <v>#REF!</v>
      </c>
    </row>
    <row r="268" hidden="1">
      <c r="I268" s="49"/>
      <c r="J268" s="49"/>
      <c r="K268" s="49"/>
      <c r="L268" s="49"/>
      <c r="M268" s="104"/>
      <c r="N268" s="104"/>
      <c r="O268" s="115" t="str">
        <f t="shared" si="2"/>
        <v>Não</v>
      </c>
      <c r="P268" s="104"/>
      <c r="Q268" s="104"/>
      <c r="R268" s="104"/>
      <c r="S268" s="104"/>
      <c r="T268" s="104"/>
      <c r="U268" s="104">
        <f t="shared" si="3"/>
        <v>0</v>
      </c>
      <c r="V268" s="115" t="str">
        <f t="shared" si="4"/>
        <v>Não</v>
      </c>
      <c r="W268" s="116" t="str">
        <f t="shared" si="5"/>
        <v>Igual</v>
      </c>
      <c r="X268" s="120"/>
      <c r="Y268" s="120"/>
      <c r="Z268" s="49"/>
      <c r="AA268" s="116" t="str">
        <f t="shared" si="7"/>
        <v>#REF!</v>
      </c>
    </row>
    <row r="269" hidden="1">
      <c r="I269" s="49"/>
      <c r="J269" s="49"/>
      <c r="K269" s="49"/>
      <c r="L269" s="49"/>
      <c r="M269" s="104"/>
      <c r="N269" s="104"/>
      <c r="O269" s="115" t="str">
        <f t="shared" si="2"/>
        <v>Não</v>
      </c>
      <c r="P269" s="104"/>
      <c r="Q269" s="104"/>
      <c r="R269" s="104"/>
      <c r="S269" s="104"/>
      <c r="T269" s="104"/>
      <c r="U269" s="104">
        <f t="shared" si="3"/>
        <v>0</v>
      </c>
      <c r="V269" s="115" t="str">
        <f t="shared" si="4"/>
        <v>Não</v>
      </c>
      <c r="W269" s="116" t="str">
        <f t="shared" si="5"/>
        <v>Igual</v>
      </c>
      <c r="X269" s="120"/>
      <c r="Y269" s="120"/>
      <c r="Z269" s="49"/>
      <c r="AA269" s="116" t="str">
        <f t="shared" si="7"/>
        <v>#REF!</v>
      </c>
    </row>
    <row r="270" hidden="1">
      <c r="I270" s="49"/>
      <c r="J270" s="49"/>
      <c r="K270" s="49"/>
      <c r="L270" s="49"/>
      <c r="M270" s="104"/>
      <c r="N270" s="104"/>
      <c r="O270" s="115" t="str">
        <f t="shared" si="2"/>
        <v>Não</v>
      </c>
      <c r="P270" s="104"/>
      <c r="Q270" s="104"/>
      <c r="R270" s="104"/>
      <c r="S270" s="104"/>
      <c r="T270" s="104"/>
      <c r="U270" s="104">
        <f t="shared" si="3"/>
        <v>0</v>
      </c>
      <c r="V270" s="115" t="str">
        <f t="shared" si="4"/>
        <v>Não</v>
      </c>
      <c r="W270" s="116" t="str">
        <f t="shared" si="5"/>
        <v>Igual</v>
      </c>
      <c r="X270" s="120"/>
      <c r="Y270" s="120"/>
      <c r="Z270" s="49"/>
      <c r="AA270" s="116" t="str">
        <f t="shared" si="7"/>
        <v>#REF!</v>
      </c>
    </row>
    <row r="271" hidden="1">
      <c r="I271" s="49"/>
      <c r="J271" s="49"/>
      <c r="K271" s="49"/>
      <c r="L271" s="49"/>
      <c r="M271" s="104"/>
      <c r="N271" s="104"/>
      <c r="O271" s="115" t="str">
        <f t="shared" si="2"/>
        <v>Não</v>
      </c>
      <c r="P271" s="104"/>
      <c r="Q271" s="104"/>
      <c r="R271" s="104"/>
      <c r="S271" s="104"/>
      <c r="T271" s="104"/>
      <c r="U271" s="104">
        <f t="shared" si="3"/>
        <v>0</v>
      </c>
      <c r="V271" s="115" t="str">
        <f t="shared" si="4"/>
        <v>Não</v>
      </c>
      <c r="W271" s="116" t="str">
        <f t="shared" si="5"/>
        <v>Igual</v>
      </c>
      <c r="X271" s="120"/>
      <c r="Y271" s="120"/>
      <c r="Z271" s="49"/>
      <c r="AA271" s="116" t="str">
        <f t="shared" si="7"/>
        <v>#REF!</v>
      </c>
    </row>
    <row r="272" hidden="1">
      <c r="I272" s="49"/>
      <c r="J272" s="49"/>
      <c r="K272" s="49"/>
      <c r="L272" s="49"/>
      <c r="M272" s="104"/>
      <c r="N272" s="104"/>
      <c r="O272" s="115" t="str">
        <f t="shared" si="2"/>
        <v>Não</v>
      </c>
      <c r="P272" s="104"/>
      <c r="Q272" s="104"/>
      <c r="R272" s="104"/>
      <c r="S272" s="104"/>
      <c r="T272" s="104"/>
      <c r="U272" s="104">
        <f t="shared" si="3"/>
        <v>0</v>
      </c>
      <c r="V272" s="115" t="str">
        <f t="shared" si="4"/>
        <v>Não</v>
      </c>
      <c r="W272" s="116" t="str">
        <f t="shared" si="5"/>
        <v>Igual</v>
      </c>
      <c r="X272" s="120"/>
      <c r="Y272" s="120"/>
      <c r="Z272" s="49"/>
      <c r="AA272" s="116" t="str">
        <f t="shared" si="7"/>
        <v>#REF!</v>
      </c>
    </row>
    <row r="273" hidden="1">
      <c r="I273" s="49"/>
      <c r="J273" s="49"/>
      <c r="K273" s="49"/>
      <c r="L273" s="49"/>
      <c r="M273" s="104"/>
      <c r="N273" s="104"/>
      <c r="O273" s="115" t="str">
        <f t="shared" si="2"/>
        <v>Não</v>
      </c>
      <c r="P273" s="104"/>
      <c r="Q273" s="104"/>
      <c r="R273" s="104"/>
      <c r="S273" s="104"/>
      <c r="T273" s="104"/>
      <c r="U273" s="104">
        <f t="shared" si="3"/>
        <v>0</v>
      </c>
      <c r="V273" s="115" t="str">
        <f t="shared" si="4"/>
        <v>Não</v>
      </c>
      <c r="W273" s="116" t="str">
        <f t="shared" si="5"/>
        <v>Igual</v>
      </c>
      <c r="X273" s="120"/>
      <c r="Y273" s="120"/>
      <c r="Z273" s="49"/>
      <c r="AA273" s="116" t="str">
        <f t="shared" si="7"/>
        <v>#REF!</v>
      </c>
    </row>
    <row r="274" hidden="1">
      <c r="I274" s="49"/>
      <c r="J274" s="49"/>
      <c r="K274" s="49"/>
      <c r="L274" s="49"/>
      <c r="M274" s="104"/>
      <c r="N274" s="104"/>
      <c r="O274" s="115" t="str">
        <f t="shared" si="2"/>
        <v>Não</v>
      </c>
      <c r="P274" s="104"/>
      <c r="Q274" s="104"/>
      <c r="R274" s="104"/>
      <c r="S274" s="104"/>
      <c r="T274" s="104"/>
      <c r="U274" s="104">
        <f t="shared" si="3"/>
        <v>0</v>
      </c>
      <c r="V274" s="115" t="str">
        <f t="shared" si="4"/>
        <v>Não</v>
      </c>
      <c r="W274" s="116" t="str">
        <f t="shared" si="5"/>
        <v>Igual</v>
      </c>
      <c r="X274" s="120"/>
      <c r="Y274" s="120"/>
      <c r="Z274" s="49"/>
      <c r="AA274" s="116" t="str">
        <f t="shared" si="7"/>
        <v>#REF!</v>
      </c>
    </row>
    <row r="275" hidden="1">
      <c r="I275" s="49"/>
      <c r="J275" s="49"/>
      <c r="K275" s="49"/>
      <c r="L275" s="49"/>
      <c r="M275" s="104"/>
      <c r="N275" s="104"/>
      <c r="O275" s="115" t="str">
        <f t="shared" si="2"/>
        <v>Não</v>
      </c>
      <c r="P275" s="104"/>
      <c r="Q275" s="104"/>
      <c r="R275" s="104"/>
      <c r="S275" s="104"/>
      <c r="T275" s="104"/>
      <c r="U275" s="104">
        <f t="shared" si="3"/>
        <v>0</v>
      </c>
      <c r="V275" s="115" t="str">
        <f t="shared" si="4"/>
        <v>Não</v>
      </c>
      <c r="W275" s="116" t="str">
        <f t="shared" si="5"/>
        <v>Igual</v>
      </c>
      <c r="X275" s="120"/>
      <c r="Y275" s="120"/>
      <c r="Z275" s="49"/>
      <c r="AA275" s="116" t="str">
        <f t="shared" si="7"/>
        <v>#REF!</v>
      </c>
    </row>
    <row r="276" hidden="1">
      <c r="I276" s="49"/>
      <c r="J276" s="49"/>
      <c r="K276" s="49"/>
      <c r="L276" s="49"/>
      <c r="M276" s="104"/>
      <c r="N276" s="104"/>
      <c r="O276" s="115" t="str">
        <f t="shared" si="2"/>
        <v>Não</v>
      </c>
      <c r="P276" s="104"/>
      <c r="Q276" s="104"/>
      <c r="R276" s="104"/>
      <c r="S276" s="104"/>
      <c r="T276" s="104"/>
      <c r="U276" s="104">
        <f t="shared" si="3"/>
        <v>0</v>
      </c>
      <c r="V276" s="115" t="str">
        <f t="shared" si="4"/>
        <v>Não</v>
      </c>
      <c r="W276" s="116" t="str">
        <f t="shared" si="5"/>
        <v>Igual</v>
      </c>
      <c r="X276" s="120"/>
      <c r="Y276" s="120"/>
      <c r="Z276" s="49"/>
      <c r="AA276" s="116" t="str">
        <f t="shared" si="7"/>
        <v>#REF!</v>
      </c>
    </row>
    <row r="277" hidden="1">
      <c r="I277" s="49"/>
      <c r="J277" s="49"/>
      <c r="K277" s="49"/>
      <c r="L277" s="49"/>
      <c r="M277" s="104"/>
      <c r="N277" s="104"/>
      <c r="O277" s="115" t="str">
        <f t="shared" si="2"/>
        <v>Não</v>
      </c>
      <c r="P277" s="104"/>
      <c r="Q277" s="104"/>
      <c r="R277" s="104"/>
      <c r="S277" s="104"/>
      <c r="T277" s="104"/>
      <c r="U277" s="104">
        <f t="shared" si="3"/>
        <v>0</v>
      </c>
      <c r="V277" s="115" t="str">
        <f t="shared" si="4"/>
        <v>Não</v>
      </c>
      <c r="W277" s="116" t="str">
        <f t="shared" si="5"/>
        <v>Igual</v>
      </c>
      <c r="X277" s="120"/>
      <c r="Y277" s="120"/>
      <c r="Z277" s="49"/>
      <c r="AA277" s="116" t="str">
        <f t="shared" si="7"/>
        <v>#REF!</v>
      </c>
    </row>
    <row r="278" hidden="1">
      <c r="I278" s="49"/>
      <c r="J278" s="49"/>
      <c r="K278" s="49"/>
      <c r="L278" s="49"/>
      <c r="M278" s="104"/>
      <c r="N278" s="104"/>
      <c r="O278" s="115" t="str">
        <f t="shared" si="2"/>
        <v>Não</v>
      </c>
      <c r="P278" s="104"/>
      <c r="Q278" s="104"/>
      <c r="R278" s="104"/>
      <c r="S278" s="104"/>
      <c r="T278" s="104"/>
      <c r="U278" s="104">
        <f t="shared" si="3"/>
        <v>0</v>
      </c>
      <c r="V278" s="115" t="str">
        <f t="shared" si="4"/>
        <v>Não</v>
      </c>
      <c r="W278" s="116" t="str">
        <f t="shared" si="5"/>
        <v>Igual</v>
      </c>
      <c r="X278" s="120"/>
      <c r="Y278" s="120"/>
      <c r="Z278" s="49"/>
      <c r="AA278" s="116" t="str">
        <f t="shared" si="7"/>
        <v>#REF!</v>
      </c>
    </row>
    <row r="279" hidden="1">
      <c r="I279" s="49"/>
      <c r="J279" s="49"/>
      <c r="K279" s="49"/>
      <c r="L279" s="49"/>
      <c r="M279" s="104"/>
      <c r="N279" s="104"/>
      <c r="O279" s="115" t="str">
        <f t="shared" si="2"/>
        <v>Não</v>
      </c>
      <c r="P279" s="104"/>
      <c r="Q279" s="104"/>
      <c r="R279" s="104"/>
      <c r="S279" s="104"/>
      <c r="T279" s="104"/>
      <c r="U279" s="104">
        <f t="shared" si="3"/>
        <v>0</v>
      </c>
      <c r="V279" s="115" t="str">
        <f t="shared" si="4"/>
        <v>Não</v>
      </c>
      <c r="W279" s="116" t="str">
        <f t="shared" si="5"/>
        <v>Igual</v>
      </c>
      <c r="X279" s="120"/>
      <c r="Y279" s="120"/>
      <c r="Z279" s="49"/>
      <c r="AA279" s="116" t="str">
        <f t="shared" si="7"/>
        <v>#REF!</v>
      </c>
    </row>
    <row r="280" hidden="1">
      <c r="I280" s="49"/>
      <c r="J280" s="49"/>
      <c r="K280" s="49"/>
      <c r="L280" s="49"/>
      <c r="M280" s="104"/>
      <c r="N280" s="104"/>
      <c r="O280" s="115" t="str">
        <f t="shared" si="2"/>
        <v>Não</v>
      </c>
      <c r="P280" s="104"/>
      <c r="Q280" s="104"/>
      <c r="R280" s="104"/>
      <c r="S280" s="104"/>
      <c r="T280" s="104"/>
      <c r="U280" s="104">
        <f t="shared" si="3"/>
        <v>0</v>
      </c>
      <c r="V280" s="115" t="str">
        <f t="shared" si="4"/>
        <v>Não</v>
      </c>
      <c r="W280" s="116" t="str">
        <f t="shared" si="5"/>
        <v>Igual</v>
      </c>
      <c r="X280" s="120"/>
      <c r="Y280" s="120"/>
      <c r="Z280" s="49"/>
      <c r="AA280" s="116" t="str">
        <f t="shared" si="7"/>
        <v>#REF!</v>
      </c>
    </row>
    <row r="281" hidden="1">
      <c r="I281" s="49"/>
      <c r="J281" s="49"/>
      <c r="K281" s="49"/>
      <c r="L281" s="49"/>
      <c r="M281" s="104"/>
      <c r="N281" s="104"/>
      <c r="O281" s="115" t="str">
        <f t="shared" si="2"/>
        <v>Não</v>
      </c>
      <c r="P281" s="104"/>
      <c r="Q281" s="104"/>
      <c r="R281" s="104"/>
      <c r="S281" s="104"/>
      <c r="T281" s="104"/>
      <c r="U281" s="104">
        <f t="shared" si="3"/>
        <v>0</v>
      </c>
      <c r="V281" s="115" t="str">
        <f t="shared" si="4"/>
        <v>Não</v>
      </c>
      <c r="W281" s="116" t="str">
        <f t="shared" si="5"/>
        <v>Igual</v>
      </c>
      <c r="X281" s="120"/>
      <c r="Y281" s="120"/>
      <c r="Z281" s="49"/>
      <c r="AA281" s="116" t="str">
        <f t="shared" si="7"/>
        <v>#REF!</v>
      </c>
    </row>
    <row r="282" hidden="1">
      <c r="I282" s="49"/>
      <c r="J282" s="49"/>
      <c r="K282" s="49"/>
      <c r="L282" s="49"/>
      <c r="M282" s="104"/>
      <c r="N282" s="104"/>
      <c r="O282" s="115" t="str">
        <f t="shared" si="2"/>
        <v>Não</v>
      </c>
      <c r="P282" s="104"/>
      <c r="Q282" s="104"/>
      <c r="R282" s="104"/>
      <c r="S282" s="104"/>
      <c r="T282" s="104"/>
      <c r="U282" s="104">
        <f t="shared" si="3"/>
        <v>0</v>
      </c>
      <c r="V282" s="115" t="str">
        <f t="shared" si="4"/>
        <v>Não</v>
      </c>
      <c r="W282" s="116" t="str">
        <f t="shared" si="5"/>
        <v>Igual</v>
      </c>
      <c r="X282" s="120"/>
      <c r="Y282" s="120"/>
      <c r="Z282" s="49"/>
      <c r="AA282" s="116" t="str">
        <f t="shared" si="7"/>
        <v>#REF!</v>
      </c>
    </row>
    <row r="283" hidden="1">
      <c r="I283" s="49"/>
      <c r="J283" s="49"/>
      <c r="K283" s="49"/>
      <c r="L283" s="49"/>
      <c r="M283" s="104"/>
      <c r="N283" s="104"/>
      <c r="O283" s="115" t="str">
        <f t="shared" si="2"/>
        <v>Não</v>
      </c>
      <c r="P283" s="104"/>
      <c r="Q283" s="104"/>
      <c r="R283" s="104"/>
      <c r="S283" s="104"/>
      <c r="T283" s="104"/>
      <c r="U283" s="104">
        <f t="shared" si="3"/>
        <v>0</v>
      </c>
      <c r="V283" s="115" t="str">
        <f t="shared" si="4"/>
        <v>Não</v>
      </c>
      <c r="W283" s="116" t="str">
        <f t="shared" si="5"/>
        <v>Igual</v>
      </c>
      <c r="X283" s="120"/>
      <c r="Y283" s="120"/>
      <c r="Z283" s="49"/>
      <c r="AA283" s="116" t="str">
        <f t="shared" si="7"/>
        <v>#REF!</v>
      </c>
    </row>
    <row r="284" hidden="1">
      <c r="I284" s="49"/>
      <c r="J284" s="49"/>
      <c r="K284" s="49"/>
      <c r="L284" s="49"/>
      <c r="M284" s="104"/>
      <c r="N284" s="104"/>
      <c r="O284" s="115" t="str">
        <f t="shared" si="2"/>
        <v>Não</v>
      </c>
      <c r="P284" s="104"/>
      <c r="Q284" s="104"/>
      <c r="R284" s="104"/>
      <c r="S284" s="104"/>
      <c r="T284" s="104"/>
      <c r="U284" s="104">
        <f t="shared" si="3"/>
        <v>0</v>
      </c>
      <c r="V284" s="115" t="str">
        <f t="shared" si="4"/>
        <v>Não</v>
      </c>
      <c r="W284" s="116" t="str">
        <f t="shared" si="5"/>
        <v>Igual</v>
      </c>
      <c r="X284" s="120"/>
      <c r="Y284" s="120"/>
      <c r="Z284" s="49"/>
      <c r="AA284" s="116" t="str">
        <f t="shared" si="7"/>
        <v>#REF!</v>
      </c>
    </row>
    <row r="285" hidden="1">
      <c r="I285" s="49"/>
      <c r="J285" s="49"/>
      <c r="K285" s="49"/>
      <c r="L285" s="49"/>
      <c r="M285" s="104"/>
      <c r="N285" s="104"/>
      <c r="O285" s="115" t="str">
        <f t="shared" si="2"/>
        <v>Não</v>
      </c>
      <c r="P285" s="104"/>
      <c r="Q285" s="104"/>
      <c r="R285" s="104"/>
      <c r="S285" s="104"/>
      <c r="T285" s="104"/>
      <c r="U285" s="104">
        <f t="shared" si="3"/>
        <v>0</v>
      </c>
      <c r="V285" s="115" t="str">
        <f t="shared" si="4"/>
        <v>Não</v>
      </c>
      <c r="W285" s="116" t="str">
        <f t="shared" si="5"/>
        <v>Igual</v>
      </c>
      <c r="X285" s="120"/>
      <c r="Y285" s="120"/>
      <c r="Z285" s="49"/>
      <c r="AA285" s="116" t="str">
        <f t="shared" si="7"/>
        <v>#REF!</v>
      </c>
    </row>
    <row r="286" hidden="1">
      <c r="I286" s="49"/>
      <c r="J286" s="49"/>
      <c r="K286" s="49"/>
      <c r="L286" s="49"/>
      <c r="M286" s="104"/>
      <c r="N286" s="104"/>
      <c r="O286" s="115" t="str">
        <f t="shared" si="2"/>
        <v>Não</v>
      </c>
      <c r="P286" s="104"/>
      <c r="Q286" s="104"/>
      <c r="R286" s="104"/>
      <c r="S286" s="104"/>
      <c r="T286" s="104"/>
      <c r="U286" s="104">
        <f t="shared" si="3"/>
        <v>0</v>
      </c>
      <c r="V286" s="115" t="str">
        <f t="shared" si="4"/>
        <v>Não</v>
      </c>
      <c r="W286" s="116" t="str">
        <f t="shared" si="5"/>
        <v>Igual</v>
      </c>
      <c r="X286" s="120"/>
      <c r="Y286" s="120"/>
      <c r="Z286" s="49"/>
      <c r="AA286" s="116" t="str">
        <f t="shared" si="7"/>
        <v>#REF!</v>
      </c>
    </row>
    <row r="287" hidden="1">
      <c r="I287" s="49"/>
      <c r="J287" s="49"/>
      <c r="K287" s="49"/>
      <c r="L287" s="49"/>
      <c r="M287" s="104"/>
      <c r="N287" s="104"/>
      <c r="O287" s="115" t="str">
        <f t="shared" si="2"/>
        <v>Não</v>
      </c>
      <c r="P287" s="104"/>
      <c r="Q287" s="104"/>
      <c r="R287" s="104"/>
      <c r="S287" s="104"/>
      <c r="T287" s="104"/>
      <c r="U287" s="104">
        <f t="shared" si="3"/>
        <v>0</v>
      </c>
      <c r="V287" s="115" t="str">
        <f t="shared" si="4"/>
        <v>Não</v>
      </c>
      <c r="W287" s="116" t="str">
        <f t="shared" si="5"/>
        <v>Igual</v>
      </c>
      <c r="X287" s="120"/>
      <c r="Y287" s="120"/>
      <c r="Z287" s="49"/>
      <c r="AA287" s="116" t="str">
        <f t="shared" si="7"/>
        <v>#REF!</v>
      </c>
    </row>
    <row r="288" hidden="1">
      <c r="I288" s="49"/>
      <c r="J288" s="49"/>
      <c r="K288" s="49"/>
      <c r="L288" s="49"/>
      <c r="M288" s="104"/>
      <c r="N288" s="104"/>
      <c r="O288" s="115" t="str">
        <f t="shared" si="2"/>
        <v>Não</v>
      </c>
      <c r="P288" s="104"/>
      <c r="Q288" s="104"/>
      <c r="R288" s="104"/>
      <c r="S288" s="104"/>
      <c r="T288" s="104"/>
      <c r="U288" s="104">
        <f t="shared" si="3"/>
        <v>0</v>
      </c>
      <c r="V288" s="115" t="str">
        <f t="shared" si="4"/>
        <v>Não</v>
      </c>
      <c r="W288" s="116" t="str">
        <f t="shared" si="5"/>
        <v>Igual</v>
      </c>
      <c r="X288" s="120"/>
      <c r="Y288" s="120"/>
      <c r="Z288" s="49"/>
      <c r="AA288" s="116" t="str">
        <f t="shared" si="7"/>
        <v>#REF!</v>
      </c>
    </row>
    <row r="289" hidden="1">
      <c r="I289" s="49"/>
      <c r="J289" s="49"/>
      <c r="K289" s="49"/>
      <c r="L289" s="49"/>
      <c r="M289" s="104"/>
      <c r="N289" s="104"/>
      <c r="O289" s="115" t="str">
        <f t="shared" si="2"/>
        <v>Não</v>
      </c>
      <c r="P289" s="104"/>
      <c r="Q289" s="104"/>
      <c r="R289" s="104"/>
      <c r="S289" s="104"/>
      <c r="T289" s="104"/>
      <c r="U289" s="104">
        <f t="shared" si="3"/>
        <v>0</v>
      </c>
      <c r="V289" s="115" t="str">
        <f t="shared" si="4"/>
        <v>Não</v>
      </c>
      <c r="W289" s="116" t="str">
        <f t="shared" si="5"/>
        <v>Igual</v>
      </c>
      <c r="X289" s="120"/>
      <c r="Y289" s="120"/>
      <c r="Z289" s="49"/>
      <c r="AA289" s="116" t="str">
        <f t="shared" si="7"/>
        <v>#REF!</v>
      </c>
    </row>
    <row r="290" hidden="1">
      <c r="I290" s="49"/>
      <c r="J290" s="49"/>
      <c r="K290" s="49"/>
      <c r="L290" s="49"/>
      <c r="M290" s="104"/>
      <c r="N290" s="104"/>
      <c r="O290" s="115" t="str">
        <f t="shared" si="2"/>
        <v>Não</v>
      </c>
      <c r="P290" s="104"/>
      <c r="Q290" s="104"/>
      <c r="R290" s="104"/>
      <c r="S290" s="104"/>
      <c r="T290" s="104"/>
      <c r="U290" s="104">
        <f t="shared" si="3"/>
        <v>0</v>
      </c>
      <c r="V290" s="115" t="str">
        <f t="shared" si="4"/>
        <v>Não</v>
      </c>
      <c r="W290" s="116" t="str">
        <f t="shared" si="5"/>
        <v>Igual</v>
      </c>
      <c r="X290" s="120"/>
      <c r="Y290" s="120"/>
      <c r="Z290" s="49"/>
      <c r="AA290" s="116" t="str">
        <f t="shared" si="7"/>
        <v>#REF!</v>
      </c>
    </row>
    <row r="291" hidden="1">
      <c r="I291" s="49"/>
      <c r="J291" s="49"/>
      <c r="K291" s="49"/>
      <c r="L291" s="49"/>
      <c r="M291" s="104"/>
      <c r="N291" s="104"/>
      <c r="O291" s="115" t="str">
        <f t="shared" si="2"/>
        <v>Não</v>
      </c>
      <c r="P291" s="104"/>
      <c r="Q291" s="104"/>
      <c r="R291" s="104"/>
      <c r="S291" s="104"/>
      <c r="T291" s="104"/>
      <c r="U291" s="104">
        <f t="shared" si="3"/>
        <v>0</v>
      </c>
      <c r="V291" s="115" t="str">
        <f t="shared" si="4"/>
        <v>Não</v>
      </c>
      <c r="W291" s="116" t="str">
        <f t="shared" si="5"/>
        <v>Igual</v>
      </c>
      <c r="X291" s="120"/>
      <c r="Y291" s="120"/>
      <c r="Z291" s="49"/>
      <c r="AA291" s="116" t="str">
        <f t="shared" si="7"/>
        <v>#REF!</v>
      </c>
    </row>
    <row r="292" hidden="1">
      <c r="I292" s="49"/>
      <c r="J292" s="49"/>
      <c r="K292" s="49"/>
      <c r="L292" s="49"/>
      <c r="M292" s="104"/>
      <c r="N292" s="104"/>
      <c r="O292" s="115" t="str">
        <f t="shared" si="2"/>
        <v>Não</v>
      </c>
      <c r="P292" s="104"/>
      <c r="Q292" s="104"/>
      <c r="R292" s="104"/>
      <c r="S292" s="104"/>
      <c r="T292" s="104"/>
      <c r="U292" s="104">
        <f t="shared" si="3"/>
        <v>0</v>
      </c>
      <c r="V292" s="115" t="str">
        <f t="shared" si="4"/>
        <v>Não</v>
      </c>
      <c r="W292" s="116" t="str">
        <f t="shared" si="5"/>
        <v>Igual</v>
      </c>
      <c r="X292" s="120"/>
      <c r="Y292" s="120"/>
      <c r="Z292" s="49"/>
      <c r="AA292" s="116" t="str">
        <f t="shared" si="7"/>
        <v>#REF!</v>
      </c>
    </row>
    <row r="293" hidden="1">
      <c r="I293" s="49"/>
      <c r="J293" s="49"/>
      <c r="K293" s="49"/>
      <c r="L293" s="49"/>
      <c r="M293" s="104"/>
      <c r="N293" s="104"/>
      <c r="O293" s="115" t="str">
        <f t="shared" si="2"/>
        <v>Não</v>
      </c>
      <c r="P293" s="104"/>
      <c r="Q293" s="104"/>
      <c r="R293" s="104"/>
      <c r="S293" s="104"/>
      <c r="T293" s="104"/>
      <c r="U293" s="104">
        <f t="shared" si="3"/>
        <v>0</v>
      </c>
      <c r="V293" s="115" t="str">
        <f t="shared" si="4"/>
        <v>Não</v>
      </c>
      <c r="W293" s="116" t="str">
        <f t="shared" si="5"/>
        <v>Igual</v>
      </c>
      <c r="X293" s="120"/>
      <c r="Y293" s="120"/>
      <c r="Z293" s="49"/>
      <c r="AA293" s="116" t="str">
        <f t="shared" si="7"/>
        <v>#REF!</v>
      </c>
    </row>
    <row r="294" hidden="1">
      <c r="I294" s="49"/>
      <c r="J294" s="49"/>
      <c r="K294" s="49"/>
      <c r="L294" s="49"/>
      <c r="M294" s="104"/>
      <c r="N294" s="104"/>
      <c r="O294" s="115" t="str">
        <f t="shared" si="2"/>
        <v>Não</v>
      </c>
      <c r="P294" s="104"/>
      <c r="Q294" s="104"/>
      <c r="R294" s="104"/>
      <c r="S294" s="104"/>
      <c r="T294" s="104"/>
      <c r="U294" s="104">
        <f t="shared" si="3"/>
        <v>0</v>
      </c>
      <c r="V294" s="115" t="str">
        <f t="shared" si="4"/>
        <v>Não</v>
      </c>
      <c r="W294" s="116" t="str">
        <f t="shared" si="5"/>
        <v>Igual</v>
      </c>
      <c r="X294" s="120"/>
      <c r="Y294" s="120"/>
      <c r="Z294" s="49"/>
      <c r="AA294" s="116" t="str">
        <f t="shared" si="7"/>
        <v>#REF!</v>
      </c>
    </row>
    <row r="295" hidden="1">
      <c r="I295" s="49"/>
      <c r="J295" s="49"/>
      <c r="K295" s="49"/>
      <c r="L295" s="49"/>
      <c r="M295" s="104"/>
      <c r="N295" s="104"/>
      <c r="O295" s="115" t="str">
        <f t="shared" si="2"/>
        <v>Não</v>
      </c>
      <c r="P295" s="104"/>
      <c r="Q295" s="104"/>
      <c r="R295" s="104"/>
      <c r="S295" s="104"/>
      <c r="T295" s="104"/>
      <c r="U295" s="104">
        <f t="shared" si="3"/>
        <v>0</v>
      </c>
      <c r="V295" s="115" t="str">
        <f t="shared" si="4"/>
        <v>Não</v>
      </c>
      <c r="W295" s="116" t="str">
        <f t="shared" si="5"/>
        <v>Igual</v>
      </c>
      <c r="X295" s="120"/>
      <c r="Y295" s="120"/>
      <c r="Z295" s="49"/>
      <c r="AA295" s="116" t="str">
        <f t="shared" si="7"/>
        <v>#REF!</v>
      </c>
    </row>
    <row r="296" hidden="1">
      <c r="I296" s="49"/>
      <c r="J296" s="49"/>
      <c r="K296" s="49"/>
      <c r="L296" s="49"/>
      <c r="M296" s="104"/>
      <c r="N296" s="104"/>
      <c r="O296" s="115" t="str">
        <f t="shared" si="2"/>
        <v>Não</v>
      </c>
      <c r="P296" s="104"/>
      <c r="Q296" s="104"/>
      <c r="R296" s="104"/>
      <c r="S296" s="104"/>
      <c r="T296" s="104"/>
      <c r="U296" s="104">
        <f t="shared" si="3"/>
        <v>0</v>
      </c>
      <c r="V296" s="115" t="str">
        <f t="shared" si="4"/>
        <v>Não</v>
      </c>
      <c r="W296" s="116" t="str">
        <f t="shared" si="5"/>
        <v>Igual</v>
      </c>
      <c r="X296" s="120"/>
      <c r="Y296" s="120"/>
      <c r="Z296" s="49"/>
      <c r="AA296" s="116" t="str">
        <f t="shared" si="7"/>
        <v>#REF!</v>
      </c>
    </row>
    <row r="297" hidden="1">
      <c r="I297" s="49"/>
      <c r="J297" s="49"/>
      <c r="K297" s="49"/>
      <c r="L297" s="49"/>
      <c r="M297" s="104"/>
      <c r="N297" s="104"/>
      <c r="O297" s="115" t="str">
        <f t="shared" si="2"/>
        <v>Não</v>
      </c>
      <c r="P297" s="104"/>
      <c r="Q297" s="104"/>
      <c r="R297" s="104"/>
      <c r="S297" s="104"/>
      <c r="T297" s="104"/>
      <c r="U297" s="104">
        <f t="shared" si="3"/>
        <v>0</v>
      </c>
      <c r="V297" s="115" t="str">
        <f t="shared" si="4"/>
        <v>Não</v>
      </c>
      <c r="W297" s="116" t="str">
        <f t="shared" si="5"/>
        <v>Igual</v>
      </c>
      <c r="X297" s="120"/>
      <c r="Y297" s="120"/>
      <c r="Z297" s="49"/>
      <c r="AA297" s="116" t="str">
        <f t="shared" si="7"/>
        <v>#REF!</v>
      </c>
    </row>
    <row r="298" hidden="1">
      <c r="I298" s="49"/>
      <c r="J298" s="49"/>
      <c r="K298" s="49"/>
      <c r="L298" s="49"/>
      <c r="M298" s="104"/>
      <c r="N298" s="104"/>
      <c r="O298" s="115" t="str">
        <f t="shared" si="2"/>
        <v>Não</v>
      </c>
      <c r="P298" s="104"/>
      <c r="Q298" s="104"/>
      <c r="R298" s="104"/>
      <c r="S298" s="104"/>
      <c r="T298" s="104"/>
      <c r="U298" s="104">
        <f t="shared" si="3"/>
        <v>0</v>
      </c>
      <c r="V298" s="115" t="str">
        <f t="shared" si="4"/>
        <v>Não</v>
      </c>
      <c r="W298" s="116" t="str">
        <f t="shared" si="5"/>
        <v>Igual</v>
      </c>
      <c r="X298" s="120"/>
      <c r="Y298" s="120"/>
      <c r="Z298" s="49"/>
      <c r="AA298" s="116" t="str">
        <f t="shared" si="7"/>
        <v>#REF!</v>
      </c>
    </row>
    <row r="299" hidden="1">
      <c r="I299" s="49"/>
      <c r="J299" s="49"/>
      <c r="K299" s="49"/>
      <c r="L299" s="49"/>
      <c r="M299" s="104"/>
      <c r="N299" s="104"/>
      <c r="O299" s="115" t="str">
        <f t="shared" si="2"/>
        <v>Não</v>
      </c>
      <c r="P299" s="104"/>
      <c r="Q299" s="104"/>
      <c r="R299" s="104"/>
      <c r="S299" s="104"/>
      <c r="T299" s="104"/>
      <c r="U299" s="104">
        <f t="shared" si="3"/>
        <v>0</v>
      </c>
      <c r="V299" s="115" t="str">
        <f t="shared" si="4"/>
        <v>Não</v>
      </c>
      <c r="W299" s="116" t="str">
        <f t="shared" si="5"/>
        <v>Igual</v>
      </c>
      <c r="X299" s="120"/>
      <c r="Y299" s="120"/>
      <c r="Z299" s="49"/>
      <c r="AA299" s="116" t="str">
        <f t="shared" si="7"/>
        <v>#REF!</v>
      </c>
    </row>
    <row r="300" hidden="1">
      <c r="I300" s="49"/>
      <c r="J300" s="49"/>
      <c r="K300" s="49"/>
      <c r="L300" s="49"/>
      <c r="M300" s="104"/>
      <c r="N300" s="104"/>
      <c r="O300" s="115" t="str">
        <f t="shared" si="2"/>
        <v>Não</v>
      </c>
      <c r="P300" s="104"/>
      <c r="Q300" s="104"/>
      <c r="R300" s="104"/>
      <c r="S300" s="104"/>
      <c r="T300" s="104"/>
      <c r="U300" s="104">
        <f t="shared" si="3"/>
        <v>0</v>
      </c>
      <c r="V300" s="115" t="str">
        <f t="shared" si="4"/>
        <v>Não</v>
      </c>
      <c r="W300" s="116" t="str">
        <f t="shared" si="5"/>
        <v>Igual</v>
      </c>
      <c r="X300" s="120"/>
      <c r="Y300" s="120"/>
      <c r="Z300" s="49"/>
      <c r="AA300" s="116" t="str">
        <f t="shared" si="7"/>
        <v>#REF!</v>
      </c>
    </row>
    <row r="301" hidden="1">
      <c r="I301" s="49"/>
      <c r="J301" s="49"/>
      <c r="K301" s="49"/>
      <c r="L301" s="49"/>
      <c r="M301" s="104"/>
      <c r="N301" s="104"/>
      <c r="O301" s="115" t="str">
        <f t="shared" si="2"/>
        <v>Não</v>
      </c>
      <c r="P301" s="104"/>
      <c r="Q301" s="104"/>
      <c r="R301" s="104"/>
      <c r="S301" s="104"/>
      <c r="T301" s="104"/>
      <c r="U301" s="104">
        <f t="shared" si="3"/>
        <v>0</v>
      </c>
      <c r="V301" s="115" t="str">
        <f t="shared" si="4"/>
        <v>Não</v>
      </c>
      <c r="W301" s="116" t="str">
        <f t="shared" si="5"/>
        <v>Igual</v>
      </c>
      <c r="X301" s="120"/>
      <c r="Y301" s="120"/>
      <c r="Z301" s="49"/>
      <c r="AA301" s="116" t="str">
        <f t="shared" si="7"/>
        <v>#REF!</v>
      </c>
    </row>
    <row r="302" hidden="1">
      <c r="I302" s="49"/>
      <c r="J302" s="49"/>
      <c r="K302" s="49"/>
      <c r="L302" s="49"/>
      <c r="M302" s="104"/>
      <c r="N302" s="104"/>
      <c r="O302" s="115" t="str">
        <f t="shared" si="2"/>
        <v>Não</v>
      </c>
      <c r="P302" s="104"/>
      <c r="Q302" s="104"/>
      <c r="R302" s="104"/>
      <c r="S302" s="104"/>
      <c r="T302" s="104"/>
      <c r="U302" s="104">
        <f t="shared" si="3"/>
        <v>0</v>
      </c>
      <c r="V302" s="115" t="str">
        <f t="shared" si="4"/>
        <v>Não</v>
      </c>
      <c r="W302" s="116" t="str">
        <f t="shared" si="5"/>
        <v>Igual</v>
      </c>
      <c r="X302" s="120"/>
      <c r="Y302" s="120"/>
      <c r="Z302" s="49"/>
      <c r="AA302" s="116" t="str">
        <f t="shared" si="7"/>
        <v>#REF!</v>
      </c>
    </row>
    <row r="303" hidden="1">
      <c r="I303" s="49"/>
      <c r="J303" s="49"/>
      <c r="K303" s="49"/>
      <c r="L303" s="49"/>
      <c r="M303" s="104"/>
      <c r="N303" s="104"/>
      <c r="O303" s="115" t="str">
        <f t="shared" si="2"/>
        <v>Não</v>
      </c>
      <c r="P303" s="104"/>
      <c r="Q303" s="104"/>
      <c r="R303" s="104"/>
      <c r="S303" s="104"/>
      <c r="T303" s="104"/>
      <c r="U303" s="104">
        <f t="shared" si="3"/>
        <v>0</v>
      </c>
      <c r="V303" s="115" t="str">
        <f t="shared" si="4"/>
        <v>Não</v>
      </c>
      <c r="W303" s="116" t="str">
        <f t="shared" si="5"/>
        <v>Igual</v>
      </c>
      <c r="X303" s="120"/>
      <c r="Y303" s="120"/>
      <c r="Z303" s="49"/>
      <c r="AA303" s="116" t="str">
        <f t="shared" si="7"/>
        <v>#REF!</v>
      </c>
    </row>
    <row r="304" hidden="1">
      <c r="I304" s="49"/>
      <c r="J304" s="49"/>
      <c r="K304" s="49"/>
      <c r="L304" s="49"/>
      <c r="M304" s="104"/>
      <c r="N304" s="104"/>
      <c r="O304" s="115" t="str">
        <f t="shared" si="2"/>
        <v>Não</v>
      </c>
      <c r="P304" s="104"/>
      <c r="Q304" s="104"/>
      <c r="R304" s="104"/>
      <c r="S304" s="104"/>
      <c r="T304" s="104"/>
      <c r="U304" s="104">
        <f t="shared" si="3"/>
        <v>0</v>
      </c>
      <c r="V304" s="115" t="str">
        <f t="shared" si="4"/>
        <v>Não</v>
      </c>
      <c r="W304" s="116" t="str">
        <f t="shared" si="5"/>
        <v>Igual</v>
      </c>
      <c r="X304" s="120"/>
      <c r="Y304" s="120"/>
      <c r="Z304" s="49"/>
      <c r="AA304" s="116" t="str">
        <f t="shared" si="7"/>
        <v>#REF!</v>
      </c>
    </row>
    <row r="305" hidden="1">
      <c r="I305" s="49"/>
      <c r="J305" s="49"/>
      <c r="K305" s="49"/>
      <c r="L305" s="49"/>
      <c r="M305" s="104"/>
      <c r="N305" s="104"/>
      <c r="O305" s="115" t="str">
        <f t="shared" si="2"/>
        <v>Não</v>
      </c>
      <c r="P305" s="104"/>
      <c r="Q305" s="104"/>
      <c r="R305" s="104"/>
      <c r="S305" s="104"/>
      <c r="T305" s="104"/>
      <c r="U305" s="104">
        <f t="shared" si="3"/>
        <v>0</v>
      </c>
      <c r="V305" s="115" t="str">
        <f t="shared" si="4"/>
        <v>Não</v>
      </c>
      <c r="W305" s="116" t="str">
        <f t="shared" si="5"/>
        <v>Igual</v>
      </c>
      <c r="X305" s="120"/>
      <c r="Y305" s="120"/>
      <c r="Z305" s="49"/>
      <c r="AA305" s="116" t="str">
        <f t="shared" si="7"/>
        <v>#REF!</v>
      </c>
    </row>
    <row r="306" hidden="1">
      <c r="I306" s="49"/>
      <c r="J306" s="49"/>
      <c r="K306" s="49"/>
      <c r="L306" s="49"/>
      <c r="M306" s="104"/>
      <c r="N306" s="104"/>
      <c r="O306" s="115" t="str">
        <f t="shared" si="2"/>
        <v>Não</v>
      </c>
      <c r="P306" s="104"/>
      <c r="Q306" s="104"/>
      <c r="R306" s="104"/>
      <c r="S306" s="104"/>
      <c r="T306" s="104"/>
      <c r="U306" s="104">
        <f t="shared" si="3"/>
        <v>0</v>
      </c>
      <c r="V306" s="115" t="str">
        <f t="shared" si="4"/>
        <v>Não</v>
      </c>
      <c r="W306" s="116" t="str">
        <f t="shared" si="5"/>
        <v>Igual</v>
      </c>
      <c r="X306" s="120"/>
      <c r="Y306" s="120"/>
      <c r="Z306" s="49"/>
      <c r="AA306" s="116" t="str">
        <f t="shared" si="7"/>
        <v>#REF!</v>
      </c>
    </row>
    <row r="307" hidden="1">
      <c r="I307" s="49"/>
      <c r="J307" s="49"/>
      <c r="K307" s="49"/>
      <c r="L307" s="49"/>
      <c r="M307" s="104"/>
      <c r="N307" s="104"/>
      <c r="O307" s="115" t="str">
        <f t="shared" si="2"/>
        <v>Não</v>
      </c>
      <c r="P307" s="104"/>
      <c r="Q307" s="104"/>
      <c r="R307" s="104"/>
      <c r="S307" s="104"/>
      <c r="T307" s="104"/>
      <c r="U307" s="104">
        <f t="shared" si="3"/>
        <v>0</v>
      </c>
      <c r="V307" s="115" t="str">
        <f t="shared" si="4"/>
        <v>Não</v>
      </c>
      <c r="W307" s="116" t="str">
        <f t="shared" si="5"/>
        <v>Igual</v>
      </c>
      <c r="X307" s="120"/>
      <c r="Y307" s="120"/>
      <c r="Z307" s="49"/>
      <c r="AA307" s="116" t="str">
        <f t="shared" si="7"/>
        <v>#REF!</v>
      </c>
    </row>
    <row r="308" hidden="1">
      <c r="I308" s="49"/>
      <c r="J308" s="49"/>
      <c r="K308" s="49"/>
      <c r="L308" s="49"/>
      <c r="M308" s="104"/>
      <c r="N308" s="104"/>
      <c r="O308" s="115" t="str">
        <f t="shared" si="2"/>
        <v>Não</v>
      </c>
      <c r="P308" s="104"/>
      <c r="Q308" s="104"/>
      <c r="R308" s="104"/>
      <c r="S308" s="104"/>
      <c r="T308" s="104"/>
      <c r="U308" s="104">
        <f t="shared" si="3"/>
        <v>0</v>
      </c>
      <c r="V308" s="115" t="str">
        <f t="shared" si="4"/>
        <v>Não</v>
      </c>
      <c r="W308" s="116" t="str">
        <f t="shared" si="5"/>
        <v>Igual</v>
      </c>
      <c r="X308" s="120"/>
      <c r="Y308" s="120"/>
      <c r="Z308" s="49"/>
      <c r="AA308" s="116" t="str">
        <f t="shared" si="7"/>
        <v>#REF!</v>
      </c>
    </row>
    <row r="309" hidden="1">
      <c r="I309" s="49"/>
      <c r="J309" s="49"/>
      <c r="K309" s="49"/>
      <c r="L309" s="49"/>
      <c r="M309" s="104"/>
      <c r="N309" s="104"/>
      <c r="O309" s="115" t="str">
        <f t="shared" si="2"/>
        <v>Não</v>
      </c>
      <c r="P309" s="104"/>
      <c r="Q309" s="104"/>
      <c r="R309" s="104"/>
      <c r="S309" s="104"/>
      <c r="T309" s="104"/>
      <c r="U309" s="104">
        <f t="shared" si="3"/>
        <v>0</v>
      </c>
      <c r="V309" s="115" t="str">
        <f t="shared" si="4"/>
        <v>Não</v>
      </c>
      <c r="W309" s="116" t="str">
        <f t="shared" si="5"/>
        <v>Igual</v>
      </c>
      <c r="X309" s="120"/>
      <c r="Y309" s="120"/>
      <c r="Z309" s="49"/>
      <c r="AA309" s="116" t="str">
        <f t="shared" si="7"/>
        <v>#REF!</v>
      </c>
    </row>
    <row r="310" hidden="1">
      <c r="I310" s="49"/>
      <c r="J310" s="49"/>
      <c r="K310" s="49"/>
      <c r="L310" s="49"/>
      <c r="M310" s="104"/>
      <c r="N310" s="104"/>
      <c r="O310" s="115" t="str">
        <f t="shared" si="2"/>
        <v>Não</v>
      </c>
      <c r="P310" s="104"/>
      <c r="Q310" s="104"/>
      <c r="R310" s="104"/>
      <c r="S310" s="104"/>
      <c r="T310" s="104"/>
      <c r="U310" s="104">
        <f t="shared" si="3"/>
        <v>0</v>
      </c>
      <c r="V310" s="115" t="str">
        <f t="shared" si="4"/>
        <v>Não</v>
      </c>
      <c r="W310" s="116" t="str">
        <f t="shared" si="5"/>
        <v>Igual</v>
      </c>
      <c r="X310" s="120"/>
      <c r="Y310" s="120"/>
      <c r="Z310" s="49"/>
      <c r="AA310" s="116" t="str">
        <f t="shared" si="7"/>
        <v>#REF!</v>
      </c>
    </row>
    <row r="311" hidden="1">
      <c r="I311" s="49"/>
      <c r="J311" s="49"/>
      <c r="K311" s="49"/>
      <c r="L311" s="49"/>
      <c r="M311" s="104"/>
      <c r="N311" s="104"/>
      <c r="O311" s="115" t="str">
        <f t="shared" si="2"/>
        <v>Não</v>
      </c>
      <c r="P311" s="104"/>
      <c r="Q311" s="104"/>
      <c r="R311" s="104"/>
      <c r="S311" s="104"/>
      <c r="T311" s="104"/>
      <c r="U311" s="104">
        <f t="shared" si="3"/>
        <v>0</v>
      </c>
      <c r="V311" s="115" t="str">
        <f t="shared" si="4"/>
        <v>Não</v>
      </c>
      <c r="W311" s="116" t="str">
        <f t="shared" si="5"/>
        <v>Igual</v>
      </c>
      <c r="X311" s="120"/>
      <c r="Y311" s="120"/>
      <c r="Z311" s="49"/>
      <c r="AA311" s="116" t="str">
        <f t="shared" si="7"/>
        <v>#REF!</v>
      </c>
    </row>
    <row r="312" hidden="1">
      <c r="I312" s="49"/>
      <c r="J312" s="49"/>
      <c r="K312" s="49"/>
      <c r="L312" s="49"/>
      <c r="M312" s="104"/>
      <c r="N312" s="104"/>
      <c r="O312" s="115" t="str">
        <f t="shared" si="2"/>
        <v>Não</v>
      </c>
      <c r="P312" s="104"/>
      <c r="Q312" s="104"/>
      <c r="R312" s="104"/>
      <c r="S312" s="104"/>
      <c r="T312" s="104"/>
      <c r="U312" s="104">
        <f t="shared" si="3"/>
        <v>0</v>
      </c>
      <c r="V312" s="115" t="str">
        <f t="shared" si="4"/>
        <v>Não</v>
      </c>
      <c r="W312" s="116" t="str">
        <f t="shared" si="5"/>
        <v>Igual</v>
      </c>
      <c r="X312" s="120"/>
      <c r="Y312" s="120"/>
      <c r="Z312" s="49"/>
      <c r="AA312" s="116" t="str">
        <f t="shared" si="7"/>
        <v>#REF!</v>
      </c>
    </row>
    <row r="313" hidden="1">
      <c r="I313" s="49"/>
      <c r="J313" s="49"/>
      <c r="K313" s="49"/>
      <c r="L313" s="49"/>
      <c r="M313" s="104"/>
      <c r="N313" s="104"/>
      <c r="O313" s="115" t="str">
        <f t="shared" si="2"/>
        <v>Não</v>
      </c>
      <c r="P313" s="104"/>
      <c r="Q313" s="104"/>
      <c r="R313" s="104"/>
      <c r="S313" s="104"/>
      <c r="T313" s="104"/>
      <c r="U313" s="104">
        <f t="shared" si="3"/>
        <v>0</v>
      </c>
      <c r="V313" s="115" t="str">
        <f t="shared" si="4"/>
        <v>Não</v>
      </c>
      <c r="W313" s="116" t="str">
        <f t="shared" si="5"/>
        <v>Igual</v>
      </c>
      <c r="X313" s="120"/>
      <c r="Y313" s="120"/>
      <c r="Z313" s="49"/>
      <c r="AA313" s="116" t="str">
        <f t="shared" si="7"/>
        <v>#REF!</v>
      </c>
    </row>
    <row r="314" hidden="1">
      <c r="I314" s="49"/>
      <c r="J314" s="49"/>
      <c r="K314" s="49"/>
      <c r="L314" s="49"/>
      <c r="M314" s="104"/>
      <c r="N314" s="104"/>
      <c r="O314" s="115" t="str">
        <f t="shared" si="2"/>
        <v>Não</v>
      </c>
      <c r="P314" s="104"/>
      <c r="Q314" s="104"/>
      <c r="R314" s="104"/>
      <c r="S314" s="104"/>
      <c r="T314" s="104"/>
      <c r="U314" s="104">
        <f t="shared" si="3"/>
        <v>0</v>
      </c>
      <c r="V314" s="115" t="str">
        <f t="shared" si="4"/>
        <v>Não</v>
      </c>
      <c r="W314" s="116" t="str">
        <f t="shared" si="5"/>
        <v>Igual</v>
      </c>
      <c r="X314" s="120"/>
      <c r="Y314" s="120"/>
      <c r="Z314" s="49"/>
      <c r="AA314" s="116" t="str">
        <f t="shared" si="7"/>
        <v>#REF!</v>
      </c>
    </row>
    <row r="315" hidden="1">
      <c r="I315" s="49"/>
      <c r="J315" s="49"/>
      <c r="K315" s="49"/>
      <c r="L315" s="49"/>
      <c r="M315" s="104"/>
      <c r="N315" s="104"/>
      <c r="O315" s="115" t="str">
        <f t="shared" si="2"/>
        <v>Não</v>
      </c>
      <c r="P315" s="104"/>
      <c r="Q315" s="104"/>
      <c r="R315" s="104"/>
      <c r="S315" s="104"/>
      <c r="T315" s="104"/>
      <c r="U315" s="104">
        <f t="shared" si="3"/>
        <v>0</v>
      </c>
      <c r="V315" s="115" t="str">
        <f t="shared" si="4"/>
        <v>Não</v>
      </c>
      <c r="W315" s="116" t="str">
        <f t="shared" si="5"/>
        <v>Igual</v>
      </c>
      <c r="X315" s="120"/>
      <c r="Y315" s="120"/>
      <c r="Z315" s="49"/>
      <c r="AA315" s="116" t="str">
        <f t="shared" si="7"/>
        <v>#REF!</v>
      </c>
    </row>
    <row r="316" hidden="1">
      <c r="I316" s="49"/>
      <c r="J316" s="49"/>
      <c r="K316" s="49"/>
      <c r="L316" s="49"/>
      <c r="M316" s="104"/>
      <c r="N316" s="104"/>
      <c r="O316" s="115" t="str">
        <f t="shared" si="2"/>
        <v>Não</v>
      </c>
      <c r="P316" s="104"/>
      <c r="Q316" s="104"/>
      <c r="R316" s="104"/>
      <c r="S316" s="104"/>
      <c r="T316" s="104"/>
      <c r="U316" s="104">
        <f t="shared" si="3"/>
        <v>0</v>
      </c>
      <c r="V316" s="115" t="str">
        <f t="shared" si="4"/>
        <v>Não</v>
      </c>
      <c r="W316" s="116" t="str">
        <f t="shared" si="5"/>
        <v>Igual</v>
      </c>
      <c r="X316" s="120"/>
      <c r="Y316" s="120"/>
      <c r="Z316" s="49"/>
      <c r="AA316" s="116" t="str">
        <f t="shared" si="7"/>
        <v>#REF!</v>
      </c>
    </row>
    <row r="317" hidden="1">
      <c r="I317" s="49"/>
      <c r="J317" s="49"/>
      <c r="K317" s="49"/>
      <c r="L317" s="49"/>
      <c r="M317" s="104"/>
      <c r="N317" s="104"/>
      <c r="O317" s="115" t="str">
        <f t="shared" si="2"/>
        <v>Não</v>
      </c>
      <c r="P317" s="104"/>
      <c r="Q317" s="104"/>
      <c r="R317" s="104"/>
      <c r="S317" s="104"/>
      <c r="T317" s="104"/>
      <c r="U317" s="104">
        <f t="shared" si="3"/>
        <v>0</v>
      </c>
      <c r="V317" s="115" t="str">
        <f t="shared" si="4"/>
        <v>Não</v>
      </c>
      <c r="W317" s="116" t="str">
        <f t="shared" si="5"/>
        <v>Igual</v>
      </c>
      <c r="X317" s="120"/>
      <c r="Y317" s="120"/>
      <c r="Z317" s="49"/>
      <c r="AA317" s="116" t="str">
        <f t="shared" si="7"/>
        <v>#REF!</v>
      </c>
    </row>
    <row r="318" hidden="1">
      <c r="I318" s="49"/>
      <c r="J318" s="49"/>
      <c r="K318" s="49"/>
      <c r="L318" s="49"/>
      <c r="M318" s="104"/>
      <c r="N318" s="104"/>
      <c r="O318" s="115" t="str">
        <f t="shared" si="2"/>
        <v>Não</v>
      </c>
      <c r="P318" s="104"/>
      <c r="Q318" s="104"/>
      <c r="R318" s="104"/>
      <c r="S318" s="104"/>
      <c r="T318" s="104"/>
      <c r="U318" s="104">
        <f t="shared" si="3"/>
        <v>0</v>
      </c>
      <c r="V318" s="115" t="str">
        <f t="shared" si="4"/>
        <v>Não</v>
      </c>
      <c r="W318" s="116" t="str">
        <f t="shared" si="5"/>
        <v>Igual</v>
      </c>
      <c r="X318" s="120"/>
      <c r="Y318" s="120"/>
      <c r="Z318" s="49"/>
      <c r="AA318" s="116" t="str">
        <f t="shared" si="7"/>
        <v>#REF!</v>
      </c>
    </row>
    <row r="319" hidden="1">
      <c r="I319" s="49"/>
      <c r="J319" s="49"/>
      <c r="K319" s="49"/>
      <c r="L319" s="49"/>
      <c r="M319" s="104"/>
      <c r="N319" s="104"/>
      <c r="O319" s="115" t="str">
        <f t="shared" si="2"/>
        <v>Não</v>
      </c>
      <c r="P319" s="104"/>
      <c r="Q319" s="104"/>
      <c r="R319" s="104"/>
      <c r="S319" s="104"/>
      <c r="T319" s="104"/>
      <c r="U319" s="104">
        <f t="shared" si="3"/>
        <v>0</v>
      </c>
      <c r="V319" s="115" t="str">
        <f t="shared" si="4"/>
        <v>Não</v>
      </c>
      <c r="W319" s="116" t="str">
        <f t="shared" si="5"/>
        <v>Igual</v>
      </c>
      <c r="X319" s="120"/>
      <c r="Y319" s="120"/>
      <c r="Z319" s="49"/>
      <c r="AA319" s="116" t="str">
        <f t="shared" si="7"/>
        <v>#REF!</v>
      </c>
    </row>
    <row r="320" hidden="1">
      <c r="I320" s="49"/>
      <c r="J320" s="49"/>
      <c r="K320" s="49"/>
      <c r="L320" s="49"/>
      <c r="M320" s="104"/>
      <c r="N320" s="104"/>
      <c r="O320" s="115" t="str">
        <f t="shared" si="2"/>
        <v>Não</v>
      </c>
      <c r="P320" s="104"/>
      <c r="Q320" s="104"/>
      <c r="R320" s="104"/>
      <c r="S320" s="104"/>
      <c r="T320" s="104"/>
      <c r="U320" s="104">
        <f t="shared" si="3"/>
        <v>0</v>
      </c>
      <c r="V320" s="115" t="str">
        <f t="shared" si="4"/>
        <v>Não</v>
      </c>
      <c r="W320" s="116" t="str">
        <f t="shared" si="5"/>
        <v>Igual</v>
      </c>
      <c r="X320" s="120"/>
      <c r="Y320" s="120"/>
      <c r="Z320" s="49"/>
      <c r="AA320" s="116" t="str">
        <f t="shared" si="7"/>
        <v>#REF!</v>
      </c>
    </row>
    <row r="321" hidden="1">
      <c r="I321" s="49"/>
      <c r="J321" s="49"/>
      <c r="K321" s="49"/>
      <c r="L321" s="49"/>
      <c r="M321" s="104"/>
      <c r="N321" s="104"/>
      <c r="O321" s="115" t="str">
        <f t="shared" si="2"/>
        <v>Não</v>
      </c>
      <c r="P321" s="104"/>
      <c r="Q321" s="104"/>
      <c r="R321" s="104"/>
      <c r="S321" s="104"/>
      <c r="T321" s="104"/>
      <c r="U321" s="104">
        <f t="shared" si="3"/>
        <v>0</v>
      </c>
      <c r="V321" s="115" t="str">
        <f t="shared" si="4"/>
        <v>Não</v>
      </c>
      <c r="W321" s="116" t="str">
        <f t="shared" si="5"/>
        <v>Igual</v>
      </c>
      <c r="X321" s="120"/>
      <c r="Y321" s="120"/>
      <c r="Z321" s="49"/>
      <c r="AA321" s="116" t="str">
        <f t="shared" si="7"/>
        <v>#REF!</v>
      </c>
    </row>
    <row r="322" hidden="1">
      <c r="I322" s="49"/>
      <c r="J322" s="49"/>
      <c r="K322" s="49"/>
      <c r="L322" s="49"/>
      <c r="M322" s="104"/>
      <c r="N322" s="104"/>
      <c r="O322" s="115" t="str">
        <f t="shared" si="2"/>
        <v>Não</v>
      </c>
      <c r="P322" s="104"/>
      <c r="Q322" s="104"/>
      <c r="R322" s="104"/>
      <c r="S322" s="104"/>
      <c r="T322" s="104"/>
      <c r="U322" s="104">
        <f t="shared" si="3"/>
        <v>0</v>
      </c>
      <c r="V322" s="115" t="str">
        <f t="shared" si="4"/>
        <v>Não</v>
      </c>
      <c r="W322" s="116" t="str">
        <f t="shared" si="5"/>
        <v>Igual</v>
      </c>
      <c r="X322" s="120"/>
      <c r="Y322" s="120"/>
      <c r="Z322" s="49"/>
      <c r="AA322" s="116" t="str">
        <f t="shared" si="7"/>
        <v>#REF!</v>
      </c>
    </row>
    <row r="323" hidden="1">
      <c r="I323" s="49"/>
      <c r="J323" s="49"/>
      <c r="K323" s="49"/>
      <c r="L323" s="49"/>
      <c r="M323" s="104"/>
      <c r="N323" s="104"/>
      <c r="O323" s="115" t="str">
        <f t="shared" si="2"/>
        <v>Não</v>
      </c>
      <c r="P323" s="104"/>
      <c r="Q323" s="104"/>
      <c r="R323" s="104"/>
      <c r="S323" s="104"/>
      <c r="T323" s="104"/>
      <c r="U323" s="104">
        <f t="shared" si="3"/>
        <v>0</v>
      </c>
      <c r="V323" s="115" t="str">
        <f t="shared" si="4"/>
        <v>Não</v>
      </c>
      <c r="W323" s="116" t="str">
        <f t="shared" si="5"/>
        <v>Igual</v>
      </c>
      <c r="X323" s="120"/>
      <c r="Y323" s="120"/>
      <c r="Z323" s="49"/>
      <c r="AA323" s="116" t="str">
        <f t="shared" si="7"/>
        <v>#REF!</v>
      </c>
    </row>
    <row r="324" hidden="1">
      <c r="I324" s="49"/>
      <c r="J324" s="49"/>
      <c r="K324" s="49"/>
      <c r="L324" s="49"/>
      <c r="M324" s="104"/>
      <c r="N324" s="104"/>
      <c r="O324" s="115" t="str">
        <f t="shared" si="2"/>
        <v>Não</v>
      </c>
      <c r="P324" s="104"/>
      <c r="Q324" s="104"/>
      <c r="R324" s="104"/>
      <c r="S324" s="104"/>
      <c r="T324" s="104"/>
      <c r="U324" s="104">
        <f t="shared" si="3"/>
        <v>0</v>
      </c>
      <c r="V324" s="115" t="str">
        <f t="shared" si="4"/>
        <v>Não</v>
      </c>
      <c r="W324" s="116" t="str">
        <f t="shared" si="5"/>
        <v>Igual</v>
      </c>
      <c r="X324" s="120"/>
      <c r="Y324" s="120"/>
      <c r="Z324" s="49"/>
      <c r="AA324" s="116" t="str">
        <f t="shared" si="7"/>
        <v>#REF!</v>
      </c>
    </row>
    <row r="325" hidden="1">
      <c r="I325" s="49"/>
      <c r="J325" s="49"/>
      <c r="K325" s="49"/>
      <c r="L325" s="49"/>
      <c r="M325" s="104"/>
      <c r="N325" s="104"/>
      <c r="O325" s="115" t="str">
        <f t="shared" si="2"/>
        <v>Não</v>
      </c>
      <c r="P325" s="104"/>
      <c r="Q325" s="104"/>
      <c r="R325" s="104"/>
      <c r="S325" s="104"/>
      <c r="T325" s="104"/>
      <c r="U325" s="104">
        <f t="shared" si="3"/>
        <v>0</v>
      </c>
      <c r="V325" s="115" t="str">
        <f t="shared" si="4"/>
        <v>Não</v>
      </c>
      <c r="W325" s="116" t="str">
        <f t="shared" si="5"/>
        <v>Igual</v>
      </c>
      <c r="X325" s="120"/>
      <c r="Y325" s="120"/>
      <c r="Z325" s="49"/>
      <c r="AA325" s="116" t="str">
        <f t="shared" si="7"/>
        <v>#REF!</v>
      </c>
    </row>
    <row r="326" hidden="1">
      <c r="I326" s="49"/>
      <c r="J326" s="49"/>
      <c r="K326" s="49"/>
      <c r="L326" s="49"/>
      <c r="M326" s="104"/>
      <c r="N326" s="104"/>
      <c r="O326" s="115" t="str">
        <f t="shared" si="2"/>
        <v>Não</v>
      </c>
      <c r="P326" s="104"/>
      <c r="Q326" s="104"/>
      <c r="R326" s="104"/>
      <c r="S326" s="104"/>
      <c r="T326" s="104"/>
      <c r="U326" s="104">
        <f t="shared" si="3"/>
        <v>0</v>
      </c>
      <c r="V326" s="115" t="str">
        <f t="shared" si="4"/>
        <v>Não</v>
      </c>
      <c r="W326" s="116" t="str">
        <f t="shared" si="5"/>
        <v>Igual</v>
      </c>
      <c r="X326" s="120"/>
      <c r="Y326" s="120"/>
      <c r="Z326" s="49"/>
      <c r="AA326" s="116" t="str">
        <f t="shared" si="7"/>
        <v>#REF!</v>
      </c>
    </row>
    <row r="327" hidden="1">
      <c r="I327" s="49"/>
      <c r="J327" s="49"/>
      <c r="K327" s="49"/>
      <c r="L327" s="49"/>
      <c r="M327" s="104"/>
      <c r="N327" s="104"/>
      <c r="O327" s="115" t="str">
        <f t="shared" si="2"/>
        <v>Não</v>
      </c>
      <c r="P327" s="104"/>
      <c r="Q327" s="104"/>
      <c r="R327" s="104"/>
      <c r="S327" s="104"/>
      <c r="T327" s="104"/>
      <c r="U327" s="104">
        <f t="shared" si="3"/>
        <v>0</v>
      </c>
      <c r="V327" s="115" t="str">
        <f t="shared" si="4"/>
        <v>Não</v>
      </c>
      <c r="W327" s="116" t="str">
        <f t="shared" si="5"/>
        <v>Igual</v>
      </c>
      <c r="X327" s="120"/>
      <c r="Y327" s="120"/>
      <c r="Z327" s="49"/>
      <c r="AA327" s="116" t="str">
        <f t="shared" si="7"/>
        <v>#REF!</v>
      </c>
    </row>
    <row r="328" hidden="1">
      <c r="I328" s="49"/>
      <c r="J328" s="49"/>
      <c r="K328" s="49"/>
      <c r="L328" s="49"/>
      <c r="M328" s="104"/>
      <c r="N328" s="104"/>
      <c r="O328" s="115" t="str">
        <f t="shared" si="2"/>
        <v>Não</v>
      </c>
      <c r="P328" s="104"/>
      <c r="Q328" s="104"/>
      <c r="R328" s="104"/>
      <c r="S328" s="104"/>
      <c r="T328" s="104"/>
      <c r="U328" s="104">
        <f t="shared" si="3"/>
        <v>0</v>
      </c>
      <c r="V328" s="115" t="str">
        <f t="shared" si="4"/>
        <v>Não</v>
      </c>
      <c r="W328" s="116" t="str">
        <f t="shared" si="5"/>
        <v>Igual</v>
      </c>
      <c r="X328" s="120"/>
      <c r="Y328" s="120"/>
      <c r="Z328" s="49"/>
      <c r="AA328" s="116" t="str">
        <f t="shared" si="7"/>
        <v>#REF!</v>
      </c>
    </row>
    <row r="329" hidden="1">
      <c r="I329" s="49"/>
      <c r="J329" s="49"/>
      <c r="K329" s="49"/>
      <c r="L329" s="49"/>
      <c r="M329" s="104"/>
      <c r="N329" s="104"/>
      <c r="O329" s="115" t="str">
        <f t="shared" si="2"/>
        <v>Não</v>
      </c>
      <c r="P329" s="104"/>
      <c r="Q329" s="104"/>
      <c r="R329" s="104"/>
      <c r="S329" s="104"/>
      <c r="T329" s="104"/>
      <c r="U329" s="104">
        <f t="shared" si="3"/>
        <v>0</v>
      </c>
      <c r="V329" s="115" t="str">
        <f t="shared" si="4"/>
        <v>Não</v>
      </c>
      <c r="W329" s="116" t="str">
        <f t="shared" si="5"/>
        <v>Igual</v>
      </c>
      <c r="X329" s="120"/>
      <c r="Y329" s="120"/>
      <c r="Z329" s="49"/>
      <c r="AA329" s="116" t="str">
        <f t="shared" si="7"/>
        <v>#REF!</v>
      </c>
    </row>
    <row r="330" hidden="1">
      <c r="I330" s="49"/>
      <c r="J330" s="49"/>
      <c r="K330" s="49"/>
      <c r="L330" s="49"/>
      <c r="M330" s="104"/>
      <c r="N330" s="104"/>
      <c r="O330" s="115" t="str">
        <f t="shared" si="2"/>
        <v>Não</v>
      </c>
      <c r="P330" s="104"/>
      <c r="Q330" s="104"/>
      <c r="R330" s="104"/>
      <c r="S330" s="104"/>
      <c r="T330" s="104"/>
      <c r="U330" s="104">
        <f t="shared" si="3"/>
        <v>0</v>
      </c>
      <c r="V330" s="115" t="str">
        <f t="shared" si="4"/>
        <v>Não</v>
      </c>
      <c r="W330" s="116" t="str">
        <f t="shared" si="5"/>
        <v>Igual</v>
      </c>
      <c r="X330" s="120"/>
      <c r="Y330" s="120"/>
      <c r="Z330" s="49"/>
      <c r="AA330" s="116" t="str">
        <f t="shared" si="7"/>
        <v>#REF!</v>
      </c>
    </row>
    <row r="331" hidden="1">
      <c r="I331" s="49"/>
      <c r="J331" s="49"/>
      <c r="K331" s="49"/>
      <c r="L331" s="49"/>
      <c r="M331" s="104"/>
      <c r="N331" s="104"/>
      <c r="O331" s="115" t="str">
        <f t="shared" si="2"/>
        <v>Não</v>
      </c>
      <c r="P331" s="104"/>
      <c r="Q331" s="104"/>
      <c r="R331" s="104"/>
      <c r="S331" s="104"/>
      <c r="T331" s="104"/>
      <c r="U331" s="104">
        <f t="shared" si="3"/>
        <v>0</v>
      </c>
      <c r="V331" s="115" t="str">
        <f t="shared" si="4"/>
        <v>Não</v>
      </c>
      <c r="W331" s="116" t="str">
        <f t="shared" si="5"/>
        <v>Igual</v>
      </c>
      <c r="X331" s="120"/>
      <c r="Y331" s="120"/>
      <c r="Z331" s="49"/>
      <c r="AA331" s="116" t="str">
        <f t="shared" si="7"/>
        <v>#REF!</v>
      </c>
    </row>
    <row r="332" hidden="1">
      <c r="I332" s="49"/>
      <c r="J332" s="49"/>
      <c r="K332" s="49"/>
      <c r="L332" s="49"/>
      <c r="M332" s="104"/>
      <c r="N332" s="104"/>
      <c r="O332" s="115" t="str">
        <f t="shared" si="2"/>
        <v>Não</v>
      </c>
      <c r="P332" s="104"/>
      <c r="Q332" s="104"/>
      <c r="R332" s="104"/>
      <c r="S332" s="104"/>
      <c r="T332" s="104"/>
      <c r="U332" s="104">
        <f t="shared" si="3"/>
        <v>0</v>
      </c>
      <c r="V332" s="115" t="str">
        <f t="shared" si="4"/>
        <v>Não</v>
      </c>
      <c r="W332" s="116" t="str">
        <f t="shared" si="5"/>
        <v>Igual</v>
      </c>
      <c r="X332" s="120"/>
      <c r="Y332" s="120"/>
      <c r="Z332" s="49"/>
      <c r="AA332" s="116" t="str">
        <f t="shared" si="7"/>
        <v>#REF!</v>
      </c>
    </row>
    <row r="333" hidden="1">
      <c r="I333" s="49"/>
      <c r="J333" s="49"/>
      <c r="K333" s="49"/>
      <c r="L333" s="49"/>
      <c r="M333" s="104"/>
      <c r="N333" s="104"/>
      <c r="O333" s="115" t="str">
        <f t="shared" si="2"/>
        <v>Não</v>
      </c>
      <c r="P333" s="104"/>
      <c r="Q333" s="104"/>
      <c r="R333" s="104"/>
      <c r="S333" s="104"/>
      <c r="T333" s="104"/>
      <c r="U333" s="104">
        <f t="shared" si="3"/>
        <v>0</v>
      </c>
      <c r="V333" s="115" t="str">
        <f t="shared" si="4"/>
        <v>Não</v>
      </c>
      <c r="W333" s="116" t="str">
        <f t="shared" si="5"/>
        <v>Igual</v>
      </c>
      <c r="X333" s="120"/>
      <c r="Y333" s="120"/>
      <c r="Z333" s="49"/>
      <c r="AA333" s="116" t="str">
        <f t="shared" si="7"/>
        <v>#REF!</v>
      </c>
    </row>
    <row r="334" hidden="1">
      <c r="I334" s="49"/>
      <c r="J334" s="49"/>
      <c r="K334" s="49"/>
      <c r="L334" s="49"/>
      <c r="M334" s="104"/>
      <c r="N334" s="104"/>
      <c r="O334" s="115" t="str">
        <f t="shared" si="2"/>
        <v>Não</v>
      </c>
      <c r="P334" s="104"/>
      <c r="Q334" s="104"/>
      <c r="R334" s="104"/>
      <c r="S334" s="104"/>
      <c r="T334" s="104"/>
      <c r="U334" s="104">
        <f t="shared" si="3"/>
        <v>0</v>
      </c>
      <c r="V334" s="115" t="str">
        <f t="shared" si="4"/>
        <v>Não</v>
      </c>
      <c r="W334" s="116" t="str">
        <f t="shared" si="5"/>
        <v>Igual</v>
      </c>
      <c r="X334" s="120"/>
      <c r="Y334" s="120"/>
      <c r="Z334" s="49"/>
      <c r="AA334" s="116" t="str">
        <f t="shared" si="7"/>
        <v>#REF!</v>
      </c>
    </row>
    <row r="335" hidden="1">
      <c r="I335" s="49"/>
      <c r="J335" s="49"/>
      <c r="K335" s="49"/>
      <c r="L335" s="49"/>
      <c r="M335" s="104"/>
      <c r="N335" s="104"/>
      <c r="O335" s="115" t="str">
        <f t="shared" si="2"/>
        <v>Não</v>
      </c>
      <c r="P335" s="104"/>
      <c r="Q335" s="104"/>
      <c r="R335" s="104"/>
      <c r="S335" s="104"/>
      <c r="T335" s="104"/>
      <c r="U335" s="104">
        <f t="shared" si="3"/>
        <v>0</v>
      </c>
      <c r="V335" s="115" t="str">
        <f t="shared" si="4"/>
        <v>Não</v>
      </c>
      <c r="W335" s="116" t="str">
        <f t="shared" si="5"/>
        <v>Igual</v>
      </c>
      <c r="X335" s="120"/>
      <c r="Y335" s="120"/>
      <c r="Z335" s="49"/>
      <c r="AA335" s="116" t="str">
        <f t="shared" si="7"/>
        <v>#REF!</v>
      </c>
    </row>
    <row r="336" hidden="1">
      <c r="I336" s="49"/>
      <c r="J336" s="49"/>
      <c r="K336" s="49"/>
      <c r="L336" s="49"/>
      <c r="M336" s="104"/>
      <c r="N336" s="104"/>
      <c r="O336" s="115" t="str">
        <f t="shared" si="2"/>
        <v>Não</v>
      </c>
      <c r="P336" s="104"/>
      <c r="Q336" s="104"/>
      <c r="R336" s="104"/>
      <c r="S336" s="104"/>
      <c r="T336" s="104"/>
      <c r="U336" s="104">
        <f t="shared" si="3"/>
        <v>0</v>
      </c>
      <c r="V336" s="115" t="str">
        <f t="shared" si="4"/>
        <v>Não</v>
      </c>
      <c r="W336" s="116" t="str">
        <f t="shared" si="5"/>
        <v>Igual</v>
      </c>
      <c r="X336" s="120"/>
      <c r="Y336" s="120"/>
      <c r="Z336" s="49"/>
      <c r="AA336" s="116" t="str">
        <f t="shared" si="7"/>
        <v>#REF!</v>
      </c>
    </row>
    <row r="337" hidden="1">
      <c r="I337" s="49"/>
      <c r="J337" s="49"/>
      <c r="K337" s="49"/>
      <c r="L337" s="49"/>
      <c r="M337" s="104"/>
      <c r="N337" s="104"/>
      <c r="O337" s="115" t="str">
        <f t="shared" si="2"/>
        <v>Não</v>
      </c>
      <c r="P337" s="104"/>
      <c r="Q337" s="104"/>
      <c r="R337" s="104"/>
      <c r="S337" s="104"/>
      <c r="T337" s="104"/>
      <c r="U337" s="104">
        <f t="shared" si="3"/>
        <v>0</v>
      </c>
      <c r="V337" s="115" t="str">
        <f t="shared" si="4"/>
        <v>Não</v>
      </c>
      <c r="W337" s="116" t="str">
        <f t="shared" si="5"/>
        <v>Igual</v>
      </c>
      <c r="X337" s="120"/>
      <c r="Y337" s="120"/>
      <c r="Z337" s="49"/>
      <c r="AA337" s="116" t="str">
        <f t="shared" si="7"/>
        <v>#REF!</v>
      </c>
    </row>
    <row r="338" hidden="1">
      <c r="I338" s="49"/>
      <c r="J338" s="49"/>
      <c r="K338" s="49"/>
      <c r="L338" s="49"/>
      <c r="M338" s="104"/>
      <c r="N338" s="104"/>
      <c r="O338" s="115" t="str">
        <f t="shared" si="2"/>
        <v>Não</v>
      </c>
      <c r="P338" s="104"/>
      <c r="Q338" s="104"/>
      <c r="R338" s="104"/>
      <c r="S338" s="104"/>
      <c r="T338" s="104"/>
      <c r="U338" s="104">
        <f t="shared" si="3"/>
        <v>0</v>
      </c>
      <c r="V338" s="115" t="str">
        <f t="shared" si="4"/>
        <v>Não</v>
      </c>
      <c r="W338" s="116" t="str">
        <f t="shared" si="5"/>
        <v>Igual</v>
      </c>
      <c r="X338" s="120"/>
      <c r="Y338" s="120"/>
      <c r="Z338" s="49"/>
      <c r="AA338" s="116" t="str">
        <f t="shared" si="7"/>
        <v>#REF!</v>
      </c>
    </row>
    <row r="339" hidden="1">
      <c r="I339" s="49"/>
      <c r="J339" s="49"/>
      <c r="K339" s="49"/>
      <c r="L339" s="49"/>
      <c r="M339" s="104"/>
      <c r="N339" s="104"/>
      <c r="O339" s="115" t="str">
        <f t="shared" si="2"/>
        <v>Não</v>
      </c>
      <c r="P339" s="104"/>
      <c r="Q339" s="104"/>
      <c r="R339" s="104"/>
      <c r="S339" s="104"/>
      <c r="T339" s="104"/>
      <c r="U339" s="104">
        <f t="shared" si="3"/>
        <v>0</v>
      </c>
      <c r="V339" s="115" t="str">
        <f t="shared" si="4"/>
        <v>Não</v>
      </c>
      <c r="W339" s="116" t="str">
        <f t="shared" si="5"/>
        <v>Igual</v>
      </c>
      <c r="X339" s="120"/>
      <c r="Y339" s="120"/>
      <c r="Z339" s="49"/>
      <c r="AA339" s="116" t="str">
        <f t="shared" si="7"/>
        <v>#REF!</v>
      </c>
    </row>
    <row r="340" hidden="1">
      <c r="I340" s="49"/>
      <c r="J340" s="49"/>
      <c r="K340" s="49"/>
      <c r="L340" s="49"/>
      <c r="M340" s="104"/>
      <c r="N340" s="104"/>
      <c r="O340" s="115" t="str">
        <f t="shared" si="2"/>
        <v>Não</v>
      </c>
      <c r="P340" s="104"/>
      <c r="Q340" s="104"/>
      <c r="R340" s="104"/>
      <c r="S340" s="104"/>
      <c r="T340" s="104"/>
      <c r="U340" s="104">
        <f t="shared" si="3"/>
        <v>0</v>
      </c>
      <c r="V340" s="115" t="str">
        <f t="shared" si="4"/>
        <v>Não</v>
      </c>
      <c r="W340" s="116" t="str">
        <f t="shared" si="5"/>
        <v>Igual</v>
      </c>
      <c r="X340" s="120"/>
      <c r="Y340" s="120"/>
      <c r="Z340" s="49"/>
      <c r="AA340" s="116" t="str">
        <f t="shared" si="7"/>
        <v>#REF!</v>
      </c>
    </row>
    <row r="341" hidden="1">
      <c r="I341" s="49"/>
      <c r="J341" s="49"/>
      <c r="K341" s="49"/>
      <c r="L341" s="49"/>
      <c r="M341" s="104"/>
      <c r="N341" s="104"/>
      <c r="O341" s="115" t="str">
        <f t="shared" si="2"/>
        <v>Não</v>
      </c>
      <c r="P341" s="104"/>
      <c r="Q341" s="104"/>
      <c r="R341" s="104"/>
      <c r="S341" s="104"/>
      <c r="T341" s="104"/>
      <c r="U341" s="104">
        <f t="shared" si="3"/>
        <v>0</v>
      </c>
      <c r="V341" s="115" t="str">
        <f t="shared" si="4"/>
        <v>Não</v>
      </c>
      <c r="W341" s="116" t="str">
        <f t="shared" si="5"/>
        <v>Igual</v>
      </c>
      <c r="X341" s="120"/>
      <c r="Y341" s="120"/>
      <c r="Z341" s="49"/>
      <c r="AA341" s="116" t="str">
        <f t="shared" si="7"/>
        <v>#REF!</v>
      </c>
    </row>
    <row r="342" hidden="1">
      <c r="I342" s="49"/>
      <c r="J342" s="49"/>
      <c r="K342" s="49"/>
      <c r="L342" s="49"/>
      <c r="M342" s="104"/>
      <c r="N342" s="104"/>
      <c r="O342" s="115" t="str">
        <f t="shared" si="2"/>
        <v>Não</v>
      </c>
      <c r="P342" s="104"/>
      <c r="Q342" s="104"/>
      <c r="R342" s="104"/>
      <c r="S342" s="104"/>
      <c r="T342" s="104"/>
      <c r="U342" s="104">
        <f t="shared" si="3"/>
        <v>0</v>
      </c>
      <c r="V342" s="115" t="str">
        <f t="shared" si="4"/>
        <v>Não</v>
      </c>
      <c r="W342" s="116" t="str">
        <f t="shared" si="5"/>
        <v>Igual</v>
      </c>
      <c r="X342" s="120"/>
      <c r="Y342" s="120"/>
      <c r="Z342" s="49"/>
      <c r="AA342" s="116" t="str">
        <f t="shared" si="7"/>
        <v>#REF!</v>
      </c>
    </row>
    <row r="343" hidden="1">
      <c r="I343" s="49"/>
      <c r="J343" s="49"/>
      <c r="K343" s="49"/>
      <c r="L343" s="49"/>
      <c r="M343" s="104"/>
      <c r="N343" s="104"/>
      <c r="O343" s="115" t="str">
        <f t="shared" si="2"/>
        <v>Não</v>
      </c>
      <c r="P343" s="104"/>
      <c r="Q343" s="104"/>
      <c r="R343" s="104"/>
      <c r="S343" s="104"/>
      <c r="T343" s="104"/>
      <c r="U343" s="104">
        <f t="shared" si="3"/>
        <v>0</v>
      </c>
      <c r="V343" s="115" t="str">
        <f t="shared" si="4"/>
        <v>Não</v>
      </c>
      <c r="W343" s="116" t="str">
        <f t="shared" si="5"/>
        <v>Igual</v>
      </c>
      <c r="X343" s="120"/>
      <c r="Y343" s="120"/>
      <c r="Z343" s="49"/>
      <c r="AA343" s="116" t="str">
        <f t="shared" si="7"/>
        <v>#REF!</v>
      </c>
    </row>
    <row r="344" hidden="1">
      <c r="I344" s="49"/>
      <c r="J344" s="49"/>
      <c r="K344" s="49"/>
      <c r="L344" s="49"/>
      <c r="M344" s="104"/>
      <c r="N344" s="104"/>
      <c r="O344" s="115" t="str">
        <f t="shared" si="2"/>
        <v>Não</v>
      </c>
      <c r="P344" s="104"/>
      <c r="Q344" s="104"/>
      <c r="R344" s="104"/>
      <c r="S344" s="104"/>
      <c r="T344" s="104"/>
      <c r="U344" s="104">
        <f t="shared" si="3"/>
        <v>0</v>
      </c>
      <c r="V344" s="115" t="str">
        <f t="shared" si="4"/>
        <v>Não</v>
      </c>
      <c r="W344" s="116" t="str">
        <f t="shared" si="5"/>
        <v>Igual</v>
      </c>
      <c r="X344" s="120"/>
      <c r="Y344" s="120"/>
      <c r="Z344" s="49"/>
      <c r="AA344" s="116" t="str">
        <f t="shared" si="7"/>
        <v>#REF!</v>
      </c>
    </row>
    <row r="345" hidden="1">
      <c r="I345" s="49"/>
      <c r="J345" s="49"/>
      <c r="K345" s="49"/>
      <c r="L345" s="49"/>
      <c r="M345" s="104"/>
      <c r="N345" s="104"/>
      <c r="O345" s="115" t="str">
        <f t="shared" si="2"/>
        <v>Não</v>
      </c>
      <c r="P345" s="104"/>
      <c r="Q345" s="104"/>
      <c r="R345" s="104"/>
      <c r="S345" s="104"/>
      <c r="T345" s="104"/>
      <c r="U345" s="104">
        <f t="shared" si="3"/>
        <v>0</v>
      </c>
      <c r="V345" s="115" t="str">
        <f t="shared" si="4"/>
        <v>Não</v>
      </c>
      <c r="W345" s="116" t="str">
        <f t="shared" si="5"/>
        <v>Igual</v>
      </c>
      <c r="X345" s="120"/>
      <c r="Y345" s="120"/>
      <c r="Z345" s="49"/>
      <c r="AA345" s="116" t="str">
        <f t="shared" si="7"/>
        <v>#REF!</v>
      </c>
    </row>
    <row r="346" hidden="1">
      <c r="I346" s="49"/>
      <c r="J346" s="49"/>
      <c r="K346" s="49"/>
      <c r="L346" s="49"/>
      <c r="M346" s="104"/>
      <c r="N346" s="104"/>
      <c r="O346" s="115" t="str">
        <f t="shared" si="2"/>
        <v>Não</v>
      </c>
      <c r="P346" s="104"/>
      <c r="Q346" s="104"/>
      <c r="R346" s="104"/>
      <c r="S346" s="104"/>
      <c r="T346" s="104"/>
      <c r="U346" s="104">
        <f t="shared" si="3"/>
        <v>0</v>
      </c>
      <c r="V346" s="115" t="str">
        <f t="shared" si="4"/>
        <v>Não</v>
      </c>
      <c r="W346" s="116" t="str">
        <f t="shared" si="5"/>
        <v>Igual</v>
      </c>
      <c r="X346" s="120"/>
      <c r="Y346" s="120"/>
      <c r="Z346" s="49"/>
      <c r="AA346" s="116" t="str">
        <f t="shared" si="7"/>
        <v>#REF!</v>
      </c>
    </row>
    <row r="347" hidden="1">
      <c r="I347" s="49"/>
      <c r="J347" s="49"/>
      <c r="K347" s="49"/>
      <c r="L347" s="49"/>
      <c r="M347" s="104"/>
      <c r="N347" s="104"/>
      <c r="O347" s="115" t="str">
        <f t="shared" si="2"/>
        <v>Não</v>
      </c>
      <c r="P347" s="104"/>
      <c r="Q347" s="104"/>
      <c r="R347" s="104"/>
      <c r="S347" s="104"/>
      <c r="T347" s="104"/>
      <c r="U347" s="104">
        <f t="shared" si="3"/>
        <v>0</v>
      </c>
      <c r="V347" s="115" t="str">
        <f t="shared" si="4"/>
        <v>Não</v>
      </c>
      <c r="W347" s="116" t="str">
        <f t="shared" si="5"/>
        <v>Igual</v>
      </c>
      <c r="X347" s="120"/>
      <c r="Y347" s="120"/>
      <c r="Z347" s="49"/>
      <c r="AA347" s="116" t="str">
        <f t="shared" si="7"/>
        <v>#REF!</v>
      </c>
    </row>
    <row r="348" hidden="1">
      <c r="I348" s="49"/>
      <c r="J348" s="49"/>
      <c r="K348" s="49"/>
      <c r="L348" s="49"/>
      <c r="M348" s="104"/>
      <c r="N348" s="104"/>
      <c r="O348" s="115" t="str">
        <f t="shared" si="2"/>
        <v>Não</v>
      </c>
      <c r="P348" s="104"/>
      <c r="Q348" s="104"/>
      <c r="R348" s="104"/>
      <c r="S348" s="104"/>
      <c r="T348" s="104"/>
      <c r="U348" s="104">
        <f t="shared" si="3"/>
        <v>0</v>
      </c>
      <c r="V348" s="115" t="str">
        <f t="shared" si="4"/>
        <v>Não</v>
      </c>
      <c r="W348" s="116" t="str">
        <f t="shared" si="5"/>
        <v>Igual</v>
      </c>
      <c r="X348" s="120"/>
      <c r="Y348" s="120"/>
      <c r="Z348" s="49"/>
      <c r="AA348" s="116" t="str">
        <f t="shared" si="7"/>
        <v>#REF!</v>
      </c>
    </row>
    <row r="349" hidden="1">
      <c r="I349" s="49"/>
      <c r="J349" s="49"/>
      <c r="K349" s="49"/>
      <c r="L349" s="49"/>
      <c r="M349" s="104"/>
      <c r="N349" s="104"/>
      <c r="O349" s="115" t="str">
        <f t="shared" si="2"/>
        <v>Não</v>
      </c>
      <c r="P349" s="104"/>
      <c r="Q349" s="104"/>
      <c r="R349" s="104"/>
      <c r="S349" s="104"/>
      <c r="T349" s="104"/>
      <c r="U349" s="104">
        <f t="shared" si="3"/>
        <v>0</v>
      </c>
      <c r="V349" s="115" t="str">
        <f t="shared" si="4"/>
        <v>Não</v>
      </c>
      <c r="W349" s="116" t="str">
        <f t="shared" si="5"/>
        <v>Igual</v>
      </c>
      <c r="X349" s="120"/>
      <c r="Y349" s="120"/>
      <c r="Z349" s="49"/>
      <c r="AA349" s="116" t="str">
        <f t="shared" si="7"/>
        <v>#REF!</v>
      </c>
    </row>
    <row r="350" hidden="1">
      <c r="I350" s="49"/>
      <c r="J350" s="49"/>
      <c r="K350" s="49"/>
      <c r="L350" s="49"/>
      <c r="M350" s="104"/>
      <c r="N350" s="104"/>
      <c r="O350" s="115" t="str">
        <f t="shared" si="2"/>
        <v>Não</v>
      </c>
      <c r="P350" s="104"/>
      <c r="Q350" s="104"/>
      <c r="R350" s="104"/>
      <c r="S350" s="104"/>
      <c r="T350" s="104"/>
      <c r="U350" s="104">
        <f t="shared" si="3"/>
        <v>0</v>
      </c>
      <c r="V350" s="115" t="str">
        <f t="shared" si="4"/>
        <v>Não</v>
      </c>
      <c r="W350" s="116" t="str">
        <f t="shared" si="5"/>
        <v>Igual</v>
      </c>
      <c r="X350" s="120"/>
      <c r="Y350" s="120"/>
      <c r="Z350" s="49"/>
      <c r="AA350" s="116" t="str">
        <f t="shared" si="7"/>
        <v>#REF!</v>
      </c>
    </row>
    <row r="351" hidden="1">
      <c r="I351" s="49"/>
      <c r="J351" s="49"/>
      <c r="K351" s="49"/>
      <c r="L351" s="49"/>
      <c r="M351" s="104"/>
      <c r="N351" s="104"/>
      <c r="O351" s="115" t="str">
        <f t="shared" si="2"/>
        <v>Não</v>
      </c>
      <c r="P351" s="104"/>
      <c r="Q351" s="104"/>
      <c r="R351" s="104"/>
      <c r="S351" s="104"/>
      <c r="T351" s="104"/>
      <c r="U351" s="104">
        <f t="shared" si="3"/>
        <v>0</v>
      </c>
      <c r="V351" s="115" t="str">
        <f t="shared" si="4"/>
        <v>Não</v>
      </c>
      <c r="W351" s="116" t="str">
        <f t="shared" si="5"/>
        <v>Igual</v>
      </c>
      <c r="X351" s="120"/>
      <c r="Y351" s="120"/>
      <c r="Z351" s="49"/>
      <c r="AA351" s="116" t="str">
        <f t="shared" si="7"/>
        <v>#REF!</v>
      </c>
    </row>
    <row r="352" hidden="1">
      <c r="I352" s="49"/>
      <c r="J352" s="49"/>
      <c r="K352" s="49"/>
      <c r="L352" s="49"/>
      <c r="M352" s="104"/>
      <c r="N352" s="104"/>
      <c r="O352" s="115" t="str">
        <f t="shared" si="2"/>
        <v>Não</v>
      </c>
      <c r="P352" s="104"/>
      <c r="Q352" s="104"/>
      <c r="R352" s="104"/>
      <c r="S352" s="104"/>
      <c r="T352" s="104"/>
      <c r="U352" s="104">
        <f t="shared" si="3"/>
        <v>0</v>
      </c>
      <c r="V352" s="115" t="str">
        <f t="shared" si="4"/>
        <v>Não</v>
      </c>
      <c r="W352" s="116" t="str">
        <f t="shared" si="5"/>
        <v>Igual</v>
      </c>
      <c r="X352" s="120"/>
      <c r="Y352" s="120"/>
      <c r="Z352" s="49"/>
      <c r="AA352" s="116" t="str">
        <f t="shared" si="7"/>
        <v>#REF!</v>
      </c>
    </row>
    <row r="353" hidden="1">
      <c r="I353" s="49"/>
      <c r="J353" s="49"/>
      <c r="K353" s="49"/>
      <c r="L353" s="49"/>
      <c r="M353" s="104"/>
      <c r="N353" s="104"/>
      <c r="O353" s="115" t="str">
        <f t="shared" si="2"/>
        <v>Não</v>
      </c>
      <c r="P353" s="104"/>
      <c r="Q353" s="104"/>
      <c r="R353" s="104"/>
      <c r="S353" s="104"/>
      <c r="T353" s="104"/>
      <c r="U353" s="104">
        <f t="shared" si="3"/>
        <v>0</v>
      </c>
      <c r="V353" s="115" t="str">
        <f t="shared" si="4"/>
        <v>Não</v>
      </c>
      <c r="W353" s="116" t="str">
        <f t="shared" si="5"/>
        <v>Igual</v>
      </c>
      <c r="X353" s="120"/>
      <c r="Y353" s="120"/>
      <c r="Z353" s="49"/>
      <c r="AA353" s="116" t="str">
        <f t="shared" si="7"/>
        <v>#REF!</v>
      </c>
    </row>
    <row r="354" hidden="1">
      <c r="I354" s="49"/>
      <c r="J354" s="49"/>
      <c r="K354" s="49"/>
      <c r="L354" s="49"/>
      <c r="M354" s="104"/>
      <c r="N354" s="104"/>
      <c r="O354" s="115" t="str">
        <f t="shared" si="2"/>
        <v>Não</v>
      </c>
      <c r="P354" s="104"/>
      <c r="Q354" s="104"/>
      <c r="R354" s="104"/>
      <c r="S354" s="104"/>
      <c r="T354" s="104"/>
      <c r="U354" s="104">
        <f t="shared" si="3"/>
        <v>0</v>
      </c>
      <c r="V354" s="115" t="str">
        <f t="shared" si="4"/>
        <v>Não</v>
      </c>
      <c r="W354" s="116" t="str">
        <f t="shared" si="5"/>
        <v>Igual</v>
      </c>
      <c r="X354" s="120"/>
      <c r="Y354" s="120"/>
      <c r="Z354" s="49"/>
      <c r="AA354" s="116" t="str">
        <f t="shared" si="7"/>
        <v>#REF!</v>
      </c>
    </row>
    <row r="355" hidden="1">
      <c r="I355" s="49"/>
      <c r="J355" s="49"/>
      <c r="K355" s="49"/>
      <c r="L355" s="49"/>
      <c r="M355" s="104"/>
      <c r="N355" s="104"/>
      <c r="O355" s="115" t="str">
        <f t="shared" si="2"/>
        <v>Não</v>
      </c>
      <c r="P355" s="104"/>
      <c r="Q355" s="104"/>
      <c r="R355" s="104"/>
      <c r="S355" s="104"/>
      <c r="T355" s="104"/>
      <c r="U355" s="104">
        <f t="shared" si="3"/>
        <v>0</v>
      </c>
      <c r="V355" s="115" t="str">
        <f t="shared" si="4"/>
        <v>Não</v>
      </c>
      <c r="W355" s="116" t="str">
        <f t="shared" si="5"/>
        <v>Igual</v>
      </c>
      <c r="X355" s="120"/>
      <c r="Y355" s="120"/>
      <c r="Z355" s="49"/>
      <c r="AA355" s="116" t="str">
        <f t="shared" si="7"/>
        <v>#REF!</v>
      </c>
    </row>
    <row r="356" hidden="1">
      <c r="I356" s="49"/>
      <c r="J356" s="49"/>
      <c r="K356" s="49"/>
      <c r="L356" s="49"/>
      <c r="M356" s="104"/>
      <c r="N356" s="104"/>
      <c r="O356" s="115" t="str">
        <f t="shared" si="2"/>
        <v>Não</v>
      </c>
      <c r="P356" s="104"/>
      <c r="Q356" s="104"/>
      <c r="R356" s="104"/>
      <c r="S356" s="104"/>
      <c r="T356" s="104"/>
      <c r="U356" s="104">
        <f t="shared" si="3"/>
        <v>0</v>
      </c>
      <c r="V356" s="115" t="str">
        <f t="shared" si="4"/>
        <v>Não</v>
      </c>
      <c r="W356" s="116" t="str">
        <f t="shared" si="5"/>
        <v>Igual</v>
      </c>
      <c r="X356" s="120"/>
      <c r="Y356" s="120"/>
      <c r="Z356" s="49"/>
      <c r="AA356" s="116" t="str">
        <f t="shared" si="7"/>
        <v>#REF!</v>
      </c>
    </row>
    <row r="357" hidden="1">
      <c r="I357" s="49"/>
      <c r="J357" s="49"/>
      <c r="K357" s="49"/>
      <c r="L357" s="49"/>
      <c r="M357" s="104"/>
      <c r="N357" s="104"/>
      <c r="O357" s="115" t="str">
        <f t="shared" si="2"/>
        <v>Não</v>
      </c>
      <c r="P357" s="104"/>
      <c r="Q357" s="104"/>
      <c r="R357" s="104"/>
      <c r="S357" s="104"/>
      <c r="T357" s="104"/>
      <c r="U357" s="104">
        <f t="shared" si="3"/>
        <v>0</v>
      </c>
      <c r="V357" s="115" t="str">
        <f t="shared" si="4"/>
        <v>Não</v>
      </c>
      <c r="W357" s="116" t="str">
        <f t="shared" si="5"/>
        <v>Igual</v>
      </c>
      <c r="X357" s="120"/>
      <c r="Y357" s="120"/>
      <c r="Z357" s="49"/>
      <c r="AA357" s="116" t="str">
        <f t="shared" si="7"/>
        <v>#REF!</v>
      </c>
    </row>
    <row r="358" hidden="1">
      <c r="I358" s="49"/>
      <c r="J358" s="49"/>
      <c r="K358" s="49"/>
      <c r="L358" s="49"/>
      <c r="M358" s="104"/>
      <c r="N358" s="104"/>
      <c r="O358" s="115" t="str">
        <f t="shared" si="2"/>
        <v>Não</v>
      </c>
      <c r="P358" s="104"/>
      <c r="Q358" s="104"/>
      <c r="R358" s="104"/>
      <c r="S358" s="104"/>
      <c r="T358" s="104"/>
      <c r="U358" s="104">
        <f t="shared" si="3"/>
        <v>0</v>
      </c>
      <c r="V358" s="115" t="str">
        <f t="shared" si="4"/>
        <v>Não</v>
      </c>
      <c r="W358" s="116" t="str">
        <f t="shared" si="5"/>
        <v>Igual</v>
      </c>
      <c r="X358" s="120"/>
      <c r="Y358" s="120"/>
      <c r="Z358" s="49"/>
      <c r="AA358" s="116" t="str">
        <f t="shared" si="7"/>
        <v>#REF!</v>
      </c>
    </row>
    <row r="359" hidden="1">
      <c r="I359" s="49"/>
      <c r="J359" s="49"/>
      <c r="K359" s="49"/>
      <c r="L359" s="49"/>
      <c r="M359" s="104"/>
      <c r="N359" s="104"/>
      <c r="O359" s="115" t="str">
        <f t="shared" si="2"/>
        <v>Não</v>
      </c>
      <c r="P359" s="104"/>
      <c r="Q359" s="104"/>
      <c r="R359" s="104"/>
      <c r="S359" s="104"/>
      <c r="T359" s="104"/>
      <c r="U359" s="104">
        <f t="shared" si="3"/>
        <v>0</v>
      </c>
      <c r="V359" s="115" t="str">
        <f t="shared" si="4"/>
        <v>Não</v>
      </c>
      <c r="W359" s="116" t="str">
        <f t="shared" si="5"/>
        <v>Igual</v>
      </c>
      <c r="X359" s="120"/>
      <c r="Y359" s="120"/>
      <c r="Z359" s="49"/>
      <c r="AA359" s="116" t="str">
        <f t="shared" si="7"/>
        <v>#REF!</v>
      </c>
    </row>
    <row r="360" hidden="1">
      <c r="I360" s="49"/>
      <c r="J360" s="49"/>
      <c r="K360" s="49"/>
      <c r="L360" s="49"/>
      <c r="M360" s="104"/>
      <c r="N360" s="104"/>
      <c r="O360" s="115" t="str">
        <f t="shared" si="2"/>
        <v>Não</v>
      </c>
      <c r="P360" s="104"/>
      <c r="Q360" s="104"/>
      <c r="R360" s="104"/>
      <c r="S360" s="104"/>
      <c r="T360" s="104"/>
      <c r="U360" s="104">
        <f t="shared" si="3"/>
        <v>0</v>
      </c>
      <c r="V360" s="115" t="str">
        <f t="shared" si="4"/>
        <v>Não</v>
      </c>
      <c r="W360" s="116" t="str">
        <f t="shared" si="5"/>
        <v>Igual</v>
      </c>
      <c r="X360" s="120"/>
      <c r="Y360" s="120"/>
      <c r="Z360" s="49"/>
      <c r="AA360" s="116" t="str">
        <f t="shared" si="7"/>
        <v>#REF!</v>
      </c>
    </row>
    <row r="361" hidden="1">
      <c r="I361" s="49"/>
      <c r="J361" s="49"/>
      <c r="K361" s="49"/>
      <c r="L361" s="49"/>
      <c r="M361" s="104"/>
      <c r="N361" s="104"/>
      <c r="O361" s="115" t="str">
        <f t="shared" si="2"/>
        <v>Não</v>
      </c>
      <c r="P361" s="104"/>
      <c r="Q361" s="104"/>
      <c r="R361" s="104"/>
      <c r="S361" s="104"/>
      <c r="T361" s="104"/>
      <c r="U361" s="104">
        <f t="shared" si="3"/>
        <v>0</v>
      </c>
      <c r="V361" s="115" t="str">
        <f t="shared" si="4"/>
        <v>Não</v>
      </c>
      <c r="W361" s="116" t="str">
        <f t="shared" si="5"/>
        <v>Igual</v>
      </c>
      <c r="X361" s="120"/>
      <c r="Y361" s="120"/>
      <c r="Z361" s="49"/>
      <c r="AA361" s="116" t="str">
        <f t="shared" si="7"/>
        <v>#REF!</v>
      </c>
    </row>
    <row r="362" hidden="1">
      <c r="I362" s="49"/>
      <c r="J362" s="49"/>
      <c r="K362" s="49"/>
      <c r="L362" s="49"/>
      <c r="M362" s="104"/>
      <c r="N362" s="104"/>
      <c r="O362" s="115" t="str">
        <f t="shared" si="2"/>
        <v>Não</v>
      </c>
      <c r="P362" s="104"/>
      <c r="Q362" s="104"/>
      <c r="R362" s="104"/>
      <c r="S362" s="104"/>
      <c r="T362" s="104"/>
      <c r="U362" s="104">
        <f t="shared" si="3"/>
        <v>0</v>
      </c>
      <c r="V362" s="115" t="str">
        <f t="shared" si="4"/>
        <v>Não</v>
      </c>
      <c r="W362" s="116" t="str">
        <f t="shared" si="5"/>
        <v>Igual</v>
      </c>
      <c r="X362" s="120"/>
      <c r="Y362" s="120"/>
      <c r="Z362" s="49"/>
      <c r="AA362" s="116" t="str">
        <f t="shared" si="7"/>
        <v>#REF!</v>
      </c>
    </row>
    <row r="363" hidden="1">
      <c r="I363" s="49"/>
      <c r="J363" s="49"/>
      <c r="K363" s="49"/>
      <c r="L363" s="49"/>
      <c r="M363" s="104"/>
      <c r="N363" s="104"/>
      <c r="O363" s="115" t="str">
        <f t="shared" si="2"/>
        <v>Não</v>
      </c>
      <c r="P363" s="104"/>
      <c r="Q363" s="104"/>
      <c r="R363" s="104"/>
      <c r="S363" s="104"/>
      <c r="T363" s="104"/>
      <c r="U363" s="104">
        <f t="shared" si="3"/>
        <v>0</v>
      </c>
      <c r="V363" s="115" t="str">
        <f t="shared" si="4"/>
        <v>Não</v>
      </c>
      <c r="W363" s="116" t="str">
        <f t="shared" si="5"/>
        <v>Igual</v>
      </c>
      <c r="X363" s="120"/>
      <c r="Y363" s="120"/>
      <c r="Z363" s="49"/>
      <c r="AA363" s="116" t="str">
        <f t="shared" si="7"/>
        <v>#REF!</v>
      </c>
    </row>
    <row r="364" hidden="1">
      <c r="I364" s="49"/>
      <c r="J364" s="49"/>
      <c r="K364" s="49"/>
      <c r="L364" s="49"/>
      <c r="M364" s="104"/>
      <c r="N364" s="104"/>
      <c r="O364" s="115" t="str">
        <f t="shared" si="2"/>
        <v>Não</v>
      </c>
      <c r="P364" s="104"/>
      <c r="Q364" s="104"/>
      <c r="R364" s="104"/>
      <c r="S364" s="104"/>
      <c r="T364" s="104"/>
      <c r="U364" s="104">
        <f t="shared" si="3"/>
        <v>0</v>
      </c>
      <c r="V364" s="115" t="str">
        <f t="shared" si="4"/>
        <v>Não</v>
      </c>
      <c r="W364" s="116" t="str">
        <f t="shared" si="5"/>
        <v>Igual</v>
      </c>
      <c r="X364" s="120"/>
      <c r="Y364" s="120"/>
      <c r="Z364" s="49"/>
      <c r="AA364" s="116" t="str">
        <f t="shared" si="7"/>
        <v>#REF!</v>
      </c>
    </row>
    <row r="365" hidden="1">
      <c r="I365" s="49"/>
      <c r="J365" s="49"/>
      <c r="K365" s="49"/>
      <c r="L365" s="49"/>
      <c r="M365" s="104"/>
      <c r="N365" s="104"/>
      <c r="O365" s="115" t="str">
        <f t="shared" si="2"/>
        <v>Não</v>
      </c>
      <c r="P365" s="104"/>
      <c r="Q365" s="104"/>
      <c r="R365" s="104"/>
      <c r="S365" s="104"/>
      <c r="T365" s="104"/>
      <c r="U365" s="104">
        <f t="shared" si="3"/>
        <v>0</v>
      </c>
      <c r="V365" s="115" t="str">
        <f t="shared" si="4"/>
        <v>Não</v>
      </c>
      <c r="W365" s="116" t="str">
        <f t="shared" si="5"/>
        <v>Igual</v>
      </c>
      <c r="X365" s="120"/>
      <c r="Y365" s="120"/>
      <c r="Z365" s="49"/>
      <c r="AA365" s="116" t="str">
        <f t="shared" si="7"/>
        <v>#REF!</v>
      </c>
    </row>
    <row r="366" hidden="1">
      <c r="I366" s="49"/>
      <c r="J366" s="49"/>
      <c r="K366" s="49"/>
      <c r="L366" s="49"/>
      <c r="M366" s="104"/>
      <c r="N366" s="104"/>
      <c r="O366" s="115" t="str">
        <f t="shared" si="2"/>
        <v>Não</v>
      </c>
      <c r="P366" s="104"/>
      <c r="Q366" s="104"/>
      <c r="R366" s="104"/>
      <c r="S366" s="104"/>
      <c r="T366" s="104"/>
      <c r="U366" s="104">
        <f t="shared" si="3"/>
        <v>0</v>
      </c>
      <c r="V366" s="115" t="str">
        <f t="shared" si="4"/>
        <v>Não</v>
      </c>
      <c r="W366" s="116" t="str">
        <f t="shared" si="5"/>
        <v>Igual</v>
      </c>
      <c r="X366" s="120"/>
      <c r="Y366" s="120"/>
      <c r="Z366" s="49"/>
      <c r="AA366" s="116" t="str">
        <f t="shared" si="7"/>
        <v>#REF!</v>
      </c>
    </row>
    <row r="367" hidden="1">
      <c r="I367" s="49"/>
      <c r="J367" s="49"/>
      <c r="K367" s="49"/>
      <c r="L367" s="49"/>
      <c r="M367" s="104"/>
      <c r="N367" s="104"/>
      <c r="O367" s="115" t="str">
        <f t="shared" si="2"/>
        <v>Não</v>
      </c>
      <c r="P367" s="104"/>
      <c r="Q367" s="104"/>
      <c r="R367" s="104"/>
      <c r="S367" s="104"/>
      <c r="T367" s="104"/>
      <c r="U367" s="104">
        <f t="shared" si="3"/>
        <v>0</v>
      </c>
      <c r="V367" s="115" t="str">
        <f t="shared" si="4"/>
        <v>Não</v>
      </c>
      <c r="W367" s="116" t="str">
        <f t="shared" si="5"/>
        <v>Igual</v>
      </c>
      <c r="X367" s="120"/>
      <c r="Y367" s="120"/>
      <c r="Z367" s="49"/>
      <c r="AA367" s="116" t="str">
        <f t="shared" si="7"/>
        <v>#REF!</v>
      </c>
    </row>
    <row r="368" hidden="1">
      <c r="I368" s="49"/>
      <c r="J368" s="49"/>
      <c r="K368" s="49"/>
      <c r="L368" s="49"/>
      <c r="M368" s="104"/>
      <c r="N368" s="104"/>
      <c r="O368" s="115" t="str">
        <f t="shared" si="2"/>
        <v>Não</v>
      </c>
      <c r="P368" s="104"/>
      <c r="Q368" s="104"/>
      <c r="R368" s="104"/>
      <c r="S368" s="104"/>
      <c r="T368" s="104"/>
      <c r="U368" s="104">
        <f t="shared" si="3"/>
        <v>0</v>
      </c>
      <c r="V368" s="115" t="str">
        <f t="shared" si="4"/>
        <v>Não</v>
      </c>
      <c r="W368" s="116" t="str">
        <f t="shared" si="5"/>
        <v>Igual</v>
      </c>
      <c r="X368" s="120"/>
      <c r="Y368" s="120"/>
      <c r="Z368" s="49"/>
      <c r="AA368" s="116" t="str">
        <f t="shared" si="7"/>
        <v>#REF!</v>
      </c>
    </row>
    <row r="369" hidden="1">
      <c r="I369" s="49"/>
      <c r="J369" s="49"/>
      <c r="K369" s="49"/>
      <c r="L369" s="49"/>
      <c r="M369" s="104"/>
      <c r="N369" s="104"/>
      <c r="O369" s="115" t="str">
        <f t="shared" si="2"/>
        <v>Não</v>
      </c>
      <c r="P369" s="104"/>
      <c r="Q369" s="104"/>
      <c r="R369" s="104"/>
      <c r="S369" s="104"/>
      <c r="T369" s="104"/>
      <c r="U369" s="104">
        <f t="shared" si="3"/>
        <v>0</v>
      </c>
      <c r="V369" s="115" t="str">
        <f t="shared" si="4"/>
        <v>Não</v>
      </c>
      <c r="W369" s="116" t="str">
        <f t="shared" si="5"/>
        <v>Igual</v>
      </c>
      <c r="X369" s="120"/>
      <c r="Y369" s="120"/>
      <c r="Z369" s="49"/>
      <c r="AA369" s="116" t="str">
        <f t="shared" si="7"/>
        <v>#REF!</v>
      </c>
    </row>
    <row r="370" hidden="1">
      <c r="I370" s="49"/>
      <c r="J370" s="49"/>
      <c r="K370" s="49"/>
      <c r="L370" s="49"/>
      <c r="M370" s="104"/>
      <c r="N370" s="104"/>
      <c r="O370" s="115" t="str">
        <f t="shared" si="2"/>
        <v>Não</v>
      </c>
      <c r="P370" s="104"/>
      <c r="Q370" s="104"/>
      <c r="R370" s="104"/>
      <c r="S370" s="104"/>
      <c r="T370" s="104"/>
      <c r="U370" s="104">
        <f t="shared" si="3"/>
        <v>0</v>
      </c>
      <c r="V370" s="115" t="str">
        <f t="shared" si="4"/>
        <v>Não</v>
      </c>
      <c r="W370" s="116" t="str">
        <f t="shared" si="5"/>
        <v>Igual</v>
      </c>
      <c r="X370" s="120"/>
      <c r="Y370" s="120"/>
      <c r="Z370" s="49"/>
      <c r="AA370" s="116" t="str">
        <f t="shared" si="7"/>
        <v>#REF!</v>
      </c>
    </row>
    <row r="371" hidden="1">
      <c r="I371" s="49"/>
      <c r="J371" s="49"/>
      <c r="K371" s="49"/>
      <c r="L371" s="49"/>
      <c r="M371" s="104"/>
      <c r="N371" s="104"/>
      <c r="O371" s="115" t="str">
        <f t="shared" si="2"/>
        <v>Não</v>
      </c>
      <c r="P371" s="104"/>
      <c r="Q371" s="104"/>
      <c r="R371" s="104"/>
      <c r="S371" s="104"/>
      <c r="T371" s="104"/>
      <c r="U371" s="104">
        <f t="shared" si="3"/>
        <v>0</v>
      </c>
      <c r="V371" s="115" t="str">
        <f t="shared" si="4"/>
        <v>Não</v>
      </c>
      <c r="W371" s="116" t="str">
        <f t="shared" si="5"/>
        <v>Igual</v>
      </c>
      <c r="X371" s="120"/>
      <c r="Y371" s="120"/>
      <c r="Z371" s="49"/>
      <c r="AA371" s="116" t="str">
        <f t="shared" si="7"/>
        <v>#REF!</v>
      </c>
    </row>
    <row r="372" hidden="1">
      <c r="I372" s="49"/>
      <c r="J372" s="49"/>
      <c r="K372" s="49"/>
      <c r="L372" s="49"/>
      <c r="M372" s="104"/>
      <c r="N372" s="104"/>
      <c r="O372" s="115" t="str">
        <f t="shared" si="2"/>
        <v>Não</v>
      </c>
      <c r="P372" s="104"/>
      <c r="Q372" s="104"/>
      <c r="R372" s="104"/>
      <c r="S372" s="104"/>
      <c r="T372" s="104"/>
      <c r="U372" s="104">
        <f t="shared" si="3"/>
        <v>0</v>
      </c>
      <c r="V372" s="115" t="str">
        <f t="shared" si="4"/>
        <v>Não</v>
      </c>
      <c r="W372" s="116" t="str">
        <f t="shared" si="5"/>
        <v>Igual</v>
      </c>
      <c r="X372" s="120"/>
      <c r="Y372" s="120"/>
      <c r="Z372" s="49"/>
      <c r="AA372" s="116" t="str">
        <f t="shared" si="7"/>
        <v>#REF!</v>
      </c>
    </row>
    <row r="373" hidden="1">
      <c r="I373" s="49"/>
      <c r="J373" s="49"/>
      <c r="K373" s="49"/>
      <c r="L373" s="49"/>
      <c r="M373" s="104"/>
      <c r="N373" s="104"/>
      <c r="O373" s="115" t="str">
        <f t="shared" si="2"/>
        <v>Não</v>
      </c>
      <c r="P373" s="104"/>
      <c r="Q373" s="104"/>
      <c r="R373" s="104"/>
      <c r="S373" s="104"/>
      <c r="T373" s="104"/>
      <c r="U373" s="104">
        <f t="shared" si="3"/>
        <v>0</v>
      </c>
      <c r="V373" s="115" t="str">
        <f t="shared" si="4"/>
        <v>Não</v>
      </c>
      <c r="W373" s="116" t="str">
        <f t="shared" si="5"/>
        <v>Igual</v>
      </c>
      <c r="X373" s="120"/>
      <c r="Y373" s="120"/>
      <c r="Z373" s="49"/>
      <c r="AA373" s="116" t="str">
        <f t="shared" si="7"/>
        <v>#REF!</v>
      </c>
    </row>
    <row r="374" hidden="1">
      <c r="I374" s="49"/>
      <c r="J374" s="49"/>
      <c r="K374" s="49"/>
      <c r="L374" s="49"/>
      <c r="M374" s="104"/>
      <c r="N374" s="104"/>
      <c r="O374" s="115" t="str">
        <f t="shared" si="2"/>
        <v>Não</v>
      </c>
      <c r="P374" s="104"/>
      <c r="Q374" s="104"/>
      <c r="R374" s="104"/>
      <c r="S374" s="104"/>
      <c r="T374" s="104"/>
      <c r="U374" s="104">
        <f t="shared" si="3"/>
        <v>0</v>
      </c>
      <c r="V374" s="115" t="str">
        <f t="shared" si="4"/>
        <v>Não</v>
      </c>
      <c r="W374" s="116" t="str">
        <f t="shared" si="5"/>
        <v>Igual</v>
      </c>
      <c r="X374" s="120"/>
      <c r="Y374" s="120"/>
      <c r="Z374" s="49"/>
      <c r="AA374" s="116" t="str">
        <f t="shared" si="7"/>
        <v>#REF!</v>
      </c>
    </row>
    <row r="375" hidden="1">
      <c r="I375" s="49"/>
      <c r="J375" s="49"/>
      <c r="K375" s="49"/>
      <c r="L375" s="49"/>
      <c r="M375" s="104"/>
      <c r="N375" s="104"/>
      <c r="O375" s="115" t="str">
        <f t="shared" si="2"/>
        <v>Não</v>
      </c>
      <c r="P375" s="104"/>
      <c r="Q375" s="104"/>
      <c r="R375" s="104"/>
      <c r="S375" s="104"/>
      <c r="T375" s="104"/>
      <c r="U375" s="104">
        <f t="shared" si="3"/>
        <v>0</v>
      </c>
      <c r="V375" s="115" t="str">
        <f t="shared" si="4"/>
        <v>Não</v>
      </c>
      <c r="W375" s="116" t="str">
        <f t="shared" si="5"/>
        <v>Igual</v>
      </c>
      <c r="X375" s="120"/>
      <c r="Y375" s="120"/>
      <c r="Z375" s="49"/>
      <c r="AA375" s="116" t="str">
        <f t="shared" si="7"/>
        <v>#REF!</v>
      </c>
    </row>
    <row r="376" hidden="1">
      <c r="I376" s="49"/>
      <c r="J376" s="49"/>
      <c r="K376" s="49"/>
      <c r="L376" s="49"/>
      <c r="M376" s="104"/>
      <c r="N376" s="104"/>
      <c r="O376" s="115" t="str">
        <f t="shared" si="2"/>
        <v>Não</v>
      </c>
      <c r="P376" s="104"/>
      <c r="Q376" s="104"/>
      <c r="R376" s="104"/>
      <c r="S376" s="104"/>
      <c r="T376" s="104"/>
      <c r="U376" s="104">
        <f t="shared" si="3"/>
        <v>0</v>
      </c>
      <c r="V376" s="115" t="str">
        <f t="shared" si="4"/>
        <v>Não</v>
      </c>
      <c r="W376" s="116" t="str">
        <f t="shared" si="5"/>
        <v>Igual</v>
      </c>
      <c r="X376" s="120"/>
      <c r="Y376" s="120"/>
      <c r="Z376" s="49"/>
      <c r="AA376" s="116" t="str">
        <f t="shared" si="7"/>
        <v>#REF!</v>
      </c>
    </row>
    <row r="377" hidden="1">
      <c r="I377" s="49"/>
      <c r="J377" s="49"/>
      <c r="K377" s="49"/>
      <c r="L377" s="49"/>
      <c r="M377" s="104"/>
      <c r="N377" s="104"/>
      <c r="O377" s="115" t="str">
        <f t="shared" si="2"/>
        <v>Não</v>
      </c>
      <c r="P377" s="104"/>
      <c r="Q377" s="104"/>
      <c r="R377" s="104"/>
      <c r="S377" s="104"/>
      <c r="T377" s="104"/>
      <c r="U377" s="104">
        <f t="shared" si="3"/>
        <v>0</v>
      </c>
      <c r="V377" s="115" t="str">
        <f t="shared" si="4"/>
        <v>Não</v>
      </c>
      <c r="W377" s="116" t="str">
        <f t="shared" si="5"/>
        <v>Igual</v>
      </c>
      <c r="X377" s="120"/>
      <c r="Y377" s="120"/>
      <c r="Z377" s="49"/>
      <c r="AA377" s="116" t="str">
        <f t="shared" si="7"/>
        <v>#REF!</v>
      </c>
    </row>
    <row r="378" hidden="1">
      <c r="I378" s="49"/>
      <c r="J378" s="49"/>
      <c r="K378" s="49"/>
      <c r="L378" s="49"/>
      <c r="M378" s="104"/>
      <c r="N378" s="104"/>
      <c r="O378" s="115" t="str">
        <f t="shared" si="2"/>
        <v>Não</v>
      </c>
      <c r="P378" s="104"/>
      <c r="Q378" s="104"/>
      <c r="R378" s="104"/>
      <c r="S378" s="104"/>
      <c r="T378" s="104"/>
      <c r="U378" s="104">
        <f t="shared" si="3"/>
        <v>0</v>
      </c>
      <c r="V378" s="115" t="str">
        <f t="shared" si="4"/>
        <v>Não</v>
      </c>
      <c r="W378" s="116" t="str">
        <f t="shared" si="5"/>
        <v>Igual</v>
      </c>
      <c r="X378" s="120"/>
      <c r="Y378" s="120"/>
      <c r="Z378" s="49"/>
      <c r="AA378" s="116" t="str">
        <f t="shared" si="7"/>
        <v>#REF!</v>
      </c>
    </row>
    <row r="379" hidden="1">
      <c r="I379" s="49"/>
      <c r="J379" s="49"/>
      <c r="K379" s="49"/>
      <c r="L379" s="49"/>
      <c r="M379" s="104"/>
      <c r="N379" s="104"/>
      <c r="O379" s="115" t="str">
        <f t="shared" si="2"/>
        <v>Não</v>
      </c>
      <c r="P379" s="104"/>
      <c r="Q379" s="104"/>
      <c r="R379" s="104"/>
      <c r="S379" s="104"/>
      <c r="T379" s="104"/>
      <c r="U379" s="104">
        <f t="shared" si="3"/>
        <v>0</v>
      </c>
      <c r="V379" s="115" t="str">
        <f t="shared" si="4"/>
        <v>Não</v>
      </c>
      <c r="W379" s="116" t="str">
        <f t="shared" si="5"/>
        <v>Igual</v>
      </c>
      <c r="X379" s="120"/>
      <c r="Y379" s="120"/>
      <c r="Z379" s="49"/>
      <c r="AA379" s="116" t="str">
        <f t="shared" si="7"/>
        <v>#REF!</v>
      </c>
    </row>
    <row r="380" hidden="1">
      <c r="I380" s="49"/>
      <c r="J380" s="49"/>
      <c r="K380" s="49"/>
      <c r="L380" s="49"/>
      <c r="M380" s="104"/>
      <c r="N380" s="104"/>
      <c r="O380" s="115" t="str">
        <f t="shared" si="2"/>
        <v>Não</v>
      </c>
      <c r="P380" s="104"/>
      <c r="Q380" s="104"/>
      <c r="R380" s="104"/>
      <c r="S380" s="104"/>
      <c r="T380" s="104"/>
      <c r="U380" s="104">
        <f t="shared" si="3"/>
        <v>0</v>
      </c>
      <c r="V380" s="115" t="str">
        <f t="shared" si="4"/>
        <v>Não</v>
      </c>
      <c r="W380" s="116" t="str">
        <f t="shared" si="5"/>
        <v>Igual</v>
      </c>
      <c r="X380" s="120"/>
      <c r="Y380" s="120"/>
      <c r="Z380" s="49"/>
      <c r="AA380" s="116" t="str">
        <f t="shared" si="7"/>
        <v>#REF!</v>
      </c>
    </row>
    <row r="381" hidden="1">
      <c r="I381" s="49"/>
      <c r="J381" s="49"/>
      <c r="K381" s="49"/>
      <c r="L381" s="49"/>
      <c r="M381" s="104"/>
      <c r="N381" s="104"/>
      <c r="O381" s="115" t="str">
        <f t="shared" si="2"/>
        <v>Não</v>
      </c>
      <c r="P381" s="104"/>
      <c r="Q381" s="104"/>
      <c r="R381" s="104"/>
      <c r="S381" s="104"/>
      <c r="T381" s="104"/>
      <c r="U381" s="104">
        <f t="shared" si="3"/>
        <v>0</v>
      </c>
      <c r="V381" s="115" t="str">
        <f t="shared" si="4"/>
        <v>Não</v>
      </c>
      <c r="W381" s="116" t="str">
        <f t="shared" si="5"/>
        <v>Igual</v>
      </c>
      <c r="X381" s="120"/>
      <c r="Y381" s="120"/>
      <c r="Z381" s="49"/>
      <c r="AA381" s="116" t="str">
        <f t="shared" si="7"/>
        <v>#REF!</v>
      </c>
    </row>
    <row r="382" hidden="1">
      <c r="I382" s="49"/>
      <c r="J382" s="49"/>
      <c r="K382" s="49"/>
      <c r="L382" s="49"/>
      <c r="M382" s="104"/>
      <c r="N382" s="104"/>
      <c r="O382" s="115" t="str">
        <f t="shared" si="2"/>
        <v>Não</v>
      </c>
      <c r="P382" s="104"/>
      <c r="Q382" s="104"/>
      <c r="R382" s="104"/>
      <c r="S382" s="104"/>
      <c r="T382" s="104"/>
      <c r="U382" s="104">
        <f t="shared" si="3"/>
        <v>0</v>
      </c>
      <c r="V382" s="115" t="str">
        <f t="shared" si="4"/>
        <v>Não</v>
      </c>
      <c r="W382" s="116" t="str">
        <f t="shared" si="5"/>
        <v>Igual</v>
      </c>
      <c r="X382" s="120"/>
      <c r="Y382" s="120"/>
      <c r="Z382" s="49"/>
      <c r="AA382" s="116" t="str">
        <f t="shared" si="7"/>
        <v>#REF!</v>
      </c>
    </row>
    <row r="383" hidden="1">
      <c r="I383" s="49"/>
      <c r="J383" s="49"/>
      <c r="K383" s="49"/>
      <c r="L383" s="49"/>
      <c r="M383" s="104"/>
      <c r="N383" s="104"/>
      <c r="O383" s="115" t="str">
        <f t="shared" si="2"/>
        <v>Não</v>
      </c>
      <c r="P383" s="104"/>
      <c r="Q383" s="104"/>
      <c r="R383" s="104"/>
      <c r="S383" s="104"/>
      <c r="T383" s="104"/>
      <c r="U383" s="104">
        <f t="shared" si="3"/>
        <v>0</v>
      </c>
      <c r="V383" s="115" t="str">
        <f t="shared" si="4"/>
        <v>Não</v>
      </c>
      <c r="W383" s="116" t="str">
        <f t="shared" si="5"/>
        <v>Igual</v>
      </c>
      <c r="X383" s="120"/>
      <c r="Y383" s="120"/>
      <c r="Z383" s="49"/>
      <c r="AA383" s="116" t="str">
        <f t="shared" si="7"/>
        <v>#REF!</v>
      </c>
    </row>
    <row r="384" hidden="1">
      <c r="I384" s="49"/>
      <c r="J384" s="49"/>
      <c r="K384" s="49"/>
      <c r="L384" s="49"/>
      <c r="M384" s="104"/>
      <c r="N384" s="104"/>
      <c r="O384" s="115" t="str">
        <f t="shared" si="2"/>
        <v>Não</v>
      </c>
      <c r="P384" s="104"/>
      <c r="Q384" s="104"/>
      <c r="R384" s="104"/>
      <c r="S384" s="104"/>
      <c r="T384" s="104"/>
      <c r="U384" s="104">
        <f t="shared" si="3"/>
        <v>0</v>
      </c>
      <c r="V384" s="115" t="str">
        <f t="shared" si="4"/>
        <v>Não</v>
      </c>
      <c r="W384" s="116" t="str">
        <f t="shared" si="5"/>
        <v>Igual</v>
      </c>
      <c r="X384" s="120"/>
      <c r="Y384" s="120"/>
      <c r="Z384" s="49"/>
      <c r="AA384" s="116" t="str">
        <f t="shared" si="7"/>
        <v>#REF!</v>
      </c>
    </row>
    <row r="385" hidden="1">
      <c r="I385" s="49"/>
      <c r="J385" s="49"/>
      <c r="K385" s="49"/>
      <c r="L385" s="49"/>
      <c r="M385" s="104"/>
      <c r="N385" s="104"/>
      <c r="O385" s="115" t="str">
        <f t="shared" si="2"/>
        <v>Não</v>
      </c>
      <c r="P385" s="104"/>
      <c r="Q385" s="104"/>
      <c r="R385" s="104"/>
      <c r="S385" s="104"/>
      <c r="T385" s="104"/>
      <c r="U385" s="104">
        <f t="shared" si="3"/>
        <v>0</v>
      </c>
      <c r="V385" s="115" t="str">
        <f t="shared" si="4"/>
        <v>Não</v>
      </c>
      <c r="W385" s="116" t="str">
        <f t="shared" si="5"/>
        <v>Igual</v>
      </c>
      <c r="X385" s="120"/>
      <c r="Y385" s="120"/>
      <c r="Z385" s="49"/>
      <c r="AA385" s="116" t="str">
        <f t="shared" si="7"/>
        <v>#REF!</v>
      </c>
    </row>
    <row r="386" hidden="1">
      <c r="I386" s="49"/>
      <c r="J386" s="49"/>
      <c r="K386" s="49"/>
      <c r="L386" s="49"/>
      <c r="M386" s="104"/>
      <c r="N386" s="104"/>
      <c r="O386" s="115" t="str">
        <f t="shared" si="2"/>
        <v>Não</v>
      </c>
      <c r="P386" s="104"/>
      <c r="Q386" s="104"/>
      <c r="R386" s="104"/>
      <c r="S386" s="104"/>
      <c r="T386" s="104"/>
      <c r="U386" s="104">
        <f t="shared" si="3"/>
        <v>0</v>
      </c>
      <c r="V386" s="115" t="str">
        <f t="shared" si="4"/>
        <v>Não</v>
      </c>
      <c r="W386" s="116" t="str">
        <f t="shared" si="5"/>
        <v>Igual</v>
      </c>
      <c r="X386" s="120"/>
      <c r="Y386" s="120"/>
      <c r="Z386" s="49"/>
      <c r="AA386" s="116" t="str">
        <f t="shared" si="7"/>
        <v>#REF!</v>
      </c>
    </row>
    <row r="387" hidden="1">
      <c r="I387" s="49"/>
      <c r="J387" s="49"/>
      <c r="K387" s="49"/>
      <c r="L387" s="49"/>
      <c r="M387" s="104"/>
      <c r="N387" s="104"/>
      <c r="O387" s="115" t="str">
        <f t="shared" si="2"/>
        <v>Não</v>
      </c>
      <c r="P387" s="104"/>
      <c r="Q387" s="104"/>
      <c r="R387" s="104"/>
      <c r="S387" s="104"/>
      <c r="T387" s="104"/>
      <c r="U387" s="104">
        <f t="shared" si="3"/>
        <v>0</v>
      </c>
      <c r="V387" s="115" t="str">
        <f t="shared" si="4"/>
        <v>Não</v>
      </c>
      <c r="W387" s="116" t="str">
        <f t="shared" si="5"/>
        <v>Igual</v>
      </c>
      <c r="X387" s="120"/>
      <c r="Y387" s="120"/>
      <c r="Z387" s="49"/>
      <c r="AA387" s="116" t="str">
        <f t="shared" si="7"/>
        <v>#REF!</v>
      </c>
    </row>
    <row r="388" hidden="1">
      <c r="I388" s="49"/>
      <c r="J388" s="49"/>
      <c r="K388" s="49"/>
      <c r="L388" s="49"/>
      <c r="M388" s="104"/>
      <c r="N388" s="104"/>
      <c r="O388" s="115" t="str">
        <f t="shared" si="2"/>
        <v>Não</v>
      </c>
      <c r="P388" s="104"/>
      <c r="Q388" s="104"/>
      <c r="R388" s="104"/>
      <c r="S388" s="104"/>
      <c r="T388" s="104"/>
      <c r="U388" s="104">
        <f t="shared" si="3"/>
        <v>0</v>
      </c>
      <c r="V388" s="115" t="str">
        <f t="shared" si="4"/>
        <v>Não</v>
      </c>
      <c r="W388" s="116" t="str">
        <f t="shared" si="5"/>
        <v>Igual</v>
      </c>
      <c r="X388" s="120"/>
      <c r="Y388" s="120"/>
      <c r="Z388" s="49"/>
      <c r="AA388" s="116" t="str">
        <f t="shared" si="7"/>
        <v>#REF!</v>
      </c>
    </row>
    <row r="389" hidden="1">
      <c r="I389" s="49"/>
      <c r="J389" s="49"/>
      <c r="K389" s="49"/>
      <c r="L389" s="49"/>
      <c r="M389" s="104"/>
      <c r="N389" s="104"/>
      <c r="O389" s="115" t="str">
        <f t="shared" si="2"/>
        <v>Não</v>
      </c>
      <c r="P389" s="104"/>
      <c r="Q389" s="104"/>
      <c r="R389" s="104"/>
      <c r="S389" s="104"/>
      <c r="T389" s="104"/>
      <c r="U389" s="104">
        <f t="shared" si="3"/>
        <v>0</v>
      </c>
      <c r="V389" s="115" t="str">
        <f t="shared" si="4"/>
        <v>Não</v>
      </c>
      <c r="W389" s="116" t="str">
        <f t="shared" si="5"/>
        <v>Igual</v>
      </c>
      <c r="X389" s="120"/>
      <c r="Y389" s="120"/>
      <c r="Z389" s="49"/>
      <c r="AA389" s="116" t="str">
        <f t="shared" si="7"/>
        <v>#REF!</v>
      </c>
    </row>
    <row r="390" hidden="1">
      <c r="I390" s="49"/>
      <c r="J390" s="49"/>
      <c r="K390" s="49"/>
      <c r="L390" s="49"/>
      <c r="M390" s="104"/>
      <c r="N390" s="104"/>
      <c r="O390" s="115" t="str">
        <f t="shared" si="2"/>
        <v>Não</v>
      </c>
      <c r="P390" s="104"/>
      <c r="Q390" s="104"/>
      <c r="R390" s="104"/>
      <c r="S390" s="104"/>
      <c r="T390" s="104"/>
      <c r="U390" s="104">
        <f t="shared" si="3"/>
        <v>0</v>
      </c>
      <c r="V390" s="115" t="str">
        <f t="shared" si="4"/>
        <v>Não</v>
      </c>
      <c r="W390" s="116" t="str">
        <f t="shared" si="5"/>
        <v>Igual</v>
      </c>
      <c r="X390" s="120"/>
      <c r="Y390" s="120"/>
      <c r="Z390" s="49"/>
      <c r="AA390" s="116" t="str">
        <f t="shared" si="7"/>
        <v>#REF!</v>
      </c>
    </row>
    <row r="391" hidden="1">
      <c r="I391" s="49"/>
      <c r="J391" s="49"/>
      <c r="K391" s="49"/>
      <c r="L391" s="49"/>
      <c r="M391" s="104"/>
      <c r="N391" s="104"/>
      <c r="O391" s="115" t="str">
        <f t="shared" si="2"/>
        <v>Não</v>
      </c>
      <c r="P391" s="104"/>
      <c r="Q391" s="104"/>
      <c r="R391" s="104"/>
      <c r="S391" s="104"/>
      <c r="T391" s="104"/>
      <c r="U391" s="104">
        <f t="shared" si="3"/>
        <v>0</v>
      </c>
      <c r="V391" s="115" t="str">
        <f t="shared" si="4"/>
        <v>Não</v>
      </c>
      <c r="W391" s="116" t="str">
        <f t="shared" si="5"/>
        <v>Igual</v>
      </c>
      <c r="X391" s="120"/>
      <c r="Y391" s="120"/>
      <c r="Z391" s="49"/>
      <c r="AA391" s="116" t="str">
        <f t="shared" si="7"/>
        <v>#REF!</v>
      </c>
    </row>
    <row r="392" hidden="1">
      <c r="I392" s="49"/>
      <c r="J392" s="49"/>
      <c r="K392" s="49"/>
      <c r="L392" s="49"/>
      <c r="M392" s="104"/>
      <c r="N392" s="104"/>
      <c r="O392" s="115" t="str">
        <f t="shared" si="2"/>
        <v>Não</v>
      </c>
      <c r="P392" s="104"/>
      <c r="Q392" s="104"/>
      <c r="R392" s="104"/>
      <c r="S392" s="104"/>
      <c r="T392" s="104"/>
      <c r="U392" s="104">
        <f t="shared" si="3"/>
        <v>0</v>
      </c>
      <c r="V392" s="115" t="str">
        <f t="shared" si="4"/>
        <v>Não</v>
      </c>
      <c r="W392" s="116" t="str">
        <f t="shared" si="5"/>
        <v>Igual</v>
      </c>
      <c r="X392" s="120"/>
      <c r="Y392" s="120"/>
      <c r="Z392" s="49"/>
      <c r="AA392" s="116" t="str">
        <f t="shared" si="7"/>
        <v>#REF!</v>
      </c>
    </row>
    <row r="393" hidden="1">
      <c r="I393" s="49"/>
      <c r="J393" s="49"/>
      <c r="K393" s="49"/>
      <c r="L393" s="49"/>
      <c r="M393" s="104"/>
      <c r="N393" s="104"/>
      <c r="O393" s="115" t="str">
        <f t="shared" si="2"/>
        <v>Não</v>
      </c>
      <c r="P393" s="104"/>
      <c r="Q393" s="104"/>
      <c r="R393" s="104"/>
      <c r="S393" s="104"/>
      <c r="T393" s="104"/>
      <c r="U393" s="104">
        <f t="shared" si="3"/>
        <v>0</v>
      </c>
      <c r="V393" s="115" t="str">
        <f t="shared" si="4"/>
        <v>Não</v>
      </c>
      <c r="W393" s="116" t="str">
        <f t="shared" si="5"/>
        <v>Igual</v>
      </c>
      <c r="X393" s="120"/>
      <c r="Y393" s="120"/>
      <c r="Z393" s="49"/>
      <c r="AA393" s="116" t="str">
        <f t="shared" si="7"/>
        <v>#REF!</v>
      </c>
    </row>
    <row r="394" hidden="1">
      <c r="I394" s="49"/>
      <c r="J394" s="49"/>
      <c r="K394" s="49"/>
      <c r="L394" s="49"/>
      <c r="M394" s="104"/>
      <c r="N394" s="104"/>
      <c r="O394" s="115" t="str">
        <f t="shared" si="2"/>
        <v>Não</v>
      </c>
      <c r="P394" s="104"/>
      <c r="Q394" s="104"/>
      <c r="R394" s="104"/>
      <c r="S394" s="104"/>
      <c r="T394" s="104"/>
      <c r="U394" s="104">
        <f t="shared" si="3"/>
        <v>0</v>
      </c>
      <c r="V394" s="115" t="str">
        <f t="shared" si="4"/>
        <v>Não</v>
      </c>
      <c r="W394" s="116" t="str">
        <f t="shared" si="5"/>
        <v>Igual</v>
      </c>
      <c r="X394" s="120"/>
      <c r="Y394" s="120"/>
      <c r="Z394" s="49"/>
      <c r="AA394" s="116" t="str">
        <f t="shared" si="7"/>
        <v>#REF!</v>
      </c>
    </row>
    <row r="395" hidden="1">
      <c r="I395" s="49"/>
      <c r="J395" s="49"/>
      <c r="K395" s="49"/>
      <c r="L395" s="49"/>
      <c r="M395" s="104"/>
      <c r="N395" s="104"/>
      <c r="O395" s="115" t="str">
        <f t="shared" si="2"/>
        <v>Não</v>
      </c>
      <c r="P395" s="104"/>
      <c r="Q395" s="104"/>
      <c r="R395" s="104"/>
      <c r="S395" s="104"/>
      <c r="T395" s="104"/>
      <c r="U395" s="104">
        <f t="shared" si="3"/>
        <v>0</v>
      </c>
      <c r="V395" s="115" t="str">
        <f t="shared" si="4"/>
        <v>Não</v>
      </c>
      <c r="W395" s="116" t="str">
        <f t="shared" si="5"/>
        <v>Igual</v>
      </c>
      <c r="X395" s="120"/>
      <c r="Y395" s="120"/>
      <c r="Z395" s="49"/>
      <c r="AA395" s="116" t="str">
        <f t="shared" si="7"/>
        <v>#REF!</v>
      </c>
    </row>
    <row r="396" hidden="1">
      <c r="I396" s="49"/>
      <c r="J396" s="49"/>
      <c r="K396" s="49"/>
      <c r="L396" s="49"/>
      <c r="M396" s="104"/>
      <c r="N396" s="104"/>
      <c r="O396" s="115" t="str">
        <f t="shared" si="2"/>
        <v>Não</v>
      </c>
      <c r="P396" s="104"/>
      <c r="Q396" s="104"/>
      <c r="R396" s="104"/>
      <c r="S396" s="104"/>
      <c r="T396" s="104"/>
      <c r="U396" s="104">
        <f t="shared" si="3"/>
        <v>0</v>
      </c>
      <c r="V396" s="115" t="str">
        <f t="shared" si="4"/>
        <v>Não</v>
      </c>
      <c r="W396" s="116" t="str">
        <f t="shared" si="5"/>
        <v>Igual</v>
      </c>
      <c r="X396" s="120"/>
      <c r="Y396" s="120"/>
      <c r="Z396" s="49"/>
      <c r="AA396" s="116" t="str">
        <f t="shared" si="7"/>
        <v>#REF!</v>
      </c>
    </row>
    <row r="397" hidden="1">
      <c r="I397" s="49"/>
      <c r="J397" s="49"/>
      <c r="K397" s="49"/>
      <c r="L397" s="49"/>
      <c r="M397" s="104"/>
      <c r="N397" s="104"/>
      <c r="O397" s="115" t="str">
        <f t="shared" si="2"/>
        <v>Não</v>
      </c>
      <c r="P397" s="104"/>
      <c r="Q397" s="104"/>
      <c r="R397" s="104"/>
      <c r="S397" s="104"/>
      <c r="T397" s="104"/>
      <c r="U397" s="104">
        <f t="shared" si="3"/>
        <v>0</v>
      </c>
      <c r="V397" s="115" t="str">
        <f t="shared" si="4"/>
        <v>Não</v>
      </c>
      <c r="W397" s="116" t="str">
        <f t="shared" si="5"/>
        <v>Igual</v>
      </c>
      <c r="X397" s="120"/>
      <c r="Y397" s="120"/>
      <c r="Z397" s="49"/>
      <c r="AA397" s="116" t="str">
        <f t="shared" si="7"/>
        <v>#REF!</v>
      </c>
    </row>
    <row r="398" hidden="1">
      <c r="I398" s="49"/>
      <c r="J398" s="49"/>
      <c r="K398" s="49"/>
      <c r="L398" s="49"/>
      <c r="M398" s="104"/>
      <c r="N398" s="104"/>
      <c r="O398" s="115" t="str">
        <f t="shared" si="2"/>
        <v>Não</v>
      </c>
      <c r="P398" s="104"/>
      <c r="Q398" s="104"/>
      <c r="R398" s="104"/>
      <c r="S398" s="104"/>
      <c r="T398" s="104"/>
      <c r="U398" s="104">
        <f t="shared" si="3"/>
        <v>0</v>
      </c>
      <c r="V398" s="115" t="str">
        <f t="shared" si="4"/>
        <v>Não</v>
      </c>
      <c r="W398" s="116" t="str">
        <f t="shared" si="5"/>
        <v>Igual</v>
      </c>
      <c r="X398" s="120"/>
      <c r="Y398" s="120"/>
      <c r="Z398" s="49"/>
      <c r="AA398" s="116" t="str">
        <f t="shared" si="7"/>
        <v>#REF!</v>
      </c>
    </row>
    <row r="399" hidden="1">
      <c r="I399" s="49"/>
      <c r="J399" s="49"/>
      <c r="K399" s="49"/>
      <c r="L399" s="49"/>
      <c r="M399" s="104"/>
      <c r="N399" s="104"/>
      <c r="O399" s="115" t="str">
        <f t="shared" si="2"/>
        <v>Não</v>
      </c>
      <c r="P399" s="104"/>
      <c r="Q399" s="104"/>
      <c r="R399" s="104"/>
      <c r="S399" s="104"/>
      <c r="T399" s="104"/>
      <c r="U399" s="104">
        <f t="shared" si="3"/>
        <v>0</v>
      </c>
      <c r="V399" s="115" t="str">
        <f t="shared" si="4"/>
        <v>Não</v>
      </c>
      <c r="W399" s="116" t="str">
        <f t="shared" si="5"/>
        <v>Igual</v>
      </c>
      <c r="X399" s="120"/>
      <c r="Y399" s="120"/>
      <c r="Z399" s="49"/>
      <c r="AA399" s="116" t="str">
        <f t="shared" si="7"/>
        <v>#REF!</v>
      </c>
    </row>
    <row r="400" hidden="1">
      <c r="I400" s="49"/>
      <c r="J400" s="49"/>
      <c r="K400" s="49"/>
      <c r="L400" s="49"/>
      <c r="M400" s="104"/>
      <c r="N400" s="104"/>
      <c r="O400" s="115" t="str">
        <f t="shared" si="2"/>
        <v>Não</v>
      </c>
      <c r="P400" s="104"/>
      <c r="Q400" s="104"/>
      <c r="R400" s="104"/>
      <c r="S400" s="104"/>
      <c r="T400" s="104"/>
      <c r="U400" s="104">
        <f t="shared" si="3"/>
        <v>0</v>
      </c>
      <c r="V400" s="115" t="str">
        <f t="shared" si="4"/>
        <v>Não</v>
      </c>
      <c r="W400" s="116" t="str">
        <f t="shared" si="5"/>
        <v>Igual</v>
      </c>
      <c r="X400" s="120"/>
      <c r="Y400" s="120"/>
      <c r="Z400" s="49"/>
      <c r="AA400" s="116" t="str">
        <f t="shared" si="7"/>
        <v>#REF!</v>
      </c>
    </row>
    <row r="401" hidden="1">
      <c r="I401" s="49"/>
      <c r="J401" s="49"/>
      <c r="K401" s="49"/>
      <c r="L401" s="49"/>
      <c r="M401" s="104"/>
      <c r="N401" s="104"/>
      <c r="O401" s="115" t="str">
        <f t="shared" si="2"/>
        <v>Não</v>
      </c>
      <c r="P401" s="104"/>
      <c r="Q401" s="104"/>
      <c r="R401" s="104"/>
      <c r="S401" s="104"/>
      <c r="T401" s="104"/>
      <c r="U401" s="104">
        <f t="shared" si="3"/>
        <v>0</v>
      </c>
      <c r="V401" s="115" t="str">
        <f t="shared" si="4"/>
        <v>Não</v>
      </c>
      <c r="W401" s="116" t="str">
        <f t="shared" si="5"/>
        <v>Igual</v>
      </c>
      <c r="X401" s="120"/>
      <c r="Y401" s="120"/>
      <c r="Z401" s="49"/>
      <c r="AA401" s="116" t="str">
        <f t="shared" si="7"/>
        <v>#REF!</v>
      </c>
    </row>
    <row r="402" hidden="1">
      <c r="I402" s="49"/>
      <c r="J402" s="49"/>
      <c r="K402" s="49"/>
      <c r="L402" s="49"/>
      <c r="M402" s="104"/>
      <c r="N402" s="104"/>
      <c r="O402" s="115" t="str">
        <f t="shared" si="2"/>
        <v>Não</v>
      </c>
      <c r="P402" s="104"/>
      <c r="Q402" s="104"/>
      <c r="R402" s="104"/>
      <c r="S402" s="104"/>
      <c r="T402" s="104"/>
      <c r="U402" s="104">
        <f t="shared" si="3"/>
        <v>0</v>
      </c>
      <c r="V402" s="115" t="str">
        <f t="shared" si="4"/>
        <v>Não</v>
      </c>
      <c r="W402" s="116" t="str">
        <f t="shared" si="5"/>
        <v>Igual</v>
      </c>
      <c r="X402" s="120"/>
      <c r="Y402" s="120"/>
      <c r="Z402" s="49"/>
      <c r="AA402" s="116" t="str">
        <f t="shared" si="7"/>
        <v>#REF!</v>
      </c>
    </row>
    <row r="403" hidden="1">
      <c r="I403" s="49"/>
      <c r="J403" s="49"/>
      <c r="K403" s="49"/>
      <c r="L403" s="49"/>
      <c r="M403" s="104"/>
      <c r="N403" s="104"/>
      <c r="O403" s="115" t="str">
        <f t="shared" si="2"/>
        <v>Não</v>
      </c>
      <c r="P403" s="104"/>
      <c r="Q403" s="104"/>
      <c r="R403" s="104"/>
      <c r="S403" s="104"/>
      <c r="T403" s="104"/>
      <c r="U403" s="104">
        <f t="shared" si="3"/>
        <v>0</v>
      </c>
      <c r="V403" s="115" t="str">
        <f t="shared" si="4"/>
        <v>Não</v>
      </c>
      <c r="W403" s="116" t="str">
        <f t="shared" si="5"/>
        <v>Igual</v>
      </c>
      <c r="X403" s="120"/>
      <c r="Y403" s="120"/>
      <c r="Z403" s="49"/>
      <c r="AA403" s="116" t="str">
        <f t="shared" si="7"/>
        <v>#REF!</v>
      </c>
    </row>
    <row r="404" hidden="1">
      <c r="I404" s="49"/>
      <c r="J404" s="49"/>
      <c r="K404" s="49"/>
      <c r="L404" s="49"/>
      <c r="M404" s="104"/>
      <c r="N404" s="104"/>
      <c r="O404" s="115" t="str">
        <f t="shared" si="2"/>
        <v>Não</v>
      </c>
      <c r="P404" s="104"/>
      <c r="Q404" s="104"/>
      <c r="R404" s="104"/>
      <c r="S404" s="104"/>
      <c r="T404" s="104"/>
      <c r="U404" s="104">
        <f t="shared" si="3"/>
        <v>0</v>
      </c>
      <c r="V404" s="115" t="str">
        <f t="shared" si="4"/>
        <v>Não</v>
      </c>
      <c r="W404" s="116" t="str">
        <f t="shared" si="5"/>
        <v>Igual</v>
      </c>
      <c r="X404" s="120"/>
      <c r="Y404" s="120"/>
      <c r="Z404" s="49"/>
      <c r="AA404" s="116" t="str">
        <f t="shared" si="7"/>
        <v>#REF!</v>
      </c>
    </row>
    <row r="405" hidden="1">
      <c r="I405" s="49"/>
      <c r="J405" s="49"/>
      <c r="K405" s="49"/>
      <c r="L405" s="49"/>
      <c r="M405" s="104"/>
      <c r="N405" s="104"/>
      <c r="O405" s="115" t="str">
        <f t="shared" si="2"/>
        <v>Não</v>
      </c>
      <c r="P405" s="104"/>
      <c r="Q405" s="104"/>
      <c r="R405" s="104"/>
      <c r="S405" s="104"/>
      <c r="T405" s="104"/>
      <c r="U405" s="104">
        <f t="shared" si="3"/>
        <v>0</v>
      </c>
      <c r="V405" s="115" t="str">
        <f t="shared" si="4"/>
        <v>Não</v>
      </c>
      <c r="W405" s="116" t="str">
        <f t="shared" si="5"/>
        <v>Igual</v>
      </c>
      <c r="X405" s="120"/>
      <c r="Y405" s="120"/>
      <c r="Z405" s="49"/>
      <c r="AA405" s="116" t="str">
        <f t="shared" si="7"/>
        <v>#REF!</v>
      </c>
    </row>
    <row r="406" hidden="1">
      <c r="I406" s="49"/>
      <c r="J406" s="49"/>
      <c r="K406" s="49"/>
      <c r="L406" s="49"/>
      <c r="M406" s="104"/>
      <c r="N406" s="104"/>
      <c r="O406" s="115" t="str">
        <f t="shared" si="2"/>
        <v>Não</v>
      </c>
      <c r="P406" s="104"/>
      <c r="Q406" s="104"/>
      <c r="R406" s="104"/>
      <c r="S406" s="104"/>
      <c r="T406" s="104"/>
      <c r="U406" s="104">
        <f t="shared" si="3"/>
        <v>0</v>
      </c>
      <c r="V406" s="115" t="str">
        <f t="shared" si="4"/>
        <v>Não</v>
      </c>
      <c r="W406" s="116" t="str">
        <f t="shared" si="5"/>
        <v>Igual</v>
      </c>
      <c r="X406" s="120"/>
      <c r="Y406" s="120"/>
      <c r="Z406" s="49"/>
      <c r="AA406" s="116" t="str">
        <f t="shared" si="7"/>
        <v>#REF!</v>
      </c>
    </row>
    <row r="407" hidden="1">
      <c r="I407" s="49"/>
      <c r="J407" s="49"/>
      <c r="K407" s="49"/>
      <c r="L407" s="49"/>
      <c r="M407" s="104"/>
      <c r="N407" s="104"/>
      <c r="O407" s="115" t="str">
        <f t="shared" si="2"/>
        <v>Não</v>
      </c>
      <c r="P407" s="104"/>
      <c r="Q407" s="104"/>
      <c r="R407" s="104"/>
      <c r="S407" s="104"/>
      <c r="T407" s="104"/>
      <c r="U407" s="104">
        <f t="shared" si="3"/>
        <v>0</v>
      </c>
      <c r="V407" s="115" t="str">
        <f t="shared" si="4"/>
        <v>Não</v>
      </c>
      <c r="W407" s="116" t="str">
        <f t="shared" si="5"/>
        <v>Igual</v>
      </c>
      <c r="X407" s="120"/>
      <c r="Y407" s="120"/>
      <c r="Z407" s="49"/>
      <c r="AA407" s="116" t="str">
        <f t="shared" si="7"/>
        <v>#REF!</v>
      </c>
    </row>
    <row r="408" hidden="1">
      <c r="I408" s="49"/>
      <c r="J408" s="49"/>
      <c r="K408" s="49"/>
      <c r="L408" s="49"/>
      <c r="M408" s="104"/>
      <c r="N408" s="104"/>
      <c r="O408" s="115" t="str">
        <f t="shared" si="2"/>
        <v>Não</v>
      </c>
      <c r="P408" s="104"/>
      <c r="Q408" s="104"/>
      <c r="R408" s="104"/>
      <c r="S408" s="104"/>
      <c r="T408" s="104"/>
      <c r="U408" s="104">
        <f t="shared" si="3"/>
        <v>0</v>
      </c>
      <c r="V408" s="115" t="str">
        <f t="shared" si="4"/>
        <v>Não</v>
      </c>
      <c r="W408" s="116" t="str">
        <f t="shared" si="5"/>
        <v>Igual</v>
      </c>
      <c r="X408" s="120"/>
      <c r="Y408" s="120"/>
      <c r="Z408" s="49"/>
      <c r="AA408" s="116" t="str">
        <f t="shared" si="7"/>
        <v>#REF!</v>
      </c>
    </row>
    <row r="409" hidden="1">
      <c r="I409" s="49"/>
      <c r="J409" s="49"/>
      <c r="K409" s="49"/>
      <c r="L409" s="49"/>
      <c r="M409" s="104"/>
      <c r="N409" s="104"/>
      <c r="O409" s="115" t="str">
        <f t="shared" si="2"/>
        <v>Não</v>
      </c>
      <c r="P409" s="104"/>
      <c r="Q409" s="104"/>
      <c r="R409" s="104"/>
      <c r="S409" s="104"/>
      <c r="T409" s="104"/>
      <c r="U409" s="104">
        <f t="shared" si="3"/>
        <v>0</v>
      </c>
      <c r="V409" s="115" t="str">
        <f t="shared" si="4"/>
        <v>Não</v>
      </c>
      <c r="W409" s="116" t="str">
        <f t="shared" si="5"/>
        <v>Igual</v>
      </c>
      <c r="X409" s="120"/>
      <c r="Y409" s="120"/>
      <c r="Z409" s="49"/>
      <c r="AA409" s="116" t="str">
        <f t="shared" si="7"/>
        <v>#REF!</v>
      </c>
    </row>
    <row r="410" hidden="1">
      <c r="I410" s="49"/>
      <c r="J410" s="49"/>
      <c r="K410" s="49"/>
      <c r="L410" s="49"/>
      <c r="M410" s="104"/>
      <c r="N410" s="104"/>
      <c r="O410" s="115" t="str">
        <f t="shared" si="2"/>
        <v>Não</v>
      </c>
      <c r="P410" s="104"/>
      <c r="Q410" s="104"/>
      <c r="R410" s="104"/>
      <c r="S410" s="104"/>
      <c r="T410" s="104"/>
      <c r="U410" s="104">
        <f t="shared" si="3"/>
        <v>0</v>
      </c>
      <c r="V410" s="115" t="str">
        <f t="shared" si="4"/>
        <v>Não</v>
      </c>
      <c r="W410" s="116" t="str">
        <f t="shared" si="5"/>
        <v>Igual</v>
      </c>
      <c r="X410" s="120"/>
      <c r="Y410" s="120"/>
      <c r="Z410" s="49"/>
      <c r="AA410" s="116" t="str">
        <f t="shared" si="7"/>
        <v>#REF!</v>
      </c>
    </row>
    <row r="411" hidden="1">
      <c r="I411" s="49"/>
      <c r="J411" s="49"/>
      <c r="K411" s="49"/>
      <c r="L411" s="49"/>
      <c r="M411" s="104"/>
      <c r="N411" s="104"/>
      <c r="O411" s="115" t="str">
        <f t="shared" si="2"/>
        <v>Não</v>
      </c>
      <c r="P411" s="104"/>
      <c r="Q411" s="104"/>
      <c r="R411" s="104"/>
      <c r="S411" s="104"/>
      <c r="T411" s="104"/>
      <c r="U411" s="104">
        <f t="shared" si="3"/>
        <v>0</v>
      </c>
      <c r="V411" s="115" t="str">
        <f t="shared" si="4"/>
        <v>Não</v>
      </c>
      <c r="W411" s="116" t="str">
        <f t="shared" si="5"/>
        <v>Igual</v>
      </c>
      <c r="X411" s="120"/>
      <c r="Y411" s="120"/>
      <c r="Z411" s="49"/>
      <c r="AA411" s="116" t="str">
        <f t="shared" si="7"/>
        <v>#REF!</v>
      </c>
    </row>
    <row r="412" hidden="1">
      <c r="I412" s="49"/>
      <c r="J412" s="49"/>
      <c r="K412" s="49"/>
      <c r="L412" s="49"/>
      <c r="M412" s="104"/>
      <c r="N412" s="104"/>
      <c r="O412" s="115" t="str">
        <f t="shared" si="2"/>
        <v>Não</v>
      </c>
      <c r="P412" s="104"/>
      <c r="Q412" s="104"/>
      <c r="R412" s="104"/>
      <c r="S412" s="104"/>
      <c r="T412" s="104"/>
      <c r="U412" s="104">
        <f t="shared" si="3"/>
        <v>0</v>
      </c>
      <c r="V412" s="115" t="str">
        <f t="shared" si="4"/>
        <v>Não</v>
      </c>
      <c r="W412" s="116" t="str">
        <f t="shared" si="5"/>
        <v>Igual</v>
      </c>
      <c r="X412" s="120"/>
      <c r="Y412" s="120"/>
      <c r="Z412" s="49"/>
      <c r="AA412" s="116" t="str">
        <f t="shared" si="7"/>
        <v>#REF!</v>
      </c>
    </row>
    <row r="413" hidden="1">
      <c r="I413" s="49"/>
      <c r="J413" s="49"/>
      <c r="K413" s="49"/>
      <c r="L413" s="49"/>
      <c r="M413" s="104"/>
      <c r="N413" s="104"/>
      <c r="O413" s="115" t="str">
        <f t="shared" si="2"/>
        <v>Não</v>
      </c>
      <c r="P413" s="104"/>
      <c r="Q413" s="104"/>
      <c r="R413" s="104"/>
      <c r="S413" s="104"/>
      <c r="T413" s="104"/>
      <c r="U413" s="104">
        <f t="shared" si="3"/>
        <v>0</v>
      </c>
      <c r="V413" s="115" t="str">
        <f t="shared" si="4"/>
        <v>Não</v>
      </c>
      <c r="W413" s="116" t="str">
        <f t="shared" si="5"/>
        <v>Igual</v>
      </c>
      <c r="X413" s="120"/>
      <c r="Y413" s="120"/>
      <c r="Z413" s="49"/>
      <c r="AA413" s="116" t="str">
        <f t="shared" si="7"/>
        <v>#REF!</v>
      </c>
    </row>
    <row r="414" hidden="1">
      <c r="I414" s="49"/>
      <c r="J414" s="49"/>
      <c r="K414" s="49"/>
      <c r="L414" s="49"/>
      <c r="M414" s="104"/>
      <c r="N414" s="104"/>
      <c r="O414" s="115" t="str">
        <f t="shared" si="2"/>
        <v>Não</v>
      </c>
      <c r="P414" s="104"/>
      <c r="Q414" s="104"/>
      <c r="R414" s="104"/>
      <c r="S414" s="104"/>
      <c r="T414" s="104"/>
      <c r="U414" s="104">
        <f t="shared" si="3"/>
        <v>0</v>
      </c>
      <c r="V414" s="115" t="str">
        <f t="shared" si="4"/>
        <v>Não</v>
      </c>
      <c r="W414" s="116" t="str">
        <f t="shared" si="5"/>
        <v>Igual</v>
      </c>
      <c r="X414" s="120"/>
      <c r="Y414" s="120"/>
      <c r="Z414" s="49"/>
      <c r="AA414" s="116" t="str">
        <f t="shared" si="7"/>
        <v>#REF!</v>
      </c>
    </row>
    <row r="415" hidden="1">
      <c r="I415" s="49"/>
      <c r="J415" s="49"/>
      <c r="K415" s="49"/>
      <c r="L415" s="49"/>
      <c r="M415" s="104"/>
      <c r="N415" s="104"/>
      <c r="O415" s="115" t="str">
        <f t="shared" si="2"/>
        <v>Não</v>
      </c>
      <c r="P415" s="104"/>
      <c r="Q415" s="104"/>
      <c r="R415" s="104"/>
      <c r="S415" s="104"/>
      <c r="T415" s="104"/>
      <c r="U415" s="104">
        <f t="shared" si="3"/>
        <v>0</v>
      </c>
      <c r="V415" s="115" t="str">
        <f t="shared" si="4"/>
        <v>Não</v>
      </c>
      <c r="W415" s="116" t="str">
        <f t="shared" si="5"/>
        <v>Igual</v>
      </c>
      <c r="X415" s="120"/>
      <c r="Y415" s="120"/>
      <c r="Z415" s="49"/>
      <c r="AA415" s="116" t="str">
        <f t="shared" si="7"/>
        <v>#REF!</v>
      </c>
    </row>
    <row r="416" hidden="1">
      <c r="I416" s="49"/>
      <c r="J416" s="49"/>
      <c r="K416" s="49"/>
      <c r="L416" s="49"/>
      <c r="M416" s="104"/>
      <c r="N416" s="104"/>
      <c r="O416" s="115" t="str">
        <f t="shared" si="2"/>
        <v>Não</v>
      </c>
      <c r="P416" s="104"/>
      <c r="Q416" s="104"/>
      <c r="R416" s="104"/>
      <c r="S416" s="104"/>
      <c r="T416" s="104"/>
      <c r="U416" s="104">
        <f t="shared" si="3"/>
        <v>0</v>
      </c>
      <c r="V416" s="115" t="str">
        <f t="shared" si="4"/>
        <v>Não</v>
      </c>
      <c r="W416" s="116" t="str">
        <f t="shared" si="5"/>
        <v>Igual</v>
      </c>
      <c r="X416" s="120"/>
      <c r="Y416" s="120"/>
      <c r="Z416" s="49"/>
      <c r="AA416" s="116" t="str">
        <f t="shared" si="7"/>
        <v>#REF!</v>
      </c>
    </row>
    <row r="417" hidden="1">
      <c r="I417" s="49"/>
      <c r="J417" s="49"/>
      <c r="K417" s="49"/>
      <c r="L417" s="49"/>
      <c r="M417" s="104"/>
      <c r="N417" s="104"/>
      <c r="O417" s="115" t="str">
        <f t="shared" si="2"/>
        <v>Não</v>
      </c>
      <c r="P417" s="104"/>
      <c r="Q417" s="104"/>
      <c r="R417" s="104"/>
      <c r="S417" s="104"/>
      <c r="T417" s="104"/>
      <c r="U417" s="104">
        <f t="shared" si="3"/>
        <v>0</v>
      </c>
      <c r="V417" s="115" t="str">
        <f t="shared" si="4"/>
        <v>Não</v>
      </c>
      <c r="W417" s="116" t="str">
        <f t="shared" si="5"/>
        <v>Igual</v>
      </c>
      <c r="X417" s="120"/>
      <c r="Y417" s="120"/>
      <c r="Z417" s="49"/>
      <c r="AA417" s="116" t="str">
        <f t="shared" si="7"/>
        <v>#REF!</v>
      </c>
    </row>
    <row r="418" hidden="1">
      <c r="I418" s="49"/>
      <c r="J418" s="49"/>
      <c r="K418" s="49"/>
      <c r="L418" s="49"/>
      <c r="M418" s="104"/>
      <c r="N418" s="104"/>
      <c r="O418" s="115" t="str">
        <f t="shared" si="2"/>
        <v>Não</v>
      </c>
      <c r="P418" s="104"/>
      <c r="Q418" s="104"/>
      <c r="R418" s="104"/>
      <c r="S418" s="104"/>
      <c r="T418" s="104"/>
      <c r="U418" s="104">
        <f t="shared" si="3"/>
        <v>0</v>
      </c>
      <c r="V418" s="115" t="str">
        <f t="shared" si="4"/>
        <v>Não</v>
      </c>
      <c r="W418" s="116" t="str">
        <f t="shared" si="5"/>
        <v>Igual</v>
      </c>
      <c r="X418" s="120"/>
      <c r="Y418" s="120"/>
      <c r="Z418" s="49"/>
      <c r="AA418" s="116" t="str">
        <f t="shared" si="7"/>
        <v>#REF!</v>
      </c>
    </row>
    <row r="419" hidden="1">
      <c r="I419" s="49"/>
      <c r="J419" s="49"/>
      <c r="K419" s="49"/>
      <c r="L419" s="49"/>
      <c r="M419" s="104"/>
      <c r="N419" s="104"/>
      <c r="O419" s="115" t="str">
        <f t="shared" si="2"/>
        <v>Não</v>
      </c>
      <c r="P419" s="104"/>
      <c r="Q419" s="104"/>
      <c r="R419" s="104"/>
      <c r="S419" s="104"/>
      <c r="T419" s="104"/>
      <c r="U419" s="104">
        <f t="shared" si="3"/>
        <v>0</v>
      </c>
      <c r="V419" s="115" t="str">
        <f t="shared" si="4"/>
        <v>Não</v>
      </c>
      <c r="W419" s="116" t="str">
        <f t="shared" si="5"/>
        <v>Igual</v>
      </c>
      <c r="X419" s="120"/>
      <c r="Y419" s="120"/>
      <c r="Z419" s="49"/>
      <c r="AA419" s="116" t="str">
        <f t="shared" si="7"/>
        <v>#REF!</v>
      </c>
    </row>
    <row r="420" hidden="1">
      <c r="I420" s="49"/>
      <c r="J420" s="49"/>
      <c r="K420" s="49"/>
      <c r="L420" s="49"/>
      <c r="M420" s="104"/>
      <c r="N420" s="104"/>
      <c r="O420" s="115" t="str">
        <f t="shared" si="2"/>
        <v>Não</v>
      </c>
      <c r="P420" s="104"/>
      <c r="Q420" s="104"/>
      <c r="R420" s="104"/>
      <c r="S420" s="104"/>
      <c r="T420" s="104"/>
      <c r="U420" s="104">
        <f t="shared" si="3"/>
        <v>0</v>
      </c>
      <c r="V420" s="115" t="str">
        <f t="shared" si="4"/>
        <v>Não</v>
      </c>
      <c r="W420" s="116" t="str">
        <f t="shared" si="5"/>
        <v>Igual</v>
      </c>
      <c r="X420" s="120"/>
      <c r="Y420" s="120"/>
      <c r="Z420" s="49"/>
      <c r="AA420" s="116" t="str">
        <f t="shared" si="7"/>
        <v>#REF!</v>
      </c>
    </row>
    <row r="421" hidden="1">
      <c r="I421" s="49"/>
      <c r="J421" s="49"/>
      <c r="K421" s="49"/>
      <c r="L421" s="49"/>
      <c r="M421" s="104"/>
      <c r="N421" s="104"/>
      <c r="O421" s="115" t="str">
        <f t="shared" si="2"/>
        <v>Não</v>
      </c>
      <c r="P421" s="104"/>
      <c r="Q421" s="104"/>
      <c r="R421" s="104"/>
      <c r="S421" s="104"/>
      <c r="T421" s="104"/>
      <c r="U421" s="104">
        <f t="shared" si="3"/>
        <v>0</v>
      </c>
      <c r="V421" s="115" t="str">
        <f t="shared" si="4"/>
        <v>Não</v>
      </c>
      <c r="W421" s="116" t="str">
        <f t="shared" si="5"/>
        <v>Igual</v>
      </c>
      <c r="X421" s="120"/>
      <c r="Y421" s="120"/>
      <c r="Z421" s="49"/>
      <c r="AA421" s="116" t="str">
        <f t="shared" si="7"/>
        <v>#REF!</v>
      </c>
    </row>
    <row r="422" hidden="1">
      <c r="I422" s="49"/>
      <c r="J422" s="49"/>
      <c r="K422" s="49"/>
      <c r="L422" s="49"/>
      <c r="M422" s="104"/>
      <c r="N422" s="104"/>
      <c r="O422" s="115" t="str">
        <f t="shared" si="2"/>
        <v>Não</v>
      </c>
      <c r="P422" s="104"/>
      <c r="Q422" s="104"/>
      <c r="R422" s="104"/>
      <c r="S422" s="104"/>
      <c r="T422" s="104"/>
      <c r="U422" s="104">
        <f t="shared" si="3"/>
        <v>0</v>
      </c>
      <c r="V422" s="115" t="str">
        <f t="shared" si="4"/>
        <v>Não</v>
      </c>
      <c r="W422" s="116" t="str">
        <f t="shared" si="5"/>
        <v>Igual</v>
      </c>
      <c r="X422" s="120"/>
      <c r="Y422" s="120"/>
      <c r="Z422" s="49"/>
      <c r="AA422" s="116" t="str">
        <f t="shared" si="7"/>
        <v>#REF!</v>
      </c>
    </row>
    <row r="423" hidden="1">
      <c r="I423" s="49"/>
      <c r="J423" s="49"/>
      <c r="K423" s="49"/>
      <c r="L423" s="49"/>
      <c r="M423" s="104"/>
      <c r="N423" s="104"/>
      <c r="O423" s="115" t="str">
        <f t="shared" si="2"/>
        <v>Não</v>
      </c>
      <c r="P423" s="104"/>
      <c r="Q423" s="104"/>
      <c r="R423" s="104"/>
      <c r="S423" s="104"/>
      <c r="T423" s="104"/>
      <c r="U423" s="104">
        <f t="shared" si="3"/>
        <v>0</v>
      </c>
      <c r="V423" s="115" t="str">
        <f t="shared" si="4"/>
        <v>Não</v>
      </c>
      <c r="W423" s="116" t="str">
        <f t="shared" si="5"/>
        <v>Igual</v>
      </c>
      <c r="X423" s="120"/>
      <c r="Y423" s="120"/>
      <c r="Z423" s="49"/>
      <c r="AA423" s="116" t="str">
        <f t="shared" si="7"/>
        <v>#REF!</v>
      </c>
    </row>
    <row r="424" hidden="1">
      <c r="I424" s="49"/>
      <c r="J424" s="49"/>
      <c r="K424" s="49"/>
      <c r="L424" s="49"/>
      <c r="M424" s="104"/>
      <c r="N424" s="104"/>
      <c r="O424" s="115" t="str">
        <f t="shared" si="2"/>
        <v>Não</v>
      </c>
      <c r="P424" s="104"/>
      <c r="Q424" s="104"/>
      <c r="R424" s="104"/>
      <c r="S424" s="104"/>
      <c r="T424" s="104"/>
      <c r="U424" s="104">
        <f t="shared" si="3"/>
        <v>0</v>
      </c>
      <c r="V424" s="115" t="str">
        <f t="shared" si="4"/>
        <v>Não</v>
      </c>
      <c r="W424" s="116" t="str">
        <f t="shared" si="5"/>
        <v>Igual</v>
      </c>
      <c r="X424" s="120"/>
      <c r="Y424" s="120"/>
      <c r="Z424" s="49"/>
      <c r="AA424" s="116" t="str">
        <f t="shared" si="7"/>
        <v>#REF!</v>
      </c>
    </row>
    <row r="425" hidden="1">
      <c r="I425" s="49"/>
      <c r="J425" s="49"/>
      <c r="K425" s="49"/>
      <c r="L425" s="49"/>
      <c r="M425" s="104"/>
      <c r="N425" s="104"/>
      <c r="O425" s="115" t="str">
        <f t="shared" si="2"/>
        <v>Não</v>
      </c>
      <c r="P425" s="104"/>
      <c r="Q425" s="104"/>
      <c r="R425" s="104"/>
      <c r="S425" s="104"/>
      <c r="T425" s="104"/>
      <c r="U425" s="104">
        <f t="shared" si="3"/>
        <v>0</v>
      </c>
      <c r="V425" s="115" t="str">
        <f t="shared" si="4"/>
        <v>Não</v>
      </c>
      <c r="W425" s="116" t="str">
        <f t="shared" si="5"/>
        <v>Igual</v>
      </c>
      <c r="X425" s="120"/>
      <c r="Y425" s="120"/>
      <c r="Z425" s="49"/>
      <c r="AA425" s="116" t="str">
        <f t="shared" si="7"/>
        <v>#REF!</v>
      </c>
    </row>
    <row r="426" hidden="1">
      <c r="I426" s="49"/>
      <c r="J426" s="49"/>
      <c r="K426" s="49"/>
      <c r="L426" s="49"/>
      <c r="M426" s="104"/>
      <c r="N426" s="104"/>
      <c r="O426" s="115" t="str">
        <f t="shared" si="2"/>
        <v>Não</v>
      </c>
      <c r="P426" s="104"/>
      <c r="Q426" s="104"/>
      <c r="R426" s="104"/>
      <c r="S426" s="104"/>
      <c r="T426" s="104"/>
      <c r="U426" s="104">
        <f t="shared" si="3"/>
        <v>0</v>
      </c>
      <c r="V426" s="115" t="str">
        <f t="shared" si="4"/>
        <v>Não</v>
      </c>
      <c r="W426" s="116" t="str">
        <f t="shared" si="5"/>
        <v>Igual</v>
      </c>
      <c r="X426" s="120"/>
      <c r="Y426" s="120"/>
      <c r="Z426" s="49"/>
      <c r="AA426" s="116" t="str">
        <f t="shared" si="7"/>
        <v>#REF!</v>
      </c>
    </row>
    <row r="427" hidden="1">
      <c r="I427" s="49"/>
      <c r="J427" s="49"/>
      <c r="K427" s="49"/>
      <c r="L427" s="49"/>
      <c r="M427" s="104"/>
      <c r="N427" s="104"/>
      <c r="O427" s="115" t="str">
        <f t="shared" si="2"/>
        <v>Não</v>
      </c>
      <c r="P427" s="104"/>
      <c r="Q427" s="104"/>
      <c r="R427" s="104"/>
      <c r="S427" s="104"/>
      <c r="T427" s="104"/>
      <c r="U427" s="104">
        <f t="shared" si="3"/>
        <v>0</v>
      </c>
      <c r="V427" s="115" t="str">
        <f t="shared" si="4"/>
        <v>Não</v>
      </c>
      <c r="W427" s="116" t="str">
        <f t="shared" si="5"/>
        <v>Igual</v>
      </c>
      <c r="X427" s="120"/>
      <c r="Y427" s="120"/>
      <c r="Z427" s="49"/>
      <c r="AA427" s="116" t="str">
        <f t="shared" si="7"/>
        <v>#REF!</v>
      </c>
    </row>
    <row r="428" hidden="1">
      <c r="I428" s="49"/>
      <c r="J428" s="49"/>
      <c r="K428" s="49"/>
      <c r="L428" s="49"/>
      <c r="M428" s="104"/>
      <c r="N428" s="104"/>
      <c r="O428" s="115" t="str">
        <f t="shared" si="2"/>
        <v>Não</v>
      </c>
      <c r="P428" s="104"/>
      <c r="Q428" s="104"/>
      <c r="R428" s="104"/>
      <c r="S428" s="104"/>
      <c r="T428" s="104"/>
      <c r="U428" s="104">
        <f t="shared" si="3"/>
        <v>0</v>
      </c>
      <c r="V428" s="115" t="str">
        <f t="shared" si="4"/>
        <v>Não</v>
      </c>
      <c r="W428" s="116" t="str">
        <f t="shared" si="5"/>
        <v>Igual</v>
      </c>
      <c r="X428" s="120"/>
      <c r="Y428" s="120"/>
      <c r="Z428" s="49"/>
      <c r="AA428" s="116" t="str">
        <f t="shared" si="7"/>
        <v>#REF!</v>
      </c>
    </row>
    <row r="429" hidden="1">
      <c r="I429" s="49"/>
      <c r="J429" s="49"/>
      <c r="K429" s="49"/>
      <c r="L429" s="49"/>
      <c r="M429" s="104"/>
      <c r="N429" s="104"/>
      <c r="O429" s="115" t="str">
        <f t="shared" si="2"/>
        <v>Não</v>
      </c>
      <c r="P429" s="104"/>
      <c r="Q429" s="104"/>
      <c r="R429" s="104"/>
      <c r="S429" s="104"/>
      <c r="T429" s="104"/>
      <c r="U429" s="104">
        <f t="shared" si="3"/>
        <v>0</v>
      </c>
      <c r="V429" s="115" t="str">
        <f t="shared" si="4"/>
        <v>Não</v>
      </c>
      <c r="W429" s="116" t="str">
        <f t="shared" si="5"/>
        <v>Igual</v>
      </c>
      <c r="X429" s="120"/>
      <c r="Y429" s="120"/>
      <c r="Z429" s="49"/>
      <c r="AA429" s="116" t="str">
        <f t="shared" si="7"/>
        <v>#REF!</v>
      </c>
    </row>
    <row r="430" hidden="1">
      <c r="I430" s="49"/>
      <c r="J430" s="49"/>
      <c r="K430" s="49"/>
      <c r="L430" s="49"/>
      <c r="M430" s="104"/>
      <c r="N430" s="104"/>
      <c r="O430" s="115" t="str">
        <f t="shared" si="2"/>
        <v>Não</v>
      </c>
      <c r="P430" s="104"/>
      <c r="Q430" s="104"/>
      <c r="R430" s="104"/>
      <c r="S430" s="104"/>
      <c r="T430" s="104"/>
      <c r="U430" s="104">
        <f t="shared" si="3"/>
        <v>0</v>
      </c>
      <c r="V430" s="115" t="str">
        <f t="shared" si="4"/>
        <v>Não</v>
      </c>
      <c r="W430" s="116" t="str">
        <f t="shared" si="5"/>
        <v>Igual</v>
      </c>
      <c r="X430" s="120"/>
      <c r="Y430" s="120"/>
      <c r="Z430" s="49"/>
      <c r="AA430" s="116" t="str">
        <f t="shared" si="7"/>
        <v>#REF!</v>
      </c>
    </row>
    <row r="431" hidden="1">
      <c r="I431" s="49"/>
      <c r="J431" s="49"/>
      <c r="K431" s="49"/>
      <c r="L431" s="49"/>
      <c r="M431" s="104"/>
      <c r="N431" s="104"/>
      <c r="O431" s="115" t="str">
        <f t="shared" si="2"/>
        <v>Não</v>
      </c>
      <c r="P431" s="104"/>
      <c r="Q431" s="104"/>
      <c r="R431" s="104"/>
      <c r="S431" s="104"/>
      <c r="T431" s="104"/>
      <c r="U431" s="104">
        <f t="shared" si="3"/>
        <v>0</v>
      </c>
      <c r="V431" s="115" t="str">
        <f t="shared" si="4"/>
        <v>Não</v>
      </c>
      <c r="W431" s="116" t="str">
        <f t="shared" si="5"/>
        <v>Igual</v>
      </c>
      <c r="X431" s="120"/>
      <c r="Y431" s="120"/>
      <c r="Z431" s="49"/>
      <c r="AA431" s="116" t="str">
        <f t="shared" si="7"/>
        <v>#REF!</v>
      </c>
    </row>
    <row r="432" hidden="1">
      <c r="I432" s="49"/>
      <c r="J432" s="49"/>
      <c r="K432" s="49"/>
      <c r="L432" s="49"/>
      <c r="M432" s="104"/>
      <c r="N432" s="104"/>
      <c r="O432" s="115" t="str">
        <f t="shared" si="2"/>
        <v>Não</v>
      </c>
      <c r="P432" s="104"/>
      <c r="Q432" s="104"/>
      <c r="R432" s="104"/>
      <c r="S432" s="104"/>
      <c r="T432" s="104"/>
      <c r="U432" s="104">
        <f t="shared" si="3"/>
        <v>0</v>
      </c>
      <c r="V432" s="115" t="str">
        <f t="shared" si="4"/>
        <v>Não</v>
      </c>
      <c r="W432" s="116" t="str">
        <f t="shared" si="5"/>
        <v>Igual</v>
      </c>
      <c r="X432" s="120"/>
      <c r="Y432" s="120"/>
      <c r="Z432" s="49"/>
      <c r="AA432" s="116" t="str">
        <f t="shared" si="7"/>
        <v>#REF!</v>
      </c>
    </row>
    <row r="433" hidden="1">
      <c r="I433" s="49"/>
      <c r="J433" s="49"/>
      <c r="K433" s="49"/>
      <c r="L433" s="49"/>
      <c r="M433" s="104"/>
      <c r="N433" s="104"/>
      <c r="O433" s="115" t="str">
        <f t="shared" si="2"/>
        <v>Não</v>
      </c>
      <c r="P433" s="104"/>
      <c r="Q433" s="104"/>
      <c r="R433" s="104"/>
      <c r="S433" s="104"/>
      <c r="T433" s="104"/>
      <c r="U433" s="104">
        <f t="shared" si="3"/>
        <v>0</v>
      </c>
      <c r="V433" s="115" t="str">
        <f t="shared" si="4"/>
        <v>Não</v>
      </c>
      <c r="W433" s="116" t="str">
        <f t="shared" si="5"/>
        <v>Igual</v>
      </c>
      <c r="X433" s="120"/>
      <c r="Y433" s="120"/>
      <c r="Z433" s="49"/>
      <c r="AA433" s="116" t="str">
        <f t="shared" si="7"/>
        <v>#REF!</v>
      </c>
    </row>
    <row r="434" hidden="1">
      <c r="I434" s="49"/>
      <c r="J434" s="49"/>
      <c r="K434" s="49"/>
      <c r="L434" s="49"/>
      <c r="M434" s="104"/>
      <c r="N434" s="104"/>
      <c r="O434" s="115" t="str">
        <f t="shared" si="2"/>
        <v>Não</v>
      </c>
      <c r="P434" s="104"/>
      <c r="Q434" s="104"/>
      <c r="R434" s="104"/>
      <c r="S434" s="104"/>
      <c r="T434" s="104"/>
      <c r="U434" s="104">
        <f t="shared" si="3"/>
        <v>0</v>
      </c>
      <c r="V434" s="115" t="str">
        <f t="shared" si="4"/>
        <v>Não</v>
      </c>
      <c r="W434" s="116" t="str">
        <f t="shared" si="5"/>
        <v>Igual</v>
      </c>
      <c r="X434" s="120"/>
      <c r="Y434" s="120"/>
      <c r="Z434" s="49"/>
      <c r="AA434" s="116" t="str">
        <f t="shared" si="7"/>
        <v>#REF!</v>
      </c>
    </row>
    <row r="435" hidden="1">
      <c r="I435" s="49"/>
      <c r="J435" s="49"/>
      <c r="K435" s="49"/>
      <c r="L435" s="49"/>
      <c r="M435" s="104"/>
      <c r="N435" s="104"/>
      <c r="O435" s="115" t="str">
        <f t="shared" si="2"/>
        <v>Não</v>
      </c>
      <c r="P435" s="104"/>
      <c r="Q435" s="104"/>
      <c r="R435" s="104"/>
      <c r="S435" s="104"/>
      <c r="T435" s="104"/>
      <c r="U435" s="104">
        <f t="shared" si="3"/>
        <v>0</v>
      </c>
      <c r="V435" s="115" t="str">
        <f t="shared" si="4"/>
        <v>Não</v>
      </c>
      <c r="W435" s="116" t="str">
        <f t="shared" si="5"/>
        <v>Igual</v>
      </c>
      <c r="X435" s="120"/>
      <c r="Y435" s="120"/>
      <c r="Z435" s="49"/>
      <c r="AA435" s="116" t="str">
        <f t="shared" si="7"/>
        <v>#REF!</v>
      </c>
    </row>
    <row r="436" hidden="1">
      <c r="I436" s="49"/>
      <c r="J436" s="49"/>
      <c r="K436" s="49"/>
      <c r="L436" s="49"/>
      <c r="M436" s="104"/>
      <c r="N436" s="104"/>
      <c r="O436" s="115" t="str">
        <f t="shared" si="2"/>
        <v>Não</v>
      </c>
      <c r="P436" s="104"/>
      <c r="Q436" s="104"/>
      <c r="R436" s="104"/>
      <c r="S436" s="104"/>
      <c r="T436" s="104"/>
      <c r="U436" s="104">
        <f t="shared" si="3"/>
        <v>0</v>
      </c>
      <c r="V436" s="115" t="str">
        <f t="shared" si="4"/>
        <v>Não</v>
      </c>
      <c r="W436" s="116" t="str">
        <f t="shared" si="5"/>
        <v>Igual</v>
      </c>
      <c r="X436" s="120"/>
      <c r="Y436" s="120"/>
      <c r="Z436" s="49"/>
      <c r="AA436" s="116" t="str">
        <f t="shared" si="7"/>
        <v>#REF!</v>
      </c>
    </row>
    <row r="437" hidden="1">
      <c r="I437" s="49"/>
      <c r="J437" s="49"/>
      <c r="K437" s="49"/>
      <c r="L437" s="49"/>
      <c r="M437" s="104"/>
      <c r="N437" s="104"/>
      <c r="O437" s="115" t="str">
        <f t="shared" si="2"/>
        <v>Não</v>
      </c>
      <c r="P437" s="104"/>
      <c r="Q437" s="104"/>
      <c r="R437" s="104"/>
      <c r="S437" s="104"/>
      <c r="T437" s="104"/>
      <c r="U437" s="104">
        <f t="shared" si="3"/>
        <v>0</v>
      </c>
      <c r="V437" s="115" t="str">
        <f t="shared" si="4"/>
        <v>Não</v>
      </c>
      <c r="W437" s="116" t="str">
        <f t="shared" si="5"/>
        <v>Igual</v>
      </c>
      <c r="X437" s="120"/>
      <c r="Y437" s="120"/>
      <c r="Z437" s="49"/>
      <c r="AA437" s="116" t="str">
        <f t="shared" si="7"/>
        <v>#REF!</v>
      </c>
    </row>
    <row r="438" hidden="1">
      <c r="I438" s="49"/>
      <c r="J438" s="49"/>
      <c r="K438" s="49"/>
      <c r="L438" s="49"/>
      <c r="M438" s="104"/>
      <c r="N438" s="104"/>
      <c r="O438" s="115" t="str">
        <f t="shared" si="2"/>
        <v>Não</v>
      </c>
      <c r="P438" s="104"/>
      <c r="Q438" s="104"/>
      <c r="R438" s="104"/>
      <c r="S438" s="104"/>
      <c r="T438" s="104"/>
      <c r="U438" s="104">
        <f t="shared" si="3"/>
        <v>0</v>
      </c>
      <c r="V438" s="115" t="str">
        <f t="shared" si="4"/>
        <v>Não</v>
      </c>
      <c r="W438" s="116" t="str">
        <f t="shared" si="5"/>
        <v>Igual</v>
      </c>
      <c r="X438" s="120"/>
      <c r="Y438" s="120"/>
      <c r="Z438" s="49"/>
      <c r="AA438" s="116" t="str">
        <f t="shared" si="7"/>
        <v>#REF!</v>
      </c>
    </row>
    <row r="439" hidden="1">
      <c r="I439" s="49"/>
      <c r="J439" s="49"/>
      <c r="K439" s="49"/>
      <c r="L439" s="49"/>
      <c r="M439" s="104"/>
      <c r="N439" s="104"/>
      <c r="O439" s="115" t="str">
        <f t="shared" si="2"/>
        <v>Não</v>
      </c>
      <c r="P439" s="104"/>
      <c r="Q439" s="104"/>
      <c r="R439" s="104"/>
      <c r="S439" s="104"/>
      <c r="T439" s="104"/>
      <c r="U439" s="104">
        <f t="shared" si="3"/>
        <v>0</v>
      </c>
      <c r="V439" s="115" t="str">
        <f t="shared" si="4"/>
        <v>Não</v>
      </c>
      <c r="W439" s="116" t="str">
        <f t="shared" si="5"/>
        <v>Igual</v>
      </c>
      <c r="X439" s="120"/>
      <c r="Y439" s="120"/>
      <c r="Z439" s="49"/>
      <c r="AA439" s="116" t="str">
        <f t="shared" si="7"/>
        <v>#REF!</v>
      </c>
    </row>
    <row r="440" hidden="1">
      <c r="I440" s="49"/>
      <c r="J440" s="49"/>
      <c r="K440" s="49"/>
      <c r="L440" s="49"/>
      <c r="M440" s="104"/>
      <c r="N440" s="104"/>
      <c r="O440" s="115" t="str">
        <f t="shared" si="2"/>
        <v>Não</v>
      </c>
      <c r="P440" s="104"/>
      <c r="Q440" s="104"/>
      <c r="R440" s="104"/>
      <c r="S440" s="104"/>
      <c r="T440" s="104"/>
      <c r="U440" s="104">
        <f t="shared" si="3"/>
        <v>0</v>
      </c>
      <c r="V440" s="115" t="str">
        <f t="shared" si="4"/>
        <v>Não</v>
      </c>
      <c r="W440" s="116" t="str">
        <f t="shared" si="5"/>
        <v>Igual</v>
      </c>
      <c r="X440" s="120"/>
      <c r="Y440" s="120"/>
      <c r="Z440" s="49"/>
      <c r="AA440" s="116" t="str">
        <f t="shared" si="7"/>
        <v>#REF!</v>
      </c>
    </row>
    <row r="441" hidden="1">
      <c r="I441" s="49"/>
      <c r="J441" s="49"/>
      <c r="K441" s="49"/>
      <c r="L441" s="49"/>
      <c r="M441" s="104"/>
      <c r="N441" s="104"/>
      <c r="O441" s="115" t="str">
        <f t="shared" si="2"/>
        <v>Não</v>
      </c>
      <c r="P441" s="104"/>
      <c r="Q441" s="104"/>
      <c r="R441" s="104"/>
      <c r="S441" s="104"/>
      <c r="T441" s="104"/>
      <c r="U441" s="104">
        <f t="shared" si="3"/>
        <v>0</v>
      </c>
      <c r="V441" s="115" t="str">
        <f t="shared" si="4"/>
        <v>Não</v>
      </c>
      <c r="W441" s="116" t="str">
        <f t="shared" si="5"/>
        <v>Igual</v>
      </c>
      <c r="X441" s="120"/>
      <c r="Y441" s="120"/>
      <c r="Z441" s="49"/>
      <c r="AA441" s="116" t="str">
        <f t="shared" si="7"/>
        <v>#REF!</v>
      </c>
    </row>
    <row r="442" hidden="1">
      <c r="I442" s="49"/>
      <c r="J442" s="49"/>
      <c r="K442" s="49"/>
      <c r="L442" s="49"/>
      <c r="M442" s="104"/>
      <c r="N442" s="104"/>
      <c r="O442" s="115" t="str">
        <f t="shared" si="2"/>
        <v>Não</v>
      </c>
      <c r="P442" s="104"/>
      <c r="Q442" s="104"/>
      <c r="R442" s="104"/>
      <c r="S442" s="104"/>
      <c r="T442" s="104"/>
      <c r="U442" s="104">
        <f t="shared" si="3"/>
        <v>0</v>
      </c>
      <c r="V442" s="115" t="str">
        <f t="shared" si="4"/>
        <v>Não</v>
      </c>
      <c r="W442" s="116" t="str">
        <f t="shared" si="5"/>
        <v>Igual</v>
      </c>
      <c r="X442" s="120"/>
      <c r="Y442" s="120"/>
      <c r="Z442" s="49"/>
      <c r="AA442" s="116" t="str">
        <f t="shared" si="7"/>
        <v>#REF!</v>
      </c>
    </row>
    <row r="443" hidden="1">
      <c r="I443" s="49"/>
      <c r="J443" s="49"/>
      <c r="K443" s="49"/>
      <c r="L443" s="49"/>
      <c r="M443" s="104"/>
      <c r="N443" s="104"/>
      <c r="O443" s="115" t="str">
        <f t="shared" si="2"/>
        <v>Não</v>
      </c>
      <c r="P443" s="104"/>
      <c r="Q443" s="104"/>
      <c r="R443" s="104"/>
      <c r="S443" s="104"/>
      <c r="T443" s="104"/>
      <c r="U443" s="104">
        <f t="shared" si="3"/>
        <v>0</v>
      </c>
      <c r="V443" s="115" t="str">
        <f t="shared" si="4"/>
        <v>Não</v>
      </c>
      <c r="W443" s="116" t="str">
        <f t="shared" si="5"/>
        <v>Igual</v>
      </c>
      <c r="X443" s="120"/>
      <c r="Y443" s="120"/>
      <c r="Z443" s="49"/>
      <c r="AA443" s="116" t="str">
        <f t="shared" si="7"/>
        <v>#REF!</v>
      </c>
    </row>
    <row r="444" hidden="1">
      <c r="I444" s="49"/>
      <c r="J444" s="49"/>
      <c r="K444" s="49"/>
      <c r="L444" s="49"/>
      <c r="M444" s="104"/>
      <c r="N444" s="104"/>
      <c r="O444" s="115" t="str">
        <f t="shared" si="2"/>
        <v>Não</v>
      </c>
      <c r="P444" s="104"/>
      <c r="Q444" s="104"/>
      <c r="R444" s="104"/>
      <c r="S444" s="104"/>
      <c r="T444" s="104"/>
      <c r="U444" s="104">
        <f t="shared" si="3"/>
        <v>0</v>
      </c>
      <c r="V444" s="115" t="str">
        <f t="shared" si="4"/>
        <v>Não</v>
      </c>
      <c r="W444" s="116" t="str">
        <f t="shared" si="5"/>
        <v>Igual</v>
      </c>
      <c r="X444" s="120"/>
      <c r="Y444" s="120"/>
      <c r="Z444" s="49"/>
      <c r="AA444" s="116" t="str">
        <f t="shared" si="7"/>
        <v>#REF!</v>
      </c>
    </row>
    <row r="445" hidden="1">
      <c r="I445" s="49"/>
      <c r="J445" s="49"/>
      <c r="K445" s="49"/>
      <c r="L445" s="49"/>
      <c r="M445" s="104"/>
      <c r="N445" s="104"/>
      <c r="O445" s="115" t="str">
        <f t="shared" si="2"/>
        <v>Não</v>
      </c>
      <c r="P445" s="104"/>
      <c r="Q445" s="104"/>
      <c r="R445" s="104"/>
      <c r="S445" s="104"/>
      <c r="T445" s="104"/>
      <c r="U445" s="104">
        <f t="shared" si="3"/>
        <v>0</v>
      </c>
      <c r="V445" s="115" t="str">
        <f t="shared" si="4"/>
        <v>Não</v>
      </c>
      <c r="W445" s="116" t="str">
        <f t="shared" si="5"/>
        <v>Igual</v>
      </c>
      <c r="X445" s="120"/>
      <c r="Y445" s="120"/>
      <c r="Z445" s="49"/>
      <c r="AA445" s="116" t="str">
        <f t="shared" si="7"/>
        <v>#REF!</v>
      </c>
    </row>
    <row r="446" hidden="1">
      <c r="I446" s="49"/>
      <c r="J446" s="49"/>
      <c r="K446" s="49"/>
      <c r="L446" s="49"/>
      <c r="M446" s="104"/>
      <c r="N446" s="104"/>
      <c r="O446" s="115" t="str">
        <f t="shared" si="2"/>
        <v>Não</v>
      </c>
      <c r="P446" s="104"/>
      <c r="Q446" s="104"/>
      <c r="R446" s="104"/>
      <c r="S446" s="104"/>
      <c r="T446" s="104"/>
      <c r="U446" s="104">
        <f t="shared" si="3"/>
        <v>0</v>
      </c>
      <c r="V446" s="115" t="str">
        <f t="shared" si="4"/>
        <v>Não</v>
      </c>
      <c r="W446" s="116" t="str">
        <f t="shared" si="5"/>
        <v>Igual</v>
      </c>
      <c r="X446" s="120"/>
      <c r="Y446" s="120"/>
      <c r="Z446" s="49"/>
      <c r="AA446" s="116" t="str">
        <f t="shared" si="7"/>
        <v>#REF!</v>
      </c>
    </row>
    <row r="447" hidden="1">
      <c r="I447" s="49"/>
      <c r="J447" s="49"/>
      <c r="K447" s="49"/>
      <c r="L447" s="49"/>
      <c r="M447" s="104"/>
      <c r="N447" s="104"/>
      <c r="O447" s="115" t="str">
        <f t="shared" si="2"/>
        <v>Não</v>
      </c>
      <c r="P447" s="104"/>
      <c r="Q447" s="104"/>
      <c r="R447" s="104"/>
      <c r="S447" s="104"/>
      <c r="T447" s="104"/>
      <c r="U447" s="104">
        <f t="shared" si="3"/>
        <v>0</v>
      </c>
      <c r="V447" s="115" t="str">
        <f t="shared" si="4"/>
        <v>Não</v>
      </c>
      <c r="W447" s="116" t="str">
        <f t="shared" si="5"/>
        <v>Igual</v>
      </c>
      <c r="X447" s="120"/>
      <c r="Y447" s="120"/>
      <c r="Z447" s="49"/>
      <c r="AA447" s="116" t="str">
        <f t="shared" si="7"/>
        <v>#REF!</v>
      </c>
    </row>
    <row r="448" hidden="1">
      <c r="I448" s="49"/>
      <c r="J448" s="49"/>
      <c r="K448" s="49"/>
      <c r="L448" s="49"/>
      <c r="M448" s="104"/>
      <c r="N448" s="104"/>
      <c r="O448" s="115" t="str">
        <f t="shared" si="2"/>
        <v>Não</v>
      </c>
      <c r="P448" s="104"/>
      <c r="Q448" s="104"/>
      <c r="R448" s="104"/>
      <c r="S448" s="104"/>
      <c r="T448" s="104"/>
      <c r="U448" s="104">
        <f t="shared" si="3"/>
        <v>0</v>
      </c>
      <c r="V448" s="115" t="str">
        <f t="shared" si="4"/>
        <v>Não</v>
      </c>
      <c r="W448" s="116" t="str">
        <f t="shared" si="5"/>
        <v>Igual</v>
      </c>
      <c r="X448" s="120"/>
      <c r="Y448" s="120"/>
      <c r="Z448" s="49"/>
      <c r="AA448" s="116" t="str">
        <f t="shared" si="7"/>
        <v>#REF!</v>
      </c>
    </row>
    <row r="449" hidden="1">
      <c r="I449" s="49"/>
      <c r="J449" s="49"/>
      <c r="K449" s="49"/>
      <c r="L449" s="49"/>
      <c r="M449" s="104"/>
      <c r="N449" s="104"/>
      <c r="O449" s="115" t="str">
        <f t="shared" si="2"/>
        <v>Não</v>
      </c>
      <c r="P449" s="104"/>
      <c r="Q449" s="104"/>
      <c r="R449" s="104"/>
      <c r="S449" s="104"/>
      <c r="T449" s="104"/>
      <c r="U449" s="104">
        <f t="shared" si="3"/>
        <v>0</v>
      </c>
      <c r="V449" s="115" t="str">
        <f t="shared" si="4"/>
        <v>Não</v>
      </c>
      <c r="W449" s="116" t="str">
        <f t="shared" si="5"/>
        <v>Igual</v>
      </c>
      <c r="X449" s="120"/>
      <c r="Y449" s="120"/>
      <c r="Z449" s="49"/>
      <c r="AA449" s="116" t="str">
        <f t="shared" si="7"/>
        <v>#REF!</v>
      </c>
    </row>
    <row r="450" hidden="1">
      <c r="I450" s="49"/>
      <c r="J450" s="49"/>
      <c r="K450" s="49"/>
      <c r="L450" s="49"/>
      <c r="M450" s="104"/>
      <c r="N450" s="104"/>
      <c r="O450" s="115" t="str">
        <f t="shared" si="2"/>
        <v>Não</v>
      </c>
      <c r="P450" s="104"/>
      <c r="Q450" s="104"/>
      <c r="R450" s="104"/>
      <c r="S450" s="104"/>
      <c r="T450" s="104"/>
      <c r="U450" s="104">
        <f t="shared" si="3"/>
        <v>0</v>
      </c>
      <c r="V450" s="115" t="str">
        <f t="shared" si="4"/>
        <v>Não</v>
      </c>
      <c r="W450" s="116" t="str">
        <f t="shared" si="5"/>
        <v>Igual</v>
      </c>
      <c r="X450" s="120"/>
      <c r="Y450" s="120"/>
      <c r="Z450" s="49"/>
      <c r="AA450" s="116" t="str">
        <f t="shared" si="7"/>
        <v>#REF!</v>
      </c>
    </row>
    <row r="451" hidden="1">
      <c r="I451" s="49"/>
      <c r="J451" s="49"/>
      <c r="K451" s="49"/>
      <c r="L451" s="49"/>
      <c r="M451" s="104"/>
      <c r="N451" s="104"/>
      <c r="O451" s="115" t="str">
        <f t="shared" si="2"/>
        <v>Não</v>
      </c>
      <c r="P451" s="104"/>
      <c r="Q451" s="104"/>
      <c r="R451" s="104"/>
      <c r="S451" s="104"/>
      <c r="T451" s="104"/>
      <c r="U451" s="104">
        <f t="shared" si="3"/>
        <v>0</v>
      </c>
      <c r="V451" s="115" t="str">
        <f t="shared" si="4"/>
        <v>Não</v>
      </c>
      <c r="W451" s="116" t="str">
        <f t="shared" si="5"/>
        <v>Igual</v>
      </c>
      <c r="X451" s="120"/>
      <c r="Y451" s="120"/>
      <c r="Z451" s="49"/>
      <c r="AA451" s="116" t="str">
        <f t="shared" si="7"/>
        <v>#REF!</v>
      </c>
    </row>
    <row r="452" hidden="1">
      <c r="I452" s="49"/>
      <c r="J452" s="49"/>
      <c r="K452" s="49"/>
      <c r="L452" s="49"/>
      <c r="M452" s="104"/>
      <c r="N452" s="104"/>
      <c r="O452" s="115" t="str">
        <f t="shared" si="2"/>
        <v>Não</v>
      </c>
      <c r="P452" s="104"/>
      <c r="Q452" s="104"/>
      <c r="R452" s="104"/>
      <c r="S452" s="104"/>
      <c r="T452" s="104"/>
      <c r="U452" s="104">
        <f t="shared" si="3"/>
        <v>0</v>
      </c>
      <c r="V452" s="115" t="str">
        <f t="shared" si="4"/>
        <v>Não</v>
      </c>
      <c r="W452" s="116" t="str">
        <f t="shared" si="5"/>
        <v>Igual</v>
      </c>
      <c r="X452" s="120"/>
      <c r="Y452" s="120"/>
      <c r="Z452" s="49"/>
      <c r="AA452" s="116" t="str">
        <f t="shared" si="7"/>
        <v>#REF!</v>
      </c>
    </row>
    <row r="453" hidden="1">
      <c r="I453" s="49"/>
      <c r="J453" s="49"/>
      <c r="K453" s="49"/>
      <c r="L453" s="49"/>
      <c r="M453" s="104"/>
      <c r="N453" s="104"/>
      <c r="O453" s="115" t="str">
        <f t="shared" si="2"/>
        <v>Não</v>
      </c>
      <c r="P453" s="104"/>
      <c r="Q453" s="104"/>
      <c r="R453" s="104"/>
      <c r="S453" s="104"/>
      <c r="T453" s="104"/>
      <c r="U453" s="104">
        <f t="shared" si="3"/>
        <v>0</v>
      </c>
      <c r="V453" s="115" t="str">
        <f t="shared" si="4"/>
        <v>Não</v>
      </c>
      <c r="W453" s="116" t="str">
        <f t="shared" si="5"/>
        <v>Igual</v>
      </c>
      <c r="X453" s="120"/>
      <c r="Y453" s="120"/>
      <c r="Z453" s="49"/>
      <c r="AA453" s="116" t="str">
        <f t="shared" si="7"/>
        <v>#REF!</v>
      </c>
    </row>
    <row r="454" hidden="1">
      <c r="I454" s="49"/>
      <c r="J454" s="49"/>
      <c r="K454" s="49"/>
      <c r="L454" s="49"/>
      <c r="M454" s="104"/>
      <c r="N454" s="104"/>
      <c r="O454" s="115" t="str">
        <f t="shared" si="2"/>
        <v>Não</v>
      </c>
      <c r="P454" s="104"/>
      <c r="Q454" s="104"/>
      <c r="R454" s="104"/>
      <c r="S454" s="104"/>
      <c r="T454" s="104"/>
      <c r="U454" s="104">
        <f t="shared" si="3"/>
        <v>0</v>
      </c>
      <c r="V454" s="115" t="str">
        <f t="shared" si="4"/>
        <v>Não</v>
      </c>
      <c r="W454" s="116" t="str">
        <f t="shared" si="5"/>
        <v>Igual</v>
      </c>
      <c r="X454" s="120"/>
      <c r="Y454" s="120"/>
      <c r="Z454" s="49"/>
      <c r="AA454" s="116" t="str">
        <f t="shared" si="7"/>
        <v>#REF!</v>
      </c>
    </row>
    <row r="455" hidden="1">
      <c r="I455" s="49"/>
      <c r="J455" s="49"/>
      <c r="K455" s="49"/>
      <c r="L455" s="49"/>
      <c r="M455" s="104"/>
      <c r="N455" s="104"/>
      <c r="O455" s="115" t="str">
        <f t="shared" si="2"/>
        <v>Não</v>
      </c>
      <c r="P455" s="104"/>
      <c r="Q455" s="104"/>
      <c r="R455" s="104"/>
      <c r="S455" s="104"/>
      <c r="T455" s="104"/>
      <c r="U455" s="104">
        <f t="shared" si="3"/>
        <v>0</v>
      </c>
      <c r="V455" s="115" t="str">
        <f t="shared" si="4"/>
        <v>Não</v>
      </c>
      <c r="W455" s="116" t="str">
        <f t="shared" si="5"/>
        <v>Igual</v>
      </c>
      <c r="X455" s="120"/>
      <c r="Y455" s="120"/>
      <c r="Z455" s="49"/>
      <c r="AA455" s="116" t="str">
        <f t="shared" si="7"/>
        <v>#REF!</v>
      </c>
    </row>
    <row r="456" hidden="1">
      <c r="I456" s="49"/>
      <c r="J456" s="49"/>
      <c r="K456" s="49"/>
      <c r="L456" s="49"/>
      <c r="M456" s="104"/>
      <c r="N456" s="104"/>
      <c r="O456" s="115" t="str">
        <f t="shared" si="2"/>
        <v>Não</v>
      </c>
      <c r="P456" s="104"/>
      <c r="Q456" s="104"/>
      <c r="R456" s="104"/>
      <c r="S456" s="104"/>
      <c r="T456" s="104"/>
      <c r="U456" s="104">
        <f t="shared" si="3"/>
        <v>0</v>
      </c>
      <c r="V456" s="115" t="str">
        <f t="shared" si="4"/>
        <v>Não</v>
      </c>
      <c r="W456" s="116" t="str">
        <f t="shared" si="5"/>
        <v>Igual</v>
      </c>
      <c r="X456" s="120"/>
      <c r="Y456" s="120"/>
      <c r="Z456" s="49"/>
      <c r="AA456" s="116" t="str">
        <f t="shared" si="7"/>
        <v>#REF!</v>
      </c>
    </row>
    <row r="457" hidden="1">
      <c r="I457" s="49"/>
      <c r="J457" s="49"/>
      <c r="K457" s="49"/>
      <c r="L457" s="49"/>
      <c r="M457" s="104"/>
      <c r="N457" s="104"/>
      <c r="O457" s="115" t="str">
        <f t="shared" si="2"/>
        <v>Não</v>
      </c>
      <c r="P457" s="104"/>
      <c r="Q457" s="104"/>
      <c r="R457" s="104"/>
      <c r="S457" s="104"/>
      <c r="T457" s="104"/>
      <c r="U457" s="104">
        <f t="shared" si="3"/>
        <v>0</v>
      </c>
      <c r="V457" s="115" t="str">
        <f t="shared" si="4"/>
        <v>Não</v>
      </c>
      <c r="W457" s="116" t="str">
        <f t="shared" si="5"/>
        <v>Igual</v>
      </c>
      <c r="X457" s="120"/>
      <c r="Y457" s="120"/>
      <c r="Z457" s="49"/>
      <c r="AA457" s="116" t="str">
        <f t="shared" si="7"/>
        <v>#REF!</v>
      </c>
    </row>
    <row r="458" hidden="1">
      <c r="I458" s="49"/>
      <c r="J458" s="49"/>
      <c r="K458" s="49"/>
      <c r="L458" s="49"/>
      <c r="M458" s="104"/>
      <c r="N458" s="104"/>
      <c r="O458" s="115" t="str">
        <f t="shared" si="2"/>
        <v>Não</v>
      </c>
      <c r="P458" s="104"/>
      <c r="Q458" s="104"/>
      <c r="R458" s="104"/>
      <c r="S458" s="104"/>
      <c r="T458" s="104"/>
      <c r="U458" s="104">
        <f t="shared" si="3"/>
        <v>0</v>
      </c>
      <c r="V458" s="115" t="str">
        <f t="shared" si="4"/>
        <v>Não</v>
      </c>
      <c r="W458" s="116" t="str">
        <f t="shared" si="5"/>
        <v>Igual</v>
      </c>
      <c r="X458" s="120"/>
      <c r="Y458" s="120"/>
      <c r="Z458" s="49"/>
      <c r="AA458" s="116" t="str">
        <f t="shared" si="7"/>
        <v>#REF!</v>
      </c>
    </row>
    <row r="459" hidden="1">
      <c r="I459" s="49"/>
      <c r="J459" s="49"/>
      <c r="K459" s="49"/>
      <c r="L459" s="49"/>
      <c r="M459" s="104"/>
      <c r="N459" s="104"/>
      <c r="O459" s="115" t="str">
        <f t="shared" si="2"/>
        <v>Não</v>
      </c>
      <c r="P459" s="104"/>
      <c r="Q459" s="104"/>
      <c r="R459" s="104"/>
      <c r="S459" s="104"/>
      <c r="T459" s="104"/>
      <c r="U459" s="104">
        <f t="shared" si="3"/>
        <v>0</v>
      </c>
      <c r="V459" s="115" t="str">
        <f t="shared" si="4"/>
        <v>Não</v>
      </c>
      <c r="W459" s="116" t="str">
        <f t="shared" si="5"/>
        <v>Igual</v>
      </c>
      <c r="X459" s="120"/>
      <c r="Y459" s="120"/>
      <c r="Z459" s="49"/>
      <c r="AA459" s="116" t="str">
        <f t="shared" si="7"/>
        <v>#REF!</v>
      </c>
    </row>
    <row r="460" hidden="1">
      <c r="I460" s="49"/>
      <c r="J460" s="49"/>
      <c r="K460" s="49"/>
      <c r="L460" s="49"/>
      <c r="M460" s="104"/>
      <c r="N460" s="104"/>
      <c r="O460" s="115" t="str">
        <f t="shared" si="2"/>
        <v>Não</v>
      </c>
      <c r="P460" s="104"/>
      <c r="Q460" s="104"/>
      <c r="R460" s="104"/>
      <c r="S460" s="104"/>
      <c r="T460" s="104"/>
      <c r="U460" s="104">
        <f t="shared" si="3"/>
        <v>0</v>
      </c>
      <c r="V460" s="115" t="str">
        <f t="shared" si="4"/>
        <v>Não</v>
      </c>
      <c r="W460" s="116" t="str">
        <f t="shared" si="5"/>
        <v>Igual</v>
      </c>
      <c r="X460" s="120"/>
      <c r="Y460" s="120"/>
      <c r="Z460" s="49"/>
      <c r="AA460" s="116" t="str">
        <f t="shared" si="7"/>
        <v>#REF!</v>
      </c>
    </row>
    <row r="461" hidden="1">
      <c r="I461" s="49"/>
      <c r="J461" s="49"/>
      <c r="K461" s="49"/>
      <c r="L461" s="49"/>
      <c r="M461" s="104"/>
      <c r="N461" s="104"/>
      <c r="O461" s="115" t="str">
        <f t="shared" si="2"/>
        <v>Não</v>
      </c>
      <c r="P461" s="104"/>
      <c r="Q461" s="104"/>
      <c r="R461" s="104"/>
      <c r="S461" s="104"/>
      <c r="T461" s="104"/>
      <c r="U461" s="104">
        <f t="shared" si="3"/>
        <v>0</v>
      </c>
      <c r="V461" s="115" t="str">
        <f t="shared" si="4"/>
        <v>Não</v>
      </c>
      <c r="W461" s="116" t="str">
        <f t="shared" si="5"/>
        <v>Igual</v>
      </c>
      <c r="X461" s="120"/>
      <c r="Y461" s="120"/>
      <c r="Z461" s="49"/>
      <c r="AA461" s="116" t="str">
        <f t="shared" si="7"/>
        <v>#REF!</v>
      </c>
    </row>
    <row r="462" hidden="1">
      <c r="I462" s="49"/>
      <c r="J462" s="49"/>
      <c r="K462" s="49"/>
      <c r="L462" s="49"/>
      <c r="M462" s="104"/>
      <c r="N462" s="104"/>
      <c r="O462" s="115" t="str">
        <f t="shared" si="2"/>
        <v>Não</v>
      </c>
      <c r="P462" s="104"/>
      <c r="Q462" s="104"/>
      <c r="R462" s="104"/>
      <c r="S462" s="104"/>
      <c r="T462" s="104"/>
      <c r="U462" s="104">
        <f t="shared" si="3"/>
        <v>0</v>
      </c>
      <c r="V462" s="115" t="str">
        <f t="shared" si="4"/>
        <v>Não</v>
      </c>
      <c r="W462" s="116" t="str">
        <f t="shared" si="5"/>
        <v>Igual</v>
      </c>
      <c r="X462" s="120"/>
      <c r="Y462" s="120"/>
      <c r="Z462" s="49"/>
      <c r="AA462" s="116" t="str">
        <f t="shared" si="7"/>
        <v>#REF!</v>
      </c>
    </row>
    <row r="463" hidden="1">
      <c r="I463" s="49"/>
      <c r="J463" s="49"/>
      <c r="K463" s="49"/>
      <c r="L463" s="49"/>
      <c r="M463" s="104"/>
      <c r="N463" s="104"/>
      <c r="O463" s="115" t="str">
        <f t="shared" si="2"/>
        <v>Não</v>
      </c>
      <c r="P463" s="104"/>
      <c r="Q463" s="104"/>
      <c r="R463" s="104"/>
      <c r="S463" s="104"/>
      <c r="T463" s="104"/>
      <c r="U463" s="104">
        <f t="shared" si="3"/>
        <v>0</v>
      </c>
      <c r="V463" s="115" t="str">
        <f t="shared" si="4"/>
        <v>Não</v>
      </c>
      <c r="W463" s="116" t="str">
        <f t="shared" si="5"/>
        <v>Igual</v>
      </c>
      <c r="X463" s="120"/>
      <c r="Y463" s="120"/>
      <c r="Z463" s="49"/>
      <c r="AA463" s="116" t="str">
        <f t="shared" si="7"/>
        <v>#REF!</v>
      </c>
    </row>
    <row r="464" hidden="1">
      <c r="I464" s="49"/>
      <c r="J464" s="49"/>
      <c r="K464" s="49"/>
      <c r="L464" s="49"/>
      <c r="M464" s="104"/>
      <c r="N464" s="104"/>
      <c r="O464" s="115" t="str">
        <f t="shared" si="2"/>
        <v>Não</v>
      </c>
      <c r="P464" s="104"/>
      <c r="Q464" s="104"/>
      <c r="R464" s="104"/>
      <c r="S464" s="104"/>
      <c r="T464" s="104"/>
      <c r="U464" s="104">
        <f t="shared" si="3"/>
        <v>0</v>
      </c>
      <c r="V464" s="115" t="str">
        <f t="shared" si="4"/>
        <v>Não</v>
      </c>
      <c r="W464" s="116" t="str">
        <f t="shared" si="5"/>
        <v>Igual</v>
      </c>
      <c r="X464" s="120"/>
      <c r="Y464" s="120"/>
      <c r="Z464" s="49"/>
      <c r="AA464" s="116" t="str">
        <f t="shared" si="7"/>
        <v>#REF!</v>
      </c>
    </row>
    <row r="465" hidden="1">
      <c r="I465" s="49"/>
      <c r="J465" s="49"/>
      <c r="K465" s="49"/>
      <c r="L465" s="49"/>
      <c r="M465" s="104"/>
      <c r="N465" s="104"/>
      <c r="O465" s="115" t="str">
        <f t="shared" si="2"/>
        <v>Não</v>
      </c>
      <c r="P465" s="104"/>
      <c r="Q465" s="104"/>
      <c r="R465" s="104"/>
      <c r="S465" s="104"/>
      <c r="T465" s="104"/>
      <c r="U465" s="104">
        <f t="shared" si="3"/>
        <v>0</v>
      </c>
      <c r="V465" s="115" t="str">
        <f t="shared" si="4"/>
        <v>Não</v>
      </c>
      <c r="W465" s="116" t="str">
        <f t="shared" si="5"/>
        <v>Igual</v>
      </c>
      <c r="X465" s="120"/>
      <c r="Y465" s="120"/>
      <c r="Z465" s="49"/>
      <c r="AA465" s="116" t="str">
        <f t="shared" si="7"/>
        <v>#REF!</v>
      </c>
    </row>
    <row r="466" hidden="1">
      <c r="I466" s="49"/>
      <c r="J466" s="49"/>
      <c r="K466" s="49"/>
      <c r="L466" s="49"/>
      <c r="M466" s="104"/>
      <c r="N466" s="104"/>
      <c r="O466" s="115" t="str">
        <f t="shared" si="2"/>
        <v>Não</v>
      </c>
      <c r="P466" s="104"/>
      <c r="Q466" s="104"/>
      <c r="R466" s="104"/>
      <c r="S466" s="104"/>
      <c r="T466" s="104"/>
      <c r="U466" s="104">
        <f t="shared" si="3"/>
        <v>0</v>
      </c>
      <c r="V466" s="115" t="str">
        <f t="shared" si="4"/>
        <v>Não</v>
      </c>
      <c r="W466" s="116" t="str">
        <f t="shared" si="5"/>
        <v>Igual</v>
      </c>
      <c r="X466" s="120"/>
      <c r="Y466" s="120"/>
      <c r="Z466" s="49"/>
      <c r="AA466" s="116" t="str">
        <f t="shared" si="7"/>
        <v>#REF!</v>
      </c>
    </row>
    <row r="467" hidden="1">
      <c r="I467" s="49"/>
      <c r="J467" s="49"/>
      <c r="K467" s="49"/>
      <c r="L467" s="49"/>
      <c r="M467" s="104"/>
      <c r="N467" s="104"/>
      <c r="O467" s="115" t="str">
        <f t="shared" si="2"/>
        <v>Não</v>
      </c>
      <c r="P467" s="104"/>
      <c r="Q467" s="104"/>
      <c r="R467" s="104"/>
      <c r="S467" s="104"/>
      <c r="T467" s="104"/>
      <c r="U467" s="104">
        <f t="shared" si="3"/>
        <v>0</v>
      </c>
      <c r="V467" s="115" t="str">
        <f t="shared" si="4"/>
        <v>Não</v>
      </c>
      <c r="W467" s="116" t="str">
        <f t="shared" si="5"/>
        <v>Igual</v>
      </c>
      <c r="X467" s="120"/>
      <c r="Y467" s="120"/>
      <c r="Z467" s="49"/>
      <c r="AA467" s="116" t="str">
        <f t="shared" si="7"/>
        <v>#REF!</v>
      </c>
    </row>
    <row r="468" hidden="1">
      <c r="I468" s="49"/>
      <c r="J468" s="49"/>
      <c r="K468" s="49"/>
      <c r="L468" s="49"/>
      <c r="M468" s="104"/>
      <c r="N468" s="104"/>
      <c r="O468" s="115" t="str">
        <f t="shared" si="2"/>
        <v>Não</v>
      </c>
      <c r="P468" s="104"/>
      <c r="Q468" s="104"/>
      <c r="R468" s="104"/>
      <c r="S468" s="104"/>
      <c r="T468" s="104"/>
      <c r="U468" s="104">
        <f t="shared" si="3"/>
        <v>0</v>
      </c>
      <c r="V468" s="115" t="str">
        <f t="shared" si="4"/>
        <v>Não</v>
      </c>
      <c r="W468" s="116" t="str">
        <f t="shared" si="5"/>
        <v>Igual</v>
      </c>
      <c r="X468" s="120"/>
      <c r="Y468" s="120"/>
      <c r="Z468" s="49"/>
      <c r="AA468" s="116" t="str">
        <f t="shared" si="7"/>
        <v>#REF!</v>
      </c>
    </row>
    <row r="469" hidden="1">
      <c r="I469" s="49"/>
      <c r="J469" s="49"/>
      <c r="K469" s="49"/>
      <c r="L469" s="49"/>
      <c r="M469" s="104"/>
      <c r="N469" s="104"/>
      <c r="O469" s="115" t="str">
        <f t="shared" si="2"/>
        <v>Não</v>
      </c>
      <c r="P469" s="104"/>
      <c r="Q469" s="104"/>
      <c r="R469" s="104"/>
      <c r="S469" s="104"/>
      <c r="T469" s="104"/>
      <c r="U469" s="104">
        <f t="shared" si="3"/>
        <v>0</v>
      </c>
      <c r="V469" s="115" t="str">
        <f t="shared" si="4"/>
        <v>Não</v>
      </c>
      <c r="W469" s="116" t="str">
        <f t="shared" si="5"/>
        <v>Igual</v>
      </c>
      <c r="X469" s="120"/>
      <c r="Y469" s="120"/>
      <c r="Z469" s="49"/>
      <c r="AA469" s="116" t="str">
        <f t="shared" si="7"/>
        <v>#REF!</v>
      </c>
    </row>
    <row r="470" hidden="1">
      <c r="I470" s="49"/>
      <c r="J470" s="49"/>
      <c r="K470" s="49"/>
      <c r="L470" s="49"/>
      <c r="M470" s="104"/>
      <c r="N470" s="104"/>
      <c r="O470" s="115" t="str">
        <f t="shared" si="2"/>
        <v>Não</v>
      </c>
      <c r="P470" s="104"/>
      <c r="Q470" s="104"/>
      <c r="R470" s="104"/>
      <c r="S470" s="104"/>
      <c r="T470" s="104"/>
      <c r="U470" s="104">
        <f t="shared" si="3"/>
        <v>0</v>
      </c>
      <c r="V470" s="115" t="str">
        <f t="shared" si="4"/>
        <v>Não</v>
      </c>
      <c r="W470" s="116" t="str">
        <f t="shared" si="5"/>
        <v>Igual</v>
      </c>
      <c r="X470" s="120"/>
      <c r="Y470" s="120"/>
      <c r="Z470" s="49"/>
      <c r="AA470" s="116" t="str">
        <f t="shared" si="7"/>
        <v>#REF!</v>
      </c>
    </row>
    <row r="471" hidden="1">
      <c r="I471" s="49"/>
      <c r="J471" s="49"/>
      <c r="K471" s="49"/>
      <c r="L471" s="49"/>
      <c r="M471" s="104"/>
      <c r="N471" s="104"/>
      <c r="O471" s="115" t="str">
        <f t="shared" si="2"/>
        <v>Não</v>
      </c>
      <c r="P471" s="104"/>
      <c r="Q471" s="104"/>
      <c r="R471" s="104"/>
      <c r="S471" s="104"/>
      <c r="T471" s="104"/>
      <c r="U471" s="104">
        <f t="shared" si="3"/>
        <v>0</v>
      </c>
      <c r="V471" s="115" t="str">
        <f t="shared" si="4"/>
        <v>Não</v>
      </c>
      <c r="W471" s="116" t="str">
        <f t="shared" si="5"/>
        <v>Igual</v>
      </c>
      <c r="X471" s="120"/>
      <c r="Y471" s="120"/>
      <c r="Z471" s="49"/>
      <c r="AA471" s="116" t="str">
        <f t="shared" si="7"/>
        <v>#REF!</v>
      </c>
    </row>
    <row r="472" hidden="1">
      <c r="I472" s="49"/>
      <c r="J472" s="49"/>
      <c r="K472" s="49"/>
      <c r="L472" s="49"/>
      <c r="M472" s="104"/>
      <c r="N472" s="104"/>
      <c r="O472" s="115" t="str">
        <f t="shared" si="2"/>
        <v>Não</v>
      </c>
      <c r="P472" s="104"/>
      <c r="Q472" s="104"/>
      <c r="R472" s="104"/>
      <c r="S472" s="104"/>
      <c r="T472" s="104"/>
      <c r="U472" s="104">
        <f t="shared" si="3"/>
        <v>0</v>
      </c>
      <c r="V472" s="115" t="str">
        <f t="shared" si="4"/>
        <v>Não</v>
      </c>
      <c r="W472" s="116" t="str">
        <f t="shared" si="5"/>
        <v>Igual</v>
      </c>
      <c r="X472" s="120"/>
      <c r="Y472" s="120"/>
      <c r="Z472" s="49"/>
      <c r="AA472" s="116" t="str">
        <f t="shared" si="7"/>
        <v>#REF!</v>
      </c>
    </row>
    <row r="473" hidden="1">
      <c r="I473" s="49"/>
      <c r="J473" s="49"/>
      <c r="K473" s="49"/>
      <c r="L473" s="49"/>
      <c r="M473" s="104"/>
      <c r="N473" s="104"/>
      <c r="O473" s="115" t="str">
        <f t="shared" si="2"/>
        <v>Não</v>
      </c>
      <c r="P473" s="104"/>
      <c r="Q473" s="104"/>
      <c r="R473" s="104"/>
      <c r="S473" s="104"/>
      <c r="T473" s="104"/>
      <c r="U473" s="104">
        <f t="shared" si="3"/>
        <v>0</v>
      </c>
      <c r="V473" s="115" t="str">
        <f t="shared" si="4"/>
        <v>Não</v>
      </c>
      <c r="W473" s="116" t="str">
        <f t="shared" si="5"/>
        <v>Igual</v>
      </c>
      <c r="X473" s="120"/>
      <c r="Y473" s="120"/>
      <c r="Z473" s="49"/>
      <c r="AA473" s="116" t="str">
        <f t="shared" si="7"/>
        <v>#REF!</v>
      </c>
    </row>
    <row r="474" hidden="1">
      <c r="I474" s="49"/>
      <c r="J474" s="49"/>
      <c r="K474" s="49"/>
      <c r="L474" s="49"/>
      <c r="M474" s="104"/>
      <c r="N474" s="104"/>
      <c r="O474" s="115" t="str">
        <f t="shared" si="2"/>
        <v>Não</v>
      </c>
      <c r="P474" s="104"/>
      <c r="Q474" s="104"/>
      <c r="R474" s="104"/>
      <c r="S474" s="104"/>
      <c r="T474" s="104"/>
      <c r="U474" s="104">
        <f t="shared" si="3"/>
        <v>0</v>
      </c>
      <c r="V474" s="115" t="str">
        <f t="shared" si="4"/>
        <v>Não</v>
      </c>
      <c r="W474" s="116" t="str">
        <f t="shared" si="5"/>
        <v>Igual</v>
      </c>
      <c r="X474" s="120"/>
      <c r="Y474" s="120"/>
      <c r="Z474" s="49"/>
      <c r="AA474" s="116" t="str">
        <f t="shared" si="7"/>
        <v>#REF!</v>
      </c>
    </row>
    <row r="475" hidden="1">
      <c r="I475" s="49"/>
      <c r="J475" s="49"/>
      <c r="K475" s="49"/>
      <c r="L475" s="49"/>
      <c r="M475" s="104"/>
      <c r="N475" s="104"/>
      <c r="O475" s="115" t="str">
        <f t="shared" si="2"/>
        <v>Não</v>
      </c>
      <c r="P475" s="104"/>
      <c r="Q475" s="104"/>
      <c r="R475" s="104"/>
      <c r="S475" s="104"/>
      <c r="T475" s="104"/>
      <c r="U475" s="104">
        <f t="shared" si="3"/>
        <v>0</v>
      </c>
      <c r="V475" s="115" t="str">
        <f t="shared" si="4"/>
        <v>Não</v>
      </c>
      <c r="W475" s="116" t="str">
        <f t="shared" si="5"/>
        <v>Igual</v>
      </c>
      <c r="X475" s="120"/>
      <c r="Y475" s="120"/>
      <c r="Z475" s="49"/>
      <c r="AA475" s="116" t="str">
        <f t="shared" si="7"/>
        <v>#REF!</v>
      </c>
    </row>
    <row r="476" hidden="1">
      <c r="I476" s="49"/>
      <c r="J476" s="49"/>
      <c r="K476" s="49"/>
      <c r="L476" s="49"/>
      <c r="M476" s="104"/>
      <c r="N476" s="104"/>
      <c r="O476" s="115" t="str">
        <f t="shared" si="2"/>
        <v>Não</v>
      </c>
      <c r="P476" s="104"/>
      <c r="Q476" s="104"/>
      <c r="R476" s="104"/>
      <c r="S476" s="104"/>
      <c r="T476" s="104"/>
      <c r="U476" s="104">
        <f t="shared" si="3"/>
        <v>0</v>
      </c>
      <c r="V476" s="115" t="str">
        <f t="shared" si="4"/>
        <v>Não</v>
      </c>
      <c r="W476" s="116" t="str">
        <f t="shared" si="5"/>
        <v>Igual</v>
      </c>
      <c r="X476" s="120"/>
      <c r="Y476" s="120"/>
      <c r="Z476" s="49"/>
      <c r="AA476" s="116" t="str">
        <f t="shared" si="7"/>
        <v>#REF!</v>
      </c>
    </row>
    <row r="477" hidden="1">
      <c r="I477" s="49"/>
      <c r="J477" s="49"/>
      <c r="K477" s="49"/>
      <c r="L477" s="49"/>
      <c r="M477" s="104"/>
      <c r="N477" s="104"/>
      <c r="O477" s="115" t="str">
        <f t="shared" si="2"/>
        <v>Não</v>
      </c>
      <c r="P477" s="104"/>
      <c r="Q477" s="104"/>
      <c r="R477" s="104"/>
      <c r="S477" s="104"/>
      <c r="T477" s="104"/>
      <c r="U477" s="104">
        <f t="shared" si="3"/>
        <v>0</v>
      </c>
      <c r="V477" s="115" t="str">
        <f t="shared" si="4"/>
        <v>Não</v>
      </c>
      <c r="W477" s="116" t="str">
        <f t="shared" si="5"/>
        <v>Igual</v>
      </c>
      <c r="X477" s="120"/>
      <c r="Y477" s="120"/>
      <c r="Z477" s="49"/>
      <c r="AA477" s="116" t="str">
        <f t="shared" si="7"/>
        <v>#REF!</v>
      </c>
    </row>
    <row r="478" hidden="1">
      <c r="I478" s="49"/>
      <c r="J478" s="49"/>
      <c r="K478" s="49"/>
      <c r="L478" s="49"/>
      <c r="M478" s="104"/>
      <c r="N478" s="104"/>
      <c r="O478" s="115" t="str">
        <f t="shared" si="2"/>
        <v>Não</v>
      </c>
      <c r="P478" s="104"/>
      <c r="Q478" s="104"/>
      <c r="R478" s="104"/>
      <c r="S478" s="104"/>
      <c r="T478" s="104"/>
      <c r="U478" s="104">
        <f t="shared" si="3"/>
        <v>0</v>
      </c>
      <c r="V478" s="115" t="str">
        <f t="shared" si="4"/>
        <v>Não</v>
      </c>
      <c r="W478" s="116" t="str">
        <f t="shared" si="5"/>
        <v>Igual</v>
      </c>
      <c r="X478" s="120"/>
      <c r="Y478" s="120"/>
      <c r="Z478" s="49"/>
      <c r="AA478" s="116" t="str">
        <f t="shared" si="7"/>
        <v>#REF!</v>
      </c>
    </row>
    <row r="479" hidden="1">
      <c r="I479" s="49"/>
      <c r="J479" s="49"/>
      <c r="K479" s="49"/>
      <c r="L479" s="49"/>
      <c r="M479" s="104"/>
      <c r="N479" s="104"/>
      <c r="O479" s="115" t="str">
        <f t="shared" si="2"/>
        <v>Não</v>
      </c>
      <c r="P479" s="104"/>
      <c r="Q479" s="104"/>
      <c r="R479" s="104"/>
      <c r="S479" s="104"/>
      <c r="T479" s="104"/>
      <c r="U479" s="104">
        <f t="shared" si="3"/>
        <v>0</v>
      </c>
      <c r="V479" s="115" t="str">
        <f t="shared" si="4"/>
        <v>Não</v>
      </c>
      <c r="W479" s="116" t="str">
        <f t="shared" si="5"/>
        <v>Igual</v>
      </c>
      <c r="X479" s="120"/>
      <c r="Y479" s="120"/>
      <c r="Z479" s="49"/>
      <c r="AA479" s="116" t="str">
        <f t="shared" si="7"/>
        <v>#REF!</v>
      </c>
    </row>
    <row r="480" hidden="1">
      <c r="I480" s="49"/>
      <c r="J480" s="49"/>
      <c r="K480" s="49"/>
      <c r="L480" s="49"/>
      <c r="M480" s="104"/>
      <c r="N480" s="104"/>
      <c r="O480" s="115" t="str">
        <f t="shared" si="2"/>
        <v>Não</v>
      </c>
      <c r="P480" s="104"/>
      <c r="Q480" s="104"/>
      <c r="R480" s="104"/>
      <c r="S480" s="104"/>
      <c r="T480" s="104"/>
      <c r="U480" s="104">
        <f t="shared" si="3"/>
        <v>0</v>
      </c>
      <c r="V480" s="115" t="str">
        <f t="shared" si="4"/>
        <v>Não</v>
      </c>
      <c r="W480" s="116" t="str">
        <f t="shared" si="5"/>
        <v>Igual</v>
      </c>
      <c r="X480" s="120"/>
      <c r="Y480" s="120"/>
      <c r="Z480" s="49"/>
      <c r="AA480" s="116" t="str">
        <f t="shared" si="7"/>
        <v>#REF!</v>
      </c>
    </row>
    <row r="481" hidden="1">
      <c r="I481" s="49"/>
      <c r="J481" s="49"/>
      <c r="K481" s="49"/>
      <c r="L481" s="49"/>
      <c r="M481" s="104"/>
      <c r="N481" s="104"/>
      <c r="O481" s="115" t="str">
        <f t="shared" si="2"/>
        <v>Não</v>
      </c>
      <c r="P481" s="104"/>
      <c r="Q481" s="104"/>
      <c r="R481" s="104"/>
      <c r="S481" s="104"/>
      <c r="T481" s="104"/>
      <c r="U481" s="104">
        <f t="shared" si="3"/>
        <v>0</v>
      </c>
      <c r="V481" s="115" t="str">
        <f t="shared" si="4"/>
        <v>Não</v>
      </c>
      <c r="W481" s="116" t="str">
        <f t="shared" si="5"/>
        <v>Igual</v>
      </c>
      <c r="X481" s="120"/>
      <c r="Y481" s="120"/>
      <c r="Z481" s="49"/>
      <c r="AA481" s="116" t="str">
        <f t="shared" si="7"/>
        <v>#REF!</v>
      </c>
    </row>
    <row r="482" hidden="1">
      <c r="I482" s="49"/>
      <c r="J482" s="49"/>
      <c r="K482" s="49"/>
      <c r="L482" s="49"/>
      <c r="M482" s="104"/>
      <c r="N482" s="104"/>
      <c r="O482" s="115" t="str">
        <f t="shared" si="2"/>
        <v>Não</v>
      </c>
      <c r="P482" s="104"/>
      <c r="Q482" s="104"/>
      <c r="R482" s="104"/>
      <c r="S482" s="104"/>
      <c r="T482" s="104"/>
      <c r="U482" s="104">
        <f t="shared" si="3"/>
        <v>0</v>
      </c>
      <c r="V482" s="115" t="str">
        <f t="shared" si="4"/>
        <v>Não</v>
      </c>
      <c r="W482" s="116" t="str">
        <f t="shared" si="5"/>
        <v>Igual</v>
      </c>
      <c r="X482" s="120"/>
      <c r="Y482" s="120"/>
      <c r="Z482" s="49"/>
      <c r="AA482" s="116" t="str">
        <f t="shared" si="7"/>
        <v>#REF!</v>
      </c>
    </row>
    <row r="483" hidden="1">
      <c r="I483" s="49"/>
      <c r="J483" s="49"/>
      <c r="K483" s="49"/>
      <c r="L483" s="49"/>
      <c r="M483" s="104"/>
      <c r="N483" s="104"/>
      <c r="O483" s="115" t="str">
        <f t="shared" si="2"/>
        <v>Não</v>
      </c>
      <c r="P483" s="104"/>
      <c r="Q483" s="104"/>
      <c r="R483" s="104"/>
      <c r="S483" s="104"/>
      <c r="T483" s="104"/>
      <c r="U483" s="104">
        <f t="shared" si="3"/>
        <v>0</v>
      </c>
      <c r="V483" s="115" t="str">
        <f t="shared" si="4"/>
        <v>Não</v>
      </c>
      <c r="W483" s="116" t="str">
        <f t="shared" si="5"/>
        <v>Igual</v>
      </c>
      <c r="X483" s="120"/>
      <c r="Y483" s="120"/>
      <c r="Z483" s="49"/>
      <c r="AA483" s="116" t="str">
        <f t="shared" si="7"/>
        <v>#REF!</v>
      </c>
    </row>
    <row r="484" hidden="1">
      <c r="I484" s="49"/>
      <c r="J484" s="49"/>
      <c r="K484" s="49"/>
      <c r="L484" s="49"/>
      <c r="M484" s="104"/>
      <c r="N484" s="104"/>
      <c r="O484" s="115" t="str">
        <f t="shared" si="2"/>
        <v>Não</v>
      </c>
      <c r="P484" s="104"/>
      <c r="Q484" s="104"/>
      <c r="R484" s="104"/>
      <c r="S484" s="104"/>
      <c r="T484" s="104"/>
      <c r="U484" s="104">
        <f t="shared" si="3"/>
        <v>0</v>
      </c>
      <c r="V484" s="115" t="str">
        <f t="shared" si="4"/>
        <v>Não</v>
      </c>
      <c r="W484" s="116" t="str">
        <f t="shared" si="5"/>
        <v>Igual</v>
      </c>
      <c r="X484" s="120"/>
      <c r="Y484" s="120"/>
      <c r="Z484" s="49"/>
      <c r="AA484" s="116" t="str">
        <f t="shared" si="7"/>
        <v>#REF!</v>
      </c>
    </row>
    <row r="485" hidden="1">
      <c r="I485" s="49"/>
      <c r="J485" s="49"/>
      <c r="K485" s="49"/>
      <c r="L485" s="49"/>
      <c r="M485" s="104"/>
      <c r="N485" s="104"/>
      <c r="O485" s="115" t="str">
        <f t="shared" si="2"/>
        <v>Não</v>
      </c>
      <c r="P485" s="104"/>
      <c r="Q485" s="104"/>
      <c r="R485" s="104"/>
      <c r="S485" s="104"/>
      <c r="T485" s="104"/>
      <c r="U485" s="104">
        <f t="shared" si="3"/>
        <v>0</v>
      </c>
      <c r="V485" s="115" t="str">
        <f t="shared" si="4"/>
        <v>Não</v>
      </c>
      <c r="W485" s="116" t="str">
        <f t="shared" si="5"/>
        <v>Igual</v>
      </c>
      <c r="X485" s="120"/>
      <c r="Y485" s="120"/>
      <c r="Z485" s="49"/>
      <c r="AA485" s="116" t="str">
        <f t="shared" si="7"/>
        <v>#REF!</v>
      </c>
    </row>
    <row r="486" hidden="1">
      <c r="I486" s="49"/>
      <c r="J486" s="49"/>
      <c r="K486" s="49"/>
      <c r="L486" s="49"/>
      <c r="M486" s="104"/>
      <c r="N486" s="104"/>
      <c r="O486" s="115" t="str">
        <f t="shared" si="2"/>
        <v>Não</v>
      </c>
      <c r="P486" s="104"/>
      <c r="Q486" s="104"/>
      <c r="R486" s="104"/>
      <c r="S486" s="104"/>
      <c r="T486" s="104"/>
      <c r="U486" s="104">
        <f t="shared" si="3"/>
        <v>0</v>
      </c>
      <c r="V486" s="115" t="str">
        <f t="shared" si="4"/>
        <v>Não</v>
      </c>
      <c r="W486" s="116" t="str">
        <f t="shared" si="5"/>
        <v>Igual</v>
      </c>
      <c r="X486" s="120"/>
      <c r="Y486" s="120"/>
      <c r="Z486" s="49"/>
      <c r="AA486" s="116" t="str">
        <f t="shared" si="7"/>
        <v>#REF!</v>
      </c>
    </row>
    <row r="487" hidden="1">
      <c r="I487" s="49"/>
      <c r="J487" s="49"/>
      <c r="K487" s="49"/>
      <c r="L487" s="49"/>
      <c r="M487" s="104"/>
      <c r="N487" s="104"/>
      <c r="O487" s="115" t="str">
        <f t="shared" si="2"/>
        <v>Não</v>
      </c>
      <c r="P487" s="104"/>
      <c r="Q487" s="104"/>
      <c r="R487" s="104"/>
      <c r="S487" s="104"/>
      <c r="T487" s="104"/>
      <c r="U487" s="104">
        <f t="shared" si="3"/>
        <v>0</v>
      </c>
      <c r="V487" s="115" t="str">
        <f t="shared" si="4"/>
        <v>Não</v>
      </c>
      <c r="W487" s="116" t="str">
        <f t="shared" si="5"/>
        <v>Igual</v>
      </c>
      <c r="X487" s="120"/>
      <c r="Y487" s="120"/>
      <c r="Z487" s="49"/>
      <c r="AA487" s="116" t="str">
        <f t="shared" si="7"/>
        <v>#REF!</v>
      </c>
    </row>
    <row r="488" hidden="1">
      <c r="I488" s="49"/>
      <c r="J488" s="49"/>
      <c r="K488" s="49"/>
      <c r="L488" s="49"/>
      <c r="M488" s="104"/>
      <c r="N488" s="104"/>
      <c r="O488" s="115" t="str">
        <f t="shared" si="2"/>
        <v>Não</v>
      </c>
      <c r="P488" s="104"/>
      <c r="Q488" s="104"/>
      <c r="R488" s="104"/>
      <c r="S488" s="104"/>
      <c r="T488" s="104"/>
      <c r="U488" s="104">
        <f t="shared" si="3"/>
        <v>0</v>
      </c>
      <c r="V488" s="115" t="str">
        <f t="shared" si="4"/>
        <v>Não</v>
      </c>
      <c r="W488" s="116" t="str">
        <f t="shared" si="5"/>
        <v>Igual</v>
      </c>
      <c r="X488" s="120"/>
      <c r="Y488" s="120"/>
      <c r="Z488" s="49"/>
      <c r="AA488" s="116" t="str">
        <f t="shared" si="7"/>
        <v>#REF!</v>
      </c>
    </row>
    <row r="489" hidden="1">
      <c r="I489" s="49"/>
      <c r="J489" s="49"/>
      <c r="K489" s="49"/>
      <c r="L489" s="49"/>
      <c r="M489" s="104"/>
      <c r="N489" s="104"/>
      <c r="O489" s="115" t="str">
        <f t="shared" si="2"/>
        <v>Não</v>
      </c>
      <c r="P489" s="104"/>
      <c r="Q489" s="104"/>
      <c r="R489" s="104"/>
      <c r="S489" s="104"/>
      <c r="T489" s="104"/>
      <c r="U489" s="104">
        <f t="shared" si="3"/>
        <v>0</v>
      </c>
      <c r="V489" s="115" t="str">
        <f t="shared" si="4"/>
        <v>Não</v>
      </c>
      <c r="W489" s="116" t="str">
        <f t="shared" si="5"/>
        <v>Igual</v>
      </c>
      <c r="X489" s="120"/>
      <c r="Y489" s="120"/>
      <c r="Z489" s="49"/>
      <c r="AA489" s="116" t="str">
        <f t="shared" si="7"/>
        <v>#REF!</v>
      </c>
    </row>
    <row r="490" hidden="1">
      <c r="I490" s="49"/>
      <c r="J490" s="49"/>
      <c r="K490" s="49"/>
      <c r="L490" s="49"/>
      <c r="M490" s="104"/>
      <c r="N490" s="104"/>
      <c r="O490" s="115" t="str">
        <f t="shared" si="2"/>
        <v>Não</v>
      </c>
      <c r="P490" s="104"/>
      <c r="Q490" s="104"/>
      <c r="R490" s="104"/>
      <c r="S490" s="104"/>
      <c r="T490" s="104"/>
      <c r="U490" s="104">
        <f t="shared" si="3"/>
        <v>0</v>
      </c>
      <c r="V490" s="115" t="str">
        <f t="shared" si="4"/>
        <v>Não</v>
      </c>
      <c r="W490" s="116" t="str">
        <f t="shared" si="5"/>
        <v>Igual</v>
      </c>
      <c r="X490" s="120"/>
      <c r="Y490" s="120"/>
      <c r="Z490" s="49"/>
      <c r="AA490" s="116" t="str">
        <f t="shared" si="7"/>
        <v>#REF!</v>
      </c>
    </row>
    <row r="491" hidden="1">
      <c r="I491" s="49"/>
      <c r="J491" s="49"/>
      <c r="K491" s="49"/>
      <c r="L491" s="49"/>
      <c r="M491" s="104"/>
      <c r="N491" s="104"/>
      <c r="O491" s="115" t="str">
        <f t="shared" si="2"/>
        <v>Não</v>
      </c>
      <c r="P491" s="104"/>
      <c r="Q491" s="104"/>
      <c r="R491" s="104"/>
      <c r="S491" s="104"/>
      <c r="T491" s="104"/>
      <c r="U491" s="104">
        <f t="shared" si="3"/>
        <v>0</v>
      </c>
      <c r="V491" s="115" t="str">
        <f t="shared" si="4"/>
        <v>Não</v>
      </c>
      <c r="W491" s="116" t="str">
        <f t="shared" si="5"/>
        <v>Igual</v>
      </c>
      <c r="X491" s="120"/>
      <c r="Y491" s="120"/>
      <c r="Z491" s="49"/>
      <c r="AA491" s="116" t="str">
        <f t="shared" si="7"/>
        <v>#REF!</v>
      </c>
    </row>
    <row r="492" hidden="1">
      <c r="I492" s="49"/>
      <c r="J492" s="49"/>
      <c r="K492" s="49"/>
      <c r="L492" s="49"/>
      <c r="M492" s="104"/>
      <c r="N492" s="104"/>
      <c r="O492" s="115" t="str">
        <f t="shared" si="2"/>
        <v>Não</v>
      </c>
      <c r="P492" s="104"/>
      <c r="Q492" s="104"/>
      <c r="R492" s="104"/>
      <c r="S492" s="104"/>
      <c r="T492" s="104"/>
      <c r="U492" s="104">
        <f t="shared" si="3"/>
        <v>0</v>
      </c>
      <c r="V492" s="115" t="str">
        <f t="shared" si="4"/>
        <v>Não</v>
      </c>
      <c r="W492" s="116" t="str">
        <f t="shared" si="5"/>
        <v>Igual</v>
      </c>
      <c r="X492" s="120"/>
      <c r="Y492" s="120"/>
      <c r="Z492" s="49"/>
      <c r="AA492" s="116" t="str">
        <f t="shared" si="7"/>
        <v>#REF!</v>
      </c>
    </row>
    <row r="493" hidden="1">
      <c r="I493" s="49"/>
      <c r="J493" s="49"/>
      <c r="K493" s="49"/>
      <c r="L493" s="49"/>
      <c r="M493" s="104"/>
      <c r="N493" s="104"/>
      <c r="O493" s="115" t="str">
        <f t="shared" si="2"/>
        <v>Não</v>
      </c>
      <c r="P493" s="104"/>
      <c r="Q493" s="104"/>
      <c r="R493" s="104"/>
      <c r="S493" s="104"/>
      <c r="T493" s="104"/>
      <c r="U493" s="104">
        <f t="shared" si="3"/>
        <v>0</v>
      </c>
      <c r="V493" s="115" t="str">
        <f t="shared" si="4"/>
        <v>Não</v>
      </c>
      <c r="W493" s="116" t="str">
        <f t="shared" si="5"/>
        <v>Igual</v>
      </c>
      <c r="X493" s="120"/>
      <c r="Y493" s="120"/>
      <c r="Z493" s="49"/>
      <c r="AA493" s="116" t="str">
        <f t="shared" si="7"/>
        <v>#REF!</v>
      </c>
    </row>
    <row r="494" hidden="1">
      <c r="I494" s="49"/>
      <c r="J494" s="49"/>
      <c r="K494" s="49"/>
      <c r="L494" s="49"/>
      <c r="M494" s="104"/>
      <c r="N494" s="104"/>
      <c r="O494" s="115" t="str">
        <f t="shared" si="2"/>
        <v>Não</v>
      </c>
      <c r="P494" s="104"/>
      <c r="Q494" s="104"/>
      <c r="R494" s="104"/>
      <c r="S494" s="104"/>
      <c r="T494" s="104"/>
      <c r="U494" s="104">
        <f t="shared" si="3"/>
        <v>0</v>
      </c>
      <c r="V494" s="115" t="str">
        <f t="shared" si="4"/>
        <v>Não</v>
      </c>
      <c r="W494" s="116" t="str">
        <f t="shared" si="5"/>
        <v>Igual</v>
      </c>
      <c r="X494" s="120"/>
      <c r="Y494" s="120"/>
      <c r="Z494" s="49"/>
      <c r="AA494" s="116" t="str">
        <f t="shared" si="7"/>
        <v>#REF!</v>
      </c>
    </row>
    <row r="495" hidden="1">
      <c r="I495" s="49"/>
      <c r="J495" s="49"/>
      <c r="K495" s="49"/>
      <c r="L495" s="49"/>
      <c r="M495" s="104"/>
      <c r="N495" s="104"/>
      <c r="O495" s="115" t="str">
        <f t="shared" si="2"/>
        <v>Não</v>
      </c>
      <c r="P495" s="104"/>
      <c r="Q495" s="104"/>
      <c r="R495" s="104"/>
      <c r="S495" s="104"/>
      <c r="T495" s="104"/>
      <c r="U495" s="104">
        <f t="shared" si="3"/>
        <v>0</v>
      </c>
      <c r="V495" s="115" t="str">
        <f t="shared" si="4"/>
        <v>Não</v>
      </c>
      <c r="W495" s="116" t="str">
        <f t="shared" si="5"/>
        <v>Igual</v>
      </c>
      <c r="X495" s="120"/>
      <c r="Y495" s="120"/>
      <c r="Z495" s="49"/>
      <c r="AA495" s="116" t="str">
        <f t="shared" si="7"/>
        <v>#REF!</v>
      </c>
    </row>
    <row r="496" hidden="1">
      <c r="I496" s="49"/>
      <c r="J496" s="49"/>
      <c r="K496" s="49"/>
      <c r="L496" s="49"/>
      <c r="M496" s="104"/>
      <c r="N496" s="104"/>
      <c r="O496" s="115" t="str">
        <f t="shared" si="2"/>
        <v>Não</v>
      </c>
      <c r="P496" s="104"/>
      <c r="Q496" s="104"/>
      <c r="R496" s="104"/>
      <c r="S496" s="104"/>
      <c r="T496" s="104"/>
      <c r="U496" s="104">
        <f t="shared" si="3"/>
        <v>0</v>
      </c>
      <c r="V496" s="115" t="str">
        <f t="shared" si="4"/>
        <v>Não</v>
      </c>
      <c r="W496" s="116" t="str">
        <f t="shared" si="5"/>
        <v>Igual</v>
      </c>
      <c r="X496" s="120"/>
      <c r="Y496" s="120"/>
      <c r="Z496" s="49"/>
      <c r="AA496" s="116" t="str">
        <f t="shared" si="7"/>
        <v>#REF!</v>
      </c>
    </row>
    <row r="497" hidden="1">
      <c r="I497" s="49"/>
      <c r="J497" s="49"/>
      <c r="K497" s="49"/>
      <c r="L497" s="49"/>
      <c r="M497" s="104"/>
      <c r="N497" s="104"/>
      <c r="O497" s="115" t="str">
        <f t="shared" si="2"/>
        <v>Não</v>
      </c>
      <c r="P497" s="104"/>
      <c r="Q497" s="104"/>
      <c r="R497" s="104"/>
      <c r="S497" s="104"/>
      <c r="T497" s="104"/>
      <c r="U497" s="104">
        <f t="shared" si="3"/>
        <v>0</v>
      </c>
      <c r="V497" s="115" t="str">
        <f t="shared" si="4"/>
        <v>Não</v>
      </c>
      <c r="W497" s="116" t="str">
        <f t="shared" si="5"/>
        <v>Igual</v>
      </c>
      <c r="X497" s="120"/>
      <c r="Y497" s="120"/>
      <c r="Z497" s="49"/>
      <c r="AA497" s="116" t="str">
        <f t="shared" si="7"/>
        <v>#REF!</v>
      </c>
    </row>
    <row r="498" hidden="1">
      <c r="I498" s="49"/>
      <c r="J498" s="49"/>
      <c r="K498" s="49"/>
      <c r="L498" s="49"/>
      <c r="M498" s="104"/>
      <c r="N498" s="104"/>
      <c r="O498" s="115" t="str">
        <f t="shared" si="2"/>
        <v>Não</v>
      </c>
      <c r="P498" s="104"/>
      <c r="Q498" s="104"/>
      <c r="R498" s="104"/>
      <c r="S498" s="104"/>
      <c r="T498" s="104"/>
      <c r="U498" s="104">
        <f t="shared" si="3"/>
        <v>0</v>
      </c>
      <c r="V498" s="115" t="str">
        <f t="shared" si="4"/>
        <v>Não</v>
      </c>
      <c r="W498" s="116" t="str">
        <f t="shared" si="5"/>
        <v>Igual</v>
      </c>
      <c r="X498" s="120"/>
      <c r="Y498" s="120"/>
      <c r="Z498" s="49"/>
      <c r="AA498" s="116" t="str">
        <f t="shared" si="7"/>
        <v>#REF!</v>
      </c>
    </row>
    <row r="499" hidden="1">
      <c r="I499" s="49"/>
      <c r="J499" s="49"/>
      <c r="K499" s="49"/>
      <c r="L499" s="49"/>
      <c r="M499" s="104"/>
      <c r="N499" s="104"/>
      <c r="O499" s="115" t="str">
        <f t="shared" si="2"/>
        <v>Não</v>
      </c>
      <c r="P499" s="104"/>
      <c r="Q499" s="104"/>
      <c r="R499" s="104"/>
      <c r="S499" s="104"/>
      <c r="T499" s="104"/>
      <c r="U499" s="104">
        <f t="shared" si="3"/>
        <v>0</v>
      </c>
      <c r="V499" s="115" t="str">
        <f t="shared" si="4"/>
        <v>Não</v>
      </c>
      <c r="W499" s="116" t="str">
        <f t="shared" si="5"/>
        <v>Igual</v>
      </c>
      <c r="X499" s="120"/>
      <c r="Y499" s="120"/>
      <c r="Z499" s="49"/>
      <c r="AA499" s="116" t="str">
        <f t="shared" si="7"/>
        <v>#REF!</v>
      </c>
    </row>
    <row r="500" hidden="1">
      <c r="I500" s="49"/>
      <c r="J500" s="49"/>
      <c r="K500" s="49"/>
      <c r="L500" s="49"/>
      <c r="M500" s="104"/>
      <c r="N500" s="104"/>
      <c r="O500" s="115" t="str">
        <f t="shared" si="2"/>
        <v>Não</v>
      </c>
      <c r="P500" s="104"/>
      <c r="Q500" s="104"/>
      <c r="R500" s="104"/>
      <c r="S500" s="104"/>
      <c r="T500" s="104"/>
      <c r="U500" s="104">
        <f t="shared" si="3"/>
        <v>0</v>
      </c>
      <c r="V500" s="115" t="str">
        <f t="shared" si="4"/>
        <v>Não</v>
      </c>
      <c r="W500" s="116" t="str">
        <f t="shared" si="5"/>
        <v>Igual</v>
      </c>
      <c r="X500" s="120"/>
      <c r="Y500" s="120"/>
      <c r="Z500" s="49"/>
      <c r="AA500" s="116" t="str">
        <f t="shared" si="7"/>
        <v>#REF!</v>
      </c>
    </row>
    <row r="501" hidden="1">
      <c r="I501" s="49"/>
      <c r="J501" s="49"/>
      <c r="K501" s="49"/>
      <c r="L501" s="49"/>
      <c r="M501" s="104"/>
      <c r="N501" s="104"/>
      <c r="O501" s="115" t="str">
        <f t="shared" si="2"/>
        <v>Não</v>
      </c>
      <c r="P501" s="104"/>
      <c r="Q501" s="104"/>
      <c r="R501" s="104"/>
      <c r="S501" s="104"/>
      <c r="T501" s="104"/>
      <c r="U501" s="104">
        <f t="shared" si="3"/>
        <v>0</v>
      </c>
      <c r="V501" s="115" t="str">
        <f t="shared" si="4"/>
        <v>Não</v>
      </c>
      <c r="W501" s="116" t="str">
        <f t="shared" si="5"/>
        <v>Igual</v>
      </c>
      <c r="X501" s="120"/>
      <c r="Y501" s="120"/>
      <c r="Z501" s="49"/>
      <c r="AA501" s="116" t="str">
        <f t="shared" si="7"/>
        <v>#REF!</v>
      </c>
    </row>
    <row r="502" hidden="1">
      <c r="I502" s="49"/>
      <c r="J502" s="49"/>
      <c r="K502" s="49"/>
      <c r="L502" s="49"/>
      <c r="M502" s="104"/>
      <c r="N502" s="104"/>
      <c r="O502" s="115" t="str">
        <f t="shared" si="2"/>
        <v>Não</v>
      </c>
      <c r="P502" s="104"/>
      <c r="Q502" s="104"/>
      <c r="R502" s="104"/>
      <c r="S502" s="104"/>
      <c r="T502" s="104"/>
      <c r="U502" s="104">
        <f t="shared" si="3"/>
        <v>0</v>
      </c>
      <c r="V502" s="115" t="str">
        <f t="shared" si="4"/>
        <v>Não</v>
      </c>
      <c r="W502" s="116" t="str">
        <f t="shared" si="5"/>
        <v>Igual</v>
      </c>
      <c r="X502" s="120"/>
      <c r="Y502" s="120"/>
      <c r="Z502" s="49"/>
      <c r="AA502" s="116" t="str">
        <f t="shared" si="7"/>
        <v>#REF!</v>
      </c>
    </row>
    <row r="503" hidden="1">
      <c r="I503" s="49"/>
      <c r="J503" s="49"/>
      <c r="K503" s="49"/>
      <c r="L503" s="49"/>
      <c r="M503" s="104"/>
      <c r="N503" s="104"/>
      <c r="O503" s="115" t="str">
        <f t="shared" si="2"/>
        <v>Não</v>
      </c>
      <c r="P503" s="104"/>
      <c r="Q503" s="104"/>
      <c r="R503" s="104"/>
      <c r="S503" s="104"/>
      <c r="T503" s="104"/>
      <c r="U503" s="104">
        <f t="shared" si="3"/>
        <v>0</v>
      </c>
      <c r="V503" s="115" t="str">
        <f t="shared" si="4"/>
        <v>Não</v>
      </c>
      <c r="W503" s="116" t="str">
        <f t="shared" si="5"/>
        <v>Igual</v>
      </c>
      <c r="X503" s="120"/>
      <c r="Y503" s="120"/>
      <c r="Z503" s="49"/>
      <c r="AA503" s="116" t="str">
        <f t="shared" si="7"/>
        <v>#REF!</v>
      </c>
    </row>
    <row r="504" hidden="1">
      <c r="I504" s="49"/>
      <c r="J504" s="49"/>
      <c r="K504" s="49"/>
      <c r="L504" s="49"/>
      <c r="M504" s="104"/>
      <c r="N504" s="104"/>
      <c r="O504" s="115" t="str">
        <f t="shared" si="2"/>
        <v>Não</v>
      </c>
      <c r="P504" s="104"/>
      <c r="Q504" s="104"/>
      <c r="R504" s="104"/>
      <c r="S504" s="104"/>
      <c r="T504" s="104"/>
      <c r="U504" s="104">
        <f t="shared" si="3"/>
        <v>0</v>
      </c>
      <c r="V504" s="115" t="str">
        <f t="shared" si="4"/>
        <v>Não</v>
      </c>
      <c r="W504" s="116" t="str">
        <f t="shared" si="5"/>
        <v>Igual</v>
      </c>
      <c r="X504" s="120"/>
      <c r="Y504" s="120"/>
      <c r="Z504" s="49"/>
      <c r="AA504" s="116" t="str">
        <f t="shared" si="7"/>
        <v>#REF!</v>
      </c>
    </row>
    <row r="505" hidden="1">
      <c r="I505" s="49"/>
      <c r="J505" s="49"/>
      <c r="K505" s="49"/>
      <c r="L505" s="49"/>
      <c r="M505" s="104"/>
      <c r="N505" s="104"/>
      <c r="O505" s="115" t="str">
        <f t="shared" si="2"/>
        <v>Não</v>
      </c>
      <c r="P505" s="104"/>
      <c r="Q505" s="104"/>
      <c r="R505" s="104"/>
      <c r="S505" s="104"/>
      <c r="T505" s="104"/>
      <c r="U505" s="104">
        <f t="shared" si="3"/>
        <v>0</v>
      </c>
      <c r="V505" s="115" t="str">
        <f t="shared" si="4"/>
        <v>Não</v>
      </c>
      <c r="W505" s="116" t="str">
        <f t="shared" si="5"/>
        <v>Igual</v>
      </c>
      <c r="X505" s="120"/>
      <c r="Y505" s="120"/>
      <c r="Z505" s="49"/>
      <c r="AA505" s="116" t="str">
        <f t="shared" si="7"/>
        <v>#REF!</v>
      </c>
    </row>
    <row r="506" hidden="1">
      <c r="I506" s="49"/>
      <c r="J506" s="49"/>
      <c r="K506" s="49"/>
      <c r="L506" s="49"/>
      <c r="M506" s="104"/>
      <c r="N506" s="104"/>
      <c r="O506" s="115" t="str">
        <f t="shared" si="2"/>
        <v>Não</v>
      </c>
      <c r="P506" s="104"/>
      <c r="Q506" s="104"/>
      <c r="R506" s="104"/>
      <c r="S506" s="104"/>
      <c r="T506" s="104"/>
      <c r="U506" s="104">
        <f t="shared" si="3"/>
        <v>0</v>
      </c>
      <c r="V506" s="115" t="str">
        <f t="shared" si="4"/>
        <v>Não</v>
      </c>
      <c r="W506" s="116" t="str">
        <f t="shared" si="5"/>
        <v>Igual</v>
      </c>
      <c r="X506" s="120"/>
      <c r="Y506" s="120"/>
      <c r="Z506" s="49"/>
      <c r="AA506" s="116" t="str">
        <f t="shared" si="7"/>
        <v>#REF!</v>
      </c>
    </row>
    <row r="507" hidden="1">
      <c r="I507" s="49"/>
      <c r="J507" s="49"/>
      <c r="K507" s="49"/>
      <c r="L507" s="49"/>
      <c r="M507" s="104"/>
      <c r="N507" s="104"/>
      <c r="O507" s="115" t="str">
        <f t="shared" si="2"/>
        <v>Não</v>
      </c>
      <c r="P507" s="104"/>
      <c r="Q507" s="104"/>
      <c r="R507" s="104"/>
      <c r="S507" s="104"/>
      <c r="T507" s="104"/>
      <c r="U507" s="104">
        <f t="shared" si="3"/>
        <v>0</v>
      </c>
      <c r="V507" s="115" t="str">
        <f t="shared" si="4"/>
        <v>Não</v>
      </c>
      <c r="W507" s="116" t="str">
        <f t="shared" si="5"/>
        <v>Igual</v>
      </c>
      <c r="X507" s="120"/>
      <c r="Y507" s="120"/>
      <c r="Z507" s="49"/>
      <c r="AA507" s="116" t="str">
        <f t="shared" si="7"/>
        <v>#REF!</v>
      </c>
    </row>
    <row r="508" hidden="1">
      <c r="I508" s="49"/>
      <c r="J508" s="49"/>
      <c r="K508" s="49"/>
      <c r="L508" s="49"/>
      <c r="M508" s="104"/>
      <c r="N508" s="104"/>
      <c r="O508" s="115" t="str">
        <f t="shared" si="2"/>
        <v>Não</v>
      </c>
      <c r="P508" s="104"/>
      <c r="Q508" s="104"/>
      <c r="R508" s="104"/>
      <c r="S508" s="104"/>
      <c r="T508" s="104"/>
      <c r="U508" s="104">
        <f t="shared" si="3"/>
        <v>0</v>
      </c>
      <c r="V508" s="115" t="str">
        <f t="shared" si="4"/>
        <v>Não</v>
      </c>
      <c r="W508" s="116" t="str">
        <f t="shared" si="5"/>
        <v>Igual</v>
      </c>
      <c r="X508" s="120"/>
      <c r="Y508" s="120"/>
      <c r="Z508" s="49"/>
      <c r="AA508" s="116" t="str">
        <f t="shared" si="7"/>
        <v>#REF!</v>
      </c>
    </row>
    <row r="509" hidden="1">
      <c r="I509" s="49"/>
      <c r="J509" s="49"/>
      <c r="K509" s="49"/>
      <c r="L509" s="49"/>
      <c r="M509" s="104"/>
      <c r="N509" s="104"/>
      <c r="O509" s="115" t="str">
        <f t="shared" si="2"/>
        <v>Não</v>
      </c>
      <c r="P509" s="104"/>
      <c r="Q509" s="104"/>
      <c r="R509" s="104"/>
      <c r="S509" s="104"/>
      <c r="T509" s="104"/>
      <c r="U509" s="104">
        <f t="shared" si="3"/>
        <v>0</v>
      </c>
      <c r="V509" s="115" t="str">
        <f t="shared" si="4"/>
        <v>Não</v>
      </c>
      <c r="W509" s="116" t="str">
        <f t="shared" si="5"/>
        <v>Igual</v>
      </c>
      <c r="X509" s="120"/>
      <c r="Y509" s="120"/>
      <c r="Z509" s="49"/>
      <c r="AA509" s="116" t="str">
        <f t="shared" si="7"/>
        <v>#REF!</v>
      </c>
    </row>
    <row r="510" hidden="1">
      <c r="I510" s="49"/>
      <c r="J510" s="49"/>
      <c r="K510" s="49"/>
      <c r="L510" s="49"/>
      <c r="M510" s="104"/>
      <c r="N510" s="104"/>
      <c r="O510" s="115" t="str">
        <f t="shared" si="2"/>
        <v>Não</v>
      </c>
      <c r="P510" s="104"/>
      <c r="Q510" s="104"/>
      <c r="R510" s="104"/>
      <c r="S510" s="104"/>
      <c r="T510" s="104"/>
      <c r="U510" s="104">
        <f t="shared" si="3"/>
        <v>0</v>
      </c>
      <c r="V510" s="115" t="str">
        <f t="shared" si="4"/>
        <v>Não</v>
      </c>
      <c r="W510" s="116" t="str">
        <f t="shared" si="5"/>
        <v>Igual</v>
      </c>
      <c r="X510" s="120"/>
      <c r="Y510" s="120"/>
      <c r="Z510" s="49"/>
      <c r="AA510" s="116" t="str">
        <f t="shared" si="7"/>
        <v>#REF!</v>
      </c>
    </row>
    <row r="511" hidden="1">
      <c r="I511" s="49"/>
      <c r="J511" s="49"/>
      <c r="K511" s="49"/>
      <c r="L511" s="49"/>
      <c r="M511" s="104"/>
      <c r="N511" s="104"/>
      <c r="O511" s="115" t="str">
        <f t="shared" si="2"/>
        <v>Não</v>
      </c>
      <c r="P511" s="104"/>
      <c r="Q511" s="104"/>
      <c r="R511" s="104"/>
      <c r="S511" s="104"/>
      <c r="T511" s="104"/>
      <c r="U511" s="104">
        <f t="shared" si="3"/>
        <v>0</v>
      </c>
      <c r="V511" s="115" t="str">
        <f t="shared" si="4"/>
        <v>Não</v>
      </c>
      <c r="W511" s="116" t="str">
        <f t="shared" si="5"/>
        <v>Igual</v>
      </c>
      <c r="X511" s="120"/>
      <c r="Y511" s="120"/>
      <c r="Z511" s="49"/>
      <c r="AA511" s="116" t="str">
        <f t="shared" si="7"/>
        <v>#REF!</v>
      </c>
    </row>
    <row r="512" hidden="1">
      <c r="I512" s="49"/>
      <c r="J512" s="49"/>
      <c r="K512" s="49"/>
      <c r="L512" s="49"/>
      <c r="M512" s="104"/>
      <c r="N512" s="104"/>
      <c r="O512" s="115" t="str">
        <f t="shared" si="2"/>
        <v>Não</v>
      </c>
      <c r="P512" s="104"/>
      <c r="Q512" s="104"/>
      <c r="R512" s="104"/>
      <c r="S512" s="104"/>
      <c r="T512" s="104"/>
      <c r="U512" s="104">
        <f t="shared" si="3"/>
        <v>0</v>
      </c>
      <c r="V512" s="115" t="str">
        <f t="shared" si="4"/>
        <v>Não</v>
      </c>
      <c r="W512" s="116" t="str">
        <f t="shared" si="5"/>
        <v>Igual</v>
      </c>
      <c r="X512" s="120"/>
      <c r="Y512" s="120"/>
      <c r="Z512" s="49"/>
      <c r="AA512" s="116" t="str">
        <f t="shared" si="7"/>
        <v>#REF!</v>
      </c>
    </row>
    <row r="513" hidden="1">
      <c r="I513" s="49"/>
      <c r="J513" s="49"/>
      <c r="K513" s="49"/>
      <c r="L513" s="49"/>
      <c r="M513" s="104"/>
      <c r="N513" s="104"/>
      <c r="O513" s="115" t="str">
        <f t="shared" si="2"/>
        <v>Não</v>
      </c>
      <c r="P513" s="104"/>
      <c r="Q513" s="104"/>
      <c r="R513" s="104"/>
      <c r="S513" s="104"/>
      <c r="T513" s="104"/>
      <c r="U513" s="104">
        <f t="shared" si="3"/>
        <v>0</v>
      </c>
      <c r="V513" s="115" t="str">
        <f t="shared" si="4"/>
        <v>Não</v>
      </c>
      <c r="W513" s="116" t="str">
        <f t="shared" si="5"/>
        <v>Igual</v>
      </c>
      <c r="X513" s="120"/>
      <c r="Y513" s="120"/>
      <c r="Z513" s="49"/>
      <c r="AA513" s="116" t="str">
        <f t="shared" si="7"/>
        <v>#REF!</v>
      </c>
    </row>
    <row r="514" hidden="1">
      <c r="I514" s="49"/>
      <c r="J514" s="49"/>
      <c r="K514" s="49"/>
      <c r="L514" s="49"/>
      <c r="M514" s="104"/>
      <c r="N514" s="104"/>
      <c r="O514" s="115" t="str">
        <f t="shared" si="2"/>
        <v>Não</v>
      </c>
      <c r="P514" s="104"/>
      <c r="Q514" s="104"/>
      <c r="R514" s="104"/>
      <c r="S514" s="104"/>
      <c r="T514" s="104"/>
      <c r="U514" s="104">
        <f t="shared" si="3"/>
        <v>0</v>
      </c>
      <c r="V514" s="115" t="str">
        <f t="shared" si="4"/>
        <v>Não</v>
      </c>
      <c r="W514" s="116" t="str">
        <f t="shared" si="5"/>
        <v>Igual</v>
      </c>
      <c r="X514" s="120"/>
      <c r="Y514" s="120"/>
      <c r="Z514" s="49"/>
      <c r="AA514" s="116" t="str">
        <f t="shared" si="7"/>
        <v>#REF!</v>
      </c>
    </row>
    <row r="515" hidden="1">
      <c r="I515" s="49"/>
      <c r="J515" s="49"/>
      <c r="K515" s="49"/>
      <c r="L515" s="49"/>
      <c r="M515" s="104"/>
      <c r="N515" s="104"/>
      <c r="O515" s="115" t="str">
        <f t="shared" si="2"/>
        <v>Não</v>
      </c>
      <c r="P515" s="104"/>
      <c r="Q515" s="104"/>
      <c r="R515" s="104"/>
      <c r="S515" s="104"/>
      <c r="T515" s="104"/>
      <c r="U515" s="104">
        <f t="shared" si="3"/>
        <v>0</v>
      </c>
      <c r="V515" s="115" t="str">
        <f t="shared" si="4"/>
        <v>Não</v>
      </c>
      <c r="W515" s="116" t="str">
        <f t="shared" si="5"/>
        <v>Igual</v>
      </c>
      <c r="X515" s="120"/>
      <c r="Y515" s="120"/>
      <c r="Z515" s="49"/>
      <c r="AA515" s="116" t="str">
        <f t="shared" si="7"/>
        <v>#REF!</v>
      </c>
    </row>
    <row r="516" hidden="1">
      <c r="I516" s="49"/>
      <c r="J516" s="49"/>
      <c r="K516" s="49"/>
      <c r="L516" s="49"/>
      <c r="M516" s="104"/>
      <c r="N516" s="104"/>
      <c r="O516" s="115" t="str">
        <f t="shared" si="2"/>
        <v>Não</v>
      </c>
      <c r="P516" s="104"/>
      <c r="Q516" s="104"/>
      <c r="R516" s="104"/>
      <c r="S516" s="104"/>
      <c r="T516" s="104"/>
      <c r="U516" s="104">
        <f t="shared" si="3"/>
        <v>0</v>
      </c>
      <c r="V516" s="115" t="str">
        <f t="shared" si="4"/>
        <v>Não</v>
      </c>
      <c r="W516" s="116" t="str">
        <f t="shared" si="5"/>
        <v>Igual</v>
      </c>
      <c r="X516" s="120"/>
      <c r="Y516" s="120"/>
      <c r="Z516" s="49"/>
      <c r="AA516" s="116" t="str">
        <f t="shared" si="7"/>
        <v>#REF!</v>
      </c>
    </row>
    <row r="517" hidden="1">
      <c r="I517" s="49"/>
      <c r="J517" s="49"/>
      <c r="K517" s="49"/>
      <c r="L517" s="49"/>
      <c r="M517" s="104"/>
      <c r="N517" s="104"/>
      <c r="O517" s="115" t="str">
        <f t="shared" si="2"/>
        <v>Não</v>
      </c>
      <c r="P517" s="104"/>
      <c r="Q517" s="104"/>
      <c r="R517" s="104"/>
      <c r="S517" s="104"/>
      <c r="T517" s="104"/>
      <c r="U517" s="104">
        <f t="shared" si="3"/>
        <v>0</v>
      </c>
      <c r="V517" s="115" t="str">
        <f t="shared" si="4"/>
        <v>Não</v>
      </c>
      <c r="W517" s="116" t="str">
        <f t="shared" si="5"/>
        <v>Igual</v>
      </c>
      <c r="X517" s="120"/>
      <c r="Y517" s="120"/>
      <c r="Z517" s="49"/>
      <c r="AA517" s="116" t="str">
        <f t="shared" si="7"/>
        <v>#REF!</v>
      </c>
    </row>
    <row r="518" hidden="1">
      <c r="I518" s="49"/>
      <c r="J518" s="49"/>
      <c r="K518" s="49"/>
      <c r="L518" s="49"/>
      <c r="M518" s="104"/>
      <c r="N518" s="104"/>
      <c r="O518" s="115" t="str">
        <f t="shared" si="2"/>
        <v>Não</v>
      </c>
      <c r="P518" s="104"/>
      <c r="Q518" s="104"/>
      <c r="R518" s="104"/>
      <c r="S518" s="104"/>
      <c r="T518" s="104"/>
      <c r="U518" s="104">
        <f t="shared" si="3"/>
        <v>0</v>
      </c>
      <c r="V518" s="115" t="str">
        <f t="shared" si="4"/>
        <v>Não</v>
      </c>
      <c r="W518" s="116" t="str">
        <f t="shared" si="5"/>
        <v>Igual</v>
      </c>
      <c r="X518" s="120"/>
      <c r="Y518" s="120"/>
      <c r="Z518" s="49"/>
      <c r="AA518" s="116" t="str">
        <f t="shared" si="7"/>
        <v>#REF!</v>
      </c>
    </row>
    <row r="519" hidden="1">
      <c r="I519" s="49"/>
      <c r="J519" s="49"/>
      <c r="K519" s="49"/>
      <c r="L519" s="49"/>
      <c r="M519" s="104"/>
      <c r="N519" s="104"/>
      <c r="O519" s="115" t="str">
        <f t="shared" si="2"/>
        <v>Não</v>
      </c>
      <c r="P519" s="104"/>
      <c r="Q519" s="104"/>
      <c r="R519" s="104"/>
      <c r="S519" s="104"/>
      <c r="T519" s="104"/>
      <c r="U519" s="104">
        <f t="shared" si="3"/>
        <v>0</v>
      </c>
      <c r="V519" s="115" t="str">
        <f t="shared" si="4"/>
        <v>Não</v>
      </c>
      <c r="W519" s="116" t="str">
        <f t="shared" si="5"/>
        <v>Igual</v>
      </c>
      <c r="X519" s="120"/>
      <c r="Y519" s="120"/>
      <c r="Z519" s="49"/>
      <c r="AA519" s="116" t="str">
        <f t="shared" si="7"/>
        <v>#REF!</v>
      </c>
    </row>
    <row r="520" hidden="1">
      <c r="I520" s="49"/>
      <c r="J520" s="49"/>
      <c r="K520" s="49"/>
      <c r="L520" s="49"/>
      <c r="M520" s="104"/>
      <c r="N520" s="104"/>
      <c r="O520" s="115" t="str">
        <f t="shared" si="2"/>
        <v>Não</v>
      </c>
      <c r="P520" s="104"/>
      <c r="Q520" s="104"/>
      <c r="R520" s="104"/>
      <c r="S520" s="104"/>
      <c r="T520" s="104"/>
      <c r="U520" s="104">
        <f t="shared" si="3"/>
        <v>0</v>
      </c>
      <c r="V520" s="115" t="str">
        <f t="shared" si="4"/>
        <v>Não</v>
      </c>
      <c r="W520" s="116" t="str">
        <f t="shared" si="5"/>
        <v>Igual</v>
      </c>
      <c r="X520" s="120"/>
      <c r="Y520" s="120"/>
      <c r="Z520" s="49"/>
      <c r="AA520" s="116" t="str">
        <f t="shared" si="7"/>
        <v>#REF!</v>
      </c>
    </row>
    <row r="521" hidden="1">
      <c r="I521" s="49"/>
      <c r="J521" s="49"/>
      <c r="K521" s="49"/>
      <c r="L521" s="49"/>
      <c r="M521" s="104"/>
      <c r="N521" s="104"/>
      <c r="O521" s="115" t="str">
        <f t="shared" si="2"/>
        <v>Não</v>
      </c>
      <c r="P521" s="104"/>
      <c r="Q521" s="104"/>
      <c r="R521" s="104"/>
      <c r="S521" s="104"/>
      <c r="T521" s="104"/>
      <c r="U521" s="104">
        <f t="shared" si="3"/>
        <v>0</v>
      </c>
      <c r="V521" s="115" t="str">
        <f t="shared" si="4"/>
        <v>Não</v>
      </c>
      <c r="W521" s="116" t="str">
        <f t="shared" si="5"/>
        <v>Igual</v>
      </c>
      <c r="X521" s="120"/>
      <c r="Y521" s="120"/>
      <c r="Z521" s="49"/>
      <c r="AA521" s="116" t="str">
        <f t="shared" si="7"/>
        <v>#REF!</v>
      </c>
    </row>
    <row r="522" hidden="1">
      <c r="I522" s="49"/>
      <c r="J522" s="49"/>
      <c r="K522" s="49"/>
      <c r="L522" s="49"/>
      <c r="M522" s="104"/>
      <c r="N522" s="104"/>
      <c r="O522" s="115" t="str">
        <f t="shared" si="2"/>
        <v>Não</v>
      </c>
      <c r="P522" s="104"/>
      <c r="Q522" s="104"/>
      <c r="R522" s="104"/>
      <c r="S522" s="104"/>
      <c r="T522" s="104"/>
      <c r="U522" s="104">
        <f t="shared" si="3"/>
        <v>0</v>
      </c>
      <c r="V522" s="115" t="str">
        <f t="shared" si="4"/>
        <v>Não</v>
      </c>
      <c r="W522" s="116" t="str">
        <f t="shared" si="5"/>
        <v>Igual</v>
      </c>
      <c r="X522" s="120"/>
      <c r="Y522" s="120"/>
      <c r="Z522" s="49"/>
      <c r="AA522" s="116" t="str">
        <f t="shared" si="7"/>
        <v>#REF!</v>
      </c>
    </row>
    <row r="523" hidden="1">
      <c r="I523" s="49"/>
      <c r="J523" s="49"/>
      <c r="K523" s="49"/>
      <c r="L523" s="49"/>
      <c r="M523" s="104"/>
      <c r="N523" s="104"/>
      <c r="O523" s="115" t="str">
        <f t="shared" si="2"/>
        <v>Não</v>
      </c>
      <c r="P523" s="104"/>
      <c r="Q523" s="104"/>
      <c r="R523" s="104"/>
      <c r="S523" s="104"/>
      <c r="T523" s="104"/>
      <c r="U523" s="104">
        <f t="shared" si="3"/>
        <v>0</v>
      </c>
      <c r="V523" s="115" t="str">
        <f t="shared" si="4"/>
        <v>Não</v>
      </c>
      <c r="W523" s="116" t="str">
        <f t="shared" si="5"/>
        <v>Igual</v>
      </c>
      <c r="X523" s="120"/>
      <c r="Y523" s="120"/>
      <c r="Z523" s="49"/>
      <c r="AA523" s="116" t="str">
        <f t="shared" si="7"/>
        <v>#REF!</v>
      </c>
    </row>
    <row r="524" hidden="1">
      <c r="I524" s="49"/>
      <c r="J524" s="49"/>
      <c r="K524" s="49"/>
      <c r="L524" s="49"/>
      <c r="M524" s="104"/>
      <c r="N524" s="104"/>
      <c r="O524" s="115" t="str">
        <f t="shared" si="2"/>
        <v>Não</v>
      </c>
      <c r="P524" s="104"/>
      <c r="Q524" s="104"/>
      <c r="R524" s="104"/>
      <c r="S524" s="104"/>
      <c r="T524" s="104"/>
      <c r="U524" s="104">
        <f t="shared" si="3"/>
        <v>0</v>
      </c>
      <c r="V524" s="115" t="str">
        <f t="shared" si="4"/>
        <v>Não</v>
      </c>
      <c r="W524" s="116" t="str">
        <f t="shared" si="5"/>
        <v>Igual</v>
      </c>
      <c r="X524" s="120"/>
      <c r="Y524" s="120"/>
      <c r="Z524" s="49"/>
      <c r="AA524" s="116" t="str">
        <f t="shared" si="7"/>
        <v>#REF!</v>
      </c>
    </row>
    <row r="525" hidden="1">
      <c r="I525" s="49"/>
      <c r="J525" s="49"/>
      <c r="K525" s="49"/>
      <c r="L525" s="49"/>
      <c r="M525" s="104"/>
      <c r="N525" s="104"/>
      <c r="O525" s="115" t="str">
        <f t="shared" si="2"/>
        <v>Não</v>
      </c>
      <c r="P525" s="104"/>
      <c r="Q525" s="104"/>
      <c r="R525" s="104"/>
      <c r="S525" s="104"/>
      <c r="T525" s="104"/>
      <c r="U525" s="104">
        <f t="shared" si="3"/>
        <v>0</v>
      </c>
      <c r="V525" s="115" t="str">
        <f t="shared" si="4"/>
        <v>Não</v>
      </c>
      <c r="W525" s="116" t="str">
        <f t="shared" si="5"/>
        <v>Igual</v>
      </c>
      <c r="X525" s="120"/>
      <c r="Y525" s="120"/>
      <c r="Z525" s="49"/>
      <c r="AA525" s="116" t="str">
        <f t="shared" si="7"/>
        <v>#REF!</v>
      </c>
    </row>
    <row r="526" hidden="1">
      <c r="I526" s="49"/>
      <c r="J526" s="49"/>
      <c r="K526" s="49"/>
      <c r="L526" s="49"/>
      <c r="M526" s="104"/>
      <c r="N526" s="104"/>
      <c r="O526" s="115" t="str">
        <f t="shared" si="2"/>
        <v>Não</v>
      </c>
      <c r="P526" s="104"/>
      <c r="Q526" s="104"/>
      <c r="R526" s="104"/>
      <c r="S526" s="104"/>
      <c r="T526" s="104"/>
      <c r="U526" s="104">
        <f t="shared" si="3"/>
        <v>0</v>
      </c>
      <c r="V526" s="115" t="str">
        <f t="shared" si="4"/>
        <v>Não</v>
      </c>
      <c r="W526" s="116" t="str">
        <f t="shared" si="5"/>
        <v>Igual</v>
      </c>
      <c r="X526" s="120"/>
      <c r="Y526" s="120"/>
      <c r="Z526" s="49"/>
      <c r="AA526" s="116" t="str">
        <f t="shared" si="7"/>
        <v>#REF!</v>
      </c>
    </row>
    <row r="527" hidden="1">
      <c r="I527" s="49"/>
      <c r="J527" s="49"/>
      <c r="K527" s="49"/>
      <c r="L527" s="49"/>
      <c r="M527" s="104"/>
      <c r="N527" s="104"/>
      <c r="O527" s="115" t="str">
        <f t="shared" si="2"/>
        <v>Não</v>
      </c>
      <c r="P527" s="104"/>
      <c r="Q527" s="104"/>
      <c r="R527" s="104"/>
      <c r="S527" s="104"/>
      <c r="T527" s="104"/>
      <c r="U527" s="104">
        <f t="shared" si="3"/>
        <v>0</v>
      </c>
      <c r="V527" s="115" t="str">
        <f t="shared" si="4"/>
        <v>Não</v>
      </c>
      <c r="W527" s="116" t="str">
        <f t="shared" si="5"/>
        <v>Igual</v>
      </c>
      <c r="X527" s="120"/>
      <c r="Y527" s="120"/>
      <c r="Z527" s="49"/>
      <c r="AA527" s="116" t="str">
        <f t="shared" si="7"/>
        <v>#REF!</v>
      </c>
    </row>
    <row r="528" hidden="1">
      <c r="I528" s="49"/>
      <c r="J528" s="49"/>
      <c r="K528" s="49"/>
      <c r="L528" s="49"/>
      <c r="M528" s="104"/>
      <c r="N528" s="104"/>
      <c r="O528" s="115" t="str">
        <f t="shared" si="2"/>
        <v>Não</v>
      </c>
      <c r="P528" s="104"/>
      <c r="Q528" s="104"/>
      <c r="R528" s="104"/>
      <c r="S528" s="104"/>
      <c r="T528" s="104"/>
      <c r="U528" s="104">
        <f t="shared" si="3"/>
        <v>0</v>
      </c>
      <c r="V528" s="115" t="str">
        <f t="shared" si="4"/>
        <v>Não</v>
      </c>
      <c r="W528" s="116" t="str">
        <f t="shared" si="5"/>
        <v>Igual</v>
      </c>
      <c r="X528" s="120"/>
      <c r="Y528" s="120"/>
      <c r="Z528" s="49"/>
      <c r="AA528" s="116" t="str">
        <f t="shared" si="7"/>
        <v>#REF!</v>
      </c>
    </row>
    <row r="529" hidden="1">
      <c r="I529" s="49"/>
      <c r="J529" s="49"/>
      <c r="K529" s="49"/>
      <c r="L529" s="49"/>
      <c r="M529" s="104"/>
      <c r="N529" s="104"/>
      <c r="O529" s="115" t="str">
        <f t="shared" si="2"/>
        <v>Não</v>
      </c>
      <c r="P529" s="104"/>
      <c r="Q529" s="104"/>
      <c r="R529" s="104"/>
      <c r="S529" s="104"/>
      <c r="T529" s="104"/>
      <c r="U529" s="104">
        <f t="shared" si="3"/>
        <v>0</v>
      </c>
      <c r="V529" s="115" t="str">
        <f t="shared" si="4"/>
        <v>Não</v>
      </c>
      <c r="W529" s="116" t="str">
        <f t="shared" si="5"/>
        <v>Igual</v>
      </c>
      <c r="X529" s="120"/>
      <c r="Y529" s="120"/>
      <c r="Z529" s="49"/>
      <c r="AA529" s="116" t="str">
        <f t="shared" si="7"/>
        <v>#REF!</v>
      </c>
    </row>
    <row r="530" hidden="1">
      <c r="I530" s="49"/>
      <c r="J530" s="49"/>
      <c r="K530" s="49"/>
      <c r="L530" s="49"/>
      <c r="M530" s="104"/>
      <c r="N530" s="104"/>
      <c r="O530" s="115" t="str">
        <f t="shared" si="2"/>
        <v>Não</v>
      </c>
      <c r="P530" s="104"/>
      <c r="Q530" s="104"/>
      <c r="R530" s="104"/>
      <c r="S530" s="104"/>
      <c r="T530" s="104"/>
      <c r="U530" s="104">
        <f t="shared" si="3"/>
        <v>0</v>
      </c>
      <c r="V530" s="115" t="str">
        <f t="shared" si="4"/>
        <v>Não</v>
      </c>
      <c r="W530" s="116" t="str">
        <f t="shared" si="5"/>
        <v>Igual</v>
      </c>
      <c r="X530" s="120"/>
      <c r="Y530" s="120"/>
      <c r="Z530" s="49"/>
      <c r="AA530" s="116" t="str">
        <f t="shared" si="7"/>
        <v>#REF!</v>
      </c>
    </row>
    <row r="531" hidden="1">
      <c r="I531" s="49"/>
      <c r="J531" s="49"/>
      <c r="K531" s="49"/>
      <c r="L531" s="49"/>
      <c r="M531" s="104"/>
      <c r="N531" s="104"/>
      <c r="O531" s="115" t="str">
        <f t="shared" si="2"/>
        <v>Não</v>
      </c>
      <c r="P531" s="104"/>
      <c r="Q531" s="104"/>
      <c r="R531" s="104"/>
      <c r="S531" s="104"/>
      <c r="T531" s="104"/>
      <c r="U531" s="104">
        <f t="shared" si="3"/>
        <v>0</v>
      </c>
      <c r="V531" s="115" t="str">
        <f t="shared" si="4"/>
        <v>Não</v>
      </c>
      <c r="W531" s="116" t="str">
        <f t="shared" si="5"/>
        <v>Igual</v>
      </c>
      <c r="X531" s="120"/>
      <c r="Y531" s="120"/>
      <c r="Z531" s="49"/>
      <c r="AA531" s="116" t="str">
        <f t="shared" si="7"/>
        <v>#REF!</v>
      </c>
    </row>
    <row r="532" hidden="1">
      <c r="I532" s="49"/>
      <c r="J532" s="49"/>
      <c r="K532" s="49"/>
      <c r="L532" s="49"/>
      <c r="M532" s="104"/>
      <c r="N532" s="104"/>
      <c r="O532" s="115" t="str">
        <f t="shared" si="2"/>
        <v>Não</v>
      </c>
      <c r="P532" s="104"/>
      <c r="Q532" s="104"/>
      <c r="R532" s="104"/>
      <c r="S532" s="104"/>
      <c r="T532" s="104"/>
      <c r="U532" s="104">
        <f t="shared" si="3"/>
        <v>0</v>
      </c>
      <c r="V532" s="115" t="str">
        <f t="shared" si="4"/>
        <v>Não</v>
      </c>
      <c r="W532" s="116" t="str">
        <f t="shared" si="5"/>
        <v>Igual</v>
      </c>
      <c r="X532" s="120"/>
      <c r="Y532" s="120"/>
      <c r="Z532" s="49"/>
      <c r="AA532" s="116" t="str">
        <f t="shared" si="7"/>
        <v>#REF!</v>
      </c>
    </row>
    <row r="533" hidden="1">
      <c r="I533" s="49"/>
      <c r="J533" s="49"/>
      <c r="K533" s="49"/>
      <c r="L533" s="49"/>
      <c r="M533" s="104"/>
      <c r="N533" s="104"/>
      <c r="O533" s="115" t="str">
        <f t="shared" si="2"/>
        <v>Não</v>
      </c>
      <c r="P533" s="104"/>
      <c r="Q533" s="104"/>
      <c r="R533" s="104"/>
      <c r="S533" s="104"/>
      <c r="T533" s="104"/>
      <c r="U533" s="104">
        <f t="shared" si="3"/>
        <v>0</v>
      </c>
      <c r="V533" s="115" t="str">
        <f t="shared" si="4"/>
        <v>Não</v>
      </c>
      <c r="W533" s="116" t="str">
        <f t="shared" si="5"/>
        <v>Igual</v>
      </c>
      <c r="X533" s="120"/>
      <c r="Y533" s="120"/>
      <c r="Z533" s="49"/>
      <c r="AA533" s="116" t="str">
        <f t="shared" si="7"/>
        <v>#REF!</v>
      </c>
    </row>
    <row r="534" hidden="1">
      <c r="I534" s="49"/>
      <c r="J534" s="49"/>
      <c r="K534" s="49"/>
      <c r="L534" s="49"/>
      <c r="M534" s="104"/>
      <c r="N534" s="104"/>
      <c r="O534" s="115" t="str">
        <f t="shared" si="2"/>
        <v>Não</v>
      </c>
      <c r="P534" s="104"/>
      <c r="Q534" s="104"/>
      <c r="R534" s="104"/>
      <c r="S534" s="104"/>
      <c r="T534" s="104"/>
      <c r="U534" s="104">
        <f t="shared" si="3"/>
        <v>0</v>
      </c>
      <c r="V534" s="115" t="str">
        <f t="shared" si="4"/>
        <v>Não</v>
      </c>
      <c r="W534" s="116" t="str">
        <f t="shared" si="5"/>
        <v>Igual</v>
      </c>
      <c r="X534" s="120"/>
      <c r="Y534" s="120"/>
      <c r="Z534" s="49"/>
      <c r="AA534" s="116" t="str">
        <f t="shared" si="7"/>
        <v>#REF!</v>
      </c>
    </row>
    <row r="535" hidden="1">
      <c r="I535" s="49"/>
      <c r="J535" s="49"/>
      <c r="K535" s="49"/>
      <c r="L535" s="49"/>
      <c r="M535" s="104"/>
      <c r="N535" s="104"/>
      <c r="O535" s="115" t="str">
        <f t="shared" si="2"/>
        <v>Não</v>
      </c>
      <c r="P535" s="104"/>
      <c r="Q535" s="104"/>
      <c r="R535" s="104"/>
      <c r="S535" s="104"/>
      <c r="T535" s="104"/>
      <c r="U535" s="104">
        <f t="shared" si="3"/>
        <v>0</v>
      </c>
      <c r="V535" s="115" t="str">
        <f t="shared" si="4"/>
        <v>Não</v>
      </c>
      <c r="W535" s="116" t="str">
        <f t="shared" si="5"/>
        <v>Igual</v>
      </c>
      <c r="X535" s="120"/>
      <c r="Y535" s="120"/>
      <c r="Z535" s="49"/>
      <c r="AA535" s="116" t="str">
        <f t="shared" si="7"/>
        <v>#REF!</v>
      </c>
    </row>
    <row r="536" hidden="1">
      <c r="I536" s="49"/>
      <c r="J536" s="49"/>
      <c r="K536" s="49"/>
      <c r="L536" s="49"/>
      <c r="M536" s="104"/>
      <c r="N536" s="104"/>
      <c r="O536" s="115" t="str">
        <f t="shared" si="2"/>
        <v>Não</v>
      </c>
      <c r="P536" s="104"/>
      <c r="Q536" s="104"/>
      <c r="R536" s="104"/>
      <c r="S536" s="104"/>
      <c r="T536" s="104"/>
      <c r="U536" s="104">
        <f t="shared" si="3"/>
        <v>0</v>
      </c>
      <c r="V536" s="115" t="str">
        <f t="shared" si="4"/>
        <v>Não</v>
      </c>
      <c r="W536" s="116" t="str">
        <f t="shared" si="5"/>
        <v>Igual</v>
      </c>
      <c r="X536" s="120"/>
      <c r="Y536" s="120"/>
      <c r="Z536" s="49"/>
      <c r="AA536" s="116" t="str">
        <f t="shared" si="7"/>
        <v>#REF!</v>
      </c>
    </row>
    <row r="537" hidden="1">
      <c r="I537" s="49"/>
      <c r="J537" s="49"/>
      <c r="K537" s="49"/>
      <c r="L537" s="49"/>
      <c r="M537" s="104"/>
      <c r="N537" s="104"/>
      <c r="O537" s="115" t="str">
        <f t="shared" si="2"/>
        <v>Não</v>
      </c>
      <c r="P537" s="104"/>
      <c r="Q537" s="104"/>
      <c r="R537" s="104"/>
      <c r="S537" s="104"/>
      <c r="T537" s="104"/>
      <c r="U537" s="104">
        <f t="shared" si="3"/>
        <v>0</v>
      </c>
      <c r="V537" s="115" t="str">
        <f t="shared" si="4"/>
        <v>Não</v>
      </c>
      <c r="W537" s="116" t="str">
        <f t="shared" si="5"/>
        <v>Igual</v>
      </c>
      <c r="X537" s="120"/>
      <c r="Y537" s="120"/>
      <c r="Z537" s="49"/>
      <c r="AA537" s="116" t="str">
        <f t="shared" si="7"/>
        <v>#REF!</v>
      </c>
    </row>
    <row r="538" hidden="1">
      <c r="I538" s="49"/>
      <c r="J538" s="49"/>
      <c r="K538" s="49"/>
      <c r="L538" s="49"/>
      <c r="M538" s="104"/>
      <c r="N538" s="104"/>
      <c r="O538" s="115" t="str">
        <f t="shared" si="2"/>
        <v>Não</v>
      </c>
      <c r="P538" s="104"/>
      <c r="Q538" s="104"/>
      <c r="R538" s="104"/>
      <c r="S538" s="104"/>
      <c r="T538" s="104"/>
      <c r="U538" s="104">
        <f t="shared" si="3"/>
        <v>0</v>
      </c>
      <c r="V538" s="115" t="str">
        <f t="shared" si="4"/>
        <v>Não</v>
      </c>
      <c r="W538" s="116" t="str">
        <f t="shared" si="5"/>
        <v>Igual</v>
      </c>
      <c r="X538" s="120"/>
      <c r="Y538" s="120"/>
      <c r="Z538" s="49"/>
      <c r="AA538" s="116" t="str">
        <f t="shared" si="7"/>
        <v>#REF!</v>
      </c>
    </row>
    <row r="539" hidden="1">
      <c r="I539" s="49"/>
      <c r="J539" s="49"/>
      <c r="K539" s="49"/>
      <c r="L539" s="49"/>
      <c r="M539" s="104"/>
      <c r="N539" s="104"/>
      <c r="O539" s="115" t="str">
        <f t="shared" si="2"/>
        <v>Não</v>
      </c>
      <c r="P539" s="104"/>
      <c r="Q539" s="104"/>
      <c r="R539" s="104"/>
      <c r="S539" s="104"/>
      <c r="T539" s="104"/>
      <c r="U539" s="104">
        <f t="shared" si="3"/>
        <v>0</v>
      </c>
      <c r="V539" s="115" t="str">
        <f t="shared" si="4"/>
        <v>Não</v>
      </c>
      <c r="W539" s="116" t="str">
        <f t="shared" si="5"/>
        <v>Igual</v>
      </c>
      <c r="X539" s="120"/>
      <c r="Y539" s="120"/>
      <c r="Z539" s="49"/>
      <c r="AA539" s="116" t="str">
        <f t="shared" si="7"/>
        <v>#REF!</v>
      </c>
    </row>
    <row r="540" hidden="1">
      <c r="I540" s="49"/>
      <c r="J540" s="49"/>
      <c r="K540" s="49"/>
      <c r="L540" s="49"/>
      <c r="M540" s="104"/>
      <c r="N540" s="104"/>
      <c r="O540" s="115" t="str">
        <f t="shared" si="2"/>
        <v>Não</v>
      </c>
      <c r="P540" s="104"/>
      <c r="Q540" s="104"/>
      <c r="R540" s="104"/>
      <c r="S540" s="104"/>
      <c r="T540" s="104"/>
      <c r="U540" s="104">
        <f t="shared" si="3"/>
        <v>0</v>
      </c>
      <c r="V540" s="115" t="str">
        <f t="shared" si="4"/>
        <v>Não</v>
      </c>
      <c r="W540" s="116" t="str">
        <f t="shared" si="5"/>
        <v>Igual</v>
      </c>
      <c r="X540" s="120"/>
      <c r="Y540" s="120"/>
      <c r="Z540" s="49"/>
      <c r="AA540" s="116" t="str">
        <f t="shared" si="7"/>
        <v>#REF!</v>
      </c>
    </row>
    <row r="541" hidden="1">
      <c r="I541" s="49"/>
      <c r="J541" s="49"/>
      <c r="K541" s="49"/>
      <c r="L541" s="49"/>
      <c r="M541" s="104"/>
      <c r="N541" s="104"/>
      <c r="O541" s="115" t="str">
        <f t="shared" si="2"/>
        <v>Não</v>
      </c>
      <c r="P541" s="104"/>
      <c r="Q541" s="104"/>
      <c r="R541" s="104"/>
      <c r="S541" s="104"/>
      <c r="T541" s="104"/>
      <c r="U541" s="104">
        <f t="shared" si="3"/>
        <v>0</v>
      </c>
      <c r="V541" s="115" t="str">
        <f t="shared" si="4"/>
        <v>Não</v>
      </c>
      <c r="W541" s="116" t="str">
        <f t="shared" si="5"/>
        <v>Igual</v>
      </c>
      <c r="X541" s="120"/>
      <c r="Y541" s="120"/>
      <c r="Z541" s="49"/>
      <c r="AA541" s="116" t="str">
        <f t="shared" si="7"/>
        <v>#REF!</v>
      </c>
    </row>
    <row r="542" hidden="1">
      <c r="I542" s="49"/>
      <c r="J542" s="49"/>
      <c r="K542" s="49"/>
      <c r="L542" s="49"/>
      <c r="M542" s="104"/>
      <c r="N542" s="104"/>
      <c r="O542" s="115" t="str">
        <f t="shared" si="2"/>
        <v>Não</v>
      </c>
      <c r="P542" s="104"/>
      <c r="Q542" s="104"/>
      <c r="R542" s="104"/>
      <c r="S542" s="104"/>
      <c r="T542" s="104"/>
      <c r="U542" s="104">
        <f t="shared" si="3"/>
        <v>0</v>
      </c>
      <c r="V542" s="115" t="str">
        <f t="shared" si="4"/>
        <v>Não</v>
      </c>
      <c r="W542" s="116" t="str">
        <f t="shared" si="5"/>
        <v>Igual</v>
      </c>
      <c r="X542" s="120"/>
      <c r="Y542" s="120"/>
      <c r="Z542" s="49"/>
      <c r="AA542" s="116" t="str">
        <f t="shared" si="7"/>
        <v>#REF!</v>
      </c>
    </row>
    <row r="543" hidden="1">
      <c r="I543" s="49"/>
      <c r="J543" s="49"/>
      <c r="K543" s="49"/>
      <c r="L543" s="49"/>
      <c r="M543" s="104"/>
      <c r="N543" s="104"/>
      <c r="O543" s="115" t="str">
        <f t="shared" si="2"/>
        <v>Não</v>
      </c>
      <c r="P543" s="104"/>
      <c r="Q543" s="104"/>
      <c r="R543" s="104"/>
      <c r="S543" s="104"/>
      <c r="T543" s="104"/>
      <c r="U543" s="104">
        <f t="shared" si="3"/>
        <v>0</v>
      </c>
      <c r="V543" s="115" t="str">
        <f t="shared" si="4"/>
        <v>Não</v>
      </c>
      <c r="W543" s="116" t="str">
        <f t="shared" si="5"/>
        <v>Igual</v>
      </c>
      <c r="X543" s="120"/>
      <c r="Y543" s="120"/>
      <c r="Z543" s="49"/>
      <c r="AA543" s="116" t="str">
        <f t="shared" si="7"/>
        <v>#REF!</v>
      </c>
    </row>
    <row r="544" hidden="1">
      <c r="I544" s="49"/>
      <c r="J544" s="49"/>
      <c r="K544" s="49"/>
      <c r="L544" s="49"/>
      <c r="M544" s="104"/>
      <c r="N544" s="104"/>
      <c r="O544" s="115" t="str">
        <f t="shared" si="2"/>
        <v>Não</v>
      </c>
      <c r="P544" s="104"/>
      <c r="Q544" s="104"/>
      <c r="R544" s="104"/>
      <c r="S544" s="104"/>
      <c r="T544" s="104"/>
      <c r="U544" s="104">
        <f t="shared" si="3"/>
        <v>0</v>
      </c>
      <c r="V544" s="115" t="str">
        <f t="shared" si="4"/>
        <v>Não</v>
      </c>
      <c r="W544" s="116" t="str">
        <f t="shared" si="5"/>
        <v>Igual</v>
      </c>
      <c r="X544" s="120"/>
      <c r="Y544" s="120"/>
      <c r="Z544" s="49"/>
      <c r="AA544" s="116" t="str">
        <f t="shared" si="7"/>
        <v>#REF!</v>
      </c>
    </row>
    <row r="545" hidden="1">
      <c r="I545" s="49"/>
      <c r="J545" s="49"/>
      <c r="K545" s="49"/>
      <c r="L545" s="49"/>
      <c r="M545" s="104"/>
      <c r="N545" s="104"/>
      <c r="O545" s="115" t="str">
        <f t="shared" si="2"/>
        <v>Não</v>
      </c>
      <c r="P545" s="104"/>
      <c r="Q545" s="104"/>
      <c r="R545" s="104"/>
      <c r="S545" s="104"/>
      <c r="T545" s="104"/>
      <c r="U545" s="104">
        <f t="shared" si="3"/>
        <v>0</v>
      </c>
      <c r="V545" s="115" t="str">
        <f t="shared" si="4"/>
        <v>Não</v>
      </c>
      <c r="W545" s="116" t="str">
        <f t="shared" si="5"/>
        <v>Igual</v>
      </c>
      <c r="X545" s="120"/>
      <c r="Y545" s="120"/>
      <c r="Z545" s="49"/>
      <c r="AA545" s="116" t="str">
        <f t="shared" si="7"/>
        <v>#REF!</v>
      </c>
    </row>
    <row r="546" hidden="1">
      <c r="I546" s="49"/>
      <c r="J546" s="49"/>
      <c r="K546" s="49"/>
      <c r="L546" s="49"/>
      <c r="M546" s="104"/>
      <c r="N546" s="104"/>
      <c r="O546" s="115" t="str">
        <f t="shared" si="2"/>
        <v>Não</v>
      </c>
      <c r="P546" s="104"/>
      <c r="Q546" s="104"/>
      <c r="R546" s="104"/>
      <c r="S546" s="104"/>
      <c r="T546" s="104"/>
      <c r="U546" s="104">
        <f t="shared" si="3"/>
        <v>0</v>
      </c>
      <c r="V546" s="115" t="str">
        <f t="shared" si="4"/>
        <v>Não</v>
      </c>
      <c r="W546" s="116" t="str">
        <f t="shared" si="5"/>
        <v>Igual</v>
      </c>
      <c r="X546" s="120"/>
      <c r="Y546" s="120"/>
      <c r="Z546" s="49"/>
      <c r="AA546" s="116" t="str">
        <f t="shared" si="7"/>
        <v>#REF!</v>
      </c>
    </row>
    <row r="547" hidden="1">
      <c r="I547" s="49"/>
      <c r="J547" s="49"/>
      <c r="K547" s="49"/>
      <c r="L547" s="49"/>
      <c r="M547" s="104"/>
      <c r="N547" s="104"/>
      <c r="O547" s="115" t="str">
        <f t="shared" si="2"/>
        <v>Não</v>
      </c>
      <c r="P547" s="104"/>
      <c r="Q547" s="104"/>
      <c r="R547" s="104"/>
      <c r="S547" s="104"/>
      <c r="T547" s="104"/>
      <c r="U547" s="104">
        <f t="shared" si="3"/>
        <v>0</v>
      </c>
      <c r="V547" s="115" t="str">
        <f t="shared" si="4"/>
        <v>Não</v>
      </c>
      <c r="W547" s="116" t="str">
        <f t="shared" si="5"/>
        <v>Igual</v>
      </c>
      <c r="X547" s="120"/>
      <c r="Y547" s="120"/>
      <c r="Z547" s="49"/>
      <c r="AA547" s="116" t="str">
        <f t="shared" si="7"/>
        <v>#REF!</v>
      </c>
    </row>
    <row r="548" hidden="1">
      <c r="I548" s="49"/>
      <c r="J548" s="49"/>
      <c r="K548" s="49"/>
      <c r="L548" s="49"/>
      <c r="M548" s="104"/>
      <c r="N548" s="104"/>
      <c r="O548" s="115" t="str">
        <f t="shared" si="2"/>
        <v>Não</v>
      </c>
      <c r="P548" s="104"/>
      <c r="Q548" s="104"/>
      <c r="R548" s="104"/>
      <c r="S548" s="104"/>
      <c r="T548" s="104"/>
      <c r="U548" s="104">
        <f t="shared" si="3"/>
        <v>0</v>
      </c>
      <c r="V548" s="115" t="str">
        <f t="shared" si="4"/>
        <v>Não</v>
      </c>
      <c r="W548" s="116" t="str">
        <f t="shared" si="5"/>
        <v>Igual</v>
      </c>
      <c r="X548" s="120"/>
      <c r="Y548" s="120"/>
      <c r="Z548" s="49"/>
      <c r="AA548" s="116" t="str">
        <f t="shared" si="7"/>
        <v>#REF!</v>
      </c>
    </row>
    <row r="549" hidden="1">
      <c r="I549" s="49"/>
      <c r="J549" s="49"/>
      <c r="K549" s="49"/>
      <c r="L549" s="49"/>
      <c r="M549" s="104"/>
      <c r="N549" s="104"/>
      <c r="O549" s="115" t="str">
        <f t="shared" si="2"/>
        <v>Não</v>
      </c>
      <c r="P549" s="104"/>
      <c r="Q549" s="104"/>
      <c r="R549" s="104"/>
      <c r="S549" s="104"/>
      <c r="T549" s="104"/>
      <c r="U549" s="104">
        <f t="shared" si="3"/>
        <v>0</v>
      </c>
      <c r="V549" s="115" t="str">
        <f t="shared" si="4"/>
        <v>Não</v>
      </c>
      <c r="W549" s="116" t="str">
        <f t="shared" si="5"/>
        <v>Igual</v>
      </c>
      <c r="X549" s="120"/>
      <c r="Y549" s="120"/>
      <c r="Z549" s="49"/>
      <c r="AA549" s="116" t="str">
        <f t="shared" si="7"/>
        <v>#REF!</v>
      </c>
    </row>
    <row r="550" hidden="1">
      <c r="I550" s="49"/>
      <c r="J550" s="49"/>
      <c r="K550" s="49"/>
      <c r="L550" s="49"/>
      <c r="M550" s="104"/>
      <c r="N550" s="104"/>
      <c r="O550" s="115" t="str">
        <f t="shared" si="2"/>
        <v>Não</v>
      </c>
      <c r="P550" s="104"/>
      <c r="Q550" s="104"/>
      <c r="R550" s="104"/>
      <c r="S550" s="104"/>
      <c r="T550" s="104"/>
      <c r="U550" s="104">
        <f t="shared" si="3"/>
        <v>0</v>
      </c>
      <c r="V550" s="115" t="str">
        <f t="shared" si="4"/>
        <v>Não</v>
      </c>
      <c r="W550" s="116" t="str">
        <f t="shared" si="5"/>
        <v>Igual</v>
      </c>
      <c r="X550" s="120"/>
      <c r="Y550" s="120"/>
      <c r="Z550" s="49"/>
      <c r="AA550" s="116" t="str">
        <f t="shared" si="7"/>
        <v>#REF!</v>
      </c>
    </row>
    <row r="551" hidden="1">
      <c r="I551" s="49"/>
      <c r="J551" s="49"/>
      <c r="K551" s="49"/>
      <c r="L551" s="49"/>
      <c r="M551" s="104"/>
      <c r="N551" s="104"/>
      <c r="O551" s="115" t="str">
        <f t="shared" si="2"/>
        <v>Não</v>
      </c>
      <c r="P551" s="104"/>
      <c r="Q551" s="104"/>
      <c r="R551" s="104"/>
      <c r="S551" s="104"/>
      <c r="T551" s="104"/>
      <c r="U551" s="104">
        <f t="shared" si="3"/>
        <v>0</v>
      </c>
      <c r="V551" s="115" t="str">
        <f t="shared" si="4"/>
        <v>Não</v>
      </c>
      <c r="W551" s="116" t="str">
        <f t="shared" si="5"/>
        <v>Igual</v>
      </c>
      <c r="X551" s="120"/>
      <c r="Y551" s="120"/>
      <c r="Z551" s="49"/>
      <c r="AA551" s="116" t="str">
        <f t="shared" si="7"/>
        <v>#REF!</v>
      </c>
    </row>
    <row r="552" hidden="1">
      <c r="I552" s="49"/>
      <c r="J552" s="49"/>
      <c r="K552" s="49"/>
      <c r="L552" s="49"/>
      <c r="M552" s="104"/>
      <c r="N552" s="104"/>
      <c r="O552" s="115" t="str">
        <f t="shared" si="2"/>
        <v>Não</v>
      </c>
      <c r="P552" s="104"/>
      <c r="Q552" s="104"/>
      <c r="R552" s="104"/>
      <c r="S552" s="104"/>
      <c r="T552" s="104"/>
      <c r="U552" s="104">
        <f t="shared" si="3"/>
        <v>0</v>
      </c>
      <c r="V552" s="115" t="str">
        <f t="shared" si="4"/>
        <v>Não</v>
      </c>
      <c r="W552" s="116" t="str">
        <f t="shared" si="5"/>
        <v>Igual</v>
      </c>
      <c r="X552" s="120"/>
      <c r="Y552" s="120"/>
      <c r="Z552" s="49"/>
      <c r="AA552" s="116" t="str">
        <f t="shared" si="7"/>
        <v>#REF!</v>
      </c>
    </row>
    <row r="553" hidden="1">
      <c r="I553" s="49"/>
      <c r="J553" s="49"/>
      <c r="K553" s="49"/>
      <c r="L553" s="49"/>
      <c r="M553" s="104"/>
      <c r="N553" s="104"/>
      <c r="O553" s="115" t="str">
        <f t="shared" si="2"/>
        <v>Não</v>
      </c>
      <c r="P553" s="104"/>
      <c r="Q553" s="104"/>
      <c r="R553" s="104"/>
      <c r="S553" s="104"/>
      <c r="T553" s="104"/>
      <c r="U553" s="104">
        <f t="shared" si="3"/>
        <v>0</v>
      </c>
      <c r="V553" s="115" t="str">
        <f t="shared" si="4"/>
        <v>Não</v>
      </c>
      <c r="W553" s="116" t="str">
        <f t="shared" si="5"/>
        <v>Igual</v>
      </c>
      <c r="X553" s="120"/>
      <c r="Y553" s="120"/>
      <c r="Z553" s="49"/>
      <c r="AA553" s="116" t="str">
        <f t="shared" si="7"/>
        <v>#REF!</v>
      </c>
    </row>
    <row r="554" hidden="1">
      <c r="I554" s="49"/>
      <c r="J554" s="49"/>
      <c r="K554" s="49"/>
      <c r="L554" s="49"/>
      <c r="M554" s="104"/>
      <c r="N554" s="104"/>
      <c r="O554" s="115" t="str">
        <f t="shared" si="2"/>
        <v>Não</v>
      </c>
      <c r="P554" s="104"/>
      <c r="Q554" s="104"/>
      <c r="R554" s="104"/>
      <c r="S554" s="104"/>
      <c r="T554" s="104"/>
      <c r="U554" s="104">
        <f t="shared" si="3"/>
        <v>0</v>
      </c>
      <c r="V554" s="115" t="str">
        <f t="shared" si="4"/>
        <v>Não</v>
      </c>
      <c r="W554" s="116" t="str">
        <f t="shared" si="5"/>
        <v>Igual</v>
      </c>
      <c r="X554" s="120"/>
      <c r="Y554" s="120"/>
      <c r="Z554" s="49"/>
      <c r="AA554" s="116" t="str">
        <f t="shared" si="7"/>
        <v>#REF!</v>
      </c>
    </row>
    <row r="555" hidden="1">
      <c r="I555" s="49"/>
      <c r="J555" s="49"/>
      <c r="K555" s="49"/>
      <c r="L555" s="49"/>
      <c r="M555" s="104"/>
      <c r="N555" s="104"/>
      <c r="O555" s="115" t="str">
        <f t="shared" si="2"/>
        <v>Não</v>
      </c>
      <c r="P555" s="104"/>
      <c r="Q555" s="104"/>
      <c r="R555" s="104"/>
      <c r="S555" s="104"/>
      <c r="T555" s="104"/>
      <c r="U555" s="104">
        <f t="shared" si="3"/>
        <v>0</v>
      </c>
      <c r="V555" s="115" t="str">
        <f t="shared" si="4"/>
        <v>Não</v>
      </c>
      <c r="W555" s="116" t="str">
        <f t="shared" si="5"/>
        <v>Igual</v>
      </c>
      <c r="X555" s="120"/>
      <c r="Y555" s="120"/>
      <c r="Z555" s="49"/>
      <c r="AA555" s="116" t="str">
        <f t="shared" si="7"/>
        <v>#REF!</v>
      </c>
    </row>
    <row r="556" hidden="1">
      <c r="I556" s="49"/>
      <c r="J556" s="49"/>
      <c r="K556" s="49"/>
      <c r="L556" s="49"/>
      <c r="M556" s="104"/>
      <c r="N556" s="104"/>
      <c r="O556" s="115" t="str">
        <f t="shared" si="2"/>
        <v>Não</v>
      </c>
      <c r="P556" s="104"/>
      <c r="Q556" s="104"/>
      <c r="R556" s="104"/>
      <c r="S556" s="104"/>
      <c r="T556" s="104"/>
      <c r="U556" s="104">
        <f t="shared" si="3"/>
        <v>0</v>
      </c>
      <c r="V556" s="115" t="str">
        <f t="shared" si="4"/>
        <v>Não</v>
      </c>
      <c r="W556" s="116" t="str">
        <f t="shared" si="5"/>
        <v>Igual</v>
      </c>
      <c r="X556" s="120"/>
      <c r="Y556" s="120"/>
      <c r="Z556" s="49"/>
      <c r="AA556" s="116" t="str">
        <f t="shared" si="7"/>
        <v>#REF!</v>
      </c>
    </row>
    <row r="557" hidden="1">
      <c r="I557" s="49"/>
      <c r="J557" s="49"/>
      <c r="K557" s="49"/>
      <c r="L557" s="49"/>
      <c r="M557" s="104"/>
      <c r="N557" s="104"/>
      <c r="O557" s="115" t="str">
        <f t="shared" si="2"/>
        <v>Não</v>
      </c>
      <c r="P557" s="104"/>
      <c r="Q557" s="104"/>
      <c r="R557" s="104"/>
      <c r="S557" s="104"/>
      <c r="T557" s="104"/>
      <c r="U557" s="104">
        <f t="shared" si="3"/>
        <v>0</v>
      </c>
      <c r="V557" s="115" t="str">
        <f t="shared" si="4"/>
        <v>Não</v>
      </c>
      <c r="W557" s="116" t="str">
        <f t="shared" si="5"/>
        <v>Igual</v>
      </c>
      <c r="X557" s="120"/>
      <c r="Y557" s="120"/>
      <c r="Z557" s="49"/>
      <c r="AA557" s="116" t="str">
        <f t="shared" si="7"/>
        <v>#REF!</v>
      </c>
    </row>
    <row r="558" hidden="1">
      <c r="I558" s="49"/>
      <c r="J558" s="49"/>
      <c r="K558" s="49"/>
      <c r="L558" s="49"/>
      <c r="M558" s="104"/>
      <c r="N558" s="104"/>
      <c r="O558" s="115" t="str">
        <f t="shared" si="2"/>
        <v>Não</v>
      </c>
      <c r="P558" s="104"/>
      <c r="Q558" s="104"/>
      <c r="R558" s="104"/>
      <c r="S558" s="104"/>
      <c r="T558" s="104"/>
      <c r="U558" s="104">
        <f t="shared" si="3"/>
        <v>0</v>
      </c>
      <c r="V558" s="115" t="str">
        <f t="shared" si="4"/>
        <v>Não</v>
      </c>
      <c r="W558" s="116" t="str">
        <f t="shared" si="5"/>
        <v>Igual</v>
      </c>
      <c r="X558" s="120"/>
      <c r="Y558" s="120"/>
      <c r="Z558" s="49"/>
      <c r="AA558" s="116" t="str">
        <f t="shared" si="7"/>
        <v>#REF!</v>
      </c>
    </row>
    <row r="559" hidden="1">
      <c r="I559" s="49"/>
      <c r="J559" s="49"/>
      <c r="K559" s="49"/>
      <c r="L559" s="49"/>
      <c r="M559" s="104"/>
      <c r="N559" s="104"/>
      <c r="O559" s="115" t="str">
        <f t="shared" si="2"/>
        <v>Não</v>
      </c>
      <c r="P559" s="104"/>
      <c r="Q559" s="104"/>
      <c r="R559" s="104"/>
      <c r="S559" s="104"/>
      <c r="T559" s="104"/>
      <c r="U559" s="104">
        <f t="shared" si="3"/>
        <v>0</v>
      </c>
      <c r="V559" s="115" t="str">
        <f t="shared" si="4"/>
        <v>Não</v>
      </c>
      <c r="W559" s="116" t="str">
        <f t="shared" si="5"/>
        <v>Igual</v>
      </c>
      <c r="X559" s="120"/>
      <c r="Y559" s="120"/>
      <c r="Z559" s="49"/>
      <c r="AA559" s="116" t="str">
        <f t="shared" si="7"/>
        <v>#REF!</v>
      </c>
    </row>
    <row r="560" hidden="1">
      <c r="I560" s="49"/>
      <c r="J560" s="49"/>
      <c r="K560" s="49"/>
      <c r="L560" s="49"/>
      <c r="M560" s="104"/>
      <c r="N560" s="104"/>
      <c r="O560" s="115" t="str">
        <f t="shared" si="2"/>
        <v>Não</v>
      </c>
      <c r="P560" s="104"/>
      <c r="Q560" s="104"/>
      <c r="R560" s="104"/>
      <c r="S560" s="104"/>
      <c r="T560" s="104"/>
      <c r="U560" s="104">
        <f t="shared" si="3"/>
        <v>0</v>
      </c>
      <c r="V560" s="115" t="str">
        <f t="shared" si="4"/>
        <v>Não</v>
      </c>
      <c r="W560" s="116" t="str">
        <f t="shared" si="5"/>
        <v>Igual</v>
      </c>
      <c r="X560" s="120"/>
      <c r="Y560" s="120"/>
      <c r="Z560" s="49"/>
      <c r="AA560" s="116" t="str">
        <f t="shared" si="7"/>
        <v>#REF!</v>
      </c>
    </row>
    <row r="561" hidden="1">
      <c r="I561" s="49"/>
      <c r="J561" s="49"/>
      <c r="K561" s="49"/>
      <c r="L561" s="49"/>
      <c r="M561" s="104"/>
      <c r="N561" s="104"/>
      <c r="O561" s="115" t="str">
        <f t="shared" si="2"/>
        <v>Não</v>
      </c>
      <c r="P561" s="104"/>
      <c r="Q561" s="104"/>
      <c r="R561" s="104"/>
      <c r="S561" s="104"/>
      <c r="T561" s="104"/>
      <c r="U561" s="104">
        <f t="shared" si="3"/>
        <v>0</v>
      </c>
      <c r="V561" s="115" t="str">
        <f t="shared" si="4"/>
        <v>Não</v>
      </c>
      <c r="W561" s="116" t="str">
        <f t="shared" si="5"/>
        <v>Igual</v>
      </c>
      <c r="X561" s="120"/>
      <c r="Y561" s="120"/>
      <c r="Z561" s="49"/>
      <c r="AA561" s="116" t="str">
        <f t="shared" si="7"/>
        <v>#REF!</v>
      </c>
    </row>
    <row r="562" hidden="1">
      <c r="I562" s="49"/>
      <c r="J562" s="49"/>
      <c r="K562" s="49"/>
      <c r="L562" s="49"/>
      <c r="M562" s="104"/>
      <c r="N562" s="104"/>
      <c r="O562" s="115" t="str">
        <f t="shared" si="2"/>
        <v>Não</v>
      </c>
      <c r="P562" s="104"/>
      <c r="Q562" s="104"/>
      <c r="R562" s="104"/>
      <c r="S562" s="104"/>
      <c r="T562" s="104"/>
      <c r="U562" s="104">
        <f t="shared" si="3"/>
        <v>0</v>
      </c>
      <c r="V562" s="115" t="str">
        <f t="shared" si="4"/>
        <v>Não</v>
      </c>
      <c r="W562" s="116" t="str">
        <f t="shared" si="5"/>
        <v>Igual</v>
      </c>
      <c r="X562" s="120"/>
      <c r="Y562" s="120"/>
      <c r="Z562" s="49"/>
      <c r="AA562" s="116" t="str">
        <f t="shared" si="7"/>
        <v>#REF!</v>
      </c>
    </row>
    <row r="563" hidden="1">
      <c r="I563" s="49"/>
      <c r="J563" s="49"/>
      <c r="K563" s="49"/>
      <c r="L563" s="49"/>
      <c r="M563" s="104"/>
      <c r="N563" s="104"/>
      <c r="O563" s="115" t="str">
        <f t="shared" si="2"/>
        <v>Não</v>
      </c>
      <c r="P563" s="104"/>
      <c r="Q563" s="104"/>
      <c r="R563" s="104"/>
      <c r="S563" s="104"/>
      <c r="T563" s="104"/>
      <c r="U563" s="104">
        <f t="shared" si="3"/>
        <v>0</v>
      </c>
      <c r="V563" s="115" t="str">
        <f t="shared" si="4"/>
        <v>Não</v>
      </c>
      <c r="W563" s="116" t="str">
        <f t="shared" si="5"/>
        <v>Igual</v>
      </c>
      <c r="X563" s="120"/>
      <c r="Y563" s="120"/>
      <c r="Z563" s="49"/>
      <c r="AA563" s="116" t="str">
        <f t="shared" si="7"/>
        <v>#REF!</v>
      </c>
    </row>
    <row r="564" hidden="1">
      <c r="I564" s="49"/>
      <c r="J564" s="49"/>
      <c r="K564" s="49"/>
      <c r="L564" s="49"/>
      <c r="M564" s="104"/>
      <c r="N564" s="104"/>
      <c r="O564" s="115" t="str">
        <f t="shared" si="2"/>
        <v>Não</v>
      </c>
      <c r="P564" s="104"/>
      <c r="Q564" s="104"/>
      <c r="R564" s="104"/>
      <c r="S564" s="104"/>
      <c r="T564" s="104"/>
      <c r="U564" s="104">
        <f t="shared" si="3"/>
        <v>0</v>
      </c>
      <c r="V564" s="115" t="str">
        <f t="shared" si="4"/>
        <v>Não</v>
      </c>
      <c r="W564" s="116" t="str">
        <f t="shared" si="5"/>
        <v>Igual</v>
      </c>
      <c r="X564" s="120"/>
      <c r="Y564" s="120"/>
      <c r="Z564" s="49"/>
      <c r="AA564" s="116" t="str">
        <f t="shared" si="7"/>
        <v>#REF!</v>
      </c>
    </row>
    <row r="565" hidden="1">
      <c r="I565" s="49"/>
      <c r="J565" s="49"/>
      <c r="K565" s="49"/>
      <c r="L565" s="49"/>
      <c r="M565" s="104"/>
      <c r="N565" s="104"/>
      <c r="O565" s="115" t="str">
        <f t="shared" si="2"/>
        <v>Não</v>
      </c>
      <c r="P565" s="104"/>
      <c r="Q565" s="104"/>
      <c r="R565" s="104"/>
      <c r="S565" s="104"/>
      <c r="T565" s="104"/>
      <c r="U565" s="104">
        <f t="shared" si="3"/>
        <v>0</v>
      </c>
      <c r="V565" s="115" t="str">
        <f t="shared" si="4"/>
        <v>Não</v>
      </c>
      <c r="W565" s="116" t="str">
        <f t="shared" si="5"/>
        <v>Igual</v>
      </c>
      <c r="X565" s="120"/>
      <c r="Y565" s="120"/>
      <c r="Z565" s="49"/>
      <c r="AA565" s="116" t="str">
        <f t="shared" si="7"/>
        <v>#REF!</v>
      </c>
    </row>
    <row r="566" hidden="1">
      <c r="I566" s="49"/>
      <c r="J566" s="49"/>
      <c r="K566" s="49"/>
      <c r="L566" s="49"/>
      <c r="M566" s="104"/>
      <c r="N566" s="104"/>
      <c r="O566" s="115" t="str">
        <f t="shared" si="2"/>
        <v>Não</v>
      </c>
      <c r="P566" s="104"/>
      <c r="Q566" s="104"/>
      <c r="R566" s="104"/>
      <c r="S566" s="104"/>
      <c r="T566" s="104"/>
      <c r="U566" s="104">
        <f t="shared" si="3"/>
        <v>0</v>
      </c>
      <c r="V566" s="115" t="str">
        <f t="shared" si="4"/>
        <v>Não</v>
      </c>
      <c r="W566" s="116" t="str">
        <f t="shared" si="5"/>
        <v>Igual</v>
      </c>
      <c r="X566" s="120"/>
      <c r="Y566" s="120"/>
      <c r="Z566" s="49"/>
      <c r="AA566" s="116" t="str">
        <f t="shared" si="7"/>
        <v>#REF!</v>
      </c>
    </row>
    <row r="567" hidden="1">
      <c r="I567" s="49"/>
      <c r="J567" s="49"/>
      <c r="K567" s="49"/>
      <c r="L567" s="49"/>
      <c r="M567" s="104"/>
      <c r="N567" s="104"/>
      <c r="O567" s="115" t="str">
        <f t="shared" si="2"/>
        <v>Não</v>
      </c>
      <c r="P567" s="104"/>
      <c r="Q567" s="104"/>
      <c r="R567" s="104"/>
      <c r="S567" s="104"/>
      <c r="T567" s="104"/>
      <c r="U567" s="104">
        <f t="shared" si="3"/>
        <v>0</v>
      </c>
      <c r="V567" s="115" t="str">
        <f t="shared" si="4"/>
        <v>Não</v>
      </c>
      <c r="W567" s="116" t="str">
        <f t="shared" si="5"/>
        <v>Igual</v>
      </c>
      <c r="X567" s="120"/>
      <c r="Y567" s="120"/>
      <c r="Z567" s="49"/>
      <c r="AA567" s="116" t="str">
        <f t="shared" si="7"/>
        <v>#REF!</v>
      </c>
    </row>
    <row r="568" hidden="1">
      <c r="I568" s="49"/>
      <c r="J568" s="49"/>
      <c r="K568" s="49"/>
      <c r="L568" s="49"/>
      <c r="M568" s="104"/>
      <c r="N568" s="104"/>
      <c r="O568" s="115" t="str">
        <f t="shared" si="2"/>
        <v>Não</v>
      </c>
      <c r="P568" s="104"/>
      <c r="Q568" s="104"/>
      <c r="R568" s="104"/>
      <c r="S568" s="104"/>
      <c r="T568" s="104"/>
      <c r="U568" s="104">
        <f t="shared" si="3"/>
        <v>0</v>
      </c>
      <c r="V568" s="115" t="str">
        <f t="shared" si="4"/>
        <v>Não</v>
      </c>
      <c r="W568" s="116" t="str">
        <f t="shared" si="5"/>
        <v>Igual</v>
      </c>
      <c r="X568" s="120"/>
      <c r="Y568" s="120"/>
      <c r="Z568" s="49"/>
      <c r="AA568" s="116" t="str">
        <f t="shared" si="7"/>
        <v>#REF!</v>
      </c>
    </row>
    <row r="569" hidden="1">
      <c r="I569" s="49"/>
      <c r="J569" s="49"/>
      <c r="K569" s="49"/>
      <c r="L569" s="49"/>
      <c r="M569" s="104"/>
      <c r="N569" s="104"/>
      <c r="O569" s="115" t="str">
        <f t="shared" si="2"/>
        <v>Não</v>
      </c>
      <c r="P569" s="104"/>
      <c r="Q569" s="104"/>
      <c r="R569" s="104"/>
      <c r="S569" s="104"/>
      <c r="T569" s="104"/>
      <c r="U569" s="104">
        <f t="shared" si="3"/>
        <v>0</v>
      </c>
      <c r="V569" s="115" t="str">
        <f t="shared" si="4"/>
        <v>Não</v>
      </c>
      <c r="W569" s="116" t="str">
        <f t="shared" si="5"/>
        <v>Igual</v>
      </c>
      <c r="X569" s="120"/>
      <c r="Y569" s="120"/>
      <c r="Z569" s="49"/>
      <c r="AA569" s="116" t="str">
        <f t="shared" si="7"/>
        <v>#REF!</v>
      </c>
    </row>
    <row r="570" hidden="1">
      <c r="I570" s="49"/>
      <c r="J570" s="49"/>
      <c r="K570" s="49"/>
      <c r="L570" s="49"/>
      <c r="M570" s="104"/>
      <c r="N570" s="104"/>
      <c r="O570" s="115" t="str">
        <f t="shared" si="2"/>
        <v>Não</v>
      </c>
      <c r="P570" s="104"/>
      <c r="Q570" s="104"/>
      <c r="R570" s="104"/>
      <c r="S570" s="104"/>
      <c r="T570" s="104"/>
      <c r="U570" s="104">
        <f t="shared" si="3"/>
        <v>0</v>
      </c>
      <c r="V570" s="115" t="str">
        <f t="shared" si="4"/>
        <v>Não</v>
      </c>
      <c r="W570" s="116" t="str">
        <f t="shared" si="5"/>
        <v>Igual</v>
      </c>
      <c r="X570" s="120"/>
      <c r="Y570" s="120"/>
      <c r="Z570" s="49"/>
      <c r="AA570" s="116" t="str">
        <f t="shared" si="7"/>
        <v>#REF!</v>
      </c>
    </row>
    <row r="571" hidden="1">
      <c r="I571" s="49"/>
      <c r="J571" s="49"/>
      <c r="K571" s="49"/>
      <c r="L571" s="49"/>
      <c r="M571" s="104"/>
      <c r="N571" s="104"/>
      <c r="O571" s="115" t="str">
        <f t="shared" si="2"/>
        <v>Não</v>
      </c>
      <c r="P571" s="104"/>
      <c r="Q571" s="104"/>
      <c r="R571" s="104"/>
      <c r="S571" s="104"/>
      <c r="T571" s="104"/>
      <c r="U571" s="104">
        <f t="shared" si="3"/>
        <v>0</v>
      </c>
      <c r="V571" s="115" t="str">
        <f t="shared" si="4"/>
        <v>Não</v>
      </c>
      <c r="W571" s="116" t="str">
        <f t="shared" si="5"/>
        <v>Igual</v>
      </c>
      <c r="X571" s="120"/>
      <c r="Y571" s="120"/>
      <c r="Z571" s="49"/>
      <c r="AA571" s="116" t="str">
        <f t="shared" si="7"/>
        <v>#REF!</v>
      </c>
    </row>
    <row r="572" hidden="1">
      <c r="I572" s="49"/>
      <c r="J572" s="49"/>
      <c r="K572" s="49"/>
      <c r="L572" s="49"/>
      <c r="M572" s="104"/>
      <c r="N572" s="104"/>
      <c r="O572" s="115" t="str">
        <f t="shared" si="2"/>
        <v>Não</v>
      </c>
      <c r="P572" s="104"/>
      <c r="Q572" s="104"/>
      <c r="R572" s="104"/>
      <c r="S572" s="104"/>
      <c r="T572" s="104"/>
      <c r="U572" s="104">
        <f t="shared" si="3"/>
        <v>0</v>
      </c>
      <c r="V572" s="115" t="str">
        <f t="shared" si="4"/>
        <v>Não</v>
      </c>
      <c r="W572" s="116" t="str">
        <f t="shared" si="5"/>
        <v>Igual</v>
      </c>
      <c r="X572" s="120"/>
      <c r="Y572" s="120"/>
      <c r="Z572" s="49"/>
      <c r="AA572" s="116" t="str">
        <f t="shared" si="7"/>
        <v>#REF!</v>
      </c>
    </row>
    <row r="573" hidden="1">
      <c r="I573" s="49"/>
      <c r="J573" s="49"/>
      <c r="K573" s="49"/>
      <c r="L573" s="49"/>
      <c r="M573" s="104"/>
      <c r="N573" s="104"/>
      <c r="O573" s="115" t="str">
        <f t="shared" si="2"/>
        <v>Não</v>
      </c>
      <c r="P573" s="104"/>
      <c r="Q573" s="104"/>
      <c r="R573" s="104"/>
      <c r="S573" s="104"/>
      <c r="T573" s="104"/>
      <c r="U573" s="104">
        <f t="shared" si="3"/>
        <v>0</v>
      </c>
      <c r="V573" s="115" t="str">
        <f t="shared" si="4"/>
        <v>Não</v>
      </c>
      <c r="W573" s="116" t="str">
        <f t="shared" si="5"/>
        <v>Igual</v>
      </c>
      <c r="X573" s="120"/>
      <c r="Y573" s="120"/>
      <c r="Z573" s="49"/>
      <c r="AA573" s="116" t="str">
        <f t="shared" si="7"/>
        <v>#REF!</v>
      </c>
    </row>
    <row r="574" hidden="1">
      <c r="I574" s="49"/>
      <c r="J574" s="49"/>
      <c r="K574" s="49"/>
      <c r="L574" s="49"/>
      <c r="M574" s="104"/>
      <c r="N574" s="104"/>
      <c r="O574" s="115" t="str">
        <f t="shared" si="2"/>
        <v>Não</v>
      </c>
      <c r="P574" s="104"/>
      <c r="Q574" s="104"/>
      <c r="R574" s="104"/>
      <c r="S574" s="104"/>
      <c r="T574" s="104"/>
      <c r="U574" s="104">
        <f t="shared" si="3"/>
        <v>0</v>
      </c>
      <c r="V574" s="115" t="str">
        <f t="shared" si="4"/>
        <v>Não</v>
      </c>
      <c r="W574" s="116" t="str">
        <f t="shared" si="5"/>
        <v>Igual</v>
      </c>
      <c r="X574" s="120"/>
      <c r="Y574" s="120"/>
      <c r="Z574" s="49"/>
      <c r="AA574" s="116" t="str">
        <f t="shared" si="7"/>
        <v>#REF!</v>
      </c>
    </row>
    <row r="575" hidden="1">
      <c r="I575" s="49"/>
      <c r="J575" s="49"/>
      <c r="K575" s="49"/>
      <c r="L575" s="49"/>
      <c r="M575" s="104"/>
      <c r="N575" s="104"/>
      <c r="O575" s="115" t="str">
        <f t="shared" si="2"/>
        <v>Não</v>
      </c>
      <c r="P575" s="104"/>
      <c r="Q575" s="104"/>
      <c r="R575" s="104"/>
      <c r="S575" s="104"/>
      <c r="T575" s="104"/>
      <c r="U575" s="104">
        <f t="shared" si="3"/>
        <v>0</v>
      </c>
      <c r="V575" s="115" t="str">
        <f t="shared" si="4"/>
        <v>Não</v>
      </c>
      <c r="W575" s="116" t="str">
        <f t="shared" si="5"/>
        <v>Igual</v>
      </c>
      <c r="X575" s="120"/>
      <c r="Y575" s="120"/>
      <c r="Z575" s="49"/>
      <c r="AA575" s="116" t="str">
        <f t="shared" si="7"/>
        <v>#REF!</v>
      </c>
    </row>
    <row r="576" hidden="1">
      <c r="I576" s="49"/>
      <c r="J576" s="49"/>
      <c r="K576" s="49"/>
      <c r="L576" s="49"/>
      <c r="M576" s="104"/>
      <c r="N576" s="104"/>
      <c r="O576" s="115" t="str">
        <f t="shared" si="2"/>
        <v>Não</v>
      </c>
      <c r="P576" s="104"/>
      <c r="Q576" s="104"/>
      <c r="R576" s="104"/>
      <c r="S576" s="104"/>
      <c r="T576" s="104"/>
      <c r="U576" s="104">
        <f t="shared" si="3"/>
        <v>0</v>
      </c>
      <c r="V576" s="115" t="str">
        <f t="shared" si="4"/>
        <v>Não</v>
      </c>
      <c r="W576" s="116" t="str">
        <f t="shared" si="5"/>
        <v>Igual</v>
      </c>
      <c r="X576" s="120"/>
      <c r="Y576" s="120"/>
      <c r="Z576" s="49"/>
      <c r="AA576" s="116" t="str">
        <f t="shared" si="7"/>
        <v>#REF!</v>
      </c>
    </row>
    <row r="577" hidden="1">
      <c r="I577" s="49"/>
      <c r="J577" s="49"/>
      <c r="K577" s="49"/>
      <c r="L577" s="49"/>
      <c r="M577" s="104"/>
      <c r="N577" s="104"/>
      <c r="O577" s="115" t="str">
        <f t="shared" si="2"/>
        <v>Não</v>
      </c>
      <c r="P577" s="104"/>
      <c r="Q577" s="104"/>
      <c r="R577" s="104"/>
      <c r="S577" s="104"/>
      <c r="T577" s="104"/>
      <c r="U577" s="104">
        <f t="shared" si="3"/>
        <v>0</v>
      </c>
      <c r="V577" s="115" t="str">
        <f t="shared" si="4"/>
        <v>Não</v>
      </c>
      <c r="W577" s="116" t="str">
        <f t="shared" si="5"/>
        <v>Igual</v>
      </c>
      <c r="X577" s="120"/>
      <c r="Y577" s="120"/>
      <c r="Z577" s="49"/>
      <c r="AA577" s="116" t="str">
        <f t="shared" si="7"/>
        <v>#REF!</v>
      </c>
    </row>
    <row r="578" hidden="1">
      <c r="I578" s="49"/>
      <c r="J578" s="49"/>
      <c r="K578" s="49"/>
      <c r="L578" s="49"/>
      <c r="M578" s="104"/>
      <c r="N578" s="104"/>
      <c r="O578" s="115" t="str">
        <f t="shared" si="2"/>
        <v>Não</v>
      </c>
      <c r="P578" s="104"/>
      <c r="Q578" s="104"/>
      <c r="R578" s="104"/>
      <c r="S578" s="104"/>
      <c r="T578" s="104"/>
      <c r="U578" s="104">
        <f t="shared" si="3"/>
        <v>0</v>
      </c>
      <c r="V578" s="115" t="str">
        <f t="shared" si="4"/>
        <v>Não</v>
      </c>
      <c r="W578" s="116" t="str">
        <f t="shared" si="5"/>
        <v>Igual</v>
      </c>
      <c r="X578" s="120"/>
      <c r="Y578" s="120"/>
      <c r="Z578" s="49"/>
      <c r="AA578" s="116" t="str">
        <f t="shared" si="7"/>
        <v>#REF!</v>
      </c>
    </row>
    <row r="579" hidden="1">
      <c r="I579" s="49"/>
      <c r="J579" s="49"/>
      <c r="K579" s="49"/>
      <c r="L579" s="49"/>
      <c r="M579" s="104"/>
      <c r="N579" s="104"/>
      <c r="O579" s="115" t="str">
        <f t="shared" si="2"/>
        <v>Não</v>
      </c>
      <c r="P579" s="104"/>
      <c r="Q579" s="104"/>
      <c r="R579" s="104"/>
      <c r="S579" s="104"/>
      <c r="T579" s="104"/>
      <c r="U579" s="104">
        <f t="shared" si="3"/>
        <v>0</v>
      </c>
      <c r="V579" s="115" t="str">
        <f t="shared" si="4"/>
        <v>Não</v>
      </c>
      <c r="W579" s="116" t="str">
        <f t="shared" si="5"/>
        <v>Igual</v>
      </c>
      <c r="X579" s="120"/>
      <c r="Y579" s="120"/>
      <c r="Z579" s="49"/>
      <c r="AA579" s="116" t="str">
        <f t="shared" si="7"/>
        <v>#REF!</v>
      </c>
    </row>
    <row r="580" hidden="1">
      <c r="I580" s="49"/>
      <c r="J580" s="49"/>
      <c r="K580" s="49"/>
      <c r="L580" s="49"/>
      <c r="M580" s="104"/>
      <c r="N580" s="104"/>
      <c r="O580" s="115" t="str">
        <f t="shared" si="2"/>
        <v>Não</v>
      </c>
      <c r="P580" s="104"/>
      <c r="Q580" s="104"/>
      <c r="R580" s="104"/>
      <c r="S580" s="104"/>
      <c r="T580" s="104"/>
      <c r="U580" s="104">
        <f t="shared" si="3"/>
        <v>0</v>
      </c>
      <c r="V580" s="115" t="str">
        <f t="shared" si="4"/>
        <v>Não</v>
      </c>
      <c r="W580" s="116" t="str">
        <f t="shared" si="5"/>
        <v>Igual</v>
      </c>
      <c r="X580" s="120"/>
      <c r="Y580" s="120"/>
      <c r="Z580" s="49"/>
      <c r="AA580" s="116" t="str">
        <f t="shared" si="7"/>
        <v>#REF!</v>
      </c>
    </row>
    <row r="581" hidden="1">
      <c r="I581" s="49"/>
      <c r="J581" s="49"/>
      <c r="K581" s="49"/>
      <c r="L581" s="49"/>
      <c r="M581" s="104"/>
      <c r="N581" s="104"/>
      <c r="O581" s="115" t="str">
        <f t="shared" si="2"/>
        <v>Não</v>
      </c>
      <c r="P581" s="104"/>
      <c r="Q581" s="104"/>
      <c r="R581" s="104"/>
      <c r="S581" s="104"/>
      <c r="T581" s="104"/>
      <c r="U581" s="104">
        <f t="shared" si="3"/>
        <v>0</v>
      </c>
      <c r="V581" s="115" t="str">
        <f t="shared" si="4"/>
        <v>Não</v>
      </c>
      <c r="W581" s="116" t="str">
        <f t="shared" si="5"/>
        <v>Igual</v>
      </c>
      <c r="X581" s="120"/>
      <c r="Y581" s="120"/>
      <c r="Z581" s="49"/>
      <c r="AA581" s="116" t="str">
        <f t="shared" si="7"/>
        <v>#REF!</v>
      </c>
    </row>
    <row r="582" hidden="1">
      <c r="I582" s="49"/>
      <c r="J582" s="49"/>
      <c r="K582" s="49"/>
      <c r="L582" s="49"/>
      <c r="M582" s="104"/>
      <c r="N582" s="104"/>
      <c r="O582" s="115" t="str">
        <f t="shared" si="2"/>
        <v>Não</v>
      </c>
      <c r="P582" s="104"/>
      <c r="Q582" s="104"/>
      <c r="R582" s="104"/>
      <c r="S582" s="104"/>
      <c r="T582" s="104"/>
      <c r="U582" s="104">
        <f t="shared" si="3"/>
        <v>0</v>
      </c>
      <c r="V582" s="115" t="str">
        <f t="shared" si="4"/>
        <v>Não</v>
      </c>
      <c r="W582" s="116" t="str">
        <f t="shared" si="5"/>
        <v>Igual</v>
      </c>
      <c r="X582" s="120"/>
      <c r="Y582" s="120"/>
      <c r="Z582" s="49"/>
      <c r="AA582" s="116" t="str">
        <f t="shared" si="7"/>
        <v>#REF!</v>
      </c>
    </row>
    <row r="583" hidden="1">
      <c r="I583" s="49"/>
      <c r="J583" s="49"/>
      <c r="K583" s="49"/>
      <c r="L583" s="49"/>
      <c r="M583" s="104"/>
      <c r="N583" s="104"/>
      <c r="O583" s="115" t="str">
        <f t="shared" si="2"/>
        <v>Não</v>
      </c>
      <c r="P583" s="104"/>
      <c r="Q583" s="104"/>
      <c r="R583" s="104"/>
      <c r="S583" s="104"/>
      <c r="T583" s="104"/>
      <c r="U583" s="104">
        <f t="shared" si="3"/>
        <v>0</v>
      </c>
      <c r="V583" s="115" t="str">
        <f t="shared" si="4"/>
        <v>Não</v>
      </c>
      <c r="W583" s="116" t="str">
        <f t="shared" si="5"/>
        <v>Igual</v>
      </c>
      <c r="X583" s="120"/>
      <c r="Y583" s="120"/>
      <c r="Z583" s="49"/>
      <c r="AA583" s="116" t="str">
        <f t="shared" si="7"/>
        <v>#REF!</v>
      </c>
    </row>
    <row r="584" hidden="1">
      <c r="I584" s="49"/>
      <c r="J584" s="49"/>
      <c r="K584" s="49"/>
      <c r="L584" s="49"/>
      <c r="M584" s="104"/>
      <c r="N584" s="104"/>
      <c r="O584" s="115" t="str">
        <f t="shared" si="2"/>
        <v>Não</v>
      </c>
      <c r="P584" s="104"/>
      <c r="Q584" s="104"/>
      <c r="R584" s="104"/>
      <c r="S584" s="104"/>
      <c r="T584" s="104"/>
      <c r="U584" s="104">
        <f t="shared" si="3"/>
        <v>0</v>
      </c>
      <c r="V584" s="115" t="str">
        <f t="shared" si="4"/>
        <v>Não</v>
      </c>
      <c r="W584" s="116" t="str">
        <f t="shared" si="5"/>
        <v>Igual</v>
      </c>
      <c r="X584" s="120"/>
      <c r="Y584" s="120"/>
      <c r="Z584" s="49"/>
      <c r="AA584" s="116" t="str">
        <f t="shared" si="7"/>
        <v>#REF!</v>
      </c>
    </row>
    <row r="585" hidden="1">
      <c r="I585" s="49"/>
      <c r="J585" s="49"/>
      <c r="K585" s="49"/>
      <c r="L585" s="49"/>
      <c r="M585" s="104"/>
      <c r="N585" s="104"/>
      <c r="O585" s="115" t="str">
        <f t="shared" si="2"/>
        <v>Não</v>
      </c>
      <c r="P585" s="104"/>
      <c r="Q585" s="104"/>
      <c r="R585" s="104"/>
      <c r="S585" s="104"/>
      <c r="T585" s="104"/>
      <c r="U585" s="104">
        <f t="shared" si="3"/>
        <v>0</v>
      </c>
      <c r="V585" s="115" t="str">
        <f t="shared" si="4"/>
        <v>Não</v>
      </c>
      <c r="W585" s="116" t="str">
        <f t="shared" si="5"/>
        <v>Igual</v>
      </c>
      <c r="X585" s="120"/>
      <c r="Y585" s="120"/>
      <c r="Z585" s="49"/>
      <c r="AA585" s="116" t="str">
        <f t="shared" si="7"/>
        <v>#REF!</v>
      </c>
    </row>
    <row r="586" hidden="1">
      <c r="I586" s="49"/>
      <c r="J586" s="49"/>
      <c r="K586" s="49"/>
      <c r="L586" s="49"/>
      <c r="M586" s="104"/>
      <c r="N586" s="104"/>
      <c r="O586" s="115" t="str">
        <f t="shared" si="2"/>
        <v>Não</v>
      </c>
      <c r="P586" s="104"/>
      <c r="Q586" s="104"/>
      <c r="R586" s="104"/>
      <c r="S586" s="104"/>
      <c r="T586" s="104"/>
      <c r="U586" s="104">
        <f t="shared" si="3"/>
        <v>0</v>
      </c>
      <c r="V586" s="115" t="str">
        <f t="shared" si="4"/>
        <v>Não</v>
      </c>
      <c r="W586" s="116" t="str">
        <f t="shared" si="5"/>
        <v>Igual</v>
      </c>
      <c r="X586" s="120"/>
      <c r="Y586" s="120"/>
      <c r="Z586" s="49"/>
      <c r="AA586" s="116" t="str">
        <f t="shared" si="7"/>
        <v>#REF!</v>
      </c>
    </row>
    <row r="587" hidden="1">
      <c r="I587" s="49"/>
      <c r="J587" s="49"/>
      <c r="K587" s="49"/>
      <c r="L587" s="49"/>
      <c r="M587" s="104"/>
      <c r="N587" s="104"/>
      <c r="O587" s="115" t="str">
        <f t="shared" si="2"/>
        <v>Não</v>
      </c>
      <c r="P587" s="104"/>
      <c r="Q587" s="104"/>
      <c r="R587" s="104"/>
      <c r="S587" s="104"/>
      <c r="T587" s="104"/>
      <c r="U587" s="104">
        <f t="shared" si="3"/>
        <v>0</v>
      </c>
      <c r="V587" s="115" t="str">
        <f t="shared" si="4"/>
        <v>Não</v>
      </c>
      <c r="W587" s="116" t="str">
        <f t="shared" si="5"/>
        <v>Igual</v>
      </c>
      <c r="X587" s="120"/>
      <c r="Y587" s="120"/>
      <c r="Z587" s="49"/>
      <c r="AA587" s="116" t="str">
        <f t="shared" si="7"/>
        <v>#REF!</v>
      </c>
    </row>
    <row r="588" hidden="1">
      <c r="I588" s="49"/>
      <c r="J588" s="49"/>
      <c r="K588" s="49"/>
      <c r="L588" s="49"/>
      <c r="M588" s="104"/>
      <c r="N588" s="104"/>
      <c r="O588" s="115" t="str">
        <f t="shared" si="2"/>
        <v>Não</v>
      </c>
      <c r="P588" s="104"/>
      <c r="Q588" s="104"/>
      <c r="R588" s="104"/>
      <c r="S588" s="104"/>
      <c r="T588" s="104"/>
      <c r="U588" s="104">
        <f t="shared" si="3"/>
        <v>0</v>
      </c>
      <c r="V588" s="115" t="str">
        <f t="shared" si="4"/>
        <v>Não</v>
      </c>
      <c r="W588" s="116" t="str">
        <f t="shared" si="5"/>
        <v>Igual</v>
      </c>
      <c r="X588" s="120"/>
      <c r="Y588" s="120"/>
      <c r="Z588" s="49"/>
      <c r="AA588" s="116" t="str">
        <f t="shared" si="7"/>
        <v>#REF!</v>
      </c>
    </row>
    <row r="589" hidden="1">
      <c r="I589" s="49"/>
      <c r="J589" s="49"/>
      <c r="K589" s="49"/>
      <c r="L589" s="49"/>
      <c r="M589" s="104"/>
      <c r="N589" s="104"/>
      <c r="O589" s="115" t="str">
        <f t="shared" si="2"/>
        <v>Não</v>
      </c>
      <c r="P589" s="104"/>
      <c r="Q589" s="104"/>
      <c r="R589" s="104"/>
      <c r="S589" s="104"/>
      <c r="T589" s="104"/>
      <c r="U589" s="104">
        <f t="shared" si="3"/>
        <v>0</v>
      </c>
      <c r="V589" s="115" t="str">
        <f t="shared" si="4"/>
        <v>Não</v>
      </c>
      <c r="W589" s="116" t="str">
        <f t="shared" si="5"/>
        <v>Igual</v>
      </c>
      <c r="X589" s="120"/>
      <c r="Y589" s="120"/>
      <c r="Z589" s="49"/>
      <c r="AA589" s="116" t="str">
        <f t="shared" si="7"/>
        <v>#REF!</v>
      </c>
    </row>
    <row r="590" hidden="1">
      <c r="I590" s="49"/>
      <c r="J590" s="49"/>
      <c r="K590" s="49"/>
      <c r="L590" s="49"/>
      <c r="M590" s="104"/>
      <c r="N590" s="104"/>
      <c r="O590" s="115" t="str">
        <f t="shared" si="2"/>
        <v>Não</v>
      </c>
      <c r="P590" s="104"/>
      <c r="Q590" s="104"/>
      <c r="R590" s="104"/>
      <c r="S590" s="104"/>
      <c r="T590" s="104"/>
      <c r="U590" s="104">
        <f t="shared" si="3"/>
        <v>0</v>
      </c>
      <c r="V590" s="115" t="str">
        <f t="shared" si="4"/>
        <v>Não</v>
      </c>
      <c r="W590" s="116" t="str">
        <f t="shared" si="5"/>
        <v>Igual</v>
      </c>
      <c r="X590" s="120"/>
      <c r="Y590" s="120"/>
      <c r="Z590" s="49"/>
      <c r="AA590" s="116" t="str">
        <f t="shared" si="7"/>
        <v>#REF!</v>
      </c>
    </row>
    <row r="591" hidden="1">
      <c r="I591" s="49"/>
      <c r="J591" s="49"/>
      <c r="K591" s="49"/>
      <c r="L591" s="49"/>
      <c r="M591" s="104"/>
      <c r="N591" s="104"/>
      <c r="O591" s="115" t="str">
        <f t="shared" si="2"/>
        <v>Não</v>
      </c>
      <c r="P591" s="104"/>
      <c r="Q591" s="104"/>
      <c r="R591" s="104"/>
      <c r="S591" s="104"/>
      <c r="T591" s="104"/>
      <c r="U591" s="104">
        <f t="shared" si="3"/>
        <v>0</v>
      </c>
      <c r="V591" s="115" t="str">
        <f t="shared" si="4"/>
        <v>Não</v>
      </c>
      <c r="W591" s="116" t="str">
        <f t="shared" si="5"/>
        <v>Igual</v>
      </c>
      <c r="X591" s="120"/>
      <c r="Y591" s="120"/>
      <c r="Z591" s="49"/>
      <c r="AA591" s="116" t="str">
        <f t="shared" si="7"/>
        <v>#REF!</v>
      </c>
    </row>
    <row r="592" hidden="1">
      <c r="I592" s="49"/>
      <c r="J592" s="49"/>
      <c r="K592" s="49"/>
      <c r="L592" s="49"/>
      <c r="M592" s="104"/>
      <c r="N592" s="104"/>
      <c r="O592" s="115" t="str">
        <f t="shared" si="2"/>
        <v>Não</v>
      </c>
      <c r="P592" s="104"/>
      <c r="Q592" s="104"/>
      <c r="R592" s="104"/>
      <c r="S592" s="104"/>
      <c r="T592" s="104"/>
      <c r="U592" s="104">
        <f t="shared" si="3"/>
        <v>0</v>
      </c>
      <c r="V592" s="115" t="str">
        <f t="shared" si="4"/>
        <v>Não</v>
      </c>
      <c r="W592" s="116" t="str">
        <f t="shared" si="5"/>
        <v>Igual</v>
      </c>
      <c r="X592" s="120"/>
      <c r="Y592" s="120"/>
      <c r="Z592" s="49"/>
      <c r="AA592" s="116" t="str">
        <f t="shared" si="7"/>
        <v>#REF!</v>
      </c>
    </row>
    <row r="593" hidden="1">
      <c r="I593" s="49"/>
      <c r="J593" s="49"/>
      <c r="K593" s="49"/>
      <c r="L593" s="49"/>
      <c r="M593" s="104"/>
      <c r="N593" s="104"/>
      <c r="O593" s="115" t="str">
        <f t="shared" si="2"/>
        <v>Não</v>
      </c>
      <c r="P593" s="104"/>
      <c r="Q593" s="104"/>
      <c r="R593" s="104"/>
      <c r="S593" s="104"/>
      <c r="T593" s="104"/>
      <c r="U593" s="104">
        <f t="shared" si="3"/>
        <v>0</v>
      </c>
      <c r="V593" s="115" t="str">
        <f t="shared" si="4"/>
        <v>Não</v>
      </c>
      <c r="W593" s="116" t="str">
        <f t="shared" si="5"/>
        <v>Igual</v>
      </c>
      <c r="X593" s="120"/>
      <c r="Y593" s="120"/>
      <c r="Z593" s="49"/>
      <c r="AA593" s="116" t="str">
        <f t="shared" si="7"/>
        <v>#REF!</v>
      </c>
    </row>
    <row r="594" hidden="1">
      <c r="I594" s="49"/>
      <c r="J594" s="49"/>
      <c r="K594" s="49"/>
      <c r="L594" s="49"/>
      <c r="M594" s="104"/>
      <c r="N594" s="104"/>
      <c r="O594" s="115" t="str">
        <f t="shared" si="2"/>
        <v>Não</v>
      </c>
      <c r="P594" s="104"/>
      <c r="Q594" s="104"/>
      <c r="R594" s="104"/>
      <c r="S594" s="104"/>
      <c r="T594" s="104"/>
      <c r="U594" s="104">
        <f t="shared" si="3"/>
        <v>0</v>
      </c>
      <c r="V594" s="115" t="str">
        <f t="shared" si="4"/>
        <v>Não</v>
      </c>
      <c r="W594" s="116" t="str">
        <f t="shared" si="5"/>
        <v>Igual</v>
      </c>
      <c r="X594" s="120"/>
      <c r="Y594" s="120"/>
      <c r="Z594" s="49"/>
      <c r="AA594" s="116" t="str">
        <f t="shared" si="7"/>
        <v>#REF!</v>
      </c>
    </row>
    <row r="595" hidden="1">
      <c r="I595" s="49"/>
      <c r="J595" s="49"/>
      <c r="K595" s="49"/>
      <c r="L595" s="49"/>
      <c r="M595" s="104"/>
      <c r="N595" s="104"/>
      <c r="O595" s="115" t="str">
        <f t="shared" si="2"/>
        <v>Não</v>
      </c>
      <c r="P595" s="104"/>
      <c r="Q595" s="104"/>
      <c r="R595" s="104"/>
      <c r="S595" s="104"/>
      <c r="T595" s="104"/>
      <c r="U595" s="104">
        <f t="shared" si="3"/>
        <v>0</v>
      </c>
      <c r="V595" s="115" t="str">
        <f t="shared" si="4"/>
        <v>Não</v>
      </c>
      <c r="W595" s="116" t="str">
        <f t="shared" si="5"/>
        <v>Igual</v>
      </c>
      <c r="X595" s="120"/>
      <c r="Y595" s="120"/>
      <c r="Z595" s="49"/>
      <c r="AA595" s="116" t="str">
        <f t="shared" si="7"/>
        <v>#REF!</v>
      </c>
    </row>
    <row r="596" hidden="1">
      <c r="I596" s="49"/>
      <c r="J596" s="49"/>
      <c r="K596" s="49"/>
      <c r="L596" s="49"/>
      <c r="M596" s="104"/>
      <c r="N596" s="104"/>
      <c r="O596" s="115" t="str">
        <f t="shared" si="2"/>
        <v>Não</v>
      </c>
      <c r="P596" s="104"/>
      <c r="Q596" s="104"/>
      <c r="R596" s="104"/>
      <c r="S596" s="104"/>
      <c r="T596" s="104"/>
      <c r="U596" s="104">
        <f t="shared" si="3"/>
        <v>0</v>
      </c>
      <c r="V596" s="115" t="str">
        <f t="shared" si="4"/>
        <v>Não</v>
      </c>
      <c r="W596" s="116" t="str">
        <f t="shared" si="5"/>
        <v>Igual</v>
      </c>
      <c r="X596" s="120"/>
      <c r="Y596" s="120"/>
      <c r="Z596" s="49"/>
      <c r="AA596" s="116" t="str">
        <f t="shared" si="7"/>
        <v>#REF!</v>
      </c>
    </row>
    <row r="597" hidden="1">
      <c r="I597" s="49"/>
      <c r="J597" s="49"/>
      <c r="K597" s="49"/>
      <c r="L597" s="49"/>
      <c r="M597" s="104"/>
      <c r="N597" s="104"/>
      <c r="O597" s="115" t="str">
        <f t="shared" si="2"/>
        <v>Não</v>
      </c>
      <c r="P597" s="104"/>
      <c r="Q597" s="104"/>
      <c r="R597" s="104"/>
      <c r="S597" s="104"/>
      <c r="T597" s="104"/>
      <c r="U597" s="104">
        <f t="shared" si="3"/>
        <v>0</v>
      </c>
      <c r="V597" s="115" t="str">
        <f t="shared" si="4"/>
        <v>Não</v>
      </c>
      <c r="W597" s="116" t="str">
        <f t="shared" si="5"/>
        <v>Igual</v>
      </c>
      <c r="X597" s="120"/>
      <c r="Y597" s="120"/>
      <c r="Z597" s="49"/>
      <c r="AA597" s="116" t="str">
        <f t="shared" si="7"/>
        <v>#REF!</v>
      </c>
    </row>
    <row r="598" hidden="1">
      <c r="I598" s="49"/>
      <c r="J598" s="49"/>
      <c r="K598" s="49"/>
      <c r="L598" s="49"/>
      <c r="M598" s="104"/>
      <c r="N598" s="104"/>
      <c r="O598" s="115" t="str">
        <f t="shared" si="2"/>
        <v>Não</v>
      </c>
      <c r="P598" s="104"/>
      <c r="Q598" s="104"/>
      <c r="R598" s="104"/>
      <c r="S598" s="104"/>
      <c r="T598" s="104"/>
      <c r="U598" s="104">
        <f t="shared" si="3"/>
        <v>0</v>
      </c>
      <c r="V598" s="115" t="str">
        <f t="shared" si="4"/>
        <v>Não</v>
      </c>
      <c r="W598" s="116" t="str">
        <f t="shared" si="5"/>
        <v>Igual</v>
      </c>
      <c r="X598" s="120"/>
      <c r="Y598" s="120"/>
      <c r="Z598" s="49"/>
      <c r="AA598" s="116" t="str">
        <f t="shared" si="7"/>
        <v>#REF!</v>
      </c>
    </row>
    <row r="599" hidden="1">
      <c r="I599" s="49"/>
      <c r="J599" s="49"/>
      <c r="K599" s="49"/>
      <c r="L599" s="49"/>
      <c r="M599" s="104"/>
      <c r="N599" s="104"/>
      <c r="O599" s="115" t="str">
        <f t="shared" si="2"/>
        <v>Não</v>
      </c>
      <c r="P599" s="104"/>
      <c r="Q599" s="104"/>
      <c r="R599" s="104"/>
      <c r="S599" s="104"/>
      <c r="T599" s="104"/>
      <c r="U599" s="104">
        <f t="shared" si="3"/>
        <v>0</v>
      </c>
      <c r="V599" s="115" t="str">
        <f t="shared" si="4"/>
        <v>Não</v>
      </c>
      <c r="W599" s="116" t="str">
        <f t="shared" si="5"/>
        <v>Igual</v>
      </c>
      <c r="X599" s="120"/>
      <c r="Y599" s="120"/>
      <c r="Z599" s="49"/>
      <c r="AA599" s="116" t="str">
        <f t="shared" si="7"/>
        <v>#REF!</v>
      </c>
    </row>
    <row r="600" hidden="1">
      <c r="I600" s="49"/>
      <c r="J600" s="49"/>
      <c r="K600" s="49"/>
      <c r="L600" s="49"/>
      <c r="M600" s="104"/>
      <c r="N600" s="104"/>
      <c r="O600" s="115" t="str">
        <f t="shared" si="2"/>
        <v>Não</v>
      </c>
      <c r="P600" s="104"/>
      <c r="Q600" s="104"/>
      <c r="R600" s="104"/>
      <c r="S600" s="104"/>
      <c r="T600" s="104"/>
      <c r="U600" s="104">
        <f t="shared" si="3"/>
        <v>0</v>
      </c>
      <c r="V600" s="115" t="str">
        <f t="shared" si="4"/>
        <v>Não</v>
      </c>
      <c r="W600" s="116" t="str">
        <f t="shared" si="5"/>
        <v>Igual</v>
      </c>
      <c r="X600" s="120"/>
      <c r="Y600" s="120"/>
      <c r="Z600" s="49"/>
      <c r="AA600" s="116" t="str">
        <f t="shared" si="7"/>
        <v>#REF!</v>
      </c>
    </row>
    <row r="601" hidden="1">
      <c r="I601" s="49"/>
      <c r="J601" s="49"/>
      <c r="K601" s="49"/>
      <c r="L601" s="49"/>
      <c r="M601" s="104"/>
      <c r="N601" s="104"/>
      <c r="O601" s="115" t="str">
        <f t="shared" si="2"/>
        <v>Não</v>
      </c>
      <c r="P601" s="104"/>
      <c r="Q601" s="104"/>
      <c r="R601" s="104"/>
      <c r="S601" s="104"/>
      <c r="T601" s="104"/>
      <c r="U601" s="104">
        <f t="shared" si="3"/>
        <v>0</v>
      </c>
      <c r="V601" s="115" t="str">
        <f t="shared" si="4"/>
        <v>Não</v>
      </c>
      <c r="W601" s="116" t="str">
        <f t="shared" si="5"/>
        <v>Igual</v>
      </c>
      <c r="X601" s="120"/>
      <c r="Y601" s="120"/>
      <c r="Z601" s="49"/>
      <c r="AA601" s="116" t="str">
        <f t="shared" si="7"/>
        <v>#REF!</v>
      </c>
    </row>
    <row r="602" hidden="1">
      <c r="I602" s="49"/>
      <c r="J602" s="49"/>
      <c r="K602" s="49"/>
      <c r="L602" s="49"/>
      <c r="M602" s="104"/>
      <c r="N602" s="104"/>
      <c r="O602" s="115" t="str">
        <f t="shared" si="2"/>
        <v>Não</v>
      </c>
      <c r="P602" s="104"/>
      <c r="Q602" s="104"/>
      <c r="R602" s="104"/>
      <c r="S602" s="104"/>
      <c r="T602" s="104"/>
      <c r="U602" s="104">
        <f t="shared" si="3"/>
        <v>0</v>
      </c>
      <c r="V602" s="115" t="str">
        <f t="shared" si="4"/>
        <v>Não</v>
      </c>
      <c r="W602" s="116" t="str">
        <f t="shared" si="5"/>
        <v>Igual</v>
      </c>
      <c r="X602" s="120"/>
      <c r="Y602" s="120"/>
      <c r="Z602" s="49"/>
      <c r="AA602" s="116" t="str">
        <f t="shared" si="7"/>
        <v>#REF!</v>
      </c>
    </row>
    <row r="603" hidden="1">
      <c r="I603" s="49"/>
      <c r="J603" s="49"/>
      <c r="K603" s="49"/>
      <c r="L603" s="49"/>
      <c r="M603" s="104"/>
      <c r="N603" s="104"/>
      <c r="O603" s="115" t="str">
        <f t="shared" si="2"/>
        <v>Não</v>
      </c>
      <c r="P603" s="104"/>
      <c r="Q603" s="104"/>
      <c r="R603" s="104"/>
      <c r="S603" s="104"/>
      <c r="T603" s="104"/>
      <c r="U603" s="104">
        <f t="shared" si="3"/>
        <v>0</v>
      </c>
      <c r="V603" s="115" t="str">
        <f t="shared" si="4"/>
        <v>Não</v>
      </c>
      <c r="W603" s="116" t="str">
        <f t="shared" si="5"/>
        <v>Igual</v>
      </c>
      <c r="X603" s="120"/>
      <c r="Y603" s="120"/>
      <c r="Z603" s="49"/>
      <c r="AA603" s="116" t="str">
        <f t="shared" si="7"/>
        <v>#REF!</v>
      </c>
    </row>
    <row r="604" hidden="1">
      <c r="I604" s="49"/>
      <c r="J604" s="49"/>
      <c r="K604" s="49"/>
      <c r="L604" s="49"/>
      <c r="M604" s="104"/>
      <c r="N604" s="104"/>
      <c r="O604" s="115" t="str">
        <f t="shared" si="2"/>
        <v>Não</v>
      </c>
      <c r="P604" s="104"/>
      <c r="Q604" s="104"/>
      <c r="R604" s="104"/>
      <c r="S604" s="104"/>
      <c r="T604" s="104"/>
      <c r="U604" s="104">
        <f t="shared" si="3"/>
        <v>0</v>
      </c>
      <c r="V604" s="115" t="str">
        <f t="shared" si="4"/>
        <v>Não</v>
      </c>
      <c r="W604" s="116" t="str">
        <f t="shared" si="5"/>
        <v>Igual</v>
      </c>
      <c r="X604" s="120"/>
      <c r="Y604" s="120"/>
      <c r="Z604" s="49"/>
      <c r="AA604" s="116" t="str">
        <f t="shared" si="7"/>
        <v>#REF!</v>
      </c>
    </row>
    <row r="605" hidden="1">
      <c r="I605" s="49"/>
      <c r="J605" s="49"/>
      <c r="K605" s="49"/>
      <c r="L605" s="49"/>
      <c r="M605" s="104"/>
      <c r="N605" s="104"/>
      <c r="O605" s="115" t="str">
        <f t="shared" si="2"/>
        <v>Não</v>
      </c>
      <c r="P605" s="104"/>
      <c r="Q605" s="104"/>
      <c r="R605" s="104"/>
      <c r="S605" s="104"/>
      <c r="T605" s="104"/>
      <c r="U605" s="104">
        <f t="shared" si="3"/>
        <v>0</v>
      </c>
      <c r="V605" s="115" t="str">
        <f t="shared" si="4"/>
        <v>Não</v>
      </c>
      <c r="W605" s="116" t="str">
        <f t="shared" si="5"/>
        <v>Igual</v>
      </c>
      <c r="X605" s="120"/>
      <c r="Y605" s="120"/>
      <c r="Z605" s="49"/>
      <c r="AA605" s="116" t="str">
        <f t="shared" si="7"/>
        <v>#REF!</v>
      </c>
    </row>
    <row r="606" hidden="1">
      <c r="I606" s="49"/>
      <c r="J606" s="49"/>
      <c r="K606" s="49"/>
      <c r="L606" s="49"/>
      <c r="M606" s="104"/>
      <c r="N606" s="104"/>
      <c r="O606" s="115" t="str">
        <f t="shared" si="2"/>
        <v>Não</v>
      </c>
      <c r="P606" s="104"/>
      <c r="Q606" s="104"/>
      <c r="R606" s="104"/>
      <c r="S606" s="104"/>
      <c r="T606" s="104"/>
      <c r="U606" s="104">
        <f t="shared" si="3"/>
        <v>0</v>
      </c>
      <c r="V606" s="115" t="str">
        <f t="shared" si="4"/>
        <v>Não</v>
      </c>
      <c r="W606" s="116" t="str">
        <f t="shared" si="5"/>
        <v>Igual</v>
      </c>
      <c r="X606" s="120"/>
      <c r="Y606" s="120"/>
      <c r="Z606" s="49"/>
      <c r="AA606" s="116" t="str">
        <f t="shared" si="7"/>
        <v>#REF!</v>
      </c>
    </row>
    <row r="607" hidden="1">
      <c r="I607" s="49"/>
      <c r="J607" s="49"/>
      <c r="K607" s="49"/>
      <c r="L607" s="49"/>
      <c r="M607" s="104"/>
      <c r="N607" s="104"/>
      <c r="O607" s="115" t="str">
        <f t="shared" si="2"/>
        <v>Não</v>
      </c>
      <c r="P607" s="104"/>
      <c r="Q607" s="104"/>
      <c r="R607" s="104"/>
      <c r="S607" s="104"/>
      <c r="T607" s="104"/>
      <c r="U607" s="104">
        <f t="shared" si="3"/>
        <v>0</v>
      </c>
      <c r="V607" s="115" t="str">
        <f t="shared" si="4"/>
        <v>Não</v>
      </c>
      <c r="W607" s="116" t="str">
        <f t="shared" si="5"/>
        <v>Igual</v>
      </c>
      <c r="X607" s="120"/>
      <c r="Y607" s="120"/>
      <c r="Z607" s="49"/>
      <c r="AA607" s="116" t="str">
        <f t="shared" si="7"/>
        <v>#REF!</v>
      </c>
    </row>
    <row r="608" hidden="1">
      <c r="I608" s="49"/>
      <c r="J608" s="49"/>
      <c r="K608" s="49"/>
      <c r="L608" s="49"/>
      <c r="M608" s="104"/>
      <c r="N608" s="104"/>
      <c r="O608" s="115" t="str">
        <f t="shared" si="2"/>
        <v>Não</v>
      </c>
      <c r="P608" s="104"/>
      <c r="Q608" s="104"/>
      <c r="R608" s="104"/>
      <c r="S608" s="104"/>
      <c r="T608" s="104"/>
      <c r="U608" s="104">
        <f t="shared" si="3"/>
        <v>0</v>
      </c>
      <c r="V608" s="115" t="str">
        <f t="shared" si="4"/>
        <v>Não</v>
      </c>
      <c r="W608" s="116" t="str">
        <f t="shared" si="5"/>
        <v>Igual</v>
      </c>
      <c r="X608" s="120"/>
      <c r="Y608" s="120"/>
      <c r="Z608" s="49"/>
      <c r="AA608" s="116" t="str">
        <f t="shared" si="7"/>
        <v>#REF!</v>
      </c>
    </row>
    <row r="609" hidden="1">
      <c r="I609" s="49"/>
      <c r="J609" s="49"/>
      <c r="K609" s="49"/>
      <c r="L609" s="49"/>
      <c r="M609" s="104"/>
      <c r="N609" s="104"/>
      <c r="O609" s="115" t="str">
        <f t="shared" si="2"/>
        <v>Não</v>
      </c>
      <c r="P609" s="104"/>
      <c r="Q609" s="104"/>
      <c r="R609" s="104"/>
      <c r="S609" s="104"/>
      <c r="T609" s="104"/>
      <c r="U609" s="104">
        <f t="shared" si="3"/>
        <v>0</v>
      </c>
      <c r="V609" s="115" t="str">
        <f t="shared" si="4"/>
        <v>Não</v>
      </c>
      <c r="W609" s="116" t="str">
        <f t="shared" si="5"/>
        <v>Igual</v>
      </c>
      <c r="X609" s="120"/>
      <c r="Y609" s="120"/>
      <c r="Z609" s="49"/>
      <c r="AA609" s="116" t="str">
        <f t="shared" si="7"/>
        <v>#REF!</v>
      </c>
    </row>
    <row r="610" hidden="1">
      <c r="I610" s="49"/>
      <c r="J610" s="49"/>
      <c r="K610" s="49"/>
      <c r="L610" s="49"/>
      <c r="M610" s="104"/>
      <c r="N610" s="104"/>
      <c r="O610" s="115" t="str">
        <f t="shared" si="2"/>
        <v>Não</v>
      </c>
      <c r="P610" s="104"/>
      <c r="Q610" s="104"/>
      <c r="R610" s="104"/>
      <c r="S610" s="104"/>
      <c r="T610" s="104"/>
      <c r="U610" s="104">
        <f t="shared" si="3"/>
        <v>0</v>
      </c>
      <c r="V610" s="115" t="str">
        <f t="shared" si="4"/>
        <v>Não</v>
      </c>
      <c r="W610" s="116" t="str">
        <f t="shared" si="5"/>
        <v>Igual</v>
      </c>
      <c r="X610" s="120"/>
      <c r="Y610" s="120"/>
      <c r="Z610" s="49"/>
      <c r="AA610" s="116" t="str">
        <f t="shared" si="7"/>
        <v>#REF!</v>
      </c>
    </row>
    <row r="611" hidden="1">
      <c r="I611" s="49"/>
      <c r="J611" s="49"/>
      <c r="K611" s="49"/>
      <c r="L611" s="49"/>
      <c r="M611" s="104"/>
      <c r="N611" s="104"/>
      <c r="O611" s="115" t="str">
        <f t="shared" si="2"/>
        <v>Não</v>
      </c>
      <c r="P611" s="104"/>
      <c r="Q611" s="104"/>
      <c r="R611" s="104"/>
      <c r="S611" s="104"/>
      <c r="T611" s="104"/>
      <c r="U611" s="104">
        <f t="shared" si="3"/>
        <v>0</v>
      </c>
      <c r="V611" s="115" t="str">
        <f t="shared" si="4"/>
        <v>Não</v>
      </c>
      <c r="W611" s="116" t="str">
        <f t="shared" si="5"/>
        <v>Igual</v>
      </c>
      <c r="X611" s="120"/>
      <c r="Y611" s="120"/>
      <c r="Z611" s="49"/>
      <c r="AA611" s="116" t="str">
        <f t="shared" si="7"/>
        <v>#REF!</v>
      </c>
    </row>
    <row r="612" hidden="1">
      <c r="I612" s="49"/>
      <c r="J612" s="49"/>
      <c r="K612" s="49"/>
      <c r="L612" s="49"/>
      <c r="M612" s="104"/>
      <c r="N612" s="104"/>
      <c r="O612" s="115" t="str">
        <f t="shared" si="2"/>
        <v>Não</v>
      </c>
      <c r="P612" s="104"/>
      <c r="Q612" s="104"/>
      <c r="R612" s="104"/>
      <c r="S612" s="104"/>
      <c r="T612" s="104"/>
      <c r="U612" s="104">
        <f t="shared" si="3"/>
        <v>0</v>
      </c>
      <c r="V612" s="115" t="str">
        <f t="shared" si="4"/>
        <v>Não</v>
      </c>
      <c r="W612" s="116" t="str">
        <f t="shared" si="5"/>
        <v>Igual</v>
      </c>
      <c r="X612" s="120"/>
      <c r="Y612" s="120"/>
      <c r="Z612" s="49"/>
      <c r="AA612" s="116" t="str">
        <f t="shared" si="7"/>
        <v>#REF!</v>
      </c>
    </row>
    <row r="613" hidden="1">
      <c r="I613" s="49"/>
      <c r="J613" s="49"/>
      <c r="K613" s="49"/>
      <c r="L613" s="49"/>
      <c r="M613" s="104"/>
      <c r="N613" s="104"/>
      <c r="O613" s="115" t="str">
        <f t="shared" si="2"/>
        <v>Não</v>
      </c>
      <c r="P613" s="104"/>
      <c r="Q613" s="104"/>
      <c r="R613" s="104"/>
      <c r="S613" s="104"/>
      <c r="T613" s="104"/>
      <c r="U613" s="104">
        <f t="shared" si="3"/>
        <v>0</v>
      </c>
      <c r="V613" s="115" t="str">
        <f t="shared" si="4"/>
        <v>Não</v>
      </c>
      <c r="W613" s="116" t="str">
        <f t="shared" si="5"/>
        <v>Igual</v>
      </c>
      <c r="X613" s="120"/>
      <c r="Y613" s="120"/>
      <c r="Z613" s="49"/>
      <c r="AA613" s="116" t="str">
        <f t="shared" si="7"/>
        <v>#REF!</v>
      </c>
    </row>
    <row r="614" hidden="1">
      <c r="I614" s="49"/>
      <c r="J614" s="49"/>
      <c r="K614" s="49"/>
      <c r="L614" s="49"/>
      <c r="M614" s="104"/>
      <c r="N614" s="104"/>
      <c r="O614" s="115" t="str">
        <f t="shared" si="2"/>
        <v>Não</v>
      </c>
      <c r="P614" s="104"/>
      <c r="Q614" s="104"/>
      <c r="R614" s="104"/>
      <c r="S614" s="104"/>
      <c r="T614" s="104"/>
      <c r="U614" s="104">
        <f t="shared" si="3"/>
        <v>0</v>
      </c>
      <c r="V614" s="115" t="str">
        <f t="shared" si="4"/>
        <v>Não</v>
      </c>
      <c r="W614" s="116" t="str">
        <f t="shared" si="5"/>
        <v>Igual</v>
      </c>
      <c r="X614" s="120"/>
      <c r="Y614" s="120"/>
      <c r="Z614" s="49"/>
      <c r="AA614" s="116" t="str">
        <f t="shared" si="7"/>
        <v>#REF!</v>
      </c>
    </row>
    <row r="615" hidden="1">
      <c r="I615" s="49"/>
      <c r="J615" s="49"/>
      <c r="K615" s="49"/>
      <c r="L615" s="49"/>
      <c r="M615" s="104"/>
      <c r="N615" s="104"/>
      <c r="O615" s="115" t="str">
        <f t="shared" si="2"/>
        <v>Não</v>
      </c>
      <c r="P615" s="104"/>
      <c r="Q615" s="104"/>
      <c r="R615" s="104"/>
      <c r="S615" s="104"/>
      <c r="T615" s="104"/>
      <c r="U615" s="104">
        <f t="shared" si="3"/>
        <v>0</v>
      </c>
      <c r="V615" s="115" t="str">
        <f t="shared" si="4"/>
        <v>Não</v>
      </c>
      <c r="W615" s="116" t="str">
        <f t="shared" si="5"/>
        <v>Igual</v>
      </c>
      <c r="X615" s="120"/>
      <c r="Y615" s="120"/>
      <c r="Z615" s="49"/>
      <c r="AA615" s="116" t="str">
        <f t="shared" si="7"/>
        <v>#REF!</v>
      </c>
    </row>
    <row r="616" hidden="1">
      <c r="I616" s="49"/>
      <c r="J616" s="49"/>
      <c r="K616" s="49"/>
      <c r="L616" s="49"/>
      <c r="M616" s="104"/>
      <c r="N616" s="104"/>
      <c r="O616" s="115" t="str">
        <f t="shared" si="2"/>
        <v>Não</v>
      </c>
      <c r="P616" s="104"/>
      <c r="Q616" s="104"/>
      <c r="R616" s="104"/>
      <c r="S616" s="104"/>
      <c r="T616" s="104"/>
      <c r="U616" s="104">
        <f t="shared" si="3"/>
        <v>0</v>
      </c>
      <c r="V616" s="115" t="str">
        <f t="shared" si="4"/>
        <v>Não</v>
      </c>
      <c r="W616" s="116" t="str">
        <f t="shared" si="5"/>
        <v>Igual</v>
      </c>
      <c r="X616" s="120"/>
      <c r="Y616" s="120"/>
      <c r="Z616" s="49"/>
      <c r="AA616" s="116" t="str">
        <f t="shared" si="7"/>
        <v>#REF!</v>
      </c>
    </row>
    <row r="617" hidden="1">
      <c r="I617" s="49"/>
      <c r="J617" s="49"/>
      <c r="K617" s="49"/>
      <c r="L617" s="49"/>
      <c r="M617" s="104"/>
      <c r="N617" s="104"/>
      <c r="O617" s="115" t="str">
        <f t="shared" si="2"/>
        <v>Não</v>
      </c>
      <c r="P617" s="104"/>
      <c r="Q617" s="104"/>
      <c r="R617" s="104"/>
      <c r="S617" s="104"/>
      <c r="T617" s="104"/>
      <c r="U617" s="104">
        <f t="shared" si="3"/>
        <v>0</v>
      </c>
      <c r="V617" s="115" t="str">
        <f t="shared" si="4"/>
        <v>Não</v>
      </c>
      <c r="W617" s="116" t="str">
        <f t="shared" si="5"/>
        <v>Igual</v>
      </c>
      <c r="X617" s="120"/>
      <c r="Y617" s="120"/>
      <c r="Z617" s="49"/>
      <c r="AA617" s="116" t="str">
        <f t="shared" si="7"/>
        <v>#REF!</v>
      </c>
    </row>
    <row r="618" hidden="1">
      <c r="I618" s="49"/>
      <c r="J618" s="49"/>
      <c r="K618" s="49"/>
      <c r="L618" s="49"/>
      <c r="M618" s="104"/>
      <c r="N618" s="104"/>
      <c r="O618" s="115" t="str">
        <f t="shared" si="2"/>
        <v>Não</v>
      </c>
      <c r="P618" s="104"/>
      <c r="Q618" s="104"/>
      <c r="R618" s="104"/>
      <c r="S618" s="104"/>
      <c r="T618" s="104"/>
      <c r="U618" s="104">
        <f t="shared" si="3"/>
        <v>0</v>
      </c>
      <c r="V618" s="115" t="str">
        <f t="shared" si="4"/>
        <v>Não</v>
      </c>
      <c r="W618" s="116" t="str">
        <f t="shared" si="5"/>
        <v>Igual</v>
      </c>
      <c r="X618" s="120"/>
      <c r="Y618" s="120"/>
      <c r="Z618" s="49"/>
      <c r="AA618" s="116" t="str">
        <f t="shared" si="7"/>
        <v>#REF!</v>
      </c>
    </row>
    <row r="619" hidden="1">
      <c r="I619" s="49"/>
      <c r="J619" s="49"/>
      <c r="K619" s="49"/>
      <c r="L619" s="49"/>
      <c r="M619" s="104"/>
      <c r="N619" s="104"/>
      <c r="O619" s="115" t="str">
        <f t="shared" si="2"/>
        <v>Não</v>
      </c>
      <c r="P619" s="104"/>
      <c r="Q619" s="104"/>
      <c r="R619" s="104"/>
      <c r="S619" s="104"/>
      <c r="T619" s="104"/>
      <c r="U619" s="104">
        <f t="shared" si="3"/>
        <v>0</v>
      </c>
      <c r="V619" s="115" t="str">
        <f t="shared" si="4"/>
        <v>Não</v>
      </c>
      <c r="W619" s="116" t="str">
        <f t="shared" si="5"/>
        <v>Igual</v>
      </c>
      <c r="X619" s="120"/>
      <c r="Y619" s="120"/>
      <c r="Z619" s="49"/>
      <c r="AA619" s="116" t="str">
        <f t="shared" si="7"/>
        <v>#REF!</v>
      </c>
    </row>
    <row r="620" hidden="1">
      <c r="I620" s="49"/>
      <c r="J620" s="49"/>
      <c r="K620" s="49"/>
      <c r="L620" s="49"/>
      <c r="M620" s="104"/>
      <c r="N620" s="104"/>
      <c r="O620" s="115" t="str">
        <f t="shared" si="2"/>
        <v>Não</v>
      </c>
      <c r="P620" s="104"/>
      <c r="Q620" s="104"/>
      <c r="R620" s="104"/>
      <c r="S620" s="104"/>
      <c r="T620" s="104"/>
      <c r="U620" s="104">
        <f t="shared" si="3"/>
        <v>0</v>
      </c>
      <c r="V620" s="115" t="str">
        <f t="shared" si="4"/>
        <v>Não</v>
      </c>
      <c r="W620" s="116" t="str">
        <f t="shared" si="5"/>
        <v>Igual</v>
      </c>
      <c r="X620" s="120"/>
      <c r="Y620" s="120"/>
      <c r="Z620" s="49"/>
      <c r="AA620" s="116" t="str">
        <f t="shared" si="7"/>
        <v>#REF!</v>
      </c>
    </row>
    <row r="621" hidden="1">
      <c r="I621" s="49"/>
      <c r="J621" s="49"/>
      <c r="K621" s="49"/>
      <c r="L621" s="49"/>
      <c r="M621" s="104"/>
      <c r="N621" s="104"/>
      <c r="O621" s="115" t="str">
        <f t="shared" si="2"/>
        <v>Não</v>
      </c>
      <c r="P621" s="104"/>
      <c r="Q621" s="104"/>
      <c r="R621" s="104"/>
      <c r="S621" s="104"/>
      <c r="T621" s="104"/>
      <c r="U621" s="104">
        <f t="shared" si="3"/>
        <v>0</v>
      </c>
      <c r="V621" s="115" t="str">
        <f t="shared" si="4"/>
        <v>Não</v>
      </c>
      <c r="W621" s="116" t="str">
        <f t="shared" si="5"/>
        <v>Igual</v>
      </c>
      <c r="X621" s="120"/>
      <c r="Y621" s="120"/>
      <c r="Z621" s="49"/>
      <c r="AA621" s="116" t="str">
        <f t="shared" si="7"/>
        <v>#REF!</v>
      </c>
    </row>
    <row r="622" hidden="1">
      <c r="I622" s="49"/>
      <c r="J622" s="49"/>
      <c r="K622" s="49"/>
      <c r="L622" s="49"/>
      <c r="M622" s="104"/>
      <c r="N622" s="104"/>
      <c r="O622" s="115" t="str">
        <f t="shared" si="2"/>
        <v>Não</v>
      </c>
      <c r="P622" s="104"/>
      <c r="Q622" s="104"/>
      <c r="R622" s="104"/>
      <c r="S622" s="104"/>
      <c r="T622" s="104"/>
      <c r="U622" s="104">
        <f t="shared" si="3"/>
        <v>0</v>
      </c>
      <c r="V622" s="115" t="str">
        <f t="shared" si="4"/>
        <v>Não</v>
      </c>
      <c r="W622" s="116" t="str">
        <f t="shared" si="5"/>
        <v>Igual</v>
      </c>
      <c r="X622" s="120"/>
      <c r="Y622" s="120"/>
      <c r="Z622" s="49"/>
      <c r="AA622" s="116" t="str">
        <f t="shared" si="7"/>
        <v>#REF!</v>
      </c>
    </row>
    <row r="623" hidden="1">
      <c r="I623" s="49"/>
      <c r="J623" s="49"/>
      <c r="K623" s="49"/>
      <c r="L623" s="49"/>
      <c r="M623" s="104"/>
      <c r="N623" s="104"/>
      <c r="O623" s="115" t="str">
        <f t="shared" si="2"/>
        <v>Não</v>
      </c>
      <c r="P623" s="104"/>
      <c r="Q623" s="104"/>
      <c r="R623" s="104"/>
      <c r="S623" s="104"/>
      <c r="T623" s="104"/>
      <c r="U623" s="104">
        <f t="shared" si="3"/>
        <v>0</v>
      </c>
      <c r="V623" s="115" t="str">
        <f t="shared" si="4"/>
        <v>Não</v>
      </c>
      <c r="W623" s="116" t="str">
        <f t="shared" si="5"/>
        <v>Igual</v>
      </c>
      <c r="X623" s="120"/>
      <c r="Y623" s="120"/>
      <c r="Z623" s="49"/>
      <c r="AA623" s="116" t="str">
        <f t="shared" si="7"/>
        <v>#REF!</v>
      </c>
    </row>
    <row r="624" hidden="1">
      <c r="I624" s="49"/>
      <c r="J624" s="49"/>
      <c r="K624" s="49"/>
      <c r="L624" s="49"/>
      <c r="M624" s="104"/>
      <c r="N624" s="104"/>
      <c r="O624" s="115" t="str">
        <f t="shared" si="2"/>
        <v>Não</v>
      </c>
      <c r="P624" s="104"/>
      <c r="Q624" s="104"/>
      <c r="R624" s="104"/>
      <c r="S624" s="104"/>
      <c r="T624" s="104"/>
      <c r="U624" s="104">
        <f t="shared" si="3"/>
        <v>0</v>
      </c>
      <c r="V624" s="115" t="str">
        <f t="shared" si="4"/>
        <v>Não</v>
      </c>
      <c r="W624" s="116" t="str">
        <f t="shared" si="5"/>
        <v>Igual</v>
      </c>
      <c r="X624" s="120"/>
      <c r="Y624" s="120"/>
      <c r="Z624" s="49"/>
      <c r="AA624" s="116" t="str">
        <f t="shared" si="7"/>
        <v>#REF!</v>
      </c>
    </row>
    <row r="625" hidden="1">
      <c r="I625" s="49"/>
      <c r="J625" s="49"/>
      <c r="K625" s="49"/>
      <c r="L625" s="49"/>
      <c r="M625" s="104"/>
      <c r="N625" s="104"/>
      <c r="O625" s="115" t="str">
        <f t="shared" si="2"/>
        <v>Não</v>
      </c>
      <c r="P625" s="104"/>
      <c r="Q625" s="104"/>
      <c r="R625" s="104"/>
      <c r="S625" s="104"/>
      <c r="T625" s="104"/>
      <c r="U625" s="104">
        <f t="shared" si="3"/>
        <v>0</v>
      </c>
      <c r="V625" s="115" t="str">
        <f t="shared" si="4"/>
        <v>Não</v>
      </c>
      <c r="W625" s="116" t="str">
        <f t="shared" si="5"/>
        <v>Igual</v>
      </c>
      <c r="X625" s="120"/>
      <c r="Y625" s="120"/>
      <c r="Z625" s="49"/>
      <c r="AA625" s="116" t="str">
        <f t="shared" si="7"/>
        <v>#REF!</v>
      </c>
    </row>
    <row r="626" hidden="1">
      <c r="I626" s="49"/>
      <c r="J626" s="49"/>
      <c r="K626" s="49"/>
      <c r="L626" s="49"/>
      <c r="M626" s="104"/>
      <c r="N626" s="104"/>
      <c r="O626" s="115" t="str">
        <f t="shared" si="2"/>
        <v>Não</v>
      </c>
      <c r="P626" s="104"/>
      <c r="Q626" s="104"/>
      <c r="R626" s="104"/>
      <c r="S626" s="104"/>
      <c r="T626" s="104"/>
      <c r="U626" s="104">
        <f t="shared" si="3"/>
        <v>0</v>
      </c>
      <c r="V626" s="115" t="str">
        <f t="shared" si="4"/>
        <v>Não</v>
      </c>
      <c r="W626" s="116" t="str">
        <f t="shared" si="5"/>
        <v>Igual</v>
      </c>
      <c r="X626" s="120"/>
      <c r="Y626" s="120"/>
      <c r="Z626" s="49"/>
      <c r="AA626" s="116" t="str">
        <f t="shared" si="7"/>
        <v>#REF!</v>
      </c>
    </row>
    <row r="627" hidden="1">
      <c r="I627" s="49"/>
      <c r="J627" s="49"/>
      <c r="K627" s="49"/>
      <c r="L627" s="49"/>
      <c r="M627" s="104"/>
      <c r="N627" s="104"/>
      <c r="O627" s="115" t="str">
        <f t="shared" si="2"/>
        <v>Não</v>
      </c>
      <c r="P627" s="104"/>
      <c r="Q627" s="104"/>
      <c r="R627" s="104"/>
      <c r="S627" s="104"/>
      <c r="T627" s="104"/>
      <c r="U627" s="104">
        <f t="shared" si="3"/>
        <v>0</v>
      </c>
      <c r="V627" s="115" t="str">
        <f t="shared" si="4"/>
        <v>Não</v>
      </c>
      <c r="W627" s="116" t="str">
        <f t="shared" si="5"/>
        <v>Igual</v>
      </c>
      <c r="X627" s="120"/>
      <c r="Y627" s="120"/>
      <c r="Z627" s="49"/>
      <c r="AA627" s="116" t="str">
        <f t="shared" si="7"/>
        <v>#REF!</v>
      </c>
    </row>
    <row r="628" hidden="1">
      <c r="I628" s="49"/>
      <c r="J628" s="49"/>
      <c r="K628" s="49"/>
      <c r="L628" s="49"/>
      <c r="M628" s="104"/>
      <c r="N628" s="104"/>
      <c r="O628" s="115" t="str">
        <f t="shared" si="2"/>
        <v>Não</v>
      </c>
      <c r="P628" s="104"/>
      <c r="Q628" s="104"/>
      <c r="R628" s="104"/>
      <c r="S628" s="104"/>
      <c r="T628" s="104"/>
      <c r="U628" s="104">
        <f t="shared" si="3"/>
        <v>0</v>
      </c>
      <c r="V628" s="115" t="str">
        <f t="shared" si="4"/>
        <v>Não</v>
      </c>
      <c r="W628" s="116" t="str">
        <f t="shared" si="5"/>
        <v>Igual</v>
      </c>
      <c r="X628" s="120"/>
      <c r="Y628" s="120"/>
      <c r="Z628" s="49"/>
      <c r="AA628" s="116" t="str">
        <f t="shared" si="7"/>
        <v>#REF!</v>
      </c>
    </row>
    <row r="629" hidden="1">
      <c r="I629" s="49"/>
      <c r="J629" s="49"/>
      <c r="K629" s="49"/>
      <c r="L629" s="49"/>
      <c r="M629" s="104"/>
      <c r="N629" s="104"/>
      <c r="O629" s="115" t="str">
        <f t="shared" si="2"/>
        <v>Não</v>
      </c>
      <c r="P629" s="104"/>
      <c r="Q629" s="104"/>
      <c r="R629" s="104"/>
      <c r="S629" s="104"/>
      <c r="T629" s="104"/>
      <c r="U629" s="104">
        <f t="shared" si="3"/>
        <v>0</v>
      </c>
      <c r="V629" s="115" t="str">
        <f t="shared" si="4"/>
        <v>Não</v>
      </c>
      <c r="W629" s="116" t="str">
        <f t="shared" si="5"/>
        <v>Igual</v>
      </c>
      <c r="X629" s="120"/>
      <c r="Y629" s="120"/>
      <c r="Z629" s="49"/>
      <c r="AA629" s="116" t="str">
        <f t="shared" si="7"/>
        <v>#REF!</v>
      </c>
    </row>
    <row r="630" hidden="1">
      <c r="I630" s="49"/>
      <c r="J630" s="49"/>
      <c r="K630" s="49"/>
      <c r="L630" s="49"/>
      <c r="M630" s="104"/>
      <c r="N630" s="104"/>
      <c r="O630" s="115" t="str">
        <f t="shared" si="2"/>
        <v>Não</v>
      </c>
      <c r="P630" s="104"/>
      <c r="Q630" s="104"/>
      <c r="R630" s="104"/>
      <c r="S630" s="104"/>
      <c r="T630" s="104"/>
      <c r="U630" s="104">
        <f t="shared" si="3"/>
        <v>0</v>
      </c>
      <c r="V630" s="115" t="str">
        <f t="shared" si="4"/>
        <v>Não</v>
      </c>
      <c r="W630" s="116" t="str">
        <f t="shared" si="5"/>
        <v>Igual</v>
      </c>
      <c r="X630" s="120"/>
      <c r="Y630" s="120"/>
      <c r="Z630" s="49"/>
      <c r="AA630" s="116" t="str">
        <f t="shared" si="7"/>
        <v>#REF!</v>
      </c>
    </row>
    <row r="631" hidden="1">
      <c r="I631" s="49"/>
      <c r="J631" s="49"/>
      <c r="K631" s="49"/>
      <c r="L631" s="49"/>
      <c r="M631" s="104"/>
      <c r="N631" s="104"/>
      <c r="O631" s="115" t="str">
        <f t="shared" si="2"/>
        <v>Não</v>
      </c>
      <c r="P631" s="104"/>
      <c r="Q631" s="104"/>
      <c r="R631" s="104"/>
      <c r="S631" s="104"/>
      <c r="T631" s="104"/>
      <c r="U631" s="104">
        <f t="shared" si="3"/>
        <v>0</v>
      </c>
      <c r="V631" s="115" t="str">
        <f t="shared" si="4"/>
        <v>Não</v>
      </c>
      <c r="W631" s="116" t="str">
        <f t="shared" si="5"/>
        <v>Igual</v>
      </c>
      <c r="X631" s="120"/>
      <c r="Y631" s="120"/>
      <c r="Z631" s="49"/>
      <c r="AA631" s="116" t="str">
        <f t="shared" si="7"/>
        <v>#REF!</v>
      </c>
    </row>
    <row r="632" hidden="1">
      <c r="I632" s="49"/>
      <c r="J632" s="49"/>
      <c r="K632" s="49"/>
      <c r="L632" s="49"/>
      <c r="M632" s="104"/>
      <c r="N632" s="104"/>
      <c r="O632" s="115" t="str">
        <f t="shared" si="2"/>
        <v>Não</v>
      </c>
      <c r="P632" s="104"/>
      <c r="Q632" s="104"/>
      <c r="R632" s="104"/>
      <c r="S632" s="104"/>
      <c r="T632" s="104"/>
      <c r="U632" s="104">
        <f t="shared" si="3"/>
        <v>0</v>
      </c>
      <c r="V632" s="115" t="str">
        <f t="shared" si="4"/>
        <v>Não</v>
      </c>
      <c r="W632" s="116" t="str">
        <f t="shared" si="5"/>
        <v>Igual</v>
      </c>
      <c r="X632" s="120"/>
      <c r="Y632" s="120"/>
      <c r="Z632" s="49"/>
      <c r="AA632" s="116" t="str">
        <f t="shared" si="7"/>
        <v>#REF!</v>
      </c>
    </row>
    <row r="633" hidden="1">
      <c r="I633" s="49"/>
      <c r="J633" s="49"/>
      <c r="K633" s="49"/>
      <c r="L633" s="49"/>
      <c r="M633" s="104"/>
      <c r="N633" s="104"/>
      <c r="O633" s="115" t="str">
        <f t="shared" si="2"/>
        <v>Não</v>
      </c>
      <c r="P633" s="104"/>
      <c r="Q633" s="104"/>
      <c r="R633" s="104"/>
      <c r="S633" s="104"/>
      <c r="T633" s="104"/>
      <c r="U633" s="104">
        <f t="shared" si="3"/>
        <v>0</v>
      </c>
      <c r="V633" s="115" t="str">
        <f t="shared" si="4"/>
        <v>Não</v>
      </c>
      <c r="W633" s="116" t="str">
        <f t="shared" si="5"/>
        <v>Igual</v>
      </c>
      <c r="X633" s="120"/>
      <c r="Y633" s="120"/>
      <c r="Z633" s="49"/>
      <c r="AA633" s="116" t="str">
        <f t="shared" si="7"/>
        <v>#REF!</v>
      </c>
    </row>
    <row r="634" hidden="1">
      <c r="I634" s="49"/>
      <c r="J634" s="49"/>
      <c r="K634" s="49"/>
      <c r="L634" s="49"/>
      <c r="M634" s="104"/>
      <c r="N634" s="104"/>
      <c r="O634" s="115" t="str">
        <f t="shared" si="2"/>
        <v>Não</v>
      </c>
      <c r="P634" s="104"/>
      <c r="Q634" s="104"/>
      <c r="R634" s="104"/>
      <c r="S634" s="104"/>
      <c r="T634" s="104"/>
      <c r="U634" s="104">
        <f t="shared" si="3"/>
        <v>0</v>
      </c>
      <c r="V634" s="115" t="str">
        <f t="shared" si="4"/>
        <v>Não</v>
      </c>
      <c r="W634" s="116" t="str">
        <f t="shared" si="5"/>
        <v>Igual</v>
      </c>
      <c r="X634" s="120"/>
      <c r="Y634" s="120"/>
      <c r="Z634" s="49"/>
      <c r="AA634" s="116" t="str">
        <f t="shared" si="7"/>
        <v>#REF!</v>
      </c>
    </row>
    <row r="635" hidden="1">
      <c r="I635" s="49"/>
      <c r="J635" s="49"/>
      <c r="K635" s="49"/>
      <c r="L635" s="49"/>
      <c r="M635" s="104"/>
      <c r="N635" s="104"/>
      <c r="O635" s="115" t="str">
        <f t="shared" si="2"/>
        <v>Não</v>
      </c>
      <c r="P635" s="104"/>
      <c r="Q635" s="104"/>
      <c r="R635" s="104"/>
      <c r="S635" s="104"/>
      <c r="T635" s="104"/>
      <c r="U635" s="104">
        <f t="shared" si="3"/>
        <v>0</v>
      </c>
      <c r="V635" s="115" t="str">
        <f t="shared" si="4"/>
        <v>Não</v>
      </c>
      <c r="W635" s="116" t="str">
        <f t="shared" si="5"/>
        <v>Igual</v>
      </c>
      <c r="X635" s="120"/>
      <c r="Y635" s="120"/>
      <c r="Z635" s="49"/>
      <c r="AA635" s="116" t="str">
        <f t="shared" si="7"/>
        <v>#REF!</v>
      </c>
    </row>
    <row r="636" hidden="1">
      <c r="I636" s="49"/>
      <c r="J636" s="49"/>
      <c r="K636" s="49"/>
      <c r="L636" s="49"/>
      <c r="M636" s="104"/>
      <c r="N636" s="104"/>
      <c r="O636" s="115" t="str">
        <f t="shared" si="2"/>
        <v>Não</v>
      </c>
      <c r="P636" s="104"/>
      <c r="Q636" s="104"/>
      <c r="R636" s="104"/>
      <c r="S636" s="104"/>
      <c r="T636" s="104"/>
      <c r="U636" s="104">
        <f t="shared" si="3"/>
        <v>0</v>
      </c>
      <c r="V636" s="115" t="str">
        <f t="shared" si="4"/>
        <v>Não</v>
      </c>
      <c r="W636" s="116" t="str">
        <f t="shared" si="5"/>
        <v>Igual</v>
      </c>
      <c r="X636" s="120"/>
      <c r="Y636" s="120"/>
      <c r="Z636" s="49"/>
      <c r="AA636" s="116" t="str">
        <f t="shared" si="7"/>
        <v>#REF!</v>
      </c>
    </row>
    <row r="637" hidden="1">
      <c r="I637" s="49"/>
      <c r="J637" s="49"/>
      <c r="K637" s="49"/>
      <c r="L637" s="49"/>
      <c r="M637" s="104"/>
      <c r="N637" s="104"/>
      <c r="O637" s="115" t="str">
        <f t="shared" si="2"/>
        <v>Não</v>
      </c>
      <c r="P637" s="104"/>
      <c r="Q637" s="104"/>
      <c r="R637" s="104"/>
      <c r="S637" s="104"/>
      <c r="T637" s="104"/>
      <c r="U637" s="104">
        <f t="shared" si="3"/>
        <v>0</v>
      </c>
      <c r="V637" s="115" t="str">
        <f t="shared" si="4"/>
        <v>Não</v>
      </c>
      <c r="W637" s="116" t="str">
        <f t="shared" si="5"/>
        <v>Igual</v>
      </c>
      <c r="X637" s="120"/>
      <c r="Y637" s="120"/>
      <c r="Z637" s="49"/>
      <c r="AA637" s="116" t="str">
        <f t="shared" si="7"/>
        <v>#REF!</v>
      </c>
    </row>
    <row r="638" hidden="1">
      <c r="I638" s="49"/>
      <c r="J638" s="49"/>
      <c r="K638" s="49"/>
      <c r="L638" s="49"/>
      <c r="M638" s="104"/>
      <c r="N638" s="104"/>
      <c r="O638" s="115" t="str">
        <f t="shared" si="2"/>
        <v>Não</v>
      </c>
      <c r="P638" s="104"/>
      <c r="Q638" s="104"/>
      <c r="R638" s="104"/>
      <c r="S638" s="104"/>
      <c r="T638" s="104"/>
      <c r="U638" s="104">
        <f t="shared" si="3"/>
        <v>0</v>
      </c>
      <c r="V638" s="115" t="str">
        <f t="shared" si="4"/>
        <v>Não</v>
      </c>
      <c r="W638" s="116" t="str">
        <f t="shared" si="5"/>
        <v>Igual</v>
      </c>
      <c r="X638" s="120"/>
      <c r="Y638" s="120"/>
      <c r="Z638" s="49"/>
      <c r="AA638" s="116" t="str">
        <f t="shared" si="7"/>
        <v>#REF!</v>
      </c>
    </row>
    <row r="639" hidden="1">
      <c r="I639" s="49"/>
      <c r="J639" s="49"/>
      <c r="K639" s="49"/>
      <c r="L639" s="49"/>
      <c r="M639" s="104"/>
      <c r="N639" s="104"/>
      <c r="O639" s="115" t="str">
        <f t="shared" si="2"/>
        <v>Não</v>
      </c>
      <c r="P639" s="104"/>
      <c r="Q639" s="104"/>
      <c r="R639" s="104"/>
      <c r="S639" s="104"/>
      <c r="T639" s="104"/>
      <c r="U639" s="104">
        <f t="shared" si="3"/>
        <v>0</v>
      </c>
      <c r="V639" s="115" t="str">
        <f t="shared" si="4"/>
        <v>Não</v>
      </c>
      <c r="W639" s="116" t="str">
        <f t="shared" si="5"/>
        <v>Igual</v>
      </c>
      <c r="X639" s="120"/>
      <c r="Y639" s="120"/>
      <c r="Z639" s="49"/>
      <c r="AA639" s="116" t="str">
        <f t="shared" si="7"/>
        <v>#REF!</v>
      </c>
    </row>
    <row r="640" hidden="1">
      <c r="I640" s="49"/>
      <c r="J640" s="49"/>
      <c r="K640" s="49"/>
      <c r="L640" s="49"/>
      <c r="M640" s="104"/>
      <c r="N640" s="104"/>
      <c r="O640" s="115" t="str">
        <f t="shared" si="2"/>
        <v>Não</v>
      </c>
      <c r="P640" s="104"/>
      <c r="Q640" s="104"/>
      <c r="R640" s="104"/>
      <c r="S640" s="104"/>
      <c r="T640" s="104"/>
      <c r="U640" s="104">
        <f t="shared" si="3"/>
        <v>0</v>
      </c>
      <c r="V640" s="115" t="str">
        <f t="shared" si="4"/>
        <v>Não</v>
      </c>
      <c r="W640" s="116" t="str">
        <f t="shared" si="5"/>
        <v>Igual</v>
      </c>
      <c r="X640" s="120"/>
      <c r="Y640" s="120"/>
      <c r="Z640" s="49"/>
      <c r="AA640" s="116" t="str">
        <f t="shared" si="7"/>
        <v>#REF!</v>
      </c>
    </row>
    <row r="641" hidden="1">
      <c r="I641" s="49"/>
      <c r="J641" s="49"/>
      <c r="K641" s="49"/>
      <c r="L641" s="49"/>
      <c r="M641" s="104"/>
      <c r="N641" s="104"/>
      <c r="O641" s="115" t="str">
        <f t="shared" si="2"/>
        <v>Não</v>
      </c>
      <c r="P641" s="104"/>
      <c r="Q641" s="104"/>
      <c r="R641" s="104"/>
      <c r="S641" s="104"/>
      <c r="T641" s="104"/>
      <c r="U641" s="104">
        <f t="shared" si="3"/>
        <v>0</v>
      </c>
      <c r="V641" s="115" t="str">
        <f t="shared" si="4"/>
        <v>Não</v>
      </c>
      <c r="W641" s="116" t="str">
        <f t="shared" si="5"/>
        <v>Igual</v>
      </c>
      <c r="X641" s="120"/>
      <c r="Y641" s="120"/>
      <c r="Z641" s="49"/>
      <c r="AA641" s="116" t="str">
        <f t="shared" si="7"/>
        <v>#REF!</v>
      </c>
    </row>
    <row r="642" hidden="1">
      <c r="I642" s="49"/>
      <c r="J642" s="49"/>
      <c r="K642" s="49"/>
      <c r="L642" s="49"/>
      <c r="M642" s="104"/>
      <c r="N642" s="104"/>
      <c r="O642" s="115" t="str">
        <f t="shared" si="2"/>
        <v>Não</v>
      </c>
      <c r="P642" s="104"/>
      <c r="Q642" s="104"/>
      <c r="R642" s="104"/>
      <c r="S642" s="104"/>
      <c r="T642" s="104"/>
      <c r="U642" s="104">
        <f t="shared" si="3"/>
        <v>0</v>
      </c>
      <c r="V642" s="115" t="str">
        <f t="shared" si="4"/>
        <v>Não</v>
      </c>
      <c r="W642" s="116" t="str">
        <f t="shared" si="5"/>
        <v>Igual</v>
      </c>
      <c r="X642" s="120"/>
      <c r="Y642" s="120"/>
      <c r="Z642" s="49"/>
      <c r="AA642" s="116" t="str">
        <f t="shared" si="7"/>
        <v>#REF!</v>
      </c>
    </row>
    <row r="643" hidden="1">
      <c r="I643" s="49"/>
      <c r="J643" s="49"/>
      <c r="K643" s="49"/>
      <c r="L643" s="49"/>
      <c r="M643" s="104"/>
      <c r="N643" s="104"/>
      <c r="O643" s="115" t="str">
        <f t="shared" si="2"/>
        <v>Não</v>
      </c>
      <c r="P643" s="104"/>
      <c r="Q643" s="104"/>
      <c r="R643" s="104"/>
      <c r="S643" s="104"/>
      <c r="T643" s="104"/>
      <c r="U643" s="104">
        <f t="shared" si="3"/>
        <v>0</v>
      </c>
      <c r="V643" s="115" t="str">
        <f t="shared" si="4"/>
        <v>Não</v>
      </c>
      <c r="W643" s="116" t="str">
        <f t="shared" si="5"/>
        <v>Igual</v>
      </c>
      <c r="X643" s="120"/>
      <c r="Y643" s="120"/>
      <c r="Z643" s="49"/>
      <c r="AA643" s="116" t="str">
        <f t="shared" si="7"/>
        <v>#REF!</v>
      </c>
    </row>
    <row r="644" hidden="1">
      <c r="I644" s="49"/>
      <c r="J644" s="49"/>
      <c r="K644" s="49"/>
      <c r="L644" s="49"/>
      <c r="M644" s="104"/>
      <c r="N644" s="104"/>
      <c r="O644" s="115" t="str">
        <f t="shared" si="2"/>
        <v>Não</v>
      </c>
      <c r="P644" s="104"/>
      <c r="Q644" s="104"/>
      <c r="R644" s="104"/>
      <c r="S644" s="104"/>
      <c r="T644" s="104"/>
      <c r="U644" s="104">
        <f t="shared" si="3"/>
        <v>0</v>
      </c>
      <c r="V644" s="115" t="str">
        <f t="shared" si="4"/>
        <v>Não</v>
      </c>
      <c r="W644" s="116" t="str">
        <f t="shared" si="5"/>
        <v>Igual</v>
      </c>
      <c r="X644" s="120"/>
      <c r="Y644" s="120"/>
      <c r="Z644" s="49"/>
      <c r="AA644" s="116" t="str">
        <f t="shared" si="7"/>
        <v>#REF!</v>
      </c>
    </row>
    <row r="645" hidden="1">
      <c r="I645" s="49"/>
      <c r="J645" s="49"/>
      <c r="K645" s="49"/>
      <c r="L645" s="49"/>
      <c r="M645" s="104"/>
      <c r="N645" s="104"/>
      <c r="O645" s="115" t="str">
        <f t="shared" si="2"/>
        <v>Não</v>
      </c>
      <c r="P645" s="104"/>
      <c r="Q645" s="104"/>
      <c r="R645" s="104"/>
      <c r="S645" s="104"/>
      <c r="T645" s="104"/>
      <c r="U645" s="104">
        <f t="shared" si="3"/>
        <v>0</v>
      </c>
      <c r="V645" s="115" t="str">
        <f t="shared" si="4"/>
        <v>Não</v>
      </c>
      <c r="W645" s="116" t="str">
        <f t="shared" si="5"/>
        <v>Igual</v>
      </c>
      <c r="X645" s="120"/>
      <c r="Y645" s="120"/>
      <c r="Z645" s="49"/>
      <c r="AA645" s="116" t="str">
        <f t="shared" si="7"/>
        <v>#REF!</v>
      </c>
    </row>
    <row r="646" hidden="1">
      <c r="I646" s="49"/>
      <c r="J646" s="49"/>
      <c r="K646" s="49"/>
      <c r="L646" s="49"/>
      <c r="M646" s="104"/>
      <c r="N646" s="104"/>
      <c r="O646" s="115" t="str">
        <f t="shared" si="2"/>
        <v>Não</v>
      </c>
      <c r="P646" s="104"/>
      <c r="Q646" s="104"/>
      <c r="R646" s="104"/>
      <c r="S646" s="104"/>
      <c r="T646" s="104"/>
      <c r="U646" s="104">
        <f t="shared" si="3"/>
        <v>0</v>
      </c>
      <c r="V646" s="115" t="str">
        <f t="shared" si="4"/>
        <v>Não</v>
      </c>
      <c r="W646" s="116" t="str">
        <f t="shared" si="5"/>
        <v>Igual</v>
      </c>
      <c r="X646" s="120"/>
      <c r="Y646" s="120"/>
      <c r="Z646" s="49"/>
      <c r="AA646" s="116" t="str">
        <f t="shared" si="7"/>
        <v>#REF!</v>
      </c>
    </row>
    <row r="647" hidden="1">
      <c r="I647" s="49"/>
      <c r="J647" s="49"/>
      <c r="K647" s="49"/>
      <c r="L647" s="49"/>
      <c r="M647" s="104"/>
      <c r="N647" s="104"/>
      <c r="O647" s="115" t="str">
        <f t="shared" si="2"/>
        <v>Não</v>
      </c>
      <c r="P647" s="104"/>
      <c r="Q647" s="104"/>
      <c r="R647" s="104"/>
      <c r="S647" s="104"/>
      <c r="T647" s="104"/>
      <c r="U647" s="104">
        <f t="shared" si="3"/>
        <v>0</v>
      </c>
      <c r="V647" s="115" t="str">
        <f t="shared" si="4"/>
        <v>Não</v>
      </c>
      <c r="W647" s="116" t="str">
        <f t="shared" si="5"/>
        <v>Igual</v>
      </c>
      <c r="X647" s="120"/>
      <c r="Y647" s="120"/>
      <c r="Z647" s="49"/>
      <c r="AA647" s="116" t="str">
        <f t="shared" si="7"/>
        <v>#REF!</v>
      </c>
    </row>
    <row r="648" hidden="1">
      <c r="I648" s="49"/>
      <c r="J648" s="49"/>
      <c r="K648" s="49"/>
      <c r="L648" s="49"/>
      <c r="M648" s="104"/>
      <c r="N648" s="104"/>
      <c r="O648" s="115" t="str">
        <f t="shared" si="2"/>
        <v>Não</v>
      </c>
      <c r="P648" s="104"/>
      <c r="Q648" s="104"/>
      <c r="R648" s="104"/>
      <c r="S648" s="104"/>
      <c r="T648" s="104"/>
      <c r="U648" s="104">
        <f t="shared" si="3"/>
        <v>0</v>
      </c>
      <c r="V648" s="115" t="str">
        <f t="shared" si="4"/>
        <v>Não</v>
      </c>
      <c r="W648" s="116" t="str">
        <f t="shared" si="5"/>
        <v>Igual</v>
      </c>
      <c r="X648" s="120"/>
      <c r="Y648" s="120"/>
      <c r="Z648" s="49"/>
      <c r="AA648" s="116" t="str">
        <f t="shared" si="7"/>
        <v>#REF!</v>
      </c>
    </row>
    <row r="649" hidden="1">
      <c r="I649" s="49"/>
      <c r="J649" s="49"/>
      <c r="K649" s="49"/>
      <c r="L649" s="49"/>
      <c r="M649" s="104"/>
      <c r="N649" s="104"/>
      <c r="O649" s="115" t="str">
        <f t="shared" si="2"/>
        <v>Não</v>
      </c>
      <c r="P649" s="104"/>
      <c r="Q649" s="104"/>
      <c r="R649" s="104"/>
      <c r="S649" s="104"/>
      <c r="T649" s="104"/>
      <c r="U649" s="104">
        <f t="shared" si="3"/>
        <v>0</v>
      </c>
      <c r="V649" s="115" t="str">
        <f t="shared" si="4"/>
        <v>Não</v>
      </c>
      <c r="W649" s="116" t="str">
        <f t="shared" si="5"/>
        <v>Igual</v>
      </c>
      <c r="X649" s="120"/>
      <c r="Y649" s="120"/>
      <c r="Z649" s="49"/>
      <c r="AA649" s="116" t="str">
        <f t="shared" si="7"/>
        <v>#REF!</v>
      </c>
    </row>
    <row r="650" hidden="1">
      <c r="I650" s="49"/>
      <c r="J650" s="49"/>
      <c r="K650" s="49"/>
      <c r="L650" s="49"/>
      <c r="M650" s="104"/>
      <c r="N650" s="104"/>
      <c r="O650" s="115" t="str">
        <f t="shared" si="2"/>
        <v>Não</v>
      </c>
      <c r="P650" s="104"/>
      <c r="Q650" s="104"/>
      <c r="R650" s="104"/>
      <c r="S650" s="104"/>
      <c r="T650" s="104"/>
      <c r="U650" s="104">
        <f t="shared" si="3"/>
        <v>0</v>
      </c>
      <c r="V650" s="115" t="str">
        <f t="shared" si="4"/>
        <v>Não</v>
      </c>
      <c r="W650" s="116" t="str">
        <f t="shared" si="5"/>
        <v>Igual</v>
      </c>
      <c r="X650" s="120"/>
      <c r="Y650" s="120"/>
      <c r="Z650" s="49"/>
      <c r="AA650" s="116" t="str">
        <f t="shared" si="7"/>
        <v>#REF!</v>
      </c>
    </row>
    <row r="651" hidden="1">
      <c r="I651" s="49"/>
      <c r="J651" s="49"/>
      <c r="K651" s="49"/>
      <c r="L651" s="49"/>
      <c r="M651" s="104"/>
      <c r="N651" s="104"/>
      <c r="O651" s="115" t="str">
        <f t="shared" si="2"/>
        <v>Não</v>
      </c>
      <c r="P651" s="104"/>
      <c r="Q651" s="104"/>
      <c r="R651" s="104"/>
      <c r="S651" s="104"/>
      <c r="T651" s="104"/>
      <c r="U651" s="104">
        <f t="shared" si="3"/>
        <v>0</v>
      </c>
      <c r="V651" s="115" t="str">
        <f t="shared" si="4"/>
        <v>Não</v>
      </c>
      <c r="W651" s="116" t="str">
        <f t="shared" si="5"/>
        <v>Igual</v>
      </c>
      <c r="X651" s="120"/>
      <c r="Y651" s="120"/>
      <c r="Z651" s="49"/>
      <c r="AA651" s="116" t="str">
        <f t="shared" si="7"/>
        <v>#REF!</v>
      </c>
    </row>
    <row r="652" hidden="1">
      <c r="I652" s="49"/>
      <c r="J652" s="49"/>
      <c r="K652" s="49"/>
      <c r="L652" s="49"/>
      <c r="M652" s="104"/>
      <c r="N652" s="104"/>
      <c r="O652" s="115" t="str">
        <f t="shared" si="2"/>
        <v>Não</v>
      </c>
      <c r="P652" s="104"/>
      <c r="Q652" s="104"/>
      <c r="R652" s="104"/>
      <c r="S652" s="104"/>
      <c r="T652" s="104"/>
      <c r="U652" s="104">
        <f t="shared" si="3"/>
        <v>0</v>
      </c>
      <c r="V652" s="115" t="str">
        <f t="shared" si="4"/>
        <v>Não</v>
      </c>
      <c r="W652" s="116" t="str">
        <f t="shared" si="5"/>
        <v>Igual</v>
      </c>
      <c r="X652" s="120"/>
      <c r="Y652" s="120"/>
      <c r="Z652" s="49"/>
      <c r="AA652" s="116" t="str">
        <f t="shared" si="7"/>
        <v>#REF!</v>
      </c>
    </row>
    <row r="653" hidden="1">
      <c r="I653" s="49"/>
      <c r="J653" s="49"/>
      <c r="K653" s="49"/>
      <c r="L653" s="49"/>
      <c r="M653" s="104"/>
      <c r="N653" s="104"/>
      <c r="O653" s="115" t="str">
        <f t="shared" si="2"/>
        <v>Não</v>
      </c>
      <c r="P653" s="104"/>
      <c r="Q653" s="104"/>
      <c r="R653" s="104"/>
      <c r="S653" s="104"/>
      <c r="T653" s="104"/>
      <c r="U653" s="104">
        <f t="shared" si="3"/>
        <v>0</v>
      </c>
      <c r="V653" s="115" t="str">
        <f t="shared" si="4"/>
        <v>Não</v>
      </c>
      <c r="W653" s="116" t="str">
        <f t="shared" si="5"/>
        <v>Igual</v>
      </c>
      <c r="X653" s="120"/>
      <c r="Y653" s="120"/>
      <c r="Z653" s="49"/>
      <c r="AA653" s="116" t="str">
        <f t="shared" si="7"/>
        <v>#REF!</v>
      </c>
    </row>
    <row r="654" hidden="1">
      <c r="I654" s="49"/>
      <c r="J654" s="49"/>
      <c r="K654" s="49"/>
      <c r="L654" s="49"/>
      <c r="M654" s="104"/>
      <c r="N654" s="104"/>
      <c r="O654" s="115" t="str">
        <f t="shared" si="2"/>
        <v>Não</v>
      </c>
      <c r="P654" s="104"/>
      <c r="Q654" s="104"/>
      <c r="R654" s="104"/>
      <c r="S654" s="104"/>
      <c r="T654" s="104"/>
      <c r="U654" s="104">
        <f t="shared" si="3"/>
        <v>0</v>
      </c>
      <c r="V654" s="115" t="str">
        <f t="shared" si="4"/>
        <v>Não</v>
      </c>
      <c r="W654" s="116" t="str">
        <f t="shared" si="5"/>
        <v>Igual</v>
      </c>
      <c r="X654" s="120"/>
      <c r="Y654" s="120"/>
      <c r="Z654" s="49"/>
      <c r="AA654" s="116" t="str">
        <f t="shared" si="7"/>
        <v>#REF!</v>
      </c>
    </row>
    <row r="655" hidden="1">
      <c r="I655" s="49"/>
      <c r="J655" s="49"/>
      <c r="K655" s="49"/>
      <c r="L655" s="49"/>
      <c r="M655" s="104"/>
      <c r="N655" s="104"/>
      <c r="O655" s="115" t="str">
        <f t="shared" si="2"/>
        <v>Não</v>
      </c>
      <c r="P655" s="104"/>
      <c r="Q655" s="104"/>
      <c r="R655" s="104"/>
      <c r="S655" s="104"/>
      <c r="T655" s="104"/>
      <c r="U655" s="104">
        <f t="shared" si="3"/>
        <v>0</v>
      </c>
      <c r="V655" s="115" t="str">
        <f t="shared" si="4"/>
        <v>Não</v>
      </c>
      <c r="W655" s="116" t="str">
        <f t="shared" si="5"/>
        <v>Igual</v>
      </c>
      <c r="X655" s="120"/>
      <c r="Y655" s="120"/>
      <c r="Z655" s="49"/>
      <c r="AA655" s="116" t="str">
        <f t="shared" si="7"/>
        <v>#REF!</v>
      </c>
    </row>
    <row r="656" hidden="1">
      <c r="I656" s="49"/>
      <c r="J656" s="49"/>
      <c r="K656" s="49"/>
      <c r="L656" s="49"/>
      <c r="M656" s="104"/>
      <c r="N656" s="104"/>
      <c r="O656" s="115" t="str">
        <f t="shared" si="2"/>
        <v>Não</v>
      </c>
      <c r="P656" s="104"/>
      <c r="Q656" s="104"/>
      <c r="R656" s="104"/>
      <c r="S656" s="104"/>
      <c r="T656" s="104"/>
      <c r="U656" s="104">
        <f t="shared" si="3"/>
        <v>0</v>
      </c>
      <c r="V656" s="115" t="str">
        <f t="shared" si="4"/>
        <v>Não</v>
      </c>
      <c r="W656" s="116" t="str">
        <f t="shared" si="5"/>
        <v>Igual</v>
      </c>
      <c r="X656" s="120"/>
      <c r="Y656" s="120"/>
      <c r="Z656" s="49"/>
      <c r="AA656" s="116" t="str">
        <f t="shared" si="7"/>
        <v>#REF!</v>
      </c>
    </row>
    <row r="657" hidden="1">
      <c r="I657" s="49"/>
      <c r="J657" s="49"/>
      <c r="K657" s="49"/>
      <c r="L657" s="49"/>
      <c r="M657" s="104"/>
      <c r="N657" s="104"/>
      <c r="O657" s="115" t="str">
        <f t="shared" si="2"/>
        <v>Não</v>
      </c>
      <c r="P657" s="104"/>
      <c r="Q657" s="104"/>
      <c r="R657" s="104"/>
      <c r="S657" s="104"/>
      <c r="T657" s="104"/>
      <c r="U657" s="104">
        <f t="shared" si="3"/>
        <v>0</v>
      </c>
      <c r="V657" s="115" t="str">
        <f t="shared" si="4"/>
        <v>Não</v>
      </c>
      <c r="W657" s="116" t="str">
        <f t="shared" si="5"/>
        <v>Igual</v>
      </c>
      <c r="X657" s="120"/>
      <c r="Y657" s="120"/>
      <c r="Z657" s="49"/>
      <c r="AA657" s="116" t="str">
        <f t="shared" si="7"/>
        <v>#REF!</v>
      </c>
    </row>
    <row r="658" hidden="1">
      <c r="I658" s="49"/>
      <c r="J658" s="49"/>
      <c r="K658" s="49"/>
      <c r="L658" s="49"/>
      <c r="M658" s="104"/>
      <c r="N658" s="104"/>
      <c r="O658" s="115" t="str">
        <f t="shared" si="2"/>
        <v>Não</v>
      </c>
      <c r="P658" s="104"/>
      <c r="Q658" s="104"/>
      <c r="R658" s="104"/>
      <c r="S658" s="104"/>
      <c r="T658" s="104"/>
      <c r="U658" s="104">
        <f t="shared" si="3"/>
        <v>0</v>
      </c>
      <c r="V658" s="115" t="str">
        <f t="shared" si="4"/>
        <v>Não</v>
      </c>
      <c r="W658" s="116" t="str">
        <f t="shared" si="5"/>
        <v>Igual</v>
      </c>
      <c r="X658" s="120"/>
      <c r="Y658" s="120"/>
      <c r="Z658" s="49"/>
      <c r="AA658" s="116" t="str">
        <f t="shared" si="7"/>
        <v>#REF!</v>
      </c>
    </row>
    <row r="659" hidden="1">
      <c r="I659" s="49"/>
      <c r="J659" s="49"/>
      <c r="K659" s="49"/>
      <c r="L659" s="49"/>
      <c r="M659" s="104"/>
      <c r="N659" s="104"/>
      <c r="O659" s="115" t="str">
        <f t="shared" si="2"/>
        <v>Não</v>
      </c>
      <c r="P659" s="104"/>
      <c r="Q659" s="104"/>
      <c r="R659" s="104"/>
      <c r="S659" s="104"/>
      <c r="T659" s="104"/>
      <c r="U659" s="104">
        <f t="shared" si="3"/>
        <v>0</v>
      </c>
      <c r="V659" s="115" t="str">
        <f t="shared" si="4"/>
        <v>Não</v>
      </c>
      <c r="W659" s="116" t="str">
        <f t="shared" si="5"/>
        <v>Igual</v>
      </c>
      <c r="X659" s="120"/>
      <c r="Y659" s="120"/>
      <c r="Z659" s="49"/>
      <c r="AA659" s="116" t="str">
        <f t="shared" si="7"/>
        <v>#REF!</v>
      </c>
    </row>
    <row r="660" hidden="1">
      <c r="I660" s="49"/>
      <c r="J660" s="49"/>
      <c r="K660" s="49"/>
      <c r="L660" s="49"/>
      <c r="M660" s="104"/>
      <c r="N660" s="104"/>
      <c r="O660" s="115" t="str">
        <f t="shared" si="2"/>
        <v>Não</v>
      </c>
      <c r="P660" s="104"/>
      <c r="Q660" s="104"/>
      <c r="R660" s="104"/>
      <c r="S660" s="104"/>
      <c r="T660" s="104"/>
      <c r="U660" s="104">
        <f t="shared" si="3"/>
        <v>0</v>
      </c>
      <c r="V660" s="115" t="str">
        <f t="shared" si="4"/>
        <v>Não</v>
      </c>
      <c r="W660" s="116" t="str">
        <f t="shared" si="5"/>
        <v>Igual</v>
      </c>
      <c r="X660" s="120"/>
      <c r="Y660" s="120"/>
      <c r="Z660" s="49"/>
      <c r="AA660" s="116" t="str">
        <f t="shared" si="7"/>
        <v>#REF!</v>
      </c>
    </row>
    <row r="661" hidden="1">
      <c r="I661" s="49"/>
      <c r="J661" s="49"/>
      <c r="K661" s="49"/>
      <c r="L661" s="49"/>
      <c r="M661" s="104"/>
      <c r="N661" s="104"/>
      <c r="O661" s="115" t="str">
        <f t="shared" si="2"/>
        <v>Não</v>
      </c>
      <c r="P661" s="104"/>
      <c r="Q661" s="104"/>
      <c r="R661" s="104"/>
      <c r="S661" s="104"/>
      <c r="T661" s="104"/>
      <c r="U661" s="104">
        <f t="shared" si="3"/>
        <v>0</v>
      </c>
      <c r="V661" s="115" t="str">
        <f t="shared" si="4"/>
        <v>Não</v>
      </c>
      <c r="W661" s="116" t="str">
        <f t="shared" si="5"/>
        <v>Igual</v>
      </c>
      <c r="X661" s="120"/>
      <c r="Y661" s="120"/>
      <c r="Z661" s="49"/>
      <c r="AA661" s="116" t="str">
        <f t="shared" si="7"/>
        <v>#REF!</v>
      </c>
    </row>
    <row r="662" hidden="1">
      <c r="I662" s="49"/>
      <c r="J662" s="49"/>
      <c r="K662" s="49"/>
      <c r="L662" s="49"/>
      <c r="M662" s="104"/>
      <c r="N662" s="104"/>
      <c r="O662" s="115" t="str">
        <f t="shared" si="2"/>
        <v>Não</v>
      </c>
      <c r="P662" s="104"/>
      <c r="Q662" s="104"/>
      <c r="R662" s="104"/>
      <c r="S662" s="104"/>
      <c r="T662" s="104"/>
      <c r="U662" s="104">
        <f t="shared" si="3"/>
        <v>0</v>
      </c>
      <c r="V662" s="115" t="str">
        <f t="shared" si="4"/>
        <v>Não</v>
      </c>
      <c r="W662" s="116" t="str">
        <f t="shared" si="5"/>
        <v>Igual</v>
      </c>
      <c r="X662" s="120"/>
      <c r="Y662" s="120"/>
      <c r="Z662" s="49"/>
      <c r="AA662" s="116" t="str">
        <f t="shared" si="7"/>
        <v>#REF!</v>
      </c>
    </row>
    <row r="663" hidden="1">
      <c r="I663" s="49"/>
      <c r="J663" s="49"/>
      <c r="K663" s="49"/>
      <c r="L663" s="49"/>
      <c r="M663" s="104"/>
      <c r="N663" s="104"/>
      <c r="O663" s="115" t="str">
        <f t="shared" si="2"/>
        <v>Não</v>
      </c>
      <c r="P663" s="104"/>
      <c r="Q663" s="104"/>
      <c r="R663" s="104"/>
      <c r="S663" s="104"/>
      <c r="T663" s="104"/>
      <c r="U663" s="104">
        <f t="shared" si="3"/>
        <v>0</v>
      </c>
      <c r="V663" s="115" t="str">
        <f t="shared" si="4"/>
        <v>Não</v>
      </c>
      <c r="W663" s="116" t="str">
        <f t="shared" si="5"/>
        <v>Igual</v>
      </c>
      <c r="X663" s="120"/>
      <c r="Y663" s="120"/>
      <c r="Z663" s="49"/>
      <c r="AA663" s="116" t="str">
        <f t="shared" si="7"/>
        <v>#REF!</v>
      </c>
    </row>
    <row r="664" hidden="1">
      <c r="I664" s="49"/>
      <c r="J664" s="49"/>
      <c r="K664" s="49"/>
      <c r="L664" s="49"/>
      <c r="M664" s="104"/>
      <c r="N664" s="104"/>
      <c r="O664" s="115" t="str">
        <f t="shared" si="2"/>
        <v>Não</v>
      </c>
      <c r="P664" s="104"/>
      <c r="Q664" s="104"/>
      <c r="R664" s="104"/>
      <c r="S664" s="104"/>
      <c r="T664" s="104"/>
      <c r="U664" s="104">
        <f t="shared" si="3"/>
        <v>0</v>
      </c>
      <c r="V664" s="115" t="str">
        <f t="shared" si="4"/>
        <v>Não</v>
      </c>
      <c r="W664" s="116" t="str">
        <f t="shared" si="5"/>
        <v>Igual</v>
      </c>
      <c r="X664" s="120"/>
      <c r="Y664" s="120"/>
      <c r="Z664" s="49"/>
      <c r="AA664" s="116" t="str">
        <f t="shared" si="7"/>
        <v>#REF!</v>
      </c>
    </row>
    <row r="665" hidden="1">
      <c r="I665" s="49"/>
      <c r="J665" s="49"/>
      <c r="K665" s="49"/>
      <c r="L665" s="49"/>
      <c r="M665" s="104"/>
      <c r="N665" s="104"/>
      <c r="O665" s="115" t="str">
        <f t="shared" si="2"/>
        <v>Não</v>
      </c>
      <c r="P665" s="104"/>
      <c r="Q665" s="104"/>
      <c r="R665" s="104"/>
      <c r="S665" s="104"/>
      <c r="T665" s="104"/>
      <c r="U665" s="104">
        <f t="shared" si="3"/>
        <v>0</v>
      </c>
      <c r="V665" s="115" t="str">
        <f t="shared" si="4"/>
        <v>Não</v>
      </c>
      <c r="W665" s="116" t="str">
        <f t="shared" si="5"/>
        <v>Igual</v>
      </c>
      <c r="X665" s="120"/>
      <c r="Y665" s="120"/>
      <c r="Z665" s="49"/>
      <c r="AA665" s="116" t="str">
        <f t="shared" si="7"/>
        <v>#REF!</v>
      </c>
    </row>
    <row r="666" hidden="1">
      <c r="I666" s="49"/>
      <c r="J666" s="49"/>
      <c r="K666" s="49"/>
      <c r="L666" s="49"/>
      <c r="M666" s="104"/>
      <c r="N666" s="104"/>
      <c r="O666" s="115" t="str">
        <f t="shared" si="2"/>
        <v>Não</v>
      </c>
      <c r="P666" s="104"/>
      <c r="Q666" s="104"/>
      <c r="R666" s="104"/>
      <c r="S666" s="104"/>
      <c r="T666" s="104"/>
      <c r="U666" s="104">
        <f t="shared" si="3"/>
        <v>0</v>
      </c>
      <c r="V666" s="115" t="str">
        <f t="shared" si="4"/>
        <v>Não</v>
      </c>
      <c r="W666" s="116" t="str">
        <f t="shared" si="5"/>
        <v>Igual</v>
      </c>
      <c r="X666" s="120"/>
      <c r="Y666" s="120"/>
      <c r="Z666" s="49"/>
      <c r="AA666" s="116" t="str">
        <f t="shared" si="7"/>
        <v>#REF!</v>
      </c>
    </row>
    <row r="667" hidden="1">
      <c r="I667" s="49"/>
      <c r="J667" s="49"/>
      <c r="K667" s="49"/>
      <c r="L667" s="49"/>
      <c r="M667" s="104"/>
      <c r="N667" s="104"/>
      <c r="O667" s="115" t="str">
        <f t="shared" si="2"/>
        <v>Não</v>
      </c>
      <c r="P667" s="104"/>
      <c r="Q667" s="104"/>
      <c r="R667" s="104"/>
      <c r="S667" s="104"/>
      <c r="T667" s="104"/>
      <c r="U667" s="104">
        <f t="shared" si="3"/>
        <v>0</v>
      </c>
      <c r="V667" s="115" t="str">
        <f t="shared" si="4"/>
        <v>Não</v>
      </c>
      <c r="W667" s="116" t="str">
        <f t="shared" si="5"/>
        <v>Igual</v>
      </c>
      <c r="X667" s="120"/>
      <c r="Y667" s="120"/>
      <c r="Z667" s="49"/>
      <c r="AA667" s="116" t="str">
        <f t="shared" si="7"/>
        <v>#REF!</v>
      </c>
    </row>
    <row r="668" hidden="1">
      <c r="I668" s="49"/>
      <c r="J668" s="49"/>
      <c r="K668" s="49"/>
      <c r="L668" s="49"/>
      <c r="M668" s="104"/>
      <c r="N668" s="104"/>
      <c r="O668" s="115" t="str">
        <f t="shared" si="2"/>
        <v>Não</v>
      </c>
      <c r="P668" s="104"/>
      <c r="Q668" s="104"/>
      <c r="R668" s="104"/>
      <c r="S668" s="104"/>
      <c r="T668" s="104"/>
      <c r="U668" s="104">
        <f t="shared" si="3"/>
        <v>0</v>
      </c>
      <c r="V668" s="115" t="str">
        <f t="shared" si="4"/>
        <v>Não</v>
      </c>
      <c r="W668" s="116" t="str">
        <f t="shared" si="5"/>
        <v>Igual</v>
      </c>
      <c r="X668" s="120"/>
      <c r="Y668" s="120"/>
      <c r="Z668" s="49"/>
      <c r="AA668" s="116" t="str">
        <f t="shared" si="7"/>
        <v>#REF!</v>
      </c>
    </row>
    <row r="669" hidden="1">
      <c r="I669" s="49"/>
      <c r="J669" s="49"/>
      <c r="K669" s="49"/>
      <c r="L669" s="49"/>
      <c r="M669" s="104"/>
      <c r="N669" s="104"/>
      <c r="O669" s="115" t="str">
        <f t="shared" si="2"/>
        <v>Não</v>
      </c>
      <c r="P669" s="104"/>
      <c r="Q669" s="104"/>
      <c r="R669" s="104"/>
      <c r="S669" s="104"/>
      <c r="T669" s="104"/>
      <c r="U669" s="104">
        <f t="shared" si="3"/>
        <v>0</v>
      </c>
      <c r="V669" s="115" t="str">
        <f t="shared" si="4"/>
        <v>Não</v>
      </c>
      <c r="W669" s="116" t="str">
        <f t="shared" si="5"/>
        <v>Igual</v>
      </c>
      <c r="X669" s="120"/>
      <c r="Y669" s="120"/>
      <c r="Z669" s="49"/>
      <c r="AA669" s="116" t="str">
        <f t="shared" si="7"/>
        <v>#REF!</v>
      </c>
    </row>
    <row r="670" hidden="1">
      <c r="I670" s="49"/>
      <c r="J670" s="49"/>
      <c r="K670" s="49"/>
      <c r="L670" s="49"/>
      <c r="M670" s="104"/>
      <c r="N670" s="104"/>
      <c r="O670" s="115" t="str">
        <f t="shared" si="2"/>
        <v>Não</v>
      </c>
      <c r="P670" s="104"/>
      <c r="Q670" s="104"/>
      <c r="R670" s="104"/>
      <c r="S670" s="104"/>
      <c r="T670" s="104"/>
      <c r="U670" s="104">
        <f t="shared" si="3"/>
        <v>0</v>
      </c>
      <c r="V670" s="115" t="str">
        <f t="shared" si="4"/>
        <v>Não</v>
      </c>
      <c r="W670" s="116" t="str">
        <f t="shared" si="5"/>
        <v>Igual</v>
      </c>
      <c r="X670" s="120"/>
      <c r="Y670" s="120"/>
      <c r="Z670" s="49"/>
      <c r="AA670" s="116" t="str">
        <f t="shared" si="7"/>
        <v>#REF!</v>
      </c>
    </row>
    <row r="671" hidden="1">
      <c r="I671" s="49"/>
      <c r="J671" s="49"/>
      <c r="K671" s="49"/>
      <c r="L671" s="49"/>
      <c r="M671" s="104"/>
      <c r="N671" s="104"/>
      <c r="O671" s="115" t="str">
        <f t="shared" si="2"/>
        <v>Não</v>
      </c>
      <c r="P671" s="104"/>
      <c r="Q671" s="104"/>
      <c r="R671" s="104"/>
      <c r="S671" s="104"/>
      <c r="T671" s="104"/>
      <c r="U671" s="104">
        <f t="shared" si="3"/>
        <v>0</v>
      </c>
      <c r="V671" s="115" t="str">
        <f t="shared" si="4"/>
        <v>Não</v>
      </c>
      <c r="W671" s="116" t="str">
        <f t="shared" si="5"/>
        <v>Igual</v>
      </c>
      <c r="X671" s="120"/>
      <c r="Y671" s="120"/>
      <c r="Z671" s="49"/>
      <c r="AA671" s="116" t="str">
        <f t="shared" si="7"/>
        <v>#REF!</v>
      </c>
    </row>
    <row r="672" hidden="1">
      <c r="I672" s="49"/>
      <c r="J672" s="49"/>
      <c r="K672" s="49"/>
      <c r="L672" s="49"/>
      <c r="M672" s="104"/>
      <c r="N672" s="104"/>
      <c r="O672" s="115" t="str">
        <f t="shared" si="2"/>
        <v>Não</v>
      </c>
      <c r="P672" s="104"/>
      <c r="Q672" s="104"/>
      <c r="R672" s="104"/>
      <c r="S672" s="104"/>
      <c r="T672" s="104"/>
      <c r="U672" s="104">
        <f t="shared" si="3"/>
        <v>0</v>
      </c>
      <c r="V672" s="115" t="str">
        <f t="shared" si="4"/>
        <v>Não</v>
      </c>
      <c r="W672" s="116" t="str">
        <f t="shared" si="5"/>
        <v>Igual</v>
      </c>
      <c r="X672" s="120"/>
      <c r="Y672" s="120"/>
      <c r="Z672" s="49"/>
      <c r="AA672" s="116" t="str">
        <f t="shared" si="7"/>
        <v>#REF!</v>
      </c>
    </row>
    <row r="673" hidden="1">
      <c r="I673" s="49"/>
      <c r="J673" s="49"/>
      <c r="K673" s="49"/>
      <c r="L673" s="49"/>
      <c r="M673" s="104"/>
      <c r="N673" s="104"/>
      <c r="O673" s="115" t="str">
        <f t="shared" si="2"/>
        <v>Não</v>
      </c>
      <c r="P673" s="104"/>
      <c r="Q673" s="104"/>
      <c r="R673" s="104"/>
      <c r="S673" s="104"/>
      <c r="T673" s="104"/>
      <c r="U673" s="104">
        <f t="shared" si="3"/>
        <v>0</v>
      </c>
      <c r="V673" s="115" t="str">
        <f t="shared" si="4"/>
        <v>Não</v>
      </c>
      <c r="W673" s="116" t="str">
        <f t="shared" si="5"/>
        <v>Igual</v>
      </c>
      <c r="X673" s="120"/>
      <c r="Y673" s="120"/>
      <c r="Z673" s="49"/>
      <c r="AA673" s="116" t="str">
        <f t="shared" si="7"/>
        <v>#REF!</v>
      </c>
    </row>
    <row r="674" hidden="1">
      <c r="I674" s="49"/>
      <c r="J674" s="49"/>
      <c r="K674" s="49"/>
      <c r="L674" s="49"/>
      <c r="M674" s="104"/>
      <c r="N674" s="104"/>
      <c r="O674" s="115" t="str">
        <f t="shared" si="2"/>
        <v>Não</v>
      </c>
      <c r="P674" s="104"/>
      <c r="Q674" s="104"/>
      <c r="R674" s="104"/>
      <c r="S674" s="104"/>
      <c r="T674" s="104"/>
      <c r="U674" s="104">
        <f t="shared" si="3"/>
        <v>0</v>
      </c>
      <c r="V674" s="115" t="str">
        <f t="shared" si="4"/>
        <v>Não</v>
      </c>
      <c r="W674" s="116" t="str">
        <f t="shared" si="5"/>
        <v>Igual</v>
      </c>
      <c r="X674" s="120"/>
      <c r="Y674" s="120"/>
      <c r="Z674" s="49"/>
      <c r="AA674" s="116" t="str">
        <f t="shared" si="7"/>
        <v>#REF!</v>
      </c>
    </row>
    <row r="675" hidden="1">
      <c r="I675" s="49"/>
      <c r="J675" s="49"/>
      <c r="K675" s="49"/>
      <c r="L675" s="49"/>
      <c r="M675" s="104"/>
      <c r="N675" s="104"/>
      <c r="O675" s="115" t="str">
        <f t="shared" si="2"/>
        <v>Não</v>
      </c>
      <c r="P675" s="104"/>
      <c r="Q675" s="104"/>
      <c r="R675" s="104"/>
      <c r="S675" s="104"/>
      <c r="T675" s="104"/>
      <c r="U675" s="104">
        <f t="shared" si="3"/>
        <v>0</v>
      </c>
      <c r="V675" s="115" t="str">
        <f t="shared" si="4"/>
        <v>Não</v>
      </c>
      <c r="W675" s="116" t="str">
        <f t="shared" si="5"/>
        <v>Igual</v>
      </c>
      <c r="X675" s="120"/>
      <c r="Y675" s="120"/>
      <c r="Z675" s="49"/>
      <c r="AA675" s="116" t="str">
        <f t="shared" si="7"/>
        <v>#REF!</v>
      </c>
    </row>
    <row r="676" hidden="1">
      <c r="I676" s="49"/>
      <c r="J676" s="49"/>
      <c r="K676" s="49"/>
      <c r="L676" s="49"/>
      <c r="M676" s="104"/>
      <c r="N676" s="104"/>
      <c r="O676" s="115" t="str">
        <f t="shared" si="2"/>
        <v>Não</v>
      </c>
      <c r="P676" s="104"/>
      <c r="Q676" s="104"/>
      <c r="R676" s="104"/>
      <c r="S676" s="104"/>
      <c r="T676" s="104"/>
      <c r="U676" s="104">
        <f t="shared" si="3"/>
        <v>0</v>
      </c>
      <c r="V676" s="115" t="str">
        <f t="shared" si="4"/>
        <v>Não</v>
      </c>
      <c r="W676" s="116" t="str">
        <f t="shared" si="5"/>
        <v>Igual</v>
      </c>
      <c r="X676" s="120"/>
      <c r="Y676" s="120"/>
      <c r="Z676" s="49"/>
      <c r="AA676" s="116" t="str">
        <f t="shared" si="7"/>
        <v>#REF!</v>
      </c>
    </row>
    <row r="677" hidden="1">
      <c r="I677" s="49"/>
      <c r="J677" s="49"/>
      <c r="K677" s="49"/>
      <c r="L677" s="49"/>
      <c r="M677" s="104"/>
      <c r="N677" s="104"/>
      <c r="O677" s="115" t="str">
        <f t="shared" si="2"/>
        <v>Não</v>
      </c>
      <c r="P677" s="104"/>
      <c r="Q677" s="104"/>
      <c r="R677" s="104"/>
      <c r="S677" s="104"/>
      <c r="T677" s="104"/>
      <c r="U677" s="104">
        <f t="shared" si="3"/>
        <v>0</v>
      </c>
      <c r="V677" s="115" t="str">
        <f t="shared" si="4"/>
        <v>Não</v>
      </c>
      <c r="W677" s="116" t="str">
        <f t="shared" si="5"/>
        <v>Igual</v>
      </c>
      <c r="X677" s="120"/>
      <c r="Y677" s="120"/>
      <c r="Z677" s="49"/>
      <c r="AA677" s="116" t="str">
        <f t="shared" si="7"/>
        <v>#REF!</v>
      </c>
    </row>
    <row r="678" hidden="1">
      <c r="I678" s="49"/>
      <c r="J678" s="49"/>
      <c r="K678" s="49"/>
      <c r="L678" s="49"/>
      <c r="M678" s="104"/>
      <c r="N678" s="104"/>
      <c r="O678" s="115" t="str">
        <f t="shared" si="2"/>
        <v>Não</v>
      </c>
      <c r="P678" s="104"/>
      <c r="Q678" s="104"/>
      <c r="R678" s="104"/>
      <c r="S678" s="104"/>
      <c r="T678" s="104"/>
      <c r="U678" s="104">
        <f t="shared" si="3"/>
        <v>0</v>
      </c>
      <c r="V678" s="115" t="str">
        <f t="shared" si="4"/>
        <v>Não</v>
      </c>
      <c r="W678" s="116" t="str">
        <f t="shared" si="5"/>
        <v>Igual</v>
      </c>
      <c r="X678" s="120"/>
      <c r="Y678" s="120"/>
      <c r="Z678" s="49"/>
      <c r="AA678" s="116" t="str">
        <f t="shared" si="7"/>
        <v>#REF!</v>
      </c>
    </row>
    <row r="679" hidden="1">
      <c r="I679" s="49"/>
      <c r="J679" s="49"/>
      <c r="K679" s="49"/>
      <c r="L679" s="49"/>
      <c r="M679" s="104"/>
      <c r="N679" s="104"/>
      <c r="O679" s="115" t="str">
        <f t="shared" si="2"/>
        <v>Não</v>
      </c>
      <c r="P679" s="104"/>
      <c r="Q679" s="104"/>
      <c r="R679" s="104"/>
      <c r="S679" s="104"/>
      <c r="T679" s="104"/>
      <c r="U679" s="104">
        <f t="shared" si="3"/>
        <v>0</v>
      </c>
      <c r="V679" s="115" t="str">
        <f t="shared" si="4"/>
        <v>Não</v>
      </c>
      <c r="W679" s="116" t="str">
        <f t="shared" si="5"/>
        <v>Igual</v>
      </c>
      <c r="X679" s="120"/>
      <c r="Y679" s="120"/>
      <c r="Z679" s="49"/>
      <c r="AA679" s="116" t="str">
        <f t="shared" si="7"/>
        <v>#REF!</v>
      </c>
    </row>
    <row r="680" hidden="1">
      <c r="I680" s="49"/>
      <c r="J680" s="49"/>
      <c r="K680" s="49"/>
      <c r="L680" s="49"/>
      <c r="M680" s="104"/>
      <c r="N680" s="104"/>
      <c r="O680" s="115" t="str">
        <f t="shared" si="2"/>
        <v>Não</v>
      </c>
      <c r="P680" s="104"/>
      <c r="Q680" s="104"/>
      <c r="R680" s="104"/>
      <c r="S680" s="104"/>
      <c r="T680" s="104"/>
      <c r="U680" s="104">
        <f t="shared" si="3"/>
        <v>0</v>
      </c>
      <c r="V680" s="115" t="str">
        <f t="shared" si="4"/>
        <v>Não</v>
      </c>
      <c r="W680" s="116" t="str">
        <f t="shared" si="5"/>
        <v>Igual</v>
      </c>
      <c r="X680" s="120"/>
      <c r="Y680" s="120"/>
      <c r="Z680" s="49"/>
      <c r="AA680" s="116" t="str">
        <f t="shared" si="7"/>
        <v>#REF!</v>
      </c>
    </row>
    <row r="681" hidden="1">
      <c r="I681" s="49"/>
      <c r="J681" s="49"/>
      <c r="K681" s="49"/>
      <c r="L681" s="49"/>
      <c r="M681" s="104"/>
      <c r="N681" s="104"/>
      <c r="O681" s="115" t="str">
        <f t="shared" si="2"/>
        <v>Não</v>
      </c>
      <c r="P681" s="104"/>
      <c r="Q681" s="104"/>
      <c r="R681" s="104"/>
      <c r="S681" s="104"/>
      <c r="T681" s="104"/>
      <c r="U681" s="104">
        <f t="shared" si="3"/>
        <v>0</v>
      </c>
      <c r="V681" s="115" t="str">
        <f t="shared" si="4"/>
        <v>Não</v>
      </c>
      <c r="W681" s="116" t="str">
        <f t="shared" si="5"/>
        <v>Igual</v>
      </c>
      <c r="X681" s="120"/>
      <c r="Y681" s="120"/>
      <c r="Z681" s="49"/>
      <c r="AA681" s="116" t="str">
        <f t="shared" si="7"/>
        <v>#REF!</v>
      </c>
    </row>
    <row r="682" hidden="1">
      <c r="I682" s="49"/>
      <c r="J682" s="49"/>
      <c r="K682" s="49"/>
      <c r="L682" s="49"/>
      <c r="M682" s="104"/>
      <c r="N682" s="104"/>
      <c r="O682" s="115" t="str">
        <f t="shared" si="2"/>
        <v>Não</v>
      </c>
      <c r="P682" s="104"/>
      <c r="Q682" s="104"/>
      <c r="R682" s="104"/>
      <c r="S682" s="104"/>
      <c r="T682" s="104"/>
      <c r="U682" s="104">
        <f t="shared" si="3"/>
        <v>0</v>
      </c>
      <c r="V682" s="115" t="str">
        <f t="shared" si="4"/>
        <v>Não</v>
      </c>
      <c r="W682" s="116" t="str">
        <f t="shared" si="5"/>
        <v>Igual</v>
      </c>
      <c r="X682" s="120"/>
      <c r="Y682" s="120"/>
      <c r="Z682" s="49"/>
      <c r="AA682" s="116" t="str">
        <f t="shared" si="7"/>
        <v>#REF!</v>
      </c>
    </row>
    <row r="683" hidden="1">
      <c r="I683" s="49"/>
      <c r="J683" s="49"/>
      <c r="K683" s="49"/>
      <c r="L683" s="49"/>
      <c r="M683" s="104"/>
      <c r="N683" s="104"/>
      <c r="O683" s="115" t="str">
        <f t="shared" si="2"/>
        <v>Não</v>
      </c>
      <c r="P683" s="104"/>
      <c r="Q683" s="104"/>
      <c r="R683" s="104"/>
      <c r="S683" s="104"/>
      <c r="T683" s="104"/>
      <c r="U683" s="104">
        <f t="shared" si="3"/>
        <v>0</v>
      </c>
      <c r="V683" s="115" t="str">
        <f t="shared" si="4"/>
        <v>Não</v>
      </c>
      <c r="W683" s="116" t="str">
        <f t="shared" si="5"/>
        <v>Igual</v>
      </c>
      <c r="X683" s="120"/>
      <c r="Y683" s="120"/>
      <c r="Z683" s="49"/>
      <c r="AA683" s="116" t="str">
        <f t="shared" si="7"/>
        <v>#REF!</v>
      </c>
    </row>
    <row r="684" hidden="1">
      <c r="I684" s="49"/>
      <c r="J684" s="49"/>
      <c r="K684" s="49"/>
      <c r="L684" s="49"/>
      <c r="M684" s="104"/>
      <c r="N684" s="104"/>
      <c r="O684" s="115" t="str">
        <f t="shared" si="2"/>
        <v>Não</v>
      </c>
      <c r="P684" s="104"/>
      <c r="Q684" s="104"/>
      <c r="R684" s="104"/>
      <c r="S684" s="104"/>
      <c r="T684" s="104"/>
      <c r="U684" s="104">
        <f t="shared" si="3"/>
        <v>0</v>
      </c>
      <c r="V684" s="115" t="str">
        <f t="shared" si="4"/>
        <v>Não</v>
      </c>
      <c r="W684" s="116" t="str">
        <f t="shared" si="5"/>
        <v>Igual</v>
      </c>
      <c r="X684" s="120"/>
      <c r="Y684" s="120"/>
      <c r="Z684" s="49"/>
      <c r="AA684" s="116" t="str">
        <f t="shared" si="7"/>
        <v>#REF!</v>
      </c>
    </row>
    <row r="685" hidden="1">
      <c r="I685" s="49"/>
      <c r="J685" s="49"/>
      <c r="K685" s="49"/>
      <c r="L685" s="49"/>
      <c r="M685" s="104"/>
      <c r="N685" s="104"/>
      <c r="O685" s="115" t="str">
        <f t="shared" si="2"/>
        <v>Não</v>
      </c>
      <c r="P685" s="104"/>
      <c r="Q685" s="104"/>
      <c r="R685" s="104"/>
      <c r="S685" s="104"/>
      <c r="T685" s="104"/>
      <c r="U685" s="104">
        <f t="shared" si="3"/>
        <v>0</v>
      </c>
      <c r="V685" s="115" t="str">
        <f t="shared" si="4"/>
        <v>Não</v>
      </c>
      <c r="W685" s="116" t="str">
        <f t="shared" si="5"/>
        <v>Igual</v>
      </c>
      <c r="X685" s="120"/>
      <c r="Y685" s="120"/>
      <c r="Z685" s="49"/>
      <c r="AA685" s="116" t="str">
        <f t="shared" si="7"/>
        <v>#REF!</v>
      </c>
    </row>
    <row r="686" hidden="1">
      <c r="I686" s="49"/>
      <c r="J686" s="49"/>
      <c r="K686" s="49"/>
      <c r="L686" s="49"/>
      <c r="M686" s="104"/>
      <c r="N686" s="104"/>
      <c r="O686" s="115" t="str">
        <f t="shared" si="2"/>
        <v>Não</v>
      </c>
      <c r="P686" s="104"/>
      <c r="Q686" s="104"/>
      <c r="R686" s="104"/>
      <c r="S686" s="104"/>
      <c r="T686" s="104"/>
      <c r="U686" s="104">
        <f t="shared" si="3"/>
        <v>0</v>
      </c>
      <c r="V686" s="115" t="str">
        <f t="shared" si="4"/>
        <v>Não</v>
      </c>
      <c r="W686" s="116" t="str">
        <f t="shared" si="5"/>
        <v>Igual</v>
      </c>
      <c r="X686" s="120"/>
      <c r="Y686" s="120"/>
      <c r="Z686" s="49"/>
      <c r="AA686" s="116" t="str">
        <f t="shared" si="7"/>
        <v>#REF!</v>
      </c>
    </row>
    <row r="687" hidden="1">
      <c r="I687" s="49"/>
      <c r="J687" s="49"/>
      <c r="K687" s="49"/>
      <c r="L687" s="49"/>
      <c r="M687" s="104"/>
      <c r="N687" s="104"/>
      <c r="O687" s="115" t="str">
        <f t="shared" si="2"/>
        <v>Não</v>
      </c>
      <c r="P687" s="104"/>
      <c r="Q687" s="104"/>
      <c r="R687" s="104"/>
      <c r="S687" s="104"/>
      <c r="T687" s="104"/>
      <c r="U687" s="104">
        <f t="shared" si="3"/>
        <v>0</v>
      </c>
      <c r="V687" s="115" t="str">
        <f t="shared" si="4"/>
        <v>Não</v>
      </c>
      <c r="W687" s="116" t="str">
        <f t="shared" si="5"/>
        <v>Igual</v>
      </c>
      <c r="X687" s="120"/>
      <c r="Y687" s="120"/>
      <c r="Z687" s="49"/>
      <c r="AA687" s="116" t="str">
        <f t="shared" si="7"/>
        <v>#REF!</v>
      </c>
    </row>
    <row r="688" hidden="1">
      <c r="I688" s="49"/>
      <c r="J688" s="49"/>
      <c r="K688" s="49"/>
      <c r="L688" s="49"/>
      <c r="M688" s="104"/>
      <c r="N688" s="104"/>
      <c r="O688" s="115" t="str">
        <f t="shared" si="2"/>
        <v>Não</v>
      </c>
      <c r="P688" s="104"/>
      <c r="Q688" s="104"/>
      <c r="R688" s="104"/>
      <c r="S688" s="104"/>
      <c r="T688" s="104"/>
      <c r="U688" s="104">
        <f t="shared" si="3"/>
        <v>0</v>
      </c>
      <c r="V688" s="115" t="str">
        <f t="shared" si="4"/>
        <v>Não</v>
      </c>
      <c r="W688" s="116" t="str">
        <f t="shared" si="5"/>
        <v>Igual</v>
      </c>
      <c r="X688" s="120"/>
      <c r="Y688" s="120"/>
      <c r="Z688" s="49"/>
      <c r="AA688" s="116" t="str">
        <f t="shared" si="7"/>
        <v>#REF!</v>
      </c>
    </row>
    <row r="689" hidden="1">
      <c r="I689" s="49"/>
      <c r="J689" s="49"/>
      <c r="K689" s="49"/>
      <c r="L689" s="49"/>
      <c r="M689" s="104"/>
      <c r="N689" s="104"/>
      <c r="O689" s="115" t="str">
        <f t="shared" si="2"/>
        <v>Não</v>
      </c>
      <c r="P689" s="104"/>
      <c r="Q689" s="104"/>
      <c r="R689" s="104"/>
      <c r="S689" s="104"/>
      <c r="T689" s="104"/>
      <c r="U689" s="104">
        <f t="shared" si="3"/>
        <v>0</v>
      </c>
      <c r="V689" s="115" t="str">
        <f t="shared" si="4"/>
        <v>Não</v>
      </c>
      <c r="W689" s="116" t="str">
        <f t="shared" si="5"/>
        <v>Igual</v>
      </c>
      <c r="X689" s="120"/>
      <c r="Y689" s="120"/>
      <c r="Z689" s="49"/>
      <c r="AA689" s="116" t="str">
        <f t="shared" si="7"/>
        <v>#REF!</v>
      </c>
    </row>
    <row r="690" hidden="1">
      <c r="I690" s="49"/>
      <c r="J690" s="49"/>
      <c r="K690" s="49"/>
      <c r="L690" s="49"/>
      <c r="M690" s="104"/>
      <c r="N690" s="104"/>
      <c r="O690" s="115" t="str">
        <f t="shared" si="2"/>
        <v>Não</v>
      </c>
      <c r="P690" s="104"/>
      <c r="Q690" s="104"/>
      <c r="R690" s="104"/>
      <c r="S690" s="104"/>
      <c r="T690" s="104"/>
      <c r="U690" s="104">
        <f t="shared" si="3"/>
        <v>0</v>
      </c>
      <c r="V690" s="115" t="str">
        <f t="shared" si="4"/>
        <v>Não</v>
      </c>
      <c r="W690" s="116" t="str">
        <f t="shared" si="5"/>
        <v>Igual</v>
      </c>
      <c r="X690" s="120"/>
      <c r="Y690" s="120"/>
      <c r="Z690" s="49"/>
      <c r="AA690" s="116" t="str">
        <f t="shared" si="7"/>
        <v>#REF!</v>
      </c>
    </row>
    <row r="691" hidden="1">
      <c r="I691" s="49"/>
      <c r="J691" s="49"/>
      <c r="K691" s="49"/>
      <c r="L691" s="49"/>
      <c r="M691" s="104"/>
      <c r="N691" s="104"/>
      <c r="O691" s="115" t="str">
        <f t="shared" si="2"/>
        <v>Não</v>
      </c>
      <c r="P691" s="104"/>
      <c r="Q691" s="104"/>
      <c r="R691" s="104"/>
      <c r="S691" s="104"/>
      <c r="T691" s="104"/>
      <c r="U691" s="104">
        <f t="shared" si="3"/>
        <v>0</v>
      </c>
      <c r="V691" s="115" t="str">
        <f t="shared" si="4"/>
        <v>Não</v>
      </c>
      <c r="W691" s="116" t="str">
        <f t="shared" si="5"/>
        <v>Igual</v>
      </c>
      <c r="X691" s="120"/>
      <c r="Y691" s="120"/>
      <c r="Z691" s="49"/>
      <c r="AA691" s="116" t="str">
        <f t="shared" si="7"/>
        <v>#REF!</v>
      </c>
    </row>
    <row r="692" hidden="1">
      <c r="I692" s="49"/>
      <c r="J692" s="49"/>
      <c r="K692" s="49"/>
      <c r="L692" s="49"/>
      <c r="M692" s="104"/>
      <c r="N692" s="104"/>
      <c r="O692" s="115" t="str">
        <f t="shared" si="2"/>
        <v>Não</v>
      </c>
      <c r="P692" s="104"/>
      <c r="Q692" s="104"/>
      <c r="R692" s="104"/>
      <c r="S692" s="104"/>
      <c r="T692" s="104"/>
      <c r="U692" s="104">
        <f t="shared" si="3"/>
        <v>0</v>
      </c>
      <c r="V692" s="115" t="str">
        <f t="shared" si="4"/>
        <v>Não</v>
      </c>
      <c r="W692" s="116" t="str">
        <f t="shared" si="5"/>
        <v>Igual</v>
      </c>
      <c r="X692" s="120"/>
      <c r="Y692" s="120"/>
      <c r="Z692" s="49"/>
      <c r="AA692" s="116" t="str">
        <f t="shared" si="7"/>
        <v>#REF!</v>
      </c>
    </row>
    <row r="693" hidden="1">
      <c r="I693" s="49"/>
      <c r="J693" s="49"/>
      <c r="K693" s="49"/>
      <c r="L693" s="49"/>
      <c r="M693" s="104"/>
      <c r="N693" s="104"/>
      <c r="O693" s="115" t="str">
        <f t="shared" si="2"/>
        <v>Não</v>
      </c>
      <c r="P693" s="104"/>
      <c r="Q693" s="104"/>
      <c r="R693" s="104"/>
      <c r="S693" s="104"/>
      <c r="T693" s="104"/>
      <c r="U693" s="104">
        <f t="shared" si="3"/>
        <v>0</v>
      </c>
      <c r="V693" s="115" t="str">
        <f t="shared" si="4"/>
        <v>Não</v>
      </c>
      <c r="W693" s="116" t="str">
        <f t="shared" si="5"/>
        <v>Igual</v>
      </c>
      <c r="X693" s="120"/>
      <c r="Y693" s="120"/>
      <c r="Z693" s="49"/>
      <c r="AA693" s="116" t="str">
        <f t="shared" si="7"/>
        <v>#REF!</v>
      </c>
    </row>
    <row r="694" hidden="1">
      <c r="I694" s="49"/>
      <c r="J694" s="49"/>
      <c r="K694" s="49"/>
      <c r="L694" s="49"/>
      <c r="M694" s="104"/>
      <c r="N694" s="104"/>
      <c r="O694" s="115" t="str">
        <f t="shared" si="2"/>
        <v>Não</v>
      </c>
      <c r="P694" s="104"/>
      <c r="Q694" s="104"/>
      <c r="R694" s="104"/>
      <c r="S694" s="104"/>
      <c r="T694" s="104"/>
      <c r="U694" s="104">
        <f t="shared" si="3"/>
        <v>0</v>
      </c>
      <c r="V694" s="115" t="str">
        <f t="shared" si="4"/>
        <v>Não</v>
      </c>
      <c r="W694" s="116" t="str">
        <f t="shared" si="5"/>
        <v>Igual</v>
      </c>
      <c r="X694" s="120"/>
      <c r="Y694" s="120"/>
      <c r="Z694" s="49"/>
      <c r="AA694" s="116" t="str">
        <f t="shared" si="7"/>
        <v>#REF!</v>
      </c>
    </row>
    <row r="695" hidden="1">
      <c r="I695" s="49"/>
      <c r="J695" s="49"/>
      <c r="K695" s="49"/>
      <c r="L695" s="49"/>
      <c r="M695" s="104"/>
      <c r="N695" s="104"/>
      <c r="O695" s="115" t="str">
        <f t="shared" si="2"/>
        <v>Não</v>
      </c>
      <c r="P695" s="104"/>
      <c r="Q695" s="104"/>
      <c r="R695" s="104"/>
      <c r="S695" s="104"/>
      <c r="T695" s="104"/>
      <c r="U695" s="104">
        <f t="shared" si="3"/>
        <v>0</v>
      </c>
      <c r="V695" s="115" t="str">
        <f t="shared" si="4"/>
        <v>Não</v>
      </c>
      <c r="W695" s="116" t="str">
        <f t="shared" si="5"/>
        <v>Igual</v>
      </c>
      <c r="X695" s="120"/>
      <c r="Y695" s="120"/>
      <c r="Z695" s="49"/>
      <c r="AA695" s="116" t="str">
        <f t="shared" si="7"/>
        <v>#REF!</v>
      </c>
    </row>
    <row r="696" hidden="1">
      <c r="I696" s="49"/>
      <c r="J696" s="49"/>
      <c r="K696" s="49"/>
      <c r="L696" s="49"/>
      <c r="M696" s="104"/>
      <c r="N696" s="104"/>
      <c r="O696" s="115" t="str">
        <f t="shared" si="2"/>
        <v>Não</v>
      </c>
      <c r="P696" s="104"/>
      <c r="Q696" s="104"/>
      <c r="R696" s="104"/>
      <c r="S696" s="104"/>
      <c r="T696" s="104"/>
      <c r="U696" s="104">
        <f t="shared" si="3"/>
        <v>0</v>
      </c>
      <c r="V696" s="115" t="str">
        <f t="shared" si="4"/>
        <v>Não</v>
      </c>
      <c r="W696" s="116" t="str">
        <f t="shared" si="5"/>
        <v>Igual</v>
      </c>
      <c r="X696" s="120"/>
      <c r="Y696" s="120"/>
      <c r="Z696" s="49"/>
      <c r="AA696" s="116" t="str">
        <f t="shared" si="7"/>
        <v>#REF!</v>
      </c>
    </row>
    <row r="697" hidden="1">
      <c r="I697" s="49"/>
      <c r="J697" s="49"/>
      <c r="K697" s="49"/>
      <c r="L697" s="49"/>
      <c r="M697" s="104"/>
      <c r="N697" s="104"/>
      <c r="O697" s="115" t="str">
        <f t="shared" si="2"/>
        <v>Não</v>
      </c>
      <c r="P697" s="104"/>
      <c r="Q697" s="104"/>
      <c r="R697" s="104"/>
      <c r="S697" s="104"/>
      <c r="T697" s="104"/>
      <c r="U697" s="104">
        <f t="shared" si="3"/>
        <v>0</v>
      </c>
      <c r="V697" s="115" t="str">
        <f t="shared" si="4"/>
        <v>Não</v>
      </c>
      <c r="W697" s="116" t="str">
        <f t="shared" si="5"/>
        <v>Igual</v>
      </c>
      <c r="X697" s="120"/>
      <c r="Y697" s="120"/>
      <c r="Z697" s="49"/>
      <c r="AA697" s="116" t="str">
        <f t="shared" si="7"/>
        <v>#REF!</v>
      </c>
    </row>
    <row r="698" hidden="1">
      <c r="I698" s="49"/>
      <c r="J698" s="49"/>
      <c r="K698" s="49"/>
      <c r="L698" s="49"/>
      <c r="M698" s="104"/>
      <c r="N698" s="104"/>
      <c r="O698" s="115" t="str">
        <f t="shared" si="2"/>
        <v>Não</v>
      </c>
      <c r="P698" s="104"/>
      <c r="Q698" s="104"/>
      <c r="R698" s="104"/>
      <c r="S698" s="104"/>
      <c r="T698" s="104"/>
      <c r="U698" s="104">
        <f t="shared" si="3"/>
        <v>0</v>
      </c>
      <c r="V698" s="115" t="str">
        <f t="shared" si="4"/>
        <v>Não</v>
      </c>
      <c r="W698" s="116" t="str">
        <f t="shared" si="5"/>
        <v>Igual</v>
      </c>
      <c r="X698" s="120"/>
      <c r="Y698" s="120"/>
      <c r="Z698" s="49"/>
      <c r="AA698" s="116" t="str">
        <f t="shared" si="7"/>
        <v>#REF!</v>
      </c>
    </row>
    <row r="699" hidden="1">
      <c r="I699" s="49"/>
      <c r="J699" s="49"/>
      <c r="K699" s="49"/>
      <c r="L699" s="49"/>
      <c r="M699" s="104"/>
      <c r="N699" s="104"/>
      <c r="O699" s="115" t="str">
        <f t="shared" si="2"/>
        <v>Não</v>
      </c>
      <c r="P699" s="104"/>
      <c r="Q699" s="104"/>
      <c r="R699" s="104"/>
      <c r="S699" s="104"/>
      <c r="T699" s="104"/>
      <c r="U699" s="104">
        <f t="shared" si="3"/>
        <v>0</v>
      </c>
      <c r="V699" s="115" t="str">
        <f t="shared" si="4"/>
        <v>Não</v>
      </c>
      <c r="W699" s="116" t="str">
        <f t="shared" si="5"/>
        <v>Igual</v>
      </c>
      <c r="X699" s="120"/>
      <c r="Y699" s="120"/>
      <c r="Z699" s="49"/>
      <c r="AA699" s="116" t="str">
        <f t="shared" si="7"/>
        <v>#REF!</v>
      </c>
    </row>
    <row r="700" hidden="1">
      <c r="I700" s="49"/>
      <c r="J700" s="49"/>
      <c r="K700" s="49"/>
      <c r="L700" s="49"/>
      <c r="M700" s="104"/>
      <c r="N700" s="104"/>
      <c r="O700" s="115" t="str">
        <f t="shared" si="2"/>
        <v>Não</v>
      </c>
      <c r="P700" s="104"/>
      <c r="Q700" s="104"/>
      <c r="R700" s="104"/>
      <c r="S700" s="104"/>
      <c r="T700" s="104"/>
      <c r="U700" s="104">
        <f t="shared" si="3"/>
        <v>0</v>
      </c>
      <c r="V700" s="115" t="str">
        <f t="shared" si="4"/>
        <v>Não</v>
      </c>
      <c r="W700" s="116" t="str">
        <f t="shared" si="5"/>
        <v>Igual</v>
      </c>
      <c r="X700" s="120"/>
      <c r="Y700" s="120"/>
      <c r="Z700" s="49"/>
      <c r="AA700" s="116" t="str">
        <f t="shared" si="7"/>
        <v>#REF!</v>
      </c>
    </row>
    <row r="701" hidden="1">
      <c r="I701" s="49"/>
      <c r="J701" s="49"/>
      <c r="K701" s="49"/>
      <c r="L701" s="49"/>
      <c r="M701" s="104"/>
      <c r="N701" s="104"/>
      <c r="O701" s="115" t="str">
        <f t="shared" si="2"/>
        <v>Não</v>
      </c>
      <c r="P701" s="104"/>
      <c r="Q701" s="104"/>
      <c r="R701" s="104"/>
      <c r="S701" s="104"/>
      <c r="T701" s="104"/>
      <c r="U701" s="104">
        <f t="shared" si="3"/>
        <v>0</v>
      </c>
      <c r="V701" s="115" t="str">
        <f t="shared" si="4"/>
        <v>Não</v>
      </c>
      <c r="W701" s="116" t="str">
        <f t="shared" si="5"/>
        <v>Igual</v>
      </c>
      <c r="X701" s="120"/>
      <c r="Y701" s="120"/>
      <c r="Z701" s="49"/>
      <c r="AA701" s="116" t="str">
        <f t="shared" si="7"/>
        <v>#REF!</v>
      </c>
    </row>
  </sheetData>
  <autoFilter ref="$AA$2:$AA$701">
    <filterColumn colId="0">
      <filters>
        <filter val="Sim"/>
      </filters>
    </filterColumn>
  </autoFilter>
  <mergeCells count="2">
    <mergeCell ref="I1:O1"/>
    <mergeCell ref="P1:V1"/>
  </mergeCells>
  <conditionalFormatting sqref="W3:W701">
    <cfRule type="cellIs" dxfId="0" priority="1" operator="equal">
      <formula>"Diferente"</formula>
    </cfRule>
  </conditionalFormatting>
  <conditionalFormatting sqref="W3:W701">
    <cfRule type="cellIs" dxfId="1" priority="2" operator="equal">
      <formula>"Igual"</formula>
    </cfRule>
  </conditionalFormatting>
  <conditionalFormatting sqref="A1:H2 W1:Z2 AD1:AF2 I2:V2 AA2:AC2">
    <cfRule type="notContainsBlanks" dxfId="2" priority="3">
      <formula>LEN(TRIM(A1))&gt;0</formula>
    </cfRule>
  </conditionalFormatting>
  <conditionalFormatting sqref="AA3:AA701">
    <cfRule type="cellIs" dxfId="1" priority="4" operator="equal">
      <formula>"Sim"</formula>
    </cfRule>
  </conditionalFormatting>
  <conditionalFormatting sqref="AA3:AA701">
    <cfRule type="cellIs" dxfId="0" priority="5" operator="equal">
      <formula>"Não"</formula>
    </cfRule>
  </conditionalFormatting>
  <dataValidations>
    <dataValidation type="list" allowBlank="1" showErrorMessage="1" sqref="I3:M701 P3:T701">
      <formula1>"0 ,0,5,1 "</formula1>
    </dataValidation>
    <dataValidation type="list" allowBlank="1" showErrorMessage="1" sqref="Z3:Z701">
      <formula1>"LLM 1,LLM 2,Ambas,Nenhuma"</formula1>
    </dataValidation>
    <dataValidation type="list" allowBlank="1" showErrorMessage="1" sqref="B3:B11 B101:B102">
      <formula1>"SpringerLink,PubMed,ACM,ScienceDirect"</formula1>
    </dataValidation>
  </dataValidations>
  <hyperlinks>
    <hyperlink r:id="rId1" ref="F3"/>
    <hyperlink r:id="rId2" ref="F4"/>
    <hyperlink r:id="rId3" ref="F5"/>
    <hyperlink r:id="rId4" ref="F32"/>
    <hyperlink r:id="rId5" ref="F33"/>
    <hyperlink r:id="rId6" ref="F34"/>
    <hyperlink r:id="rId7" ref="F35"/>
    <hyperlink r:id="rId8" ref="F36"/>
    <hyperlink r:id="rId9" ref="F37"/>
    <hyperlink r:id="rId10" ref="F38"/>
    <hyperlink r:id="rId11" ref="F39"/>
    <hyperlink r:id="rId12" ref="F40"/>
    <hyperlink r:id="rId13" ref="F41"/>
    <hyperlink r:id="rId14" ref="F42"/>
    <hyperlink r:id="rId15" ref="F43"/>
    <hyperlink r:id="rId16" ref="F44"/>
    <hyperlink r:id="rId17" ref="F45"/>
    <hyperlink r:id="rId18" ref="F46"/>
    <hyperlink r:id="rId19" ref="F47"/>
    <hyperlink r:id="rId20" ref="F48"/>
    <hyperlink r:id="rId21" ref="F49"/>
    <hyperlink r:id="rId22" ref="F50"/>
    <hyperlink r:id="rId23" ref="F51"/>
    <hyperlink r:id="rId24" ref="F52"/>
    <hyperlink r:id="rId25" ref="F53"/>
    <hyperlink r:id="rId26" ref="F54"/>
    <hyperlink r:id="rId27" ref="F55"/>
    <hyperlink r:id="rId28" ref="F56"/>
    <hyperlink r:id="rId29" ref="F57"/>
    <hyperlink r:id="rId30" ref="F58"/>
    <hyperlink r:id="rId31" ref="F59"/>
    <hyperlink r:id="rId32" ref="F60"/>
    <hyperlink r:id="rId33" ref="F61"/>
    <hyperlink r:id="rId34" ref="F62"/>
    <hyperlink r:id="rId35" ref="F63"/>
    <hyperlink r:id="rId36" ref="F64"/>
    <hyperlink r:id="rId37" ref="F65"/>
    <hyperlink r:id="rId38" ref="F66"/>
    <hyperlink r:id="rId39" ref="F67"/>
    <hyperlink r:id="rId40" ref="F68"/>
    <hyperlink r:id="rId41" ref="F69"/>
    <hyperlink r:id="rId42" ref="F70"/>
    <hyperlink r:id="rId43" ref="F71"/>
    <hyperlink r:id="rId44" ref="F72"/>
    <hyperlink r:id="rId45" ref="F73"/>
    <hyperlink r:id="rId46" ref="F74"/>
    <hyperlink r:id="rId47" ref="F75"/>
    <hyperlink r:id="rId48" ref="F76"/>
    <hyperlink r:id="rId49" ref="F77"/>
    <hyperlink r:id="rId50" ref="F78"/>
    <hyperlink r:id="rId51" ref="F79"/>
    <hyperlink r:id="rId52" ref="F80"/>
    <hyperlink r:id="rId53" ref="F81"/>
    <hyperlink r:id="rId54" ref="F82"/>
    <hyperlink r:id="rId55" ref="F83"/>
    <hyperlink r:id="rId56" ref="F84"/>
    <hyperlink r:id="rId57" ref="F85"/>
    <hyperlink r:id="rId58" ref="F86"/>
    <hyperlink r:id="rId59" ref="F87"/>
    <hyperlink r:id="rId60" ref="F88"/>
    <hyperlink r:id="rId61" ref="F89"/>
    <hyperlink r:id="rId62" ref="F90"/>
    <hyperlink r:id="rId63" ref="F91"/>
    <hyperlink r:id="rId64" ref="F92"/>
    <hyperlink r:id="rId65" ref="F93"/>
    <hyperlink r:id="rId66" ref="F94"/>
    <hyperlink r:id="rId67" ref="F95"/>
    <hyperlink r:id="rId68" ref="F96"/>
    <hyperlink r:id="rId69" ref="F97"/>
    <hyperlink r:id="rId70" ref="F98"/>
    <hyperlink r:id="rId71" ref="F99"/>
    <hyperlink r:id="rId72" ref="F100"/>
    <hyperlink r:id="rId73" ref="F101"/>
    <hyperlink r:id="rId74" ref="F102"/>
    <hyperlink r:id="rId75" ref="F103"/>
    <hyperlink r:id="rId76" ref="F104"/>
    <hyperlink r:id="rId77" ref="F105"/>
    <hyperlink r:id="rId78" ref="F106"/>
    <hyperlink r:id="rId79" ref="F107"/>
    <hyperlink r:id="rId80" ref="F108"/>
    <hyperlink r:id="rId81" ref="F109"/>
    <hyperlink r:id="rId82" ref="F110"/>
    <hyperlink r:id="rId83" ref="F111"/>
    <hyperlink r:id="rId84" ref="F112"/>
    <hyperlink r:id="rId85" ref="F113"/>
    <hyperlink r:id="rId86" ref="F114"/>
    <hyperlink r:id="rId87" ref="F115"/>
    <hyperlink r:id="rId88" ref="F116"/>
    <hyperlink r:id="rId89" ref="F117"/>
    <hyperlink r:id="rId90" ref="F118"/>
    <hyperlink r:id="rId91" ref="F119"/>
    <hyperlink r:id="rId92" ref="F120"/>
    <hyperlink r:id="rId93" ref="F121"/>
    <hyperlink r:id="rId94" ref="F122"/>
    <hyperlink r:id="rId95" ref="F123"/>
    <hyperlink r:id="rId96" ref="F124"/>
    <hyperlink r:id="rId97" ref="F125"/>
    <hyperlink r:id="rId98" ref="F126"/>
    <hyperlink r:id="rId99" ref="F127"/>
    <hyperlink r:id="rId100" ref="F128"/>
    <hyperlink r:id="rId101" ref="F129"/>
    <hyperlink r:id="rId102" ref="F130"/>
    <hyperlink r:id="rId103" ref="F131"/>
    <hyperlink r:id="rId104" ref="F132"/>
    <hyperlink r:id="rId105" ref="F133"/>
    <hyperlink r:id="rId106" ref="F134"/>
    <hyperlink r:id="rId107" ref="F135"/>
    <hyperlink r:id="rId108" ref="F136"/>
    <hyperlink r:id="rId109" ref="F137"/>
    <hyperlink r:id="rId110" ref="F138"/>
    <hyperlink r:id="rId111" ref="F139"/>
    <hyperlink r:id="rId112" ref="F140"/>
    <hyperlink r:id="rId113" ref="F141"/>
    <hyperlink r:id="rId114" ref="F142"/>
    <hyperlink r:id="rId115" ref="F143"/>
    <hyperlink r:id="rId116" ref="F144"/>
    <hyperlink r:id="rId117" ref="F145"/>
    <hyperlink r:id="rId118" ref="F146"/>
    <hyperlink r:id="rId119" ref="F147"/>
    <hyperlink r:id="rId120" ref="F148"/>
    <hyperlink r:id="rId121" ref="F149"/>
    <hyperlink r:id="rId122" ref="F150"/>
    <hyperlink r:id="rId123" ref="F151"/>
  </hyperlinks>
  <drawing r:id="rId12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27.5"/>
    <col customWidth="1" min="4" max="4" width="29.5"/>
    <col customWidth="1" min="6" max="6" width="18.75"/>
  </cols>
  <sheetData>
    <row r="3">
      <c r="B3" s="131" t="s">
        <v>64</v>
      </c>
      <c r="C3" s="131" t="s">
        <v>2405</v>
      </c>
      <c r="D3" s="131" t="s">
        <v>2406</v>
      </c>
      <c r="F3" s="132"/>
    </row>
    <row r="4">
      <c r="B4" s="133" t="s">
        <v>43</v>
      </c>
      <c r="C4" s="134">
        <v>3.0</v>
      </c>
      <c r="D4" s="133">
        <v>3.0</v>
      </c>
      <c r="F4" s="135"/>
    </row>
    <row r="5">
      <c r="B5" s="133" t="s">
        <v>45</v>
      </c>
      <c r="C5" s="136">
        <v>69.0</v>
      </c>
      <c r="D5" s="133">
        <v>57.0</v>
      </c>
      <c r="F5" s="135"/>
    </row>
    <row r="6">
      <c r="B6" s="133" t="s">
        <v>47</v>
      </c>
      <c r="C6" s="136">
        <v>43.0</v>
      </c>
      <c r="D6" s="133">
        <v>34.0</v>
      </c>
      <c r="F6" s="135"/>
    </row>
    <row r="7">
      <c r="B7" s="133" t="s">
        <v>46</v>
      </c>
      <c r="C7" s="134">
        <v>9.0</v>
      </c>
      <c r="D7" s="133">
        <v>9.0</v>
      </c>
      <c r="F7" s="135"/>
    </row>
    <row r="8">
      <c r="B8" s="133" t="s">
        <v>50</v>
      </c>
      <c r="C8" s="136">
        <v>20.0</v>
      </c>
      <c r="D8" s="133">
        <v>17.0</v>
      </c>
      <c r="E8" s="48"/>
      <c r="F8" s="135"/>
    </row>
    <row r="9">
      <c r="B9" s="131" t="s">
        <v>2408</v>
      </c>
      <c r="C9" s="137">
        <f t="shared" ref="C9:D9" si="1">SUM(C4:C8)</f>
        <v>144</v>
      </c>
      <c r="D9" s="137">
        <f t="shared" si="1"/>
        <v>120</v>
      </c>
      <c r="F9" s="138"/>
    </row>
    <row r="10">
      <c r="F10" s="132"/>
    </row>
    <row r="11">
      <c r="F11" s="135"/>
    </row>
    <row r="12">
      <c r="F12" s="135"/>
    </row>
    <row r="13">
      <c r="F13" s="135"/>
    </row>
    <row r="14">
      <c r="F14" s="135"/>
    </row>
    <row r="15">
      <c r="F15" s="135"/>
    </row>
    <row r="16">
      <c r="F16" s="138"/>
    </row>
    <row r="17">
      <c r="F17" s="132"/>
    </row>
    <row r="18">
      <c r="F18" s="135"/>
    </row>
    <row r="19">
      <c r="F19" s="135"/>
    </row>
    <row r="20">
      <c r="F20" s="135"/>
    </row>
    <row r="21">
      <c r="F21" s="135"/>
    </row>
    <row r="22">
      <c r="F22" s="135"/>
    </row>
    <row r="23">
      <c r="F23" s="138"/>
    </row>
    <row r="24">
      <c r="F24" s="132"/>
    </row>
    <row r="25">
      <c r="F25" s="135"/>
    </row>
    <row r="26">
      <c r="F26" s="135"/>
    </row>
    <row r="27">
      <c r="F27" s="135"/>
    </row>
    <row r="28">
      <c r="F28" s="135"/>
    </row>
    <row r="29">
      <c r="F29" s="135"/>
    </row>
    <row r="30">
      <c r="F30" s="138"/>
    </row>
    <row r="31">
      <c r="F31" s="138"/>
    </row>
  </sheetData>
  <drawing r:id="rId1"/>
</worksheet>
</file>